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kuka-my.sharepoint.com/personal/lee_pierre_swisslog_com/Documents/Projects/P-023272 LEGO GEODIS/ONGEN SUITE/EM_300 ONGEN Field device Specification/AE11 - PH1/"/>
    </mc:Choice>
  </mc:AlternateContent>
  <xr:revisionPtr revIDLastSave="1" documentId="8_{CAC5DD00-0BA8-4413-8919-A9B5F60FA2C4}" xr6:coauthVersionLast="47" xr6:coauthVersionMax="47" xr10:uidLastSave="{DBD6ADAB-4CEB-457C-A063-88F6EC3A1A65}"/>
  <bookViews>
    <workbookView xWindow="-120" yWindow="-120" windowWidth="29040" windowHeight="15720" tabRatio="924" xr2:uid="{BA34F9F8-EC50-4BAD-B322-04C3083F11C0}"/>
  </bookViews>
  <sheets>
    <sheet name="START-HERE" sheetId="1" r:id="rId1"/>
    <sheet name="Revisions" sheetId="56" state="hidden" r:id="rId2"/>
    <sheet name="Vendor INFO" sheetId="21" state="hidden" r:id="rId3"/>
    <sheet name="NEW VENDOR INFO" sheetId="52" state="hidden" r:id="rId4"/>
    <sheet name="Pricing-Data" sheetId="5" state="hidden" r:id="rId5"/>
    <sheet name="DATA" sheetId="55" state="hidden" r:id="rId6"/>
    <sheet name="EE BOM IMPORT_test" sheetId="6" state="hidden" r:id="rId7"/>
    <sheet name="VARIANT LIST" sheetId="54" r:id="rId8"/>
    <sheet name="EM Designed function" sheetId="53" r:id="rId9"/>
    <sheet name="EE System Designed BOM" sheetId="7" r:id="rId10"/>
    <sheet name="SAP POR Order List" sheetId="3" r:id="rId11"/>
    <sheet name="WORKBOOK GUIDE" sheetId="57" state="hidden" r:id="rId12"/>
  </sheets>
  <definedNames>
    <definedName name="_xlnm._FilterDatabase" localSheetId="6" hidden="1">'EE BOM IMPORT_test'!$A$1:$S$3067</definedName>
    <definedName name="_xlnm._FilterDatabase" localSheetId="9" hidden="1">'EE System Designed BOM'!$A$1:$R$3703</definedName>
    <definedName name="_xlnm._FilterDatabase" localSheetId="8" hidden="1">'EM Designed function'!$A$1:$Z$867</definedName>
    <definedName name="_xlnm._FilterDatabase" localSheetId="3" hidden="1">'NEW VENDOR INFO'!$A$1:$G$3140</definedName>
    <definedName name="_xlnm._FilterDatabase" localSheetId="4" hidden="1">'Pricing-Data'!$A$1:$H$3526</definedName>
    <definedName name="_xlnm._FilterDatabase" localSheetId="10" hidden="1">'SAP POR Order List'!$A:$P</definedName>
    <definedName name="_xleta.EXP" hidden="1" xlm="1">#NAME?</definedName>
    <definedName name="ONGEN_EEBOM_CONVID" hidden="1">'EE System Designed BOM'!$A$2</definedName>
    <definedName name="ONGEN_EEBOM_KEYS" hidden="1">'EE System Designed BOM'!$Q$2</definedName>
    <definedName name="ONGEN_EEBOM_PARTS" hidden="1">'EE System Designed BOM'!$E$2</definedName>
    <definedName name="ONGEN_EEBOM_PLC" hidden="1">'EE System Designed BOM'!$G$2</definedName>
    <definedName name="ONGEN_EEBOM_PURCHASE_BY" hidden="1">'EE System Designed BOM'!$I$2</definedName>
    <definedName name="ONGEN_EEBOM_QTY" hidden="1">'EE System Designed BOM'!$C$2</definedName>
    <definedName name="ONGEN_EEBOM_SAP_VENDOR" hidden="1">'EE System Designed BOM'!$O$2</definedName>
    <definedName name="ONGEN_MASTER_LIBRARY_LAST_SYNC" hidden="1">"2026-09-28 00:40:54"</definedName>
    <definedName name="ONGEN_MASTER_LIBRARY_PATH" hidden="1">"C:\Users\h4pierl\OneDrive - KUKA AG\Projects\P-023272 LEGO GEODIS\ONGEN SUITE\Excel Master Part Library\ONGEN_EAS_MASTER_FUNCTION_LIBRARY.xlsm"</definedName>
    <definedName name="ONGEN_MASTER_LIBRARY_SIGNATURE" hidden="1">"3.0.7|2026-09-25 15:54:53"</definedName>
    <definedName name="ONGEN_MASTER_LIBRARY_VERSION" hidden="1">"3.0.7"</definedName>
    <definedName name="ONGEN_PRICING_COSTS" hidden="1">'Pricing-Data'!$D$2:$D$208</definedName>
    <definedName name="ONGEN_PRICING_DESCRIPTIONS" hidden="1">'Pricing-Data'!$C$2:$C$208</definedName>
    <definedName name="ONGEN_PRICING_MATGROUP" hidden="1">'Pricing-Data'!$F$2:$F$208</definedName>
    <definedName name="ONGEN_PRICING_PARTS" hidden="1">'Pricing-Data'!$A$2:$A$208</definedName>
    <definedName name="ONGEN_VARIANT_CODES" hidden="1">'VARIANT LIST'!$A$2:$A$31</definedName>
    <definedName name="ONGEN_VENDOR_CODES" hidden="1">'NEW VENDOR INFO'!$A$2:$A$3140</definedName>
    <definedName name="ONGEN_VENDOR_NAMES" hidden="1">'NEW VENDOR INFO'!$B$2:$B$3140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T3" i="3"/>
  <c r="T4" i="3"/>
  <c r="T5" i="3"/>
  <c r="S5" i="3" s="1"/>
  <c r="T6" i="3"/>
  <c r="N6" i="3" s="1"/>
  <c r="T7" i="3"/>
  <c r="N7" i="3" s="1"/>
  <c r="T8" i="3"/>
  <c r="P8" i="3" s="1"/>
  <c r="T9" i="3"/>
  <c r="P9" i="3" s="1"/>
  <c r="T10" i="3"/>
  <c r="P10" i="3" s="1"/>
  <c r="T11" i="3"/>
  <c r="N11" i="3" s="1"/>
  <c r="T12" i="3"/>
  <c r="N12" i="3" s="1"/>
  <c r="T13" i="3"/>
  <c r="T14" i="3"/>
  <c r="S14" i="3" s="1"/>
  <c r="T15" i="3"/>
  <c r="T16" i="3"/>
  <c r="P16" i="3" s="1"/>
  <c r="T17" i="3"/>
  <c r="S17" i="3" s="1"/>
  <c r="T18" i="3"/>
  <c r="T19" i="3"/>
  <c r="T20" i="3"/>
  <c r="P20" i="3" s="1"/>
  <c r="T21" i="3"/>
  <c r="P21" i="3" s="1"/>
  <c r="T22" i="3"/>
  <c r="T23" i="3"/>
  <c r="T24" i="3"/>
  <c r="N24" i="3" s="1"/>
  <c r="T25" i="3"/>
  <c r="T26" i="3"/>
  <c r="T27" i="3"/>
  <c r="T28" i="3"/>
  <c r="T29" i="3"/>
  <c r="S29" i="3" s="1"/>
  <c r="T30" i="3"/>
  <c r="N30" i="3" s="1"/>
  <c r="T31" i="3"/>
  <c r="N31" i="3" s="1"/>
  <c r="T32" i="3"/>
  <c r="P32" i="3" s="1"/>
  <c r="T33" i="3"/>
  <c r="P33" i="3" s="1"/>
  <c r="T34" i="3"/>
  <c r="P34" i="3" s="1"/>
  <c r="T35" i="3"/>
  <c r="N35" i="3" s="1"/>
  <c r="T36" i="3"/>
  <c r="N36" i="3" s="1"/>
  <c r="T37" i="3"/>
  <c r="T38" i="3"/>
  <c r="S38" i="3" s="1"/>
  <c r="T39" i="3"/>
  <c r="T40" i="3"/>
  <c r="P40" i="3" s="1"/>
  <c r="T41" i="3"/>
  <c r="S41" i="3" s="1"/>
  <c r="T42" i="3"/>
  <c r="T43" i="3"/>
  <c r="T44" i="3"/>
  <c r="P44" i="3" s="1"/>
  <c r="T45" i="3"/>
  <c r="P45" i="3" s="1"/>
  <c r="T46" i="3"/>
  <c r="T47" i="3"/>
  <c r="T48" i="3"/>
  <c r="N48" i="3" s="1"/>
  <c r="T49" i="3"/>
  <c r="T50" i="3"/>
  <c r="T51" i="3"/>
  <c r="T52" i="3"/>
  <c r="T53" i="3"/>
  <c r="S53" i="3" s="1"/>
  <c r="T54" i="3"/>
  <c r="N54" i="3" s="1"/>
  <c r="T55" i="3"/>
  <c r="N55" i="3" s="1"/>
  <c r="T56" i="3"/>
  <c r="P56" i="3" s="1"/>
  <c r="T57" i="3"/>
  <c r="P57" i="3" s="1"/>
  <c r="T58" i="3"/>
  <c r="P58" i="3" s="1"/>
  <c r="T59" i="3"/>
  <c r="N59" i="3" s="1"/>
  <c r="T60" i="3"/>
  <c r="N60" i="3" s="1"/>
  <c r="T61" i="3"/>
  <c r="T62" i="3"/>
  <c r="S62" i="3" s="1"/>
  <c r="T63" i="3"/>
  <c r="T64" i="3"/>
  <c r="P64" i="3" s="1"/>
  <c r="T65" i="3"/>
  <c r="S65" i="3" s="1"/>
  <c r="T66" i="3"/>
  <c r="T67" i="3"/>
  <c r="T68" i="3"/>
  <c r="P68" i="3" s="1"/>
  <c r="T69" i="3"/>
  <c r="P69" i="3" s="1"/>
  <c r="T70" i="3"/>
  <c r="T71" i="3"/>
  <c r="T72" i="3"/>
  <c r="N72" i="3" s="1"/>
  <c r="T73" i="3"/>
  <c r="T74" i="3"/>
  <c r="T75" i="3"/>
  <c r="T76" i="3"/>
  <c r="T77" i="3"/>
  <c r="S77" i="3" s="1"/>
  <c r="T78" i="3"/>
  <c r="N78" i="3" s="1"/>
  <c r="T79" i="3"/>
  <c r="N79" i="3" s="1"/>
  <c r="T80" i="3"/>
  <c r="P80" i="3" s="1"/>
  <c r="T81" i="3"/>
  <c r="P81" i="3" s="1"/>
  <c r="T82" i="3"/>
  <c r="P82" i="3" s="1"/>
  <c r="T83" i="3"/>
  <c r="N83" i="3" s="1"/>
  <c r="T84" i="3"/>
  <c r="N84" i="3" s="1"/>
  <c r="T85" i="3"/>
  <c r="T86" i="3"/>
  <c r="S86" i="3" s="1"/>
  <c r="T87" i="3"/>
  <c r="T88" i="3"/>
  <c r="P88" i="3" s="1"/>
  <c r="T89" i="3"/>
  <c r="S89" i="3" s="1"/>
  <c r="T90" i="3"/>
  <c r="T91" i="3"/>
  <c r="T92" i="3"/>
  <c r="P92" i="3" s="1"/>
  <c r="T93" i="3"/>
  <c r="P93" i="3" s="1"/>
  <c r="T94" i="3"/>
  <c r="T95" i="3"/>
  <c r="T96" i="3"/>
  <c r="N96" i="3" s="1"/>
  <c r="T97" i="3"/>
  <c r="T98" i="3"/>
  <c r="T99" i="3"/>
  <c r="T100" i="3"/>
  <c r="T101" i="3"/>
  <c r="S101" i="3" s="1"/>
  <c r="T102" i="3"/>
  <c r="N102" i="3" s="1"/>
  <c r="T103" i="3"/>
  <c r="N103" i="3" s="1"/>
  <c r="T104" i="3"/>
  <c r="P104" i="3" s="1"/>
  <c r="T105" i="3"/>
  <c r="P105" i="3" s="1"/>
  <c r="T106" i="3"/>
  <c r="P106" i="3" s="1"/>
  <c r="T107" i="3"/>
  <c r="N107" i="3" s="1"/>
  <c r="T108" i="3"/>
  <c r="N108" i="3" s="1"/>
  <c r="T109" i="3"/>
  <c r="T110" i="3"/>
  <c r="S110" i="3" s="1"/>
  <c r="T111" i="3"/>
  <c r="T112" i="3"/>
  <c r="P112" i="3" s="1"/>
  <c r="T113" i="3"/>
  <c r="S113" i="3" s="1"/>
  <c r="T114" i="3"/>
  <c r="T115" i="3"/>
  <c r="T116" i="3"/>
  <c r="P116" i="3" s="1"/>
  <c r="T117" i="3"/>
  <c r="P117" i="3" s="1"/>
  <c r="T118" i="3"/>
  <c r="N118" i="3" s="1"/>
  <c r="T119" i="3"/>
  <c r="T120" i="3"/>
  <c r="N120" i="3" s="1"/>
  <c r="T121" i="3"/>
  <c r="T122" i="3"/>
  <c r="T123" i="3"/>
  <c r="T124" i="3"/>
  <c r="T125" i="3"/>
  <c r="S125" i="3" s="1"/>
  <c r="T126" i="3"/>
  <c r="N126" i="3" s="1"/>
  <c r="T127" i="3"/>
  <c r="N127" i="3" s="1"/>
  <c r="T128" i="3"/>
  <c r="P128" i="3" s="1"/>
  <c r="T129" i="3"/>
  <c r="P129" i="3" s="1"/>
  <c r="T130" i="3"/>
  <c r="P130" i="3" s="1"/>
  <c r="T131" i="3"/>
  <c r="N131" i="3" s="1"/>
  <c r="T132" i="3"/>
  <c r="N132" i="3" s="1"/>
  <c r="T133" i="3"/>
  <c r="T134" i="3"/>
  <c r="S134" i="3" s="1"/>
  <c r="T135" i="3"/>
  <c r="T136" i="3"/>
  <c r="P136" i="3" s="1"/>
  <c r="T137" i="3"/>
  <c r="S137" i="3" s="1"/>
  <c r="T138" i="3"/>
  <c r="T139" i="3"/>
  <c r="T140" i="3"/>
  <c r="P140" i="3" s="1"/>
  <c r="T141" i="3"/>
  <c r="P141" i="3" s="1"/>
  <c r="T142" i="3"/>
  <c r="T143" i="3"/>
  <c r="T144" i="3"/>
  <c r="N144" i="3" s="1"/>
  <c r="T145" i="3"/>
  <c r="T146" i="3"/>
  <c r="T147" i="3"/>
  <c r="T148" i="3"/>
  <c r="T149" i="3"/>
  <c r="S149" i="3" s="1"/>
  <c r="T150" i="3"/>
  <c r="N150" i="3" s="1"/>
  <c r="T151" i="3"/>
  <c r="N151" i="3" s="1"/>
  <c r="T152" i="3"/>
  <c r="P152" i="3" s="1"/>
  <c r="T153" i="3"/>
  <c r="P153" i="3" s="1"/>
  <c r="T154" i="3"/>
  <c r="P154" i="3" s="1"/>
  <c r="T155" i="3"/>
  <c r="N155" i="3" s="1"/>
  <c r="T156" i="3"/>
  <c r="N156" i="3" s="1"/>
  <c r="T157" i="3"/>
  <c r="T158" i="3"/>
  <c r="S158" i="3" s="1"/>
  <c r="T159" i="3"/>
  <c r="T160" i="3"/>
  <c r="P160" i="3" s="1"/>
  <c r="T161" i="3"/>
  <c r="S161" i="3" s="1"/>
  <c r="T162" i="3"/>
  <c r="T163" i="3"/>
  <c r="T164" i="3"/>
  <c r="P164" i="3" s="1"/>
  <c r="T165" i="3"/>
  <c r="P165" i="3" s="1"/>
  <c r="T166" i="3"/>
  <c r="T167" i="3"/>
  <c r="T168" i="3"/>
  <c r="N168" i="3" s="1"/>
  <c r="T169" i="3"/>
  <c r="T170" i="3"/>
  <c r="T171" i="3"/>
  <c r="T172" i="3"/>
  <c r="T173" i="3"/>
  <c r="S173" i="3" s="1"/>
  <c r="T174" i="3"/>
  <c r="N174" i="3" s="1"/>
  <c r="T175" i="3"/>
  <c r="N175" i="3" s="1"/>
  <c r="T176" i="3"/>
  <c r="P176" i="3" s="1"/>
  <c r="T177" i="3"/>
  <c r="P177" i="3" s="1"/>
  <c r="T178" i="3"/>
  <c r="P178" i="3" s="1"/>
  <c r="T179" i="3"/>
  <c r="N179" i="3" s="1"/>
  <c r="T180" i="3"/>
  <c r="N180" i="3" s="1"/>
  <c r="T181" i="3"/>
  <c r="T182" i="3"/>
  <c r="S182" i="3" s="1"/>
  <c r="T183" i="3"/>
  <c r="T184" i="3"/>
  <c r="P184" i="3" s="1"/>
  <c r="T185" i="3"/>
  <c r="S185" i="3" s="1"/>
  <c r="T186" i="3"/>
  <c r="T187" i="3"/>
  <c r="T188" i="3"/>
  <c r="P188" i="3" s="1"/>
  <c r="T189" i="3"/>
  <c r="P189" i="3" s="1"/>
  <c r="T190" i="3"/>
  <c r="T191" i="3"/>
  <c r="T192" i="3"/>
  <c r="N192" i="3" s="1"/>
  <c r="T193" i="3"/>
  <c r="T194" i="3"/>
  <c r="T195" i="3"/>
  <c r="T196" i="3"/>
  <c r="T197" i="3"/>
  <c r="S197" i="3" s="1"/>
  <c r="T198" i="3"/>
  <c r="N198" i="3" s="1"/>
  <c r="T199" i="3"/>
  <c r="N199" i="3" s="1"/>
  <c r="T200" i="3"/>
  <c r="P200" i="3" s="1"/>
  <c r="T201" i="3"/>
  <c r="P201" i="3" s="1"/>
  <c r="T202" i="3"/>
  <c r="P202" i="3" s="1"/>
  <c r="T203" i="3"/>
  <c r="N203" i="3" s="1"/>
  <c r="T204" i="3"/>
  <c r="N204" i="3" s="1"/>
  <c r="T205" i="3"/>
  <c r="T206" i="3"/>
  <c r="S206" i="3" s="1"/>
  <c r="T207" i="3"/>
  <c r="T208" i="3"/>
  <c r="P208" i="3" s="1"/>
  <c r="T209" i="3"/>
  <c r="S209" i="3" s="1"/>
  <c r="T210" i="3"/>
  <c r="T211" i="3"/>
  <c r="T212" i="3"/>
  <c r="P212" i="3" s="1"/>
  <c r="T213" i="3"/>
  <c r="P213" i="3" s="1"/>
  <c r="T214" i="3"/>
  <c r="T215" i="3"/>
  <c r="T216" i="3"/>
  <c r="N216" i="3" s="1"/>
  <c r="T217" i="3"/>
  <c r="T218" i="3"/>
  <c r="T219" i="3"/>
  <c r="T220" i="3"/>
  <c r="T221" i="3"/>
  <c r="S221" i="3" s="1"/>
  <c r="T222" i="3"/>
  <c r="N222" i="3" s="1"/>
  <c r="T223" i="3"/>
  <c r="N223" i="3" s="1"/>
  <c r="T224" i="3"/>
  <c r="P224" i="3" s="1"/>
  <c r="T225" i="3"/>
  <c r="P225" i="3" s="1"/>
  <c r="T226" i="3"/>
  <c r="P226" i="3" s="1"/>
  <c r="T227" i="3"/>
  <c r="N227" i="3" s="1"/>
  <c r="T228" i="3"/>
  <c r="N228" i="3" s="1"/>
  <c r="T229" i="3"/>
  <c r="T230" i="3"/>
  <c r="S230" i="3" s="1"/>
  <c r="T231" i="3"/>
  <c r="T232" i="3"/>
  <c r="P232" i="3" s="1"/>
  <c r="T233" i="3"/>
  <c r="S233" i="3" s="1"/>
  <c r="T234" i="3"/>
  <c r="T235" i="3"/>
  <c r="T236" i="3"/>
  <c r="P236" i="3" s="1"/>
  <c r="T237" i="3"/>
  <c r="P237" i="3" s="1"/>
  <c r="T238" i="3"/>
  <c r="T239" i="3"/>
  <c r="T240" i="3"/>
  <c r="N240" i="3" s="1"/>
  <c r="T241" i="3"/>
  <c r="T242" i="3"/>
  <c r="T243" i="3"/>
  <c r="T244" i="3"/>
  <c r="T245" i="3"/>
  <c r="S245" i="3" s="1"/>
  <c r="T246" i="3"/>
  <c r="N246" i="3" s="1"/>
  <c r="T247" i="3"/>
  <c r="N247" i="3" s="1"/>
  <c r="T248" i="3"/>
  <c r="P248" i="3" s="1"/>
  <c r="T249" i="3"/>
  <c r="P249" i="3" s="1"/>
  <c r="T250" i="3"/>
  <c r="P250" i="3" s="1"/>
  <c r="S2" i="3"/>
  <c r="S3" i="3"/>
  <c r="S4" i="3"/>
  <c r="S7" i="3"/>
  <c r="S8" i="3"/>
  <c r="S11" i="3"/>
  <c r="S12" i="3"/>
  <c r="S13" i="3"/>
  <c r="S15" i="3"/>
  <c r="S16" i="3"/>
  <c r="S18" i="3"/>
  <c r="S19" i="3"/>
  <c r="S20" i="3"/>
  <c r="S21" i="3"/>
  <c r="S23" i="3"/>
  <c r="S26" i="3"/>
  <c r="S27" i="3"/>
  <c r="S28" i="3"/>
  <c r="S32" i="3"/>
  <c r="S35" i="3"/>
  <c r="S36" i="3"/>
  <c r="S37" i="3"/>
  <c r="S39" i="3"/>
  <c r="S40" i="3"/>
  <c r="S42" i="3"/>
  <c r="S43" i="3"/>
  <c r="S44" i="3"/>
  <c r="S45" i="3"/>
  <c r="S47" i="3"/>
  <c r="S50" i="3"/>
  <c r="S51" i="3"/>
  <c r="S52" i="3"/>
  <c r="S56" i="3"/>
  <c r="S59" i="3"/>
  <c r="S60" i="3"/>
  <c r="S61" i="3"/>
  <c r="S63" i="3"/>
  <c r="S64" i="3"/>
  <c r="S66" i="3"/>
  <c r="S67" i="3"/>
  <c r="S68" i="3"/>
  <c r="S69" i="3"/>
  <c r="S71" i="3"/>
  <c r="S74" i="3"/>
  <c r="S75" i="3"/>
  <c r="S76" i="3"/>
  <c r="S80" i="3"/>
  <c r="S83" i="3"/>
  <c r="S84" i="3"/>
  <c r="S85" i="3"/>
  <c r="S87" i="3"/>
  <c r="S88" i="3"/>
  <c r="S90" i="3"/>
  <c r="S91" i="3"/>
  <c r="S92" i="3"/>
  <c r="S93" i="3"/>
  <c r="S95" i="3"/>
  <c r="S98" i="3"/>
  <c r="S99" i="3"/>
  <c r="S100" i="3"/>
  <c r="S103" i="3"/>
  <c r="S104" i="3"/>
  <c r="S107" i="3"/>
  <c r="S108" i="3"/>
  <c r="S109" i="3"/>
  <c r="S111" i="3"/>
  <c r="S112" i="3"/>
  <c r="S114" i="3"/>
  <c r="S115" i="3"/>
  <c r="S116" i="3"/>
  <c r="S117" i="3"/>
  <c r="S119" i="3"/>
  <c r="S122" i="3"/>
  <c r="S123" i="3"/>
  <c r="S124" i="3"/>
  <c r="S128" i="3"/>
  <c r="S131" i="3"/>
  <c r="S132" i="3"/>
  <c r="S133" i="3"/>
  <c r="S135" i="3"/>
  <c r="S136" i="3"/>
  <c r="S138" i="3"/>
  <c r="S139" i="3"/>
  <c r="S140" i="3"/>
  <c r="S141" i="3"/>
  <c r="S143" i="3"/>
  <c r="S146" i="3"/>
  <c r="S147" i="3"/>
  <c r="S148" i="3"/>
  <c r="S152" i="3"/>
  <c r="S155" i="3"/>
  <c r="S156" i="3"/>
  <c r="S157" i="3"/>
  <c r="S159" i="3"/>
  <c r="S160" i="3"/>
  <c r="S162" i="3"/>
  <c r="S163" i="3"/>
  <c r="S164" i="3"/>
  <c r="S165" i="3"/>
  <c r="S167" i="3"/>
  <c r="S170" i="3"/>
  <c r="S171" i="3"/>
  <c r="S172" i="3"/>
  <c r="S176" i="3"/>
  <c r="S179" i="3"/>
  <c r="S180" i="3"/>
  <c r="S181" i="3"/>
  <c r="S183" i="3"/>
  <c r="S184" i="3"/>
  <c r="S186" i="3"/>
  <c r="S187" i="3"/>
  <c r="S188" i="3"/>
  <c r="S189" i="3"/>
  <c r="S191" i="3"/>
  <c r="S194" i="3"/>
  <c r="S195" i="3"/>
  <c r="S196" i="3"/>
  <c r="S200" i="3"/>
  <c r="S203" i="3"/>
  <c r="S204" i="3"/>
  <c r="S205" i="3"/>
  <c r="S207" i="3"/>
  <c r="S208" i="3"/>
  <c r="S210" i="3"/>
  <c r="S211" i="3"/>
  <c r="S212" i="3"/>
  <c r="S213" i="3"/>
  <c r="S215" i="3"/>
  <c r="S218" i="3"/>
  <c r="S219" i="3"/>
  <c r="S220" i="3"/>
  <c r="S224" i="3"/>
  <c r="S227" i="3"/>
  <c r="S228" i="3"/>
  <c r="S229" i="3"/>
  <c r="S231" i="3"/>
  <c r="S232" i="3"/>
  <c r="S234" i="3"/>
  <c r="S235" i="3"/>
  <c r="S236" i="3"/>
  <c r="S237" i="3"/>
  <c r="S239" i="3"/>
  <c r="S242" i="3"/>
  <c r="S243" i="3"/>
  <c r="S244" i="3"/>
  <c r="S248" i="3"/>
  <c r="P2" i="3"/>
  <c r="P3" i="3"/>
  <c r="P4" i="3"/>
  <c r="P6" i="3"/>
  <c r="P7" i="3"/>
  <c r="P11" i="3"/>
  <c r="P12" i="3"/>
  <c r="P13" i="3"/>
  <c r="P14" i="3"/>
  <c r="P15" i="3"/>
  <c r="P17" i="3"/>
  <c r="P18" i="3"/>
  <c r="P19" i="3"/>
  <c r="P23" i="3"/>
  <c r="P26" i="3"/>
  <c r="P27" i="3"/>
  <c r="P28" i="3"/>
  <c r="P30" i="3"/>
  <c r="P31" i="3"/>
  <c r="P35" i="3"/>
  <c r="P36" i="3"/>
  <c r="P37" i="3"/>
  <c r="P38" i="3"/>
  <c r="P39" i="3"/>
  <c r="P41" i="3"/>
  <c r="P42" i="3"/>
  <c r="P43" i="3"/>
  <c r="P47" i="3"/>
  <c r="P50" i="3"/>
  <c r="P51" i="3"/>
  <c r="P52" i="3"/>
  <c r="P54" i="3"/>
  <c r="P55" i="3"/>
  <c r="P59" i="3"/>
  <c r="P60" i="3"/>
  <c r="P61" i="3"/>
  <c r="P62" i="3"/>
  <c r="P63" i="3"/>
  <c r="P65" i="3"/>
  <c r="P66" i="3"/>
  <c r="P67" i="3"/>
  <c r="P71" i="3"/>
  <c r="P74" i="3"/>
  <c r="P75" i="3"/>
  <c r="P76" i="3"/>
  <c r="P78" i="3"/>
  <c r="P79" i="3"/>
  <c r="P83" i="3"/>
  <c r="P84" i="3"/>
  <c r="P85" i="3"/>
  <c r="P86" i="3"/>
  <c r="P87" i="3"/>
  <c r="P89" i="3"/>
  <c r="P90" i="3"/>
  <c r="P91" i="3"/>
  <c r="P95" i="3"/>
  <c r="P98" i="3"/>
  <c r="P99" i="3"/>
  <c r="P100" i="3"/>
  <c r="P102" i="3"/>
  <c r="P103" i="3"/>
  <c r="P107" i="3"/>
  <c r="P108" i="3"/>
  <c r="P109" i="3"/>
  <c r="P110" i="3"/>
  <c r="P111" i="3"/>
  <c r="P113" i="3"/>
  <c r="P114" i="3"/>
  <c r="P115" i="3"/>
  <c r="P119" i="3"/>
  <c r="P122" i="3"/>
  <c r="P123" i="3"/>
  <c r="P124" i="3"/>
  <c r="P126" i="3"/>
  <c r="P127" i="3"/>
  <c r="P131" i="3"/>
  <c r="P132" i="3"/>
  <c r="P133" i="3"/>
  <c r="P134" i="3"/>
  <c r="P135" i="3"/>
  <c r="P137" i="3"/>
  <c r="P138" i="3"/>
  <c r="P139" i="3"/>
  <c r="P143" i="3"/>
  <c r="P146" i="3"/>
  <c r="P147" i="3"/>
  <c r="P148" i="3"/>
  <c r="P150" i="3"/>
  <c r="P151" i="3"/>
  <c r="P155" i="3"/>
  <c r="P156" i="3"/>
  <c r="P157" i="3"/>
  <c r="P158" i="3"/>
  <c r="P159" i="3"/>
  <c r="P161" i="3"/>
  <c r="P162" i="3"/>
  <c r="P163" i="3"/>
  <c r="P167" i="3"/>
  <c r="P170" i="3"/>
  <c r="P171" i="3"/>
  <c r="P172" i="3"/>
  <c r="P174" i="3"/>
  <c r="P175" i="3"/>
  <c r="P179" i="3"/>
  <c r="P180" i="3"/>
  <c r="P181" i="3"/>
  <c r="P182" i="3"/>
  <c r="P183" i="3"/>
  <c r="P185" i="3"/>
  <c r="P186" i="3"/>
  <c r="P187" i="3"/>
  <c r="P191" i="3"/>
  <c r="P194" i="3"/>
  <c r="P195" i="3"/>
  <c r="P196" i="3"/>
  <c r="P198" i="3"/>
  <c r="P199" i="3"/>
  <c r="P203" i="3"/>
  <c r="P204" i="3"/>
  <c r="P205" i="3"/>
  <c r="P206" i="3"/>
  <c r="P207" i="3"/>
  <c r="P209" i="3"/>
  <c r="P210" i="3"/>
  <c r="P211" i="3"/>
  <c r="P215" i="3"/>
  <c r="P218" i="3"/>
  <c r="P219" i="3"/>
  <c r="P220" i="3"/>
  <c r="P223" i="3"/>
  <c r="P227" i="3"/>
  <c r="P228" i="3"/>
  <c r="P229" i="3"/>
  <c r="P230" i="3"/>
  <c r="P231" i="3"/>
  <c r="P233" i="3"/>
  <c r="P234" i="3"/>
  <c r="P235" i="3"/>
  <c r="P239" i="3"/>
  <c r="P242" i="3"/>
  <c r="P243" i="3"/>
  <c r="P244" i="3"/>
  <c r="P247" i="3"/>
  <c r="N2" i="3"/>
  <c r="N3" i="3"/>
  <c r="N4" i="3"/>
  <c r="N5" i="3"/>
  <c r="N8" i="3"/>
  <c r="N9" i="3"/>
  <c r="N10" i="3"/>
  <c r="N13" i="3"/>
  <c r="N14" i="3"/>
  <c r="N15" i="3"/>
  <c r="N17" i="3"/>
  <c r="N18" i="3"/>
  <c r="N19" i="3"/>
  <c r="N21" i="3"/>
  <c r="N23" i="3"/>
  <c r="N26" i="3"/>
  <c r="N27" i="3"/>
  <c r="N28" i="3"/>
  <c r="N29" i="3"/>
  <c r="N32" i="3"/>
  <c r="N33" i="3"/>
  <c r="N34" i="3"/>
  <c r="N37" i="3"/>
  <c r="N38" i="3"/>
  <c r="N39" i="3"/>
  <c r="N41" i="3"/>
  <c r="N42" i="3"/>
  <c r="N43" i="3"/>
  <c r="N45" i="3"/>
  <c r="N47" i="3"/>
  <c r="N50" i="3"/>
  <c r="N51" i="3"/>
  <c r="N52" i="3"/>
  <c r="N53" i="3"/>
  <c r="N56" i="3"/>
  <c r="N57" i="3"/>
  <c r="N58" i="3"/>
  <c r="N61" i="3"/>
  <c r="N62" i="3"/>
  <c r="N63" i="3"/>
  <c r="N65" i="3"/>
  <c r="N66" i="3"/>
  <c r="N67" i="3"/>
  <c r="N69" i="3"/>
  <c r="N71" i="3"/>
  <c r="N74" i="3"/>
  <c r="N75" i="3"/>
  <c r="N76" i="3"/>
  <c r="N77" i="3"/>
  <c r="N80" i="3"/>
  <c r="N81" i="3"/>
  <c r="N82" i="3"/>
  <c r="N85" i="3"/>
  <c r="N86" i="3"/>
  <c r="N87" i="3"/>
  <c r="N89" i="3"/>
  <c r="N90" i="3"/>
  <c r="N91" i="3"/>
  <c r="N93" i="3"/>
  <c r="N95" i="3"/>
  <c r="N98" i="3"/>
  <c r="N99" i="3"/>
  <c r="N100" i="3"/>
  <c r="N101" i="3"/>
  <c r="N104" i="3"/>
  <c r="N105" i="3"/>
  <c r="N106" i="3"/>
  <c r="N109" i="3"/>
  <c r="N110" i="3"/>
  <c r="N111" i="3"/>
  <c r="N113" i="3"/>
  <c r="N114" i="3"/>
  <c r="N115" i="3"/>
  <c r="N117" i="3"/>
  <c r="N119" i="3"/>
  <c r="N122" i="3"/>
  <c r="N123" i="3"/>
  <c r="N124" i="3"/>
  <c r="N125" i="3"/>
  <c r="N128" i="3"/>
  <c r="N129" i="3"/>
  <c r="N130" i="3"/>
  <c r="N133" i="3"/>
  <c r="N134" i="3"/>
  <c r="N135" i="3"/>
  <c r="N137" i="3"/>
  <c r="N138" i="3"/>
  <c r="N139" i="3"/>
  <c r="N141" i="3"/>
  <c r="N143" i="3"/>
  <c r="N146" i="3"/>
  <c r="N147" i="3"/>
  <c r="N148" i="3"/>
  <c r="N149" i="3"/>
  <c r="N152" i="3"/>
  <c r="N153" i="3"/>
  <c r="N154" i="3"/>
  <c r="N157" i="3"/>
  <c r="N158" i="3"/>
  <c r="N159" i="3"/>
  <c r="N161" i="3"/>
  <c r="N162" i="3"/>
  <c r="N163" i="3"/>
  <c r="N165" i="3"/>
  <c r="N167" i="3"/>
  <c r="N170" i="3"/>
  <c r="N171" i="3"/>
  <c r="N172" i="3"/>
  <c r="N173" i="3"/>
  <c r="N176" i="3"/>
  <c r="N177" i="3"/>
  <c r="N178" i="3"/>
  <c r="N181" i="3"/>
  <c r="N182" i="3"/>
  <c r="N183" i="3"/>
  <c r="N185" i="3"/>
  <c r="N186" i="3"/>
  <c r="N187" i="3"/>
  <c r="N189" i="3"/>
  <c r="N191" i="3"/>
  <c r="N194" i="3"/>
  <c r="N195" i="3"/>
  <c r="N196" i="3"/>
  <c r="N197" i="3"/>
  <c r="N200" i="3"/>
  <c r="N201" i="3"/>
  <c r="N202" i="3"/>
  <c r="N205" i="3"/>
  <c r="N206" i="3"/>
  <c r="N207" i="3"/>
  <c r="N209" i="3"/>
  <c r="N210" i="3"/>
  <c r="N211" i="3"/>
  <c r="N213" i="3"/>
  <c r="N215" i="3"/>
  <c r="N218" i="3"/>
  <c r="N219" i="3"/>
  <c r="N220" i="3"/>
  <c r="N221" i="3"/>
  <c r="N224" i="3"/>
  <c r="N225" i="3"/>
  <c r="N226" i="3"/>
  <c r="N229" i="3"/>
  <c r="N230" i="3"/>
  <c r="N231" i="3"/>
  <c r="N233" i="3"/>
  <c r="N234" i="3"/>
  <c r="N235" i="3"/>
  <c r="N237" i="3"/>
  <c r="N239" i="3"/>
  <c r="N242" i="3"/>
  <c r="N243" i="3"/>
  <c r="N244" i="3"/>
  <c r="N245" i="3"/>
  <c r="N248" i="3"/>
  <c r="N249" i="3"/>
  <c r="N250" i="3"/>
  <c r="O4" i="3"/>
  <c r="O8" i="3"/>
  <c r="O18" i="3"/>
  <c r="O28" i="3"/>
  <c r="O34" i="3"/>
  <c r="O47" i="3"/>
  <c r="O52" i="3"/>
  <c r="O56" i="3"/>
  <c r="O58" i="3"/>
  <c r="O76" i="3"/>
  <c r="O82" i="3"/>
  <c r="O91" i="3"/>
  <c r="O95" i="3"/>
  <c r="O100" i="3"/>
  <c r="O104" i="3"/>
  <c r="O106" i="3"/>
  <c r="O114" i="3"/>
  <c r="O115" i="3"/>
  <c r="O124" i="3"/>
  <c r="O130" i="3"/>
  <c r="O148" i="3"/>
  <c r="O152" i="3"/>
  <c r="O154" i="3"/>
  <c r="O172" i="3"/>
  <c r="O178" i="3"/>
  <c r="O196" i="3"/>
  <c r="O200" i="3"/>
  <c r="O202" i="3"/>
  <c r="O210" i="3"/>
  <c r="O211" i="3"/>
  <c r="O220" i="3"/>
  <c r="O234" i="3"/>
  <c r="O235" i="3"/>
  <c r="O248" i="3"/>
  <c r="O249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L2" i="3"/>
  <c r="O2" i="3" s="1"/>
  <c r="L3" i="3"/>
  <c r="O3" i="3" s="1"/>
  <c r="L4" i="3"/>
  <c r="L5" i="3"/>
  <c r="O5" i="3" s="1"/>
  <c r="L14" i="3"/>
  <c r="O14" i="3" s="1"/>
  <c r="L15" i="3"/>
  <c r="O15" i="3" s="1"/>
  <c r="L16" i="3"/>
  <c r="O16" i="3" s="1"/>
  <c r="L18" i="3"/>
  <c r="L19" i="3"/>
  <c r="O19" i="3" s="1"/>
  <c r="L23" i="3"/>
  <c r="O23" i="3" s="1"/>
  <c r="L26" i="3"/>
  <c r="O26" i="3" s="1"/>
  <c r="L27" i="3"/>
  <c r="O27" i="3" s="1"/>
  <c r="L28" i="3"/>
  <c r="L30" i="3"/>
  <c r="O30" i="3" s="1"/>
  <c r="L38" i="3"/>
  <c r="O38" i="3" s="1"/>
  <c r="L39" i="3"/>
  <c r="O39" i="3" s="1"/>
  <c r="L40" i="3"/>
  <c r="O40" i="3" s="1"/>
  <c r="L42" i="3"/>
  <c r="O42" i="3" s="1"/>
  <c r="L43" i="3"/>
  <c r="O43" i="3" s="1"/>
  <c r="L47" i="3"/>
  <c r="L49" i="3"/>
  <c r="O49" i="3" s="1"/>
  <c r="L50" i="3"/>
  <c r="O50" i="3" s="1"/>
  <c r="L51" i="3"/>
  <c r="O51" i="3" s="1"/>
  <c r="L52" i="3"/>
  <c r="L54" i="3"/>
  <c r="O54" i="3" s="1"/>
  <c r="L62" i="3"/>
  <c r="O62" i="3" s="1"/>
  <c r="L63" i="3"/>
  <c r="O63" i="3" s="1"/>
  <c r="L64" i="3"/>
  <c r="O64" i="3" s="1"/>
  <c r="L66" i="3"/>
  <c r="O66" i="3" s="1"/>
  <c r="L67" i="3"/>
  <c r="O67" i="3" s="1"/>
  <c r="L71" i="3"/>
  <c r="O71" i="3" s="1"/>
  <c r="L74" i="3"/>
  <c r="O74" i="3" s="1"/>
  <c r="L75" i="3"/>
  <c r="O75" i="3" s="1"/>
  <c r="L76" i="3"/>
  <c r="L78" i="3"/>
  <c r="O78" i="3" s="1"/>
  <c r="L86" i="3"/>
  <c r="O86" i="3" s="1"/>
  <c r="L87" i="3"/>
  <c r="O87" i="3" s="1"/>
  <c r="L90" i="3"/>
  <c r="O90" i="3" s="1"/>
  <c r="L91" i="3"/>
  <c r="L95" i="3"/>
  <c r="L98" i="3"/>
  <c r="O98" i="3" s="1"/>
  <c r="L99" i="3"/>
  <c r="O99" i="3" s="1"/>
  <c r="L100" i="3"/>
  <c r="L102" i="3"/>
  <c r="O102" i="3" s="1"/>
  <c r="L107" i="3"/>
  <c r="O107" i="3" s="1"/>
  <c r="L110" i="3"/>
  <c r="O110" i="3" s="1"/>
  <c r="L111" i="3"/>
  <c r="O111" i="3" s="1"/>
  <c r="L114" i="3"/>
  <c r="L115" i="3"/>
  <c r="L119" i="3"/>
  <c r="O119" i="3" s="1"/>
  <c r="L122" i="3"/>
  <c r="O122" i="3" s="1"/>
  <c r="L123" i="3"/>
  <c r="O123" i="3" s="1"/>
  <c r="L124" i="3"/>
  <c r="L126" i="3"/>
  <c r="O126" i="3" s="1"/>
  <c r="L131" i="3"/>
  <c r="O131" i="3" s="1"/>
  <c r="L134" i="3"/>
  <c r="O134" i="3" s="1"/>
  <c r="L135" i="3"/>
  <c r="O135" i="3" s="1"/>
  <c r="L138" i="3"/>
  <c r="O138" i="3" s="1"/>
  <c r="L139" i="3"/>
  <c r="O139" i="3" s="1"/>
  <c r="L143" i="3"/>
  <c r="O143" i="3" s="1"/>
  <c r="L146" i="3"/>
  <c r="O146" i="3" s="1"/>
  <c r="L147" i="3"/>
  <c r="O147" i="3" s="1"/>
  <c r="L148" i="3"/>
  <c r="L149" i="3"/>
  <c r="O149" i="3" s="1"/>
  <c r="L158" i="3"/>
  <c r="O158" i="3" s="1"/>
  <c r="L159" i="3"/>
  <c r="O159" i="3" s="1"/>
  <c r="L162" i="3"/>
  <c r="O162" i="3" s="1"/>
  <c r="L163" i="3"/>
  <c r="O163" i="3" s="1"/>
  <c r="L167" i="3"/>
  <c r="O167" i="3" s="1"/>
  <c r="L168" i="3"/>
  <c r="O168" i="3" s="1"/>
  <c r="L170" i="3"/>
  <c r="O170" i="3" s="1"/>
  <c r="L171" i="3"/>
  <c r="O171" i="3" s="1"/>
  <c r="L172" i="3"/>
  <c r="L174" i="3"/>
  <c r="O174" i="3" s="1"/>
  <c r="L182" i="3"/>
  <c r="O182" i="3" s="1"/>
  <c r="L183" i="3"/>
  <c r="O183" i="3" s="1"/>
  <c r="L184" i="3"/>
  <c r="O184" i="3" s="1"/>
  <c r="L186" i="3"/>
  <c r="O186" i="3" s="1"/>
  <c r="L187" i="3"/>
  <c r="O187" i="3" s="1"/>
  <c r="L191" i="3"/>
  <c r="O191" i="3" s="1"/>
  <c r="L192" i="3"/>
  <c r="O192" i="3" s="1"/>
  <c r="L194" i="3"/>
  <c r="O194" i="3" s="1"/>
  <c r="L195" i="3"/>
  <c r="O195" i="3" s="1"/>
  <c r="L196" i="3"/>
  <c r="L198" i="3"/>
  <c r="O198" i="3" s="1"/>
  <c r="L206" i="3"/>
  <c r="O206" i="3" s="1"/>
  <c r="L207" i="3"/>
  <c r="O207" i="3" s="1"/>
  <c r="L208" i="3"/>
  <c r="O208" i="3" s="1"/>
  <c r="L210" i="3"/>
  <c r="L211" i="3"/>
  <c r="L215" i="3"/>
  <c r="O215" i="3" s="1"/>
  <c r="L218" i="3"/>
  <c r="O218" i="3" s="1"/>
  <c r="L219" i="3"/>
  <c r="O219" i="3" s="1"/>
  <c r="L220" i="3"/>
  <c r="L222" i="3"/>
  <c r="O222" i="3" s="1"/>
  <c r="L227" i="3"/>
  <c r="O227" i="3" s="1"/>
  <c r="L230" i="3"/>
  <c r="O230" i="3" s="1"/>
  <c r="L231" i="3"/>
  <c r="O231" i="3" s="1"/>
  <c r="L232" i="3"/>
  <c r="O232" i="3" s="1"/>
  <c r="L234" i="3"/>
  <c r="L235" i="3"/>
  <c r="L239" i="3"/>
  <c r="O239" i="3" s="1"/>
  <c r="L242" i="3"/>
  <c r="O242" i="3" s="1"/>
  <c r="L243" i="3"/>
  <c r="O243" i="3" s="1"/>
  <c r="L244" i="3"/>
  <c r="O244" i="3" s="1"/>
  <c r="L245" i="3"/>
  <c r="O245" i="3" s="1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J2" i="3"/>
  <c r="J3" i="3"/>
  <c r="J4" i="3"/>
  <c r="J5" i="3"/>
  <c r="J6" i="3"/>
  <c r="L6" i="3" s="1"/>
  <c r="O6" i="3" s="1"/>
  <c r="J7" i="3"/>
  <c r="L7" i="3" s="1"/>
  <c r="O7" i="3" s="1"/>
  <c r="J8" i="3"/>
  <c r="L8" i="3" s="1"/>
  <c r="J9" i="3"/>
  <c r="L9" i="3" s="1"/>
  <c r="O9" i="3" s="1"/>
  <c r="J10" i="3"/>
  <c r="L10" i="3" s="1"/>
  <c r="O10" i="3" s="1"/>
  <c r="J11" i="3"/>
  <c r="L11" i="3" s="1"/>
  <c r="O11" i="3" s="1"/>
  <c r="J12" i="3"/>
  <c r="L12" i="3" s="1"/>
  <c r="O12" i="3" s="1"/>
  <c r="J13" i="3"/>
  <c r="L13" i="3" s="1"/>
  <c r="O13" i="3" s="1"/>
  <c r="J14" i="3"/>
  <c r="J15" i="3"/>
  <c r="J16" i="3"/>
  <c r="J17" i="3"/>
  <c r="L17" i="3" s="1"/>
  <c r="O17" i="3" s="1"/>
  <c r="J18" i="3"/>
  <c r="J19" i="3"/>
  <c r="J20" i="3"/>
  <c r="L20" i="3" s="1"/>
  <c r="O20" i="3" s="1"/>
  <c r="J21" i="3"/>
  <c r="L21" i="3" s="1"/>
  <c r="O21" i="3" s="1"/>
  <c r="J22" i="3"/>
  <c r="L22" i="3" s="1"/>
  <c r="O22" i="3" s="1"/>
  <c r="J23" i="3"/>
  <c r="J24" i="3"/>
  <c r="L24" i="3" s="1"/>
  <c r="O24" i="3" s="1"/>
  <c r="J25" i="3"/>
  <c r="L25" i="3" s="1"/>
  <c r="O25" i="3" s="1"/>
  <c r="J26" i="3"/>
  <c r="J27" i="3"/>
  <c r="J28" i="3"/>
  <c r="J29" i="3"/>
  <c r="L29" i="3" s="1"/>
  <c r="O29" i="3" s="1"/>
  <c r="J30" i="3"/>
  <c r="J31" i="3"/>
  <c r="L31" i="3" s="1"/>
  <c r="O31" i="3" s="1"/>
  <c r="J32" i="3"/>
  <c r="L32" i="3" s="1"/>
  <c r="O32" i="3" s="1"/>
  <c r="J33" i="3"/>
  <c r="L33" i="3" s="1"/>
  <c r="O33" i="3" s="1"/>
  <c r="J34" i="3"/>
  <c r="L34" i="3" s="1"/>
  <c r="J35" i="3"/>
  <c r="L35" i="3" s="1"/>
  <c r="O35" i="3" s="1"/>
  <c r="J36" i="3"/>
  <c r="L36" i="3" s="1"/>
  <c r="O36" i="3" s="1"/>
  <c r="J37" i="3"/>
  <c r="L37" i="3" s="1"/>
  <c r="O37" i="3" s="1"/>
  <c r="J38" i="3"/>
  <c r="J39" i="3"/>
  <c r="J40" i="3"/>
  <c r="J41" i="3"/>
  <c r="L41" i="3" s="1"/>
  <c r="O41" i="3" s="1"/>
  <c r="J42" i="3"/>
  <c r="J43" i="3"/>
  <c r="J44" i="3"/>
  <c r="L44" i="3" s="1"/>
  <c r="O44" i="3" s="1"/>
  <c r="J45" i="3"/>
  <c r="L45" i="3" s="1"/>
  <c r="O45" i="3" s="1"/>
  <c r="J46" i="3"/>
  <c r="L46" i="3" s="1"/>
  <c r="O46" i="3" s="1"/>
  <c r="J47" i="3"/>
  <c r="J48" i="3"/>
  <c r="L48" i="3" s="1"/>
  <c r="O48" i="3" s="1"/>
  <c r="J49" i="3"/>
  <c r="J50" i="3"/>
  <c r="J51" i="3"/>
  <c r="J52" i="3"/>
  <c r="J53" i="3"/>
  <c r="L53" i="3" s="1"/>
  <c r="O53" i="3" s="1"/>
  <c r="J54" i="3"/>
  <c r="J55" i="3"/>
  <c r="L55" i="3" s="1"/>
  <c r="O55" i="3" s="1"/>
  <c r="J56" i="3"/>
  <c r="L56" i="3" s="1"/>
  <c r="J57" i="3"/>
  <c r="L57" i="3" s="1"/>
  <c r="O57" i="3" s="1"/>
  <c r="J58" i="3"/>
  <c r="L58" i="3" s="1"/>
  <c r="J59" i="3"/>
  <c r="L59" i="3" s="1"/>
  <c r="O59" i="3" s="1"/>
  <c r="J60" i="3"/>
  <c r="L60" i="3" s="1"/>
  <c r="O60" i="3" s="1"/>
  <c r="J61" i="3"/>
  <c r="L61" i="3" s="1"/>
  <c r="O61" i="3" s="1"/>
  <c r="J62" i="3"/>
  <c r="J63" i="3"/>
  <c r="J64" i="3"/>
  <c r="J65" i="3"/>
  <c r="L65" i="3" s="1"/>
  <c r="O65" i="3" s="1"/>
  <c r="J66" i="3"/>
  <c r="J67" i="3"/>
  <c r="J68" i="3"/>
  <c r="L68" i="3" s="1"/>
  <c r="O68" i="3" s="1"/>
  <c r="J69" i="3"/>
  <c r="L69" i="3" s="1"/>
  <c r="O69" i="3" s="1"/>
  <c r="J70" i="3"/>
  <c r="L70" i="3" s="1"/>
  <c r="O70" i="3" s="1"/>
  <c r="J71" i="3"/>
  <c r="J72" i="3"/>
  <c r="L72" i="3" s="1"/>
  <c r="O72" i="3" s="1"/>
  <c r="J73" i="3"/>
  <c r="L73" i="3" s="1"/>
  <c r="O73" i="3" s="1"/>
  <c r="J74" i="3"/>
  <c r="J75" i="3"/>
  <c r="J76" i="3"/>
  <c r="J77" i="3"/>
  <c r="L77" i="3" s="1"/>
  <c r="O77" i="3" s="1"/>
  <c r="J78" i="3"/>
  <c r="J79" i="3"/>
  <c r="L79" i="3" s="1"/>
  <c r="O79" i="3" s="1"/>
  <c r="J80" i="3"/>
  <c r="L80" i="3" s="1"/>
  <c r="O80" i="3" s="1"/>
  <c r="J81" i="3"/>
  <c r="L81" i="3" s="1"/>
  <c r="O81" i="3" s="1"/>
  <c r="J82" i="3"/>
  <c r="L82" i="3" s="1"/>
  <c r="J83" i="3"/>
  <c r="L83" i="3" s="1"/>
  <c r="O83" i="3" s="1"/>
  <c r="J84" i="3"/>
  <c r="L84" i="3" s="1"/>
  <c r="O84" i="3" s="1"/>
  <c r="J85" i="3"/>
  <c r="L85" i="3" s="1"/>
  <c r="O85" i="3" s="1"/>
  <c r="J86" i="3"/>
  <c r="J87" i="3"/>
  <c r="J88" i="3"/>
  <c r="L88" i="3" s="1"/>
  <c r="O88" i="3" s="1"/>
  <c r="J89" i="3"/>
  <c r="L89" i="3" s="1"/>
  <c r="O89" i="3" s="1"/>
  <c r="J90" i="3"/>
  <c r="J91" i="3"/>
  <c r="J92" i="3"/>
  <c r="L92" i="3" s="1"/>
  <c r="O92" i="3" s="1"/>
  <c r="J93" i="3"/>
  <c r="L93" i="3" s="1"/>
  <c r="O93" i="3" s="1"/>
  <c r="J94" i="3"/>
  <c r="L94" i="3" s="1"/>
  <c r="O94" i="3" s="1"/>
  <c r="J95" i="3"/>
  <c r="J96" i="3"/>
  <c r="L96" i="3" s="1"/>
  <c r="O96" i="3" s="1"/>
  <c r="J97" i="3"/>
  <c r="L97" i="3" s="1"/>
  <c r="O97" i="3" s="1"/>
  <c r="J98" i="3"/>
  <c r="J99" i="3"/>
  <c r="J100" i="3"/>
  <c r="J101" i="3"/>
  <c r="L101" i="3" s="1"/>
  <c r="O101" i="3" s="1"/>
  <c r="J102" i="3"/>
  <c r="J103" i="3"/>
  <c r="L103" i="3" s="1"/>
  <c r="O103" i="3" s="1"/>
  <c r="J104" i="3"/>
  <c r="L104" i="3" s="1"/>
  <c r="J105" i="3"/>
  <c r="L105" i="3" s="1"/>
  <c r="O105" i="3" s="1"/>
  <c r="J106" i="3"/>
  <c r="L106" i="3" s="1"/>
  <c r="J107" i="3"/>
  <c r="J108" i="3"/>
  <c r="L108" i="3" s="1"/>
  <c r="O108" i="3" s="1"/>
  <c r="J109" i="3"/>
  <c r="L109" i="3" s="1"/>
  <c r="O109" i="3" s="1"/>
  <c r="J110" i="3"/>
  <c r="J111" i="3"/>
  <c r="J112" i="3"/>
  <c r="L112" i="3" s="1"/>
  <c r="O112" i="3" s="1"/>
  <c r="J113" i="3"/>
  <c r="L113" i="3" s="1"/>
  <c r="O113" i="3" s="1"/>
  <c r="J114" i="3"/>
  <c r="J115" i="3"/>
  <c r="J116" i="3"/>
  <c r="L116" i="3" s="1"/>
  <c r="O116" i="3" s="1"/>
  <c r="J117" i="3"/>
  <c r="L117" i="3" s="1"/>
  <c r="O117" i="3" s="1"/>
  <c r="J118" i="3"/>
  <c r="L118" i="3" s="1"/>
  <c r="O118" i="3" s="1"/>
  <c r="J119" i="3"/>
  <c r="J120" i="3"/>
  <c r="L120" i="3" s="1"/>
  <c r="O120" i="3" s="1"/>
  <c r="J121" i="3"/>
  <c r="L121" i="3" s="1"/>
  <c r="O121" i="3" s="1"/>
  <c r="J122" i="3"/>
  <c r="J123" i="3"/>
  <c r="J124" i="3"/>
  <c r="J125" i="3"/>
  <c r="L125" i="3" s="1"/>
  <c r="O125" i="3" s="1"/>
  <c r="J126" i="3"/>
  <c r="J127" i="3"/>
  <c r="L127" i="3" s="1"/>
  <c r="O127" i="3" s="1"/>
  <c r="J128" i="3"/>
  <c r="L128" i="3" s="1"/>
  <c r="O128" i="3" s="1"/>
  <c r="J129" i="3"/>
  <c r="L129" i="3" s="1"/>
  <c r="O129" i="3" s="1"/>
  <c r="J130" i="3"/>
  <c r="L130" i="3" s="1"/>
  <c r="J131" i="3"/>
  <c r="J132" i="3"/>
  <c r="L132" i="3" s="1"/>
  <c r="O132" i="3" s="1"/>
  <c r="J133" i="3"/>
  <c r="L133" i="3" s="1"/>
  <c r="O133" i="3" s="1"/>
  <c r="J134" i="3"/>
  <c r="J135" i="3"/>
  <c r="J136" i="3"/>
  <c r="L136" i="3" s="1"/>
  <c r="O136" i="3" s="1"/>
  <c r="J137" i="3"/>
  <c r="L137" i="3" s="1"/>
  <c r="O137" i="3" s="1"/>
  <c r="J138" i="3"/>
  <c r="J139" i="3"/>
  <c r="J140" i="3"/>
  <c r="L140" i="3" s="1"/>
  <c r="O140" i="3" s="1"/>
  <c r="J141" i="3"/>
  <c r="L141" i="3" s="1"/>
  <c r="O141" i="3" s="1"/>
  <c r="J142" i="3"/>
  <c r="L142" i="3" s="1"/>
  <c r="O142" i="3" s="1"/>
  <c r="J143" i="3"/>
  <c r="J144" i="3"/>
  <c r="L144" i="3" s="1"/>
  <c r="O144" i="3" s="1"/>
  <c r="J145" i="3"/>
  <c r="L145" i="3" s="1"/>
  <c r="O145" i="3" s="1"/>
  <c r="J146" i="3"/>
  <c r="J147" i="3"/>
  <c r="J148" i="3"/>
  <c r="J149" i="3"/>
  <c r="J150" i="3"/>
  <c r="L150" i="3" s="1"/>
  <c r="O150" i="3" s="1"/>
  <c r="J151" i="3"/>
  <c r="L151" i="3" s="1"/>
  <c r="O151" i="3" s="1"/>
  <c r="J152" i="3"/>
  <c r="L152" i="3" s="1"/>
  <c r="J153" i="3"/>
  <c r="L153" i="3" s="1"/>
  <c r="O153" i="3" s="1"/>
  <c r="J154" i="3"/>
  <c r="L154" i="3" s="1"/>
  <c r="J155" i="3"/>
  <c r="L155" i="3" s="1"/>
  <c r="O155" i="3" s="1"/>
  <c r="J156" i="3"/>
  <c r="L156" i="3" s="1"/>
  <c r="O156" i="3" s="1"/>
  <c r="J157" i="3"/>
  <c r="L157" i="3" s="1"/>
  <c r="O157" i="3" s="1"/>
  <c r="J158" i="3"/>
  <c r="J159" i="3"/>
  <c r="J160" i="3"/>
  <c r="L160" i="3" s="1"/>
  <c r="O160" i="3" s="1"/>
  <c r="J161" i="3"/>
  <c r="L161" i="3" s="1"/>
  <c r="O161" i="3" s="1"/>
  <c r="J162" i="3"/>
  <c r="J163" i="3"/>
  <c r="J164" i="3"/>
  <c r="L164" i="3" s="1"/>
  <c r="O164" i="3" s="1"/>
  <c r="J165" i="3"/>
  <c r="L165" i="3" s="1"/>
  <c r="O165" i="3" s="1"/>
  <c r="J166" i="3"/>
  <c r="L166" i="3" s="1"/>
  <c r="O166" i="3" s="1"/>
  <c r="J167" i="3"/>
  <c r="J168" i="3"/>
  <c r="J169" i="3"/>
  <c r="L169" i="3" s="1"/>
  <c r="O169" i="3" s="1"/>
  <c r="J170" i="3"/>
  <c r="J171" i="3"/>
  <c r="J172" i="3"/>
  <c r="J173" i="3"/>
  <c r="L173" i="3" s="1"/>
  <c r="O173" i="3" s="1"/>
  <c r="J174" i="3"/>
  <c r="J175" i="3"/>
  <c r="L175" i="3" s="1"/>
  <c r="O175" i="3" s="1"/>
  <c r="J176" i="3"/>
  <c r="L176" i="3" s="1"/>
  <c r="O176" i="3" s="1"/>
  <c r="J177" i="3"/>
  <c r="L177" i="3" s="1"/>
  <c r="O177" i="3" s="1"/>
  <c r="J178" i="3"/>
  <c r="L178" i="3" s="1"/>
  <c r="J179" i="3"/>
  <c r="L179" i="3" s="1"/>
  <c r="O179" i="3" s="1"/>
  <c r="J180" i="3"/>
  <c r="L180" i="3" s="1"/>
  <c r="O180" i="3" s="1"/>
  <c r="J181" i="3"/>
  <c r="L181" i="3" s="1"/>
  <c r="O181" i="3" s="1"/>
  <c r="J182" i="3"/>
  <c r="J183" i="3"/>
  <c r="J184" i="3"/>
  <c r="J185" i="3"/>
  <c r="L185" i="3" s="1"/>
  <c r="O185" i="3" s="1"/>
  <c r="J186" i="3"/>
  <c r="J187" i="3"/>
  <c r="J188" i="3"/>
  <c r="L188" i="3" s="1"/>
  <c r="O188" i="3" s="1"/>
  <c r="J189" i="3"/>
  <c r="L189" i="3" s="1"/>
  <c r="O189" i="3" s="1"/>
  <c r="J190" i="3"/>
  <c r="L190" i="3" s="1"/>
  <c r="O190" i="3" s="1"/>
  <c r="J191" i="3"/>
  <c r="J192" i="3"/>
  <c r="J193" i="3"/>
  <c r="L193" i="3" s="1"/>
  <c r="O193" i="3" s="1"/>
  <c r="J194" i="3"/>
  <c r="J195" i="3"/>
  <c r="J196" i="3"/>
  <c r="J197" i="3"/>
  <c r="L197" i="3" s="1"/>
  <c r="O197" i="3" s="1"/>
  <c r="J198" i="3"/>
  <c r="J199" i="3"/>
  <c r="L199" i="3" s="1"/>
  <c r="O199" i="3" s="1"/>
  <c r="J200" i="3"/>
  <c r="L200" i="3" s="1"/>
  <c r="J201" i="3"/>
  <c r="L201" i="3" s="1"/>
  <c r="O201" i="3" s="1"/>
  <c r="J202" i="3"/>
  <c r="L202" i="3" s="1"/>
  <c r="J203" i="3"/>
  <c r="L203" i="3" s="1"/>
  <c r="O203" i="3" s="1"/>
  <c r="J204" i="3"/>
  <c r="L204" i="3" s="1"/>
  <c r="O204" i="3" s="1"/>
  <c r="J205" i="3"/>
  <c r="L205" i="3" s="1"/>
  <c r="O205" i="3" s="1"/>
  <c r="J206" i="3"/>
  <c r="J207" i="3"/>
  <c r="J208" i="3"/>
  <c r="J209" i="3"/>
  <c r="L209" i="3" s="1"/>
  <c r="O209" i="3" s="1"/>
  <c r="J210" i="3"/>
  <c r="J211" i="3"/>
  <c r="J212" i="3"/>
  <c r="L212" i="3" s="1"/>
  <c r="O212" i="3" s="1"/>
  <c r="J213" i="3"/>
  <c r="L213" i="3" s="1"/>
  <c r="O213" i="3" s="1"/>
  <c r="J214" i="3"/>
  <c r="L214" i="3" s="1"/>
  <c r="O214" i="3" s="1"/>
  <c r="J215" i="3"/>
  <c r="J216" i="3"/>
  <c r="L216" i="3" s="1"/>
  <c r="O216" i="3" s="1"/>
  <c r="J217" i="3"/>
  <c r="L217" i="3" s="1"/>
  <c r="O217" i="3" s="1"/>
  <c r="J218" i="3"/>
  <c r="J219" i="3"/>
  <c r="J220" i="3"/>
  <c r="J221" i="3"/>
  <c r="L221" i="3" s="1"/>
  <c r="O221" i="3" s="1"/>
  <c r="J222" i="3"/>
  <c r="J223" i="3"/>
  <c r="L223" i="3" s="1"/>
  <c r="O223" i="3" s="1"/>
  <c r="J224" i="3"/>
  <c r="L224" i="3" s="1"/>
  <c r="O224" i="3" s="1"/>
  <c r="J225" i="3"/>
  <c r="L225" i="3" s="1"/>
  <c r="O225" i="3" s="1"/>
  <c r="J226" i="3"/>
  <c r="L226" i="3" s="1"/>
  <c r="O226" i="3" s="1"/>
  <c r="J227" i="3"/>
  <c r="J228" i="3"/>
  <c r="L228" i="3" s="1"/>
  <c r="O228" i="3" s="1"/>
  <c r="J229" i="3"/>
  <c r="L229" i="3" s="1"/>
  <c r="O229" i="3" s="1"/>
  <c r="J230" i="3"/>
  <c r="J231" i="3"/>
  <c r="J232" i="3"/>
  <c r="J233" i="3"/>
  <c r="L233" i="3" s="1"/>
  <c r="O233" i="3" s="1"/>
  <c r="J234" i="3"/>
  <c r="J235" i="3"/>
  <c r="J236" i="3"/>
  <c r="L236" i="3" s="1"/>
  <c r="O236" i="3" s="1"/>
  <c r="J237" i="3"/>
  <c r="L237" i="3" s="1"/>
  <c r="O237" i="3" s="1"/>
  <c r="J238" i="3"/>
  <c r="L238" i="3" s="1"/>
  <c r="O238" i="3" s="1"/>
  <c r="J239" i="3"/>
  <c r="J240" i="3"/>
  <c r="L240" i="3" s="1"/>
  <c r="O240" i="3" s="1"/>
  <c r="J241" i="3"/>
  <c r="L241" i="3" s="1"/>
  <c r="O241" i="3" s="1"/>
  <c r="J242" i="3"/>
  <c r="J243" i="3"/>
  <c r="J244" i="3"/>
  <c r="J245" i="3"/>
  <c r="J246" i="3"/>
  <c r="L246" i="3" s="1"/>
  <c r="O246" i="3" s="1"/>
  <c r="J247" i="3"/>
  <c r="L247" i="3" s="1"/>
  <c r="O247" i="3" s="1"/>
  <c r="J248" i="3"/>
  <c r="L248" i="3" s="1"/>
  <c r="J249" i="3"/>
  <c r="L249" i="3" s="1"/>
  <c r="J250" i="3"/>
  <c r="L250" i="3" s="1"/>
  <c r="O250" i="3" s="1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F2" i="3"/>
  <c r="F3" i="3"/>
  <c r="F4" i="3"/>
  <c r="F5" i="3"/>
  <c r="F6" i="3"/>
  <c r="F7" i="3"/>
  <c r="F8" i="3"/>
  <c r="F9" i="3"/>
  <c r="F10" i="3"/>
  <c r="F11" i="3"/>
  <c r="F13" i="3"/>
  <c r="F14" i="3"/>
  <c r="F15" i="3"/>
  <c r="F16" i="3"/>
  <c r="F17" i="3"/>
  <c r="F18" i="3"/>
  <c r="F19" i="3"/>
  <c r="F21" i="3"/>
  <c r="F23" i="3"/>
  <c r="F24" i="3"/>
  <c r="F26" i="3"/>
  <c r="F27" i="3"/>
  <c r="F28" i="3"/>
  <c r="F29" i="3"/>
  <c r="F30" i="3"/>
  <c r="F31" i="3"/>
  <c r="F32" i="3"/>
  <c r="F33" i="3"/>
  <c r="F34" i="3"/>
  <c r="F35" i="3"/>
  <c r="F37" i="3"/>
  <c r="F38" i="3"/>
  <c r="F39" i="3"/>
  <c r="F40" i="3"/>
  <c r="F41" i="3"/>
  <c r="F42" i="3"/>
  <c r="F43" i="3"/>
  <c r="F45" i="3"/>
  <c r="F47" i="3"/>
  <c r="F48" i="3"/>
  <c r="F50" i="3"/>
  <c r="F51" i="3"/>
  <c r="F52" i="3"/>
  <c r="F53" i="3"/>
  <c r="F54" i="3"/>
  <c r="F55" i="3"/>
  <c r="F56" i="3"/>
  <c r="F57" i="3"/>
  <c r="F58" i="3"/>
  <c r="F59" i="3"/>
  <c r="F61" i="3"/>
  <c r="F62" i="3"/>
  <c r="F63" i="3"/>
  <c r="F64" i="3"/>
  <c r="F65" i="3"/>
  <c r="F66" i="3"/>
  <c r="F67" i="3"/>
  <c r="F69" i="3"/>
  <c r="F70" i="3"/>
  <c r="F71" i="3"/>
  <c r="F72" i="3"/>
  <c r="F74" i="3"/>
  <c r="F75" i="3"/>
  <c r="F76" i="3"/>
  <c r="F77" i="3"/>
  <c r="F78" i="3"/>
  <c r="F79" i="3"/>
  <c r="F80" i="3"/>
  <c r="F81" i="3"/>
  <c r="F82" i="3"/>
  <c r="F83" i="3"/>
  <c r="F85" i="3"/>
  <c r="F86" i="3"/>
  <c r="F87" i="3"/>
  <c r="F88" i="3"/>
  <c r="F89" i="3"/>
  <c r="F90" i="3"/>
  <c r="F91" i="3"/>
  <c r="F93" i="3"/>
  <c r="F94" i="3"/>
  <c r="F95" i="3"/>
  <c r="F96" i="3"/>
  <c r="F98" i="3"/>
  <c r="F99" i="3"/>
  <c r="F100" i="3"/>
  <c r="F101" i="3"/>
  <c r="F102" i="3"/>
  <c r="F103" i="3"/>
  <c r="F104" i="3"/>
  <c r="F105" i="3"/>
  <c r="F106" i="3"/>
  <c r="F107" i="3"/>
  <c r="F109" i="3"/>
  <c r="F110" i="3"/>
  <c r="F111" i="3"/>
  <c r="F112" i="3"/>
  <c r="F113" i="3"/>
  <c r="F114" i="3"/>
  <c r="F115" i="3"/>
  <c r="F117" i="3"/>
  <c r="F119" i="3"/>
  <c r="F120" i="3"/>
  <c r="F122" i="3"/>
  <c r="F123" i="3"/>
  <c r="F124" i="3"/>
  <c r="F125" i="3"/>
  <c r="F126" i="3"/>
  <c r="F127" i="3"/>
  <c r="F128" i="3"/>
  <c r="F129" i="3"/>
  <c r="F130" i="3"/>
  <c r="F131" i="3"/>
  <c r="F133" i="3"/>
  <c r="F134" i="3"/>
  <c r="F135" i="3"/>
  <c r="F136" i="3"/>
  <c r="F137" i="3"/>
  <c r="F138" i="3"/>
  <c r="F139" i="3"/>
  <c r="F141" i="3"/>
  <c r="F143" i="3"/>
  <c r="F144" i="3"/>
  <c r="F146" i="3"/>
  <c r="F147" i="3"/>
  <c r="F148" i="3"/>
  <c r="F149" i="3"/>
  <c r="F150" i="3"/>
  <c r="F151" i="3"/>
  <c r="F152" i="3"/>
  <c r="F153" i="3"/>
  <c r="F154" i="3"/>
  <c r="F155" i="3"/>
  <c r="F157" i="3"/>
  <c r="F158" i="3"/>
  <c r="F159" i="3"/>
  <c r="F160" i="3"/>
  <c r="F161" i="3"/>
  <c r="F162" i="3"/>
  <c r="F163" i="3"/>
  <c r="F165" i="3"/>
  <c r="F167" i="3"/>
  <c r="F168" i="3"/>
  <c r="F170" i="3"/>
  <c r="F171" i="3"/>
  <c r="F172" i="3"/>
  <c r="F173" i="3"/>
  <c r="F174" i="3"/>
  <c r="F175" i="3"/>
  <c r="F176" i="3"/>
  <c r="F177" i="3"/>
  <c r="F178" i="3"/>
  <c r="F179" i="3"/>
  <c r="F181" i="3"/>
  <c r="F182" i="3"/>
  <c r="F183" i="3"/>
  <c r="F184" i="3"/>
  <c r="F185" i="3"/>
  <c r="F186" i="3"/>
  <c r="F187" i="3"/>
  <c r="F189" i="3"/>
  <c r="F191" i="3"/>
  <c r="F192" i="3"/>
  <c r="F194" i="3"/>
  <c r="F195" i="3"/>
  <c r="F196" i="3"/>
  <c r="F197" i="3"/>
  <c r="F198" i="3"/>
  <c r="F199" i="3"/>
  <c r="F200" i="3"/>
  <c r="F201" i="3"/>
  <c r="F202" i="3"/>
  <c r="F205" i="3"/>
  <c r="F206" i="3"/>
  <c r="F207" i="3"/>
  <c r="F208" i="3"/>
  <c r="F209" i="3"/>
  <c r="F210" i="3"/>
  <c r="F211" i="3"/>
  <c r="F213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9" i="3"/>
  <c r="F230" i="3"/>
  <c r="F231" i="3"/>
  <c r="F232" i="3"/>
  <c r="F233" i="3"/>
  <c r="F234" i="3"/>
  <c r="F235" i="3"/>
  <c r="F237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A1" i="1" a="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" i="7"/>
  <c r="N241" i="3" l="1"/>
  <c r="S241" i="3"/>
  <c r="P241" i="3"/>
  <c r="N217" i="3"/>
  <c r="S217" i="3"/>
  <c r="P217" i="3"/>
  <c r="N193" i="3"/>
  <c r="F193" i="3"/>
  <c r="S193" i="3"/>
  <c r="P193" i="3"/>
  <c r="N169" i="3"/>
  <c r="F169" i="3"/>
  <c r="S169" i="3"/>
  <c r="P169" i="3"/>
  <c r="N145" i="3"/>
  <c r="F145" i="3"/>
  <c r="S145" i="3"/>
  <c r="P145" i="3"/>
  <c r="N121" i="3"/>
  <c r="F121" i="3"/>
  <c r="S121" i="3"/>
  <c r="P121" i="3"/>
  <c r="N97" i="3"/>
  <c r="F97" i="3"/>
  <c r="S97" i="3"/>
  <c r="P97" i="3"/>
  <c r="N73" i="3"/>
  <c r="F73" i="3"/>
  <c r="S73" i="3"/>
  <c r="P73" i="3"/>
  <c r="N49" i="3"/>
  <c r="F49" i="3"/>
  <c r="S49" i="3"/>
  <c r="P49" i="3"/>
  <c r="N25" i="3"/>
  <c r="F25" i="3"/>
  <c r="S25" i="3"/>
  <c r="P25" i="3"/>
  <c r="S238" i="3"/>
  <c r="P238" i="3"/>
  <c r="S214" i="3"/>
  <c r="P214" i="3"/>
  <c r="S22" i="3"/>
  <c r="P22" i="3"/>
  <c r="S190" i="3"/>
  <c r="P190" i="3"/>
  <c r="S70" i="3"/>
  <c r="P70" i="3"/>
  <c r="F118" i="3"/>
  <c r="S46" i="3"/>
  <c r="P46" i="3"/>
  <c r="N190" i="3"/>
  <c r="N46" i="3"/>
  <c r="S142" i="3"/>
  <c r="P142" i="3"/>
  <c r="S94" i="3"/>
  <c r="P94" i="3"/>
  <c r="S166" i="3"/>
  <c r="P166" i="3"/>
  <c r="S118" i="3"/>
  <c r="P118" i="3"/>
  <c r="F142" i="3"/>
  <c r="F166" i="3"/>
  <c r="F190" i="3"/>
  <c r="N214" i="3"/>
  <c r="N142" i="3"/>
  <c r="N70" i="3"/>
  <c r="F22" i="3"/>
  <c r="F214" i="3"/>
  <c r="F46" i="3"/>
  <c r="F238" i="3"/>
  <c r="N238" i="3"/>
  <c r="N166" i="3"/>
  <c r="N94" i="3"/>
  <c r="N22" i="3"/>
  <c r="P246" i="3"/>
  <c r="P222" i="3"/>
  <c r="F236" i="3"/>
  <c r="F212" i="3"/>
  <c r="F188" i="3"/>
  <c r="F164" i="3"/>
  <c r="F140" i="3"/>
  <c r="F116" i="3"/>
  <c r="F92" i="3"/>
  <c r="F68" i="3"/>
  <c r="F44" i="3"/>
  <c r="F20" i="3"/>
  <c r="N236" i="3"/>
  <c r="N212" i="3"/>
  <c r="N188" i="3"/>
  <c r="N164" i="3"/>
  <c r="N140" i="3"/>
  <c r="N116" i="3"/>
  <c r="N92" i="3"/>
  <c r="N68" i="3"/>
  <c r="N44" i="3"/>
  <c r="N20" i="3"/>
  <c r="P245" i="3"/>
  <c r="P221" i="3"/>
  <c r="P197" i="3"/>
  <c r="P173" i="3"/>
  <c r="P149" i="3"/>
  <c r="P125" i="3"/>
  <c r="P101" i="3"/>
  <c r="P77" i="3"/>
  <c r="P53" i="3"/>
  <c r="P29" i="3"/>
  <c r="P5" i="3"/>
  <c r="N232" i="3"/>
  <c r="N208" i="3"/>
  <c r="N184" i="3"/>
  <c r="N160" i="3"/>
  <c r="N136" i="3"/>
  <c r="N112" i="3"/>
  <c r="N88" i="3"/>
  <c r="N64" i="3"/>
  <c r="N40" i="3"/>
  <c r="N16" i="3"/>
  <c r="S250" i="3"/>
  <c r="S226" i="3"/>
  <c r="S202" i="3"/>
  <c r="S178" i="3"/>
  <c r="S154" i="3"/>
  <c r="S130" i="3"/>
  <c r="S106" i="3"/>
  <c r="S82" i="3"/>
  <c r="S58" i="3"/>
  <c r="S34" i="3"/>
  <c r="S10" i="3"/>
  <c r="P240" i="3"/>
  <c r="P216" i="3"/>
  <c r="P192" i="3"/>
  <c r="P168" i="3"/>
  <c r="P144" i="3"/>
  <c r="P120" i="3"/>
  <c r="P96" i="3"/>
  <c r="P72" i="3"/>
  <c r="P48" i="3"/>
  <c r="P24" i="3"/>
  <c r="S249" i="3"/>
  <c r="S225" i="3"/>
  <c r="S201" i="3"/>
  <c r="S177" i="3"/>
  <c r="S153" i="3"/>
  <c r="S129" i="3"/>
  <c r="S105" i="3"/>
  <c r="S81" i="3"/>
  <c r="S57" i="3"/>
  <c r="S33" i="3"/>
  <c r="S9" i="3"/>
  <c r="S151" i="3"/>
  <c r="S247" i="3"/>
  <c r="S223" i="3"/>
  <c r="S199" i="3"/>
  <c r="S175" i="3"/>
  <c r="S127" i="3"/>
  <c r="S79" i="3"/>
  <c r="S55" i="3"/>
  <c r="S31" i="3"/>
  <c r="F228" i="3"/>
  <c r="F204" i="3"/>
  <c r="F180" i="3"/>
  <c r="F156" i="3"/>
  <c r="F132" i="3"/>
  <c r="F108" i="3"/>
  <c r="F84" i="3"/>
  <c r="F60" i="3"/>
  <c r="F36" i="3"/>
  <c r="F12" i="3"/>
  <c r="S246" i="3"/>
  <c r="S222" i="3"/>
  <c r="S198" i="3"/>
  <c r="S174" i="3"/>
  <c r="S150" i="3"/>
  <c r="S126" i="3"/>
  <c r="S102" i="3"/>
  <c r="S78" i="3"/>
  <c r="S54" i="3"/>
  <c r="S30" i="3"/>
  <c r="S6" i="3"/>
  <c r="F227" i="3"/>
  <c r="F203" i="3"/>
  <c r="S240" i="3"/>
  <c r="S216" i="3"/>
  <c r="S192" i="3"/>
  <c r="S168" i="3"/>
  <c r="S144" i="3"/>
  <c r="S120" i="3"/>
  <c r="S96" i="3"/>
  <c r="S72" i="3"/>
  <c r="S48" i="3"/>
  <c r="S24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0" i="1" a="1"/>
  <c r="D2" i="3" l="1"/>
  <c r="T1" i="3" l="1"/>
  <c r="H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tc={F52EFC13-E649-4B58-BD37-EF93FFF11D51}</author>
  </authors>
  <commentList>
    <comment ref="F9" authorId="0" shapeId="0" xr:uid="{F52EFC13-E649-4B58-BD37-EF93FFF11D51}">
      <text>
        <t>[Threaded comment]
Your version of Excel allows you to read this threaded comment; however, any edits to it will get removed if the file is opened in a newer version of Excel. Learn more: https://go.microsoft.com/fwlink/?linkid=870924
Comment:
    Require Field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Phillip Wilson</author>
  </authors>
  <commentList>
    <comment ref="D2" authorId="0" shapeId="0" xr:uid="{8474C4DB-755C-4081-BDD7-4FE7A64D5C01}">
      <text>
        <r>
          <rPr>
            <b/>
            <sz val="9"/>
            <color indexed="81"/>
            <rFont val="Tahoma"/>
            <family val="2"/>
          </rPr>
          <t>Phillip Wilson:</t>
        </r>
        <r>
          <rPr>
            <sz val="9"/>
            <color indexed="81"/>
            <rFont val="Tahoma"/>
            <family val="2"/>
          </rPr>
          <t xml:space="preserve">
Check with Meg to see if she needs any items from PTC</t>
        </r>
      </text>
    </comment>
    <comment ref="A95" authorId="0" shapeId="0" xr:uid="{65697F54-4182-4C4A-9BAE-3964090BE5EE}">
      <text>
        <r>
          <rPr>
            <b/>
            <sz val="9"/>
            <color indexed="81"/>
            <rFont val="Tahoma"/>
            <family val="2"/>
          </rPr>
          <t>Phillip Wilson:</t>
        </r>
        <r>
          <rPr>
            <sz val="9"/>
            <color indexed="81"/>
            <rFont val="Tahoma"/>
            <family val="2"/>
          </rPr>
          <t xml:space="preserve">
Vendor will request Net 30 terms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<sst xmlns="http://schemas.openxmlformats.org/spreadsheetml/2006/main" count="61251" uniqueCount="9846">
  <si>
    <t>ONLY BY EE-TEAM</t>
  </si>
  <si>
    <t>Project Number</t>
  </si>
  <si>
    <t>Document type</t>
  </si>
  <si>
    <t>Activity code</t>
  </si>
  <si>
    <t>Date &amp; Time</t>
  </si>
  <si>
    <t>&lt;----1</t>
  </si>
  <si>
    <t>POR</t>
  </si>
  <si>
    <t>Generate Devices Parts</t>
  </si>
  <si>
    <t>Name</t>
  </si>
  <si>
    <t>Value</t>
  </si>
  <si>
    <t>Activity Code (SAP)</t>
  </si>
  <si>
    <t>&lt;=Req.</t>
  </si>
  <si>
    <t>&lt;----2</t>
  </si>
  <si>
    <t>Description</t>
  </si>
  <si>
    <t>&lt;= Req.</t>
  </si>
  <si>
    <t>Itemized Specification by SIS</t>
  </si>
  <si>
    <t>Project Name</t>
  </si>
  <si>
    <t>&lt;- Req.</t>
  </si>
  <si>
    <t>Project Manager (PM)</t>
  </si>
  <si>
    <t>Point of Contact (POC)</t>
  </si>
  <si>
    <t>POC Engineer (EE)</t>
  </si>
  <si>
    <t>Delivery Address</t>
  </si>
  <si>
    <t>delivery Date</t>
  </si>
  <si>
    <t>&lt;----4</t>
  </si>
  <si>
    <t>Project Location</t>
  </si>
  <si>
    <t>USA</t>
  </si>
  <si>
    <t>Engineer ID:</t>
  </si>
  <si>
    <t>h4pierl</t>
  </si>
  <si>
    <t>Cost Center</t>
  </si>
  <si>
    <t>Purchasing Group</t>
  </si>
  <si>
    <t>US Project</t>
  </si>
  <si>
    <t>Porg</t>
  </si>
  <si>
    <t>&lt;----5</t>
  </si>
  <si>
    <t>EE File Location:</t>
  </si>
  <si>
    <t>** Need to tax &amp; tarrif manually**</t>
  </si>
  <si>
    <t>Vendor</t>
  </si>
  <si>
    <t>SAP Vendor#</t>
  </si>
  <si>
    <t>CUT OFF TIME</t>
  </si>
  <si>
    <t>Minimum</t>
  </si>
  <si>
    <t>email</t>
  </si>
  <si>
    <t>email2</t>
  </si>
  <si>
    <t>email3</t>
  </si>
  <si>
    <t>email4</t>
  </si>
  <si>
    <t>Website login's</t>
  </si>
  <si>
    <t>PTC  - ACCALON</t>
  </si>
  <si>
    <t>P107</t>
  </si>
  <si>
    <t xml:space="preserve">*5000 sek </t>
  </si>
  <si>
    <t>Parts.ptc@swisslog.com</t>
  </si>
  <si>
    <t>s-ats@swisslog.com (For technical or warranty issues only)</t>
  </si>
  <si>
    <t xml:space="preserve">A&amp;B ENGINEERING SERVICE </t>
  </si>
  <si>
    <t>parts@abengservices.com</t>
  </si>
  <si>
    <t>ACLA</t>
  </si>
  <si>
    <t>sharon.duff@aclausa.com</t>
  </si>
  <si>
    <t>ADVANCED MOTION CONTROL</t>
  </si>
  <si>
    <t>sspharler@a-m-c.com</t>
  </si>
  <si>
    <t xml:space="preserve">ADVANCED STORAGE </t>
  </si>
  <si>
    <t>idohrendorf@asprack.com</t>
  </si>
  <si>
    <t>AERO RUBBER COMPANY</t>
  </si>
  <si>
    <t>sales4@aerorubber.com</t>
  </si>
  <si>
    <t>AFT</t>
  </si>
  <si>
    <t xml:space="preserve">service@aft-group.de </t>
  </si>
  <si>
    <t>frank.brandt@aft-group.de</t>
  </si>
  <si>
    <t>klaus.graesslin@aft-group.de</t>
  </si>
  <si>
    <t>AKAPP</t>
  </si>
  <si>
    <t xml:space="preserve">salessupport.akapp@wabtec.com </t>
  </si>
  <si>
    <t>ALBA</t>
  </si>
  <si>
    <t>handerson@albamfg.com</t>
  </si>
  <si>
    <t>bbell@albamfg.com</t>
  </si>
  <si>
    <t>ALLIED ELECTRONICS</t>
  </si>
  <si>
    <t>Carol.Moore@alliedelec.com</t>
  </si>
  <si>
    <t>Allied Motion Technologies</t>
  </si>
  <si>
    <t>alex.rossbach@alliedmotion.com</t>
  </si>
  <si>
    <t>kim.winski@alliedmotion.com</t>
  </si>
  <si>
    <t>AMTECH</t>
  </si>
  <si>
    <t>info@amtechmachine.com</t>
  </si>
  <si>
    <t>APPLIED</t>
  </si>
  <si>
    <t>cmeissner@applied.com</t>
  </si>
  <si>
    <t>meller@applied.com</t>
  </si>
  <si>
    <t>APPLIED FLUID POWER</t>
  </si>
  <si>
    <t xml:space="preserve">bwilhelm@afpind.com </t>
  </si>
  <si>
    <t>Airline Hydraulics (ex HANOVER)</t>
  </si>
  <si>
    <t>customer.service@airlinehyd.com</t>
  </si>
  <si>
    <t xml:space="preserve">cwalthy@airlinehyd.com </t>
  </si>
  <si>
    <t>AQUIRE AUTOMATION</t>
  </si>
  <si>
    <r>
      <t>andrew.jones@acquireautomation.com</t>
    </r>
    <r>
      <rPr>
        <sz val="10"/>
        <color theme="1"/>
        <rFont val="Segoe UI"/>
        <family val="2"/>
      </rPr>
      <t xml:space="preserve"> </t>
    </r>
  </si>
  <si>
    <t>adam.stout@acquireautomation.com</t>
  </si>
  <si>
    <t>brian.mack@acquireautomation.com</t>
  </si>
  <si>
    <t>jason.wertz@acquireautomation.com</t>
  </si>
  <si>
    <t>ASPEN</t>
  </si>
  <si>
    <t>aspenams@gmail.com</t>
  </si>
  <si>
    <t>ATAB</t>
  </si>
  <si>
    <t>sara.molin@atab.se</t>
  </si>
  <si>
    <t>AXELENT</t>
  </si>
  <si>
    <t xml:space="preserve">andy@axelentusa.com </t>
  </si>
  <si>
    <t>AUTOMATED MOTION</t>
  </si>
  <si>
    <t>jones@ami-rs.com</t>
  </si>
  <si>
    <t>lime@ami-rs.com</t>
  </si>
  <si>
    <t>BACO</t>
  </si>
  <si>
    <t>ljones@bacocontrols.com</t>
  </si>
  <si>
    <t>BAUER</t>
  </si>
  <si>
    <t>Samuel.Garis@bauergears.com</t>
  </si>
  <si>
    <t xml:space="preserve">BDI (Bearing Distributors Inc) </t>
  </si>
  <si>
    <t>randersen@bdi-usa.com</t>
  </si>
  <si>
    <t>bchrapek@bdiworldwide.com</t>
  </si>
  <si>
    <t>BEI DUNCAN</t>
  </si>
  <si>
    <t>sales.beisensors@sensata.com</t>
  </si>
  <si>
    <t>BECKHOFF</t>
  </si>
  <si>
    <t>m.berg@beckhoff.com</t>
  </si>
  <si>
    <t>BIHL-WIEDEMANN</t>
  </si>
  <si>
    <t>order@bihl-wiedemann.com</t>
  </si>
  <si>
    <t>BLUESTAR</t>
  </si>
  <si>
    <t>mgoldman@bluestarinc.com</t>
  </si>
  <si>
    <t>BIRCHER RIGLOMAT</t>
  </si>
  <si>
    <t xml:space="preserve">Sales@BircherReglomat.com </t>
  </si>
  <si>
    <t>BRECO FLEX CO</t>
  </si>
  <si>
    <t>mslack@brecoflex.com</t>
  </si>
  <si>
    <t>anna@brecoflex.com</t>
  </si>
  <si>
    <t>jferreira@brecoflex.com</t>
  </si>
  <si>
    <t>BUSCH WERKE AG</t>
  </si>
  <si>
    <t xml:space="preserve">Mariam.Wafa@bizerba.com </t>
  </si>
  <si>
    <t xml:space="preserve">Heinrich.Baumgartner@bizerba.com </t>
  </si>
  <si>
    <t xml:space="preserve">Leonie.Bandli@bizerba.com </t>
  </si>
  <si>
    <t xml:space="preserve">Marianne.Willi@bizerba.com </t>
  </si>
  <si>
    <t xml:space="preserve">Daniel.Biller@bizerba.com </t>
  </si>
  <si>
    <t xml:space="preserve">BW Integrated Systems </t>
  </si>
  <si>
    <t>David.Carroll@bwpackagingsystems.com</t>
  </si>
  <si>
    <t>CDW</t>
  </si>
  <si>
    <t xml:space="preserve">dannoso@cdw.com </t>
  </si>
  <si>
    <t xml:space="preserve">adamhal@cdw.com  </t>
  </si>
  <si>
    <t>CHRNELS@cdw.com</t>
  </si>
  <si>
    <t>CHAINTEC (DONGHUA)</t>
  </si>
  <si>
    <t>sales@donghua.co.uk</t>
  </si>
  <si>
    <t xml:space="preserve">c.nuttall@donghua.co.uk </t>
  </si>
  <si>
    <t>COGNEX</t>
  </si>
  <si>
    <t xml:space="preserve">Andy.Kasperski@cognex.com </t>
  </si>
  <si>
    <t>CONDUCTIX</t>
  </si>
  <si>
    <t>Platinum@Conductix.com</t>
  </si>
  <si>
    <t>for quotes: CustomerService@Conductix.com</t>
  </si>
  <si>
    <t>CORNERSTONE</t>
  </si>
  <si>
    <t>jgrindstaff@casiusa.com</t>
  </si>
  <si>
    <t>whammer@casiusa.com</t>
  </si>
  <si>
    <t xml:space="preserve">CROSS FLUID POWER (CROSSCO) </t>
  </si>
  <si>
    <t>steve.lohmann@crossco.com</t>
  </si>
  <si>
    <t>CROWN EQUIPMENT</t>
  </si>
  <si>
    <t>Charlotte.Parts@Crown.com</t>
  </si>
  <si>
    <t>CUSTOM WASH</t>
  </si>
  <si>
    <t>todd@customwashsolutions.com</t>
  </si>
  <si>
    <t>DAIRY CONVEYOR</t>
  </si>
  <si>
    <t>ffink@dairyconveyor.com</t>
  </si>
  <si>
    <t>swinning@dairyconveyor.com</t>
  </si>
  <si>
    <t>D&amp;B Precision Sheet Metal, Inc</t>
  </si>
  <si>
    <t>Wes Ballard &lt;wb@dbsheetmetal.com&gt;</t>
  </si>
  <si>
    <t>DEMATIC</t>
  </si>
  <si>
    <t xml:space="preserve">partsorders-us@dematic.com </t>
  </si>
  <si>
    <t>DIGIKEY</t>
  </si>
  <si>
    <t>orders@digikey.com</t>
  </si>
  <si>
    <t>DIMETIX</t>
  </si>
  <si>
    <t>slubeck@dimetix-usa.com</t>
  </si>
  <si>
    <t>DYNATEC MANUFACTURING INC</t>
  </si>
  <si>
    <t>Phani.Nagaraj@dynatect.com</t>
  </si>
  <si>
    <t>sales@dynatect.com</t>
  </si>
  <si>
    <t>EAB</t>
  </si>
  <si>
    <t>Niclas.Svensson@eab.se</t>
  </si>
  <si>
    <t>EECO (ELECTRICAL EQUIPMENT)</t>
  </si>
  <si>
    <t>Stephanie.Brantley@eeco-net.com</t>
  </si>
  <si>
    <t>If urgent copy mike.cole@eeco-net.com</t>
  </si>
  <si>
    <t>EUCHNER GMBH</t>
  </si>
  <si>
    <t>mclark@euchner-usa.com</t>
  </si>
  <si>
    <t>ECOTEC</t>
  </si>
  <si>
    <t>Jim.Keyser@ecotecbatcharger.com</t>
  </si>
  <si>
    <t>Electro mechanical</t>
  </si>
  <si>
    <t>dsites@emhinc.com</t>
  </si>
  <si>
    <t>Electronic Imaging Materials</t>
  </si>
  <si>
    <t>ELTEN</t>
  </si>
  <si>
    <t xml:space="preserve">wilmar.van.duijvenbode@elten.nl </t>
  </si>
  <si>
    <t>hilbert.achterberg@elten.nl</t>
  </si>
  <si>
    <t>FASTENAL</t>
  </si>
  <si>
    <t>vawia@stores.fastenal.com</t>
  </si>
  <si>
    <t>FLEXICELL</t>
  </si>
  <si>
    <t xml:space="preserve">sandy.edwards@flexicell.com </t>
  </si>
  <si>
    <t>FRAZIER</t>
  </si>
  <si>
    <t>kdoyle@frazier.com</t>
  </si>
  <si>
    <t>FOGG Filler Company</t>
  </si>
  <si>
    <t>JRaczynski@foggfiller.com</t>
  </si>
  <si>
    <t>jschuiling@foggfiller.com</t>
  </si>
  <si>
    <t xml:space="preserve"> BradB@Foggfiller.com</t>
  </si>
  <si>
    <t>GALIL</t>
  </si>
  <si>
    <t>sales@galil.com</t>
  </si>
  <si>
    <t>GRAYBAR</t>
  </si>
  <si>
    <t xml:space="preserve">Rayshaun.Morton@graybar.com </t>
  </si>
  <si>
    <t>Kenny.lemm@graybar.com</t>
  </si>
  <si>
    <t xml:space="preserve">GRAINGER </t>
  </si>
  <si>
    <t>customersupport@grainger.com</t>
  </si>
  <si>
    <t>GRENZEBACH</t>
  </si>
  <si>
    <t>Sheree.Stoner@grenzebach.com</t>
  </si>
  <si>
    <t>HAAKE SAFETY</t>
  </si>
  <si>
    <t>Haake@iacnassociates.com</t>
  </si>
  <si>
    <t>sales@iacnassociates.com</t>
  </si>
  <si>
    <t>HANS JUNGBLUT</t>
  </si>
  <si>
    <t>fett@jungblut.de</t>
  </si>
  <si>
    <t xml:space="preserve">Hartfiel Automation </t>
  </si>
  <si>
    <t>Kayla.McQueen@hartfiel.com</t>
  </si>
  <si>
    <t>HARTNESS</t>
  </si>
  <si>
    <t>customerservice-team2@hartness.com</t>
  </si>
  <si>
    <t>HATTELAND (AUTOSTORE)</t>
  </si>
  <si>
    <t xml:space="preserve">kjetil.nygard@autostoresystem.com  </t>
  </si>
  <si>
    <t>HERMITAGE</t>
  </si>
  <si>
    <t>rw@hermitageautomation.com</t>
  </si>
  <si>
    <t>pfarmer@hermitageautomation.com</t>
  </si>
  <si>
    <t xml:space="preserve">HILMOT </t>
  </si>
  <si>
    <t xml:space="preserve">orders@hilmot.com </t>
  </si>
  <si>
    <t>rkaufman@hilmot.com</t>
  </si>
  <si>
    <t>HITACHI</t>
  </si>
  <si>
    <t>orders@hitachi-ims.com</t>
  </si>
  <si>
    <t>Daphne.Smith@hitachi-ims.com</t>
  </si>
  <si>
    <t>Huron Technology</t>
  </si>
  <si>
    <t>mattk@hurontechnology.com</t>
  </si>
  <si>
    <t>HYMO</t>
  </si>
  <si>
    <t>Tobias.Karlsson@vpgab.com</t>
  </si>
  <si>
    <t>My.Hoffmann@vpgab.com</t>
  </si>
  <si>
    <t>aftersales@vpgab.com</t>
  </si>
  <si>
    <t xml:space="preserve">sales@hymo.se </t>
  </si>
  <si>
    <t xml:space="preserve">IFM </t>
  </si>
  <si>
    <t>orders.us@ifm.com</t>
  </si>
  <si>
    <t>cs.us@ifm.com</t>
  </si>
  <si>
    <t>customer.service.us@ifm.com</t>
  </si>
  <si>
    <t>IGUS</t>
  </si>
  <si>
    <t>ThimS@igus.com</t>
  </si>
  <si>
    <t xml:space="preserve">usordersna@igus.net </t>
  </si>
  <si>
    <t>driley@igus.net</t>
  </si>
  <si>
    <t>drheaume@igus.net</t>
  </si>
  <si>
    <t>INTEGRATED MOTION</t>
  </si>
  <si>
    <t>INTELLIGRATED</t>
  </si>
  <si>
    <t>IGSParts@Honeywell.com</t>
  </si>
  <si>
    <t>INTERROLL US</t>
  </si>
  <si>
    <t>usp.parts@interroll.com</t>
  </si>
  <si>
    <t>d.bush@interroll.com</t>
  </si>
  <si>
    <t>t.ganey@interroll.com</t>
  </si>
  <si>
    <t>INTERROLL CANADA</t>
  </si>
  <si>
    <t>a.loftus@interroll.com</t>
  </si>
  <si>
    <t xml:space="preserve">INTERNATIONAL FLUID POWER </t>
  </si>
  <si>
    <t>Troy@internationalfluidpower.com</t>
  </si>
  <si>
    <t>IRIS ELECTRONICS</t>
  </si>
  <si>
    <t>marks@iriselectronics.com (Mark Soroka)</t>
  </si>
  <si>
    <t>J.HENRY HOLLAND</t>
  </si>
  <si>
    <t>raylorah@jhenryholland.com</t>
  </si>
  <si>
    <t>JOKELL</t>
  </si>
  <si>
    <t>sales@jokell.com</t>
  </si>
  <si>
    <t>david.johnston@jokell.com</t>
  </si>
  <si>
    <t>KAMAN</t>
  </si>
  <si>
    <t>307570 (FORMERLY 314270)</t>
  </si>
  <si>
    <t>david.sigala@kaman.com</t>
  </si>
  <si>
    <t>dustin.lamb@kaman.com</t>
  </si>
  <si>
    <t>KBS</t>
  </si>
  <si>
    <t>verkauf@kbs-gmbh.de</t>
  </si>
  <si>
    <t>KEYENCE CORP</t>
  </si>
  <si>
    <t>CustomerService@Keyence.com</t>
  </si>
  <si>
    <t>KOLLMORGEN</t>
  </si>
  <si>
    <t xml:space="preserve">Sales.agv@kollmorgen.com </t>
  </si>
  <si>
    <t>KUKA</t>
  </si>
  <si>
    <t>K101301</t>
  </si>
  <si>
    <t>40% discount off list</t>
  </si>
  <si>
    <t>parts.Robotics.De@kuka.com</t>
  </si>
  <si>
    <t>KUKA de MEXICO</t>
  </si>
  <si>
    <t>K101115</t>
  </si>
  <si>
    <t xml:space="preserve">ubaldo.perez@kuka.com </t>
  </si>
  <si>
    <t>jaime.campos@kuka.com</t>
  </si>
  <si>
    <t>jonathan.rodea@kuka.com</t>
  </si>
  <si>
    <t>KUKA INDUSTRIES</t>
  </si>
  <si>
    <t>K202104</t>
  </si>
  <si>
    <t>Parts.Industries.de@kuka.com</t>
  </si>
  <si>
    <t>KUKA ROBOTICS</t>
  </si>
  <si>
    <t xml:space="preserve">K101309 </t>
  </si>
  <si>
    <t>ROBUSSpareParts@kuka.com</t>
  </si>
  <si>
    <t>NatashaMurphy@KUKARobotics.com</t>
  </si>
  <si>
    <t>KUKA SYSTEMS</t>
  </si>
  <si>
    <t>K101114</t>
  </si>
  <si>
    <t>servicecenter@kukanao.com</t>
  </si>
  <si>
    <t>Sara.Klicki@kuka.com</t>
  </si>
  <si>
    <t>LAIRD</t>
  </si>
  <si>
    <t xml:space="preserve">RICHMOND@LAIRDPLASTICS.COM </t>
  </si>
  <si>
    <t>LAPP</t>
  </si>
  <si>
    <t>ddichiara@lappusa.com</t>
  </si>
  <si>
    <t>bcruz-treihart@lappusa.com</t>
  </si>
  <si>
    <t>LEUZE</t>
  </si>
  <si>
    <t>2.30pm</t>
  </si>
  <si>
    <t>orders@leuzeusa.com</t>
  </si>
  <si>
    <t>LOG SYSTEMS</t>
  </si>
  <si>
    <t>Petra.Brenner@logsystems.de</t>
  </si>
  <si>
    <t>LOROM WEST</t>
  </si>
  <si>
    <t>icarranza@cable-connection.com</t>
  </si>
  <si>
    <t>MAINWAY</t>
  </si>
  <si>
    <t>Matthew.Pereira@mainwayhandling.com</t>
  </si>
  <si>
    <t>naheen.farabi@mainwayhandling.com</t>
  </si>
  <si>
    <t>MARCO AB</t>
  </si>
  <si>
    <t>MAYR</t>
  </si>
  <si>
    <t>orders@mayrcorp.com</t>
  </si>
  <si>
    <t>Quotes: quotes@mayrcorp.com</t>
  </si>
  <si>
    <t>MCMASTER CARR</t>
  </si>
  <si>
    <t xml:space="preserve">dnj.sales@mcmaster.com </t>
  </si>
  <si>
    <t>MIAS</t>
  </si>
  <si>
    <t>t.himmel@mias-group.com</t>
  </si>
  <si>
    <t>MICROPOWER</t>
  </si>
  <si>
    <t>250 SEK (100 SEK fee otherwise)</t>
  </si>
  <si>
    <t>johnny.petersson@micropower.se</t>
  </si>
  <si>
    <t>MILACRON</t>
  </si>
  <si>
    <t>maria_marshall@milacron.com</t>
  </si>
  <si>
    <t>MOUSER</t>
  </si>
  <si>
    <t xml:space="preserve">Kristina.Ivey@mouser.com </t>
  </si>
  <si>
    <t>Murrelektronik</t>
  </si>
  <si>
    <t>cs4murr@murrinc.com</t>
  </si>
  <si>
    <t>NEC ENERGY</t>
  </si>
  <si>
    <t>NService@NECES.COM</t>
  </si>
  <si>
    <t>PDeBruyn@NECES.COM</t>
  </si>
  <si>
    <t>orders@neces.com</t>
  </si>
  <si>
    <t>NEDCON</t>
  </si>
  <si>
    <t>Dan.Middendorf@nedcon.com</t>
  </si>
  <si>
    <t>NEWARKINONE</t>
  </si>
  <si>
    <t>dgardner@newark.com</t>
  </si>
  <si>
    <t>order@Newark.com</t>
  </si>
  <si>
    <t>NewarkOrder@newark.com</t>
  </si>
  <si>
    <t>NITA</t>
  </si>
  <si>
    <t>kirkm@nita.ca</t>
  </si>
  <si>
    <t>NORFOLK BEARING</t>
  </si>
  <si>
    <t>wayne@norfolkbearings.com</t>
  </si>
  <si>
    <t>BOBBY@NORFOLKBEARINGS.COM</t>
  </si>
  <si>
    <t>NORTEC</t>
  </si>
  <si>
    <t>Birgit.Schulz@nortec-kiel.de</t>
  </si>
  <si>
    <t>Juergen.Schulz@nortec-kiel.de</t>
  </si>
  <si>
    <t>NORTHWEST POWER</t>
  </si>
  <si>
    <t>CRoberts@vicr.com</t>
  </si>
  <si>
    <t>NOVANTA (ex JADAK)</t>
  </si>
  <si>
    <t>Orders@jadaktech.com</t>
  </si>
  <si>
    <t>OMNI METALCRAFT</t>
  </si>
  <si>
    <t>paulkr@omni.com</t>
  </si>
  <si>
    <t>benm@omni.com</t>
  </si>
  <si>
    <t xml:space="preserve">ORBIS </t>
  </si>
  <si>
    <t>customer.supportfax@orbiscorporation.com</t>
  </si>
  <si>
    <t>P.E. USA, INC</t>
  </si>
  <si>
    <t>Michael.Morse@promachbuilt.com</t>
  </si>
  <si>
    <t>P.T. INTERNATIONAL</t>
  </si>
  <si>
    <t>sales@ptintl.com</t>
  </si>
  <si>
    <t>Panther Industries</t>
  </si>
  <si>
    <t>service@print-n-apply.com</t>
  </si>
  <si>
    <t>Perpperl-Fuchs</t>
  </si>
  <si>
    <t>lmartin@us.pepperl-fuchs.com</t>
  </si>
  <si>
    <t>PFANNENBERG</t>
  </si>
  <si>
    <t>CREDIT CARD - DO NOT TAS</t>
  </si>
  <si>
    <t>orders@pfannenbergusa.com</t>
  </si>
  <si>
    <t>PFEIFER WIRE</t>
  </si>
  <si>
    <t>(order as needed not for stock)</t>
  </si>
  <si>
    <t>rparsons@pfeifer.us.com</t>
  </si>
  <si>
    <t>tfreier@pfeifer.us.com (extended sick leave 03/05)</t>
  </si>
  <si>
    <t>PLEIGER</t>
  </si>
  <si>
    <t>jbob@pleiger.com</t>
  </si>
  <si>
    <t>PNC</t>
  </si>
  <si>
    <t>rebecca@pnconline.com</t>
  </si>
  <si>
    <t>sales@pnconline.com</t>
  </si>
  <si>
    <t>nisarg@pnconline.com</t>
  </si>
  <si>
    <t>shuchita@pnconline.com</t>
  </si>
  <si>
    <t>PORTABLE POWER SYSTEM</t>
  </si>
  <si>
    <t>sales@portablepower.com</t>
  </si>
  <si>
    <t>PRIME CONVEYOR</t>
  </si>
  <si>
    <t>mjamison@primeconveyor.com</t>
  </si>
  <si>
    <t>PRO CHARGING SYSTEM</t>
  </si>
  <si>
    <t>MBenson@pcsdv.com</t>
  </si>
  <si>
    <t>PUSH</t>
  </si>
  <si>
    <t xml:space="preserve">phil@pushei.com </t>
  </si>
  <si>
    <t>jon@pushei.com</t>
  </si>
  <si>
    <t>QUALITY TRANSFORMER</t>
  </si>
  <si>
    <t>gcc@qte.com</t>
  </si>
  <si>
    <t xml:space="preserve">QUBIQA (Riantics) </t>
  </si>
  <si>
    <t>karin.henriksen@riantics.com</t>
  </si>
  <si>
    <t>RADWELL INTERNATIONAL</t>
  </si>
  <si>
    <t>cflanders@radwell.com</t>
  </si>
  <si>
    <t>RANKIN</t>
  </si>
  <si>
    <t>cpayseur@rankinusa.com</t>
  </si>
  <si>
    <t xml:space="preserve">RBC Bearings </t>
  </si>
  <si>
    <t>BKeinath@rbcbearings.com</t>
  </si>
  <si>
    <t>MMcDonough-Witte@rbcbearings.com</t>
  </si>
  <si>
    <t>Reliance</t>
  </si>
  <si>
    <t xml:space="preserve">peter@reliancenj.com  </t>
  </si>
  <si>
    <t>REX</t>
  </si>
  <si>
    <t>petra.anderson@rexcompanies.com</t>
  </si>
  <si>
    <t>REXEL</t>
  </si>
  <si>
    <t>Denise.svoboda@rexelusa.com</t>
  </si>
  <si>
    <t>Renold Jeffrey</t>
  </si>
  <si>
    <t xml:space="preserve">sales@renoldjeffrey.com </t>
  </si>
  <si>
    <t>RFID INC</t>
  </si>
  <si>
    <t>james@rfidinc.com</t>
  </si>
  <si>
    <t>ROBINSON ENGINEERING</t>
  </si>
  <si>
    <t>cclark@robinsonengineeringinc.com</t>
  </si>
  <si>
    <t>ROCLA</t>
  </si>
  <si>
    <t>spareparts@rocla.com</t>
  </si>
  <si>
    <t>Heidi.Leppanen@rocla.com</t>
  </si>
  <si>
    <t>RYSON</t>
  </si>
  <si>
    <t>schristensen@ryson.com</t>
  </si>
  <si>
    <t>SANTA CLARA SYSTEMS</t>
  </si>
  <si>
    <t>customerservice@santaclarasystems.com</t>
  </si>
  <si>
    <t>SCHABMULLER</t>
  </si>
  <si>
    <t>100 Euro</t>
  </si>
  <si>
    <t>tanja.mothes@schabmueller.de</t>
  </si>
  <si>
    <t>eduard.moser@schabmueller.de</t>
  </si>
  <si>
    <t>Holger.Geisensetter@schabmueller.de</t>
  </si>
  <si>
    <t>peter.winter@schabmueller.de</t>
  </si>
  <si>
    <t>SEW</t>
  </si>
  <si>
    <t>cselectronics@seweurodrive.com</t>
  </si>
  <si>
    <t>CSLYMAN@seweurodrive.com</t>
  </si>
  <si>
    <t>rcash@seweurodrive.com</t>
  </si>
  <si>
    <t>MFulton@seweurodrive.com</t>
  </si>
  <si>
    <t>SHINGLE &amp; GIBB</t>
  </si>
  <si>
    <t>jdeatrich@shingle.com</t>
  </si>
  <si>
    <t xml:space="preserve">SHORAI </t>
  </si>
  <si>
    <t>racetech@shorai.org</t>
  </si>
  <si>
    <t>shop@shoraipower.com</t>
  </si>
  <si>
    <t>SICK</t>
  </si>
  <si>
    <t>5 pm (4 pm central)</t>
  </si>
  <si>
    <t xml:space="preserve">cs@sick.com </t>
  </si>
  <si>
    <t>is@sick.com</t>
  </si>
  <si>
    <t>john.kinsey@sick.com</t>
  </si>
  <si>
    <t>MaryPat.Johnson@sick.com</t>
  </si>
  <si>
    <t>SIGMA SUPPLY</t>
  </si>
  <si>
    <t>smessinger@sigmasupply.com</t>
  </si>
  <si>
    <t>SIGN MEDIA</t>
  </si>
  <si>
    <t xml:space="preserve">jcassells@signmediainc.com </t>
  </si>
  <si>
    <t>SMARTSCAN</t>
  </si>
  <si>
    <t xml:space="preserve">sales@smartscaninc.com </t>
  </si>
  <si>
    <t xml:space="preserve">pbudesheim@smartscaninc.com </t>
  </si>
  <si>
    <t>SMETCO</t>
  </si>
  <si>
    <t>MaggieF@smetco.com</t>
  </si>
  <si>
    <t>SPRINGVALE</t>
  </si>
  <si>
    <t>denise@springvalegroup.com</t>
  </si>
  <si>
    <t>amber@springvalegroup.com</t>
  </si>
  <si>
    <t>SUTTON (SET)</t>
  </si>
  <si>
    <t>jackie.branch@setincorporated.com</t>
  </si>
  <si>
    <t>SWISSLOG AG (software)</t>
  </si>
  <si>
    <t>P179</t>
  </si>
  <si>
    <t>bernadeta.furter@swisslog.com</t>
  </si>
  <si>
    <t>Swisslog CH WDS SSD Jobs &lt;ssdjobs.ch@swisslog.com&gt;</t>
  </si>
  <si>
    <t>SWISSLOG AG (non-software)</t>
  </si>
  <si>
    <t>P026</t>
  </si>
  <si>
    <t>SWISSLOG EVOMATIC</t>
  </si>
  <si>
    <t>P109</t>
  </si>
  <si>
    <t>florian.brunmayr@swisslog.com</t>
  </si>
  <si>
    <t>SWISSLOG GMBH (ex Swisslog AG/P081)</t>
  </si>
  <si>
    <t>P080</t>
  </si>
  <si>
    <t>ingo.feistaurer@swisslog.com</t>
  </si>
  <si>
    <t>SWISSLOG ITALIA</t>
  </si>
  <si>
    <t>P095</t>
  </si>
  <si>
    <t>210 Euro</t>
  </si>
  <si>
    <t>spareparts.wds.it@swisslog.com</t>
  </si>
  <si>
    <t>TELEDYNE</t>
  </si>
  <si>
    <t>$300 minimum</t>
  </si>
  <si>
    <t>TapToneParts@Teledyne.com</t>
  </si>
  <si>
    <t>Alexander.Thibedeau@teledyne.com</t>
  </si>
  <si>
    <t>TGW SYSTEMS (ex ERMANCO)</t>
  </si>
  <si>
    <t>25  (38% discount off list)</t>
  </si>
  <si>
    <t>Louise.Cook@tgw-ermanco.com</t>
  </si>
  <si>
    <t>partsorder.us.sl@tgw-group.com</t>
  </si>
  <si>
    <t>partsquote.us.sl@tgw-group.com</t>
  </si>
  <si>
    <t xml:space="preserve"> warranty.us.sl@tgw-group.com</t>
  </si>
  <si>
    <t>TGW WELLS</t>
  </si>
  <si>
    <t>Euro 100</t>
  </si>
  <si>
    <t>magdalena.illibauer@tgw-group.com</t>
  </si>
  <si>
    <t>Philipp.Langanger@tgw-group.com</t>
  </si>
  <si>
    <t>Patrick.Zimmer@tgw-group.com</t>
  </si>
  <si>
    <t>Michaela.Strassmair@tgw-group.com (MAT. LEAVE)</t>
  </si>
  <si>
    <t>Thermo Ramsey LLC</t>
  </si>
  <si>
    <t>cs.pimn@thermofisher.com</t>
  </si>
  <si>
    <t>paula.reichow@thermofisher.com</t>
  </si>
  <si>
    <t>greg.bredahl@thermofisher.com</t>
  </si>
  <si>
    <t>TOTAL TRAX</t>
  </si>
  <si>
    <t>bquigley@totaltraxinc.com</t>
  </si>
  <si>
    <t>TR ELECTRONICS</t>
  </si>
  <si>
    <t xml:space="preserve">jwhitney@trelectronic.com </t>
  </si>
  <si>
    <t>TRANSBOTICS</t>
  </si>
  <si>
    <t>TROAX</t>
  </si>
  <si>
    <t>jack.eckert@troax.com</t>
  </si>
  <si>
    <t>VAHLE</t>
  </si>
  <si>
    <t>salesinbox@vahleinc.com</t>
  </si>
  <si>
    <t>VOCOLLECT</t>
  </si>
  <si>
    <t xml:space="preserve">ACSHSMVocollectRequests@honeywell.com </t>
  </si>
  <si>
    <t>WELKER</t>
  </si>
  <si>
    <t>jlewis@ewelker.com</t>
  </si>
  <si>
    <t>Wieland inc.</t>
  </si>
  <si>
    <t>Theodore.Nickerson@wieland-electric.com</t>
  </si>
  <si>
    <t>WESCO</t>
  </si>
  <si>
    <t>HWright@wescodist.com</t>
  </si>
  <si>
    <t>HamptonSales@wescodist.com</t>
  </si>
  <si>
    <t>dpickering@wesco.com</t>
  </si>
  <si>
    <t>FOR PRICING</t>
  </si>
  <si>
    <t>WICOM</t>
  </si>
  <si>
    <t>Alexandra.Pscherer@wicom1.com</t>
  </si>
  <si>
    <t>WOLSELEY</t>
  </si>
  <si>
    <t>chesterton@wolseleyind.com</t>
  </si>
  <si>
    <t>WS PACKAGING</t>
  </si>
  <si>
    <t xml:space="preserve">wkallin@wspackaging.com </t>
  </si>
  <si>
    <t>WULFTEC*</t>
  </si>
  <si>
    <r>
      <t>20 % disc. off list</t>
    </r>
    <r>
      <rPr>
        <sz val="10"/>
        <color rgb="FF000000"/>
        <rFont val="Segoe UI"/>
        <family val="2"/>
      </rPr>
      <t>  for WULFETC</t>
    </r>
  </si>
  <si>
    <t>partsorders@wulftec.com</t>
  </si>
  <si>
    <t>pennyn@WULFTEC.com</t>
  </si>
  <si>
    <t>suzannek@WULFTEC.com</t>
  </si>
  <si>
    <t>Penny quotes, Sue processes PO's. Send PO's to partsorders email</t>
  </si>
  <si>
    <t>Cty</t>
  </si>
  <si>
    <t>PostalCode</t>
  </si>
  <si>
    <t>City</t>
  </si>
  <si>
    <t>Name 1</t>
  </si>
  <si>
    <t>ENIDINE</t>
  </si>
  <si>
    <t>US</t>
  </si>
  <si>
    <t>14127-2293</t>
  </si>
  <si>
    <t>ORCHARD PARK</t>
  </si>
  <si>
    <t>ITT ENIDINE INC.</t>
  </si>
  <si>
    <t/>
  </si>
  <si>
    <t>GRAINGER</t>
  </si>
  <si>
    <t>60045-5202</t>
  </si>
  <si>
    <t>LAKE FOREST</t>
  </si>
  <si>
    <t>W.W GRAINGER, INC. - GRAI</t>
  </si>
  <si>
    <t>COLUMBIA</t>
  </si>
  <si>
    <t>98661-7795</t>
  </si>
  <si>
    <t>VANCOUVER</t>
  </si>
  <si>
    <t>COLUMBIA MACHINE, INC.</t>
  </si>
  <si>
    <t>TGW</t>
  </si>
  <si>
    <t>49456</t>
  </si>
  <si>
    <t>SPRING LAKE</t>
  </si>
  <si>
    <t>TGW SYSTEMS, INC.</t>
  </si>
  <si>
    <t>WESCO DIST</t>
  </si>
  <si>
    <t>23661-1324</t>
  </si>
  <si>
    <t>HAMPTON</t>
  </si>
  <si>
    <t>WESCO DISTRIBUTION, INC.</t>
  </si>
  <si>
    <t>POWELL ELE</t>
  </si>
  <si>
    <t>08085-1270</t>
  </si>
  <si>
    <t>SWEDESBORO</t>
  </si>
  <si>
    <t>POWELL ELECTRONIC, INC.</t>
  </si>
  <si>
    <t>MONOFLO</t>
  </si>
  <si>
    <t>22603-5722</t>
  </si>
  <si>
    <t>WINCHESTER</t>
  </si>
  <si>
    <t>MONOFLO INTERNATIONAL, IN</t>
  </si>
  <si>
    <t>CITY OF NE</t>
  </si>
  <si>
    <t>23607-4300</t>
  </si>
  <si>
    <t>NEWPORT NEWS</t>
  </si>
  <si>
    <t>CITY OF NEWPORT NEWS  MAR</t>
  </si>
  <si>
    <t>ANNUAL</t>
  </si>
  <si>
    <t>23219-3630</t>
  </si>
  <si>
    <t>RICHMOND</t>
  </si>
  <si>
    <t>STATE CORPORATION COMMISS</t>
  </si>
  <si>
    <t>COMPTROLLE</t>
  </si>
  <si>
    <t>78774-0001</t>
  </si>
  <si>
    <t>AUSTIN</t>
  </si>
  <si>
    <t>COMPTROLLER OF PUBLIC ACC</t>
  </si>
  <si>
    <t>COLORADO D</t>
  </si>
  <si>
    <t>80261-0013</t>
  </si>
  <si>
    <t>DENVER</t>
  </si>
  <si>
    <t>DEPARTMENT OF REVENUE COL</t>
  </si>
  <si>
    <t>ESTIMATE</t>
  </si>
  <si>
    <t>73105-4508</t>
  </si>
  <si>
    <t>OKLAHOMA CITY</t>
  </si>
  <si>
    <t>OKLAHOMA TAX COMMISSION</t>
  </si>
  <si>
    <t>CITY OF</t>
  </si>
  <si>
    <t>74003-6656</t>
  </si>
  <si>
    <t>BARTLESVILLE</t>
  </si>
  <si>
    <t>CITY OF BARTLESVILLE</t>
  </si>
  <si>
    <t>GEORGIA DE</t>
  </si>
  <si>
    <t>30345-3205</t>
  </si>
  <si>
    <t>ATLANTA</t>
  </si>
  <si>
    <t>GEORGIA DEPARTMENT OF REV</t>
  </si>
  <si>
    <t>WASHINGTON</t>
  </si>
  <si>
    <t>98504-7464</t>
  </si>
  <si>
    <t>OLYMPIA</t>
  </si>
  <si>
    <t>WASHINGTON STATE DEPARTME</t>
  </si>
  <si>
    <t>ARIZONA DE</t>
  </si>
  <si>
    <t>85007-2612</t>
  </si>
  <si>
    <t>PHOENIX</t>
  </si>
  <si>
    <t>ARIZONA DEPARTMENT OF REV</t>
  </si>
  <si>
    <t>MISSOURI D</t>
  </si>
  <si>
    <t>65105-0840</t>
  </si>
  <si>
    <t>JEFFERSON CITY</t>
  </si>
  <si>
    <t>DEPARTMENT OF REVENUE MIS</t>
  </si>
  <si>
    <t>FEDEX</t>
  </si>
  <si>
    <t>72602-0840</t>
  </si>
  <si>
    <t>HARRISON</t>
  </si>
  <si>
    <t>FEDEX FREIGHT, INC.</t>
  </si>
  <si>
    <t>VERTEX</t>
  </si>
  <si>
    <t>60673-1255</t>
  </si>
  <si>
    <t>CHICAGO</t>
  </si>
  <si>
    <t>VERTEX, INC.</t>
  </si>
  <si>
    <t>CHRISTOPHE</t>
  </si>
  <si>
    <t>80111-2855</t>
  </si>
  <si>
    <t>GREENWOOD VILLAGE</t>
  </si>
  <si>
    <t>CHRISTOPHERSON ANDAVO TRA</t>
  </si>
  <si>
    <t>SCHENKER</t>
  </si>
  <si>
    <t>60131-1204</t>
  </si>
  <si>
    <t>FRANKLIN PARK</t>
  </si>
  <si>
    <t>SCHENKER, INC.</t>
  </si>
  <si>
    <t>FLEXENTIAL</t>
  </si>
  <si>
    <t>80111</t>
  </si>
  <si>
    <t>FLEXENTIAL COLORADO CORP</t>
  </si>
  <si>
    <t>DHL</t>
  </si>
  <si>
    <t>60693-0001</t>
  </si>
  <si>
    <t>DHL EXPRESS (USA), INC.</t>
  </si>
  <si>
    <t>ELKIND</t>
  </si>
  <si>
    <t>80218</t>
  </si>
  <si>
    <t>PALMER POLASKI PC</t>
  </si>
  <si>
    <t>SHRED IT</t>
  </si>
  <si>
    <t>60673-1288</t>
  </si>
  <si>
    <t>STERICYCLE INC</t>
  </si>
  <si>
    <t>YER*</t>
  </si>
  <si>
    <t>30346-1261</t>
  </si>
  <si>
    <t>YER USA, INC.</t>
  </si>
  <si>
    <t>ISN SOFTWA</t>
  </si>
  <si>
    <t>75284-1808</t>
  </si>
  <si>
    <t>DALLAS</t>
  </si>
  <si>
    <t>ISN SOFTWARE CORPORATION</t>
  </si>
  <si>
    <t>CINTAS</t>
  </si>
  <si>
    <t>45213-2516</t>
  </si>
  <si>
    <t>CINCINNATI</t>
  </si>
  <si>
    <t>CINTAS CORPORATION NO 2.</t>
  </si>
  <si>
    <t>UPS</t>
  </si>
  <si>
    <t>23224-2246</t>
  </si>
  <si>
    <t>TFORCE FREIGHT, INC.</t>
  </si>
  <si>
    <t>02916-1033</t>
  </si>
  <si>
    <t>RUMFORD</t>
  </si>
  <si>
    <t>IGUS BEARINGS, INC.</t>
  </si>
  <si>
    <t>APPLIED FL</t>
  </si>
  <si>
    <t>23237-2209</t>
  </si>
  <si>
    <t>AFP INDUSTRIES, INC.</t>
  </si>
  <si>
    <t>19182-2106</t>
  </si>
  <si>
    <t>PHILADELPHIA</t>
  </si>
  <si>
    <t>FRAZIER INDUSTRIAL CO.</t>
  </si>
  <si>
    <t>ADVANCED M</t>
  </si>
  <si>
    <t>93012-5068</t>
  </si>
  <si>
    <t>CAMARILLO</t>
  </si>
  <si>
    <t>BARTA - SCHOENEWALD, INC.</t>
  </si>
  <si>
    <t>HONEYWELL</t>
  </si>
  <si>
    <t>45040-9498</t>
  </si>
  <si>
    <t>MASON</t>
  </si>
  <si>
    <t>INTELLIGRATED SYSTEMS, IN</t>
  </si>
  <si>
    <t>TRICOR DIR</t>
  </si>
  <si>
    <t>06405-2842</t>
  </si>
  <si>
    <t>BRANFORD</t>
  </si>
  <si>
    <t>TRICOR DIRECT INC.</t>
  </si>
  <si>
    <t>MAYR CORPO</t>
  </si>
  <si>
    <t>07430-2284</t>
  </si>
  <si>
    <t>MAHWAH</t>
  </si>
  <si>
    <t>MAYR CORPORATION</t>
  </si>
  <si>
    <t>PANTHE</t>
  </si>
  <si>
    <t>80129-2347</t>
  </si>
  <si>
    <t>HIGHLANDS RANCH</t>
  </si>
  <si>
    <t>PANTHER INDUSTRIES INC</t>
  </si>
  <si>
    <t>60045-5201</t>
  </si>
  <si>
    <t>W.W. GRAINGER INC.</t>
  </si>
  <si>
    <t>SEIZMIC</t>
  </si>
  <si>
    <t>91724-2003</t>
  </si>
  <si>
    <t>COVINA</t>
  </si>
  <si>
    <t>SEIZMIC INC</t>
  </si>
  <si>
    <t>HARTFIEL</t>
  </si>
  <si>
    <t>23005-8050</t>
  </si>
  <si>
    <t>ASHLAND</t>
  </si>
  <si>
    <t>HARTFIEL AUTOMATION SA, L</t>
  </si>
  <si>
    <t>HILTIUS</t>
  </si>
  <si>
    <t>74146-6099</t>
  </si>
  <si>
    <t>TULSA</t>
  </si>
  <si>
    <t>HILTI INC.</t>
  </si>
  <si>
    <t>UNITED EQU</t>
  </si>
  <si>
    <t>50677-4022</t>
  </si>
  <si>
    <t>WAVERLY</t>
  </si>
  <si>
    <t>UNITED EQUIPMENT ACCESSOR</t>
  </si>
  <si>
    <t>AUTOMATION</t>
  </si>
  <si>
    <t>34677-3019</t>
  </si>
  <si>
    <t>OLDSMAR</t>
  </si>
  <si>
    <t>AUTOMATION LOGISTICS CORP</t>
  </si>
  <si>
    <t>RLC</t>
  </si>
  <si>
    <t>66075</t>
  </si>
  <si>
    <t>PLEASANTON</t>
  </si>
  <si>
    <t>RLC INC.</t>
  </si>
  <si>
    <t>97002-9247</t>
  </si>
  <si>
    <t>AURORA</t>
  </si>
  <si>
    <t>SMETCO INC.</t>
  </si>
  <si>
    <t>ALL*</t>
  </si>
  <si>
    <t>19426-2061</t>
  </si>
  <si>
    <t>COLLEGEVILLE</t>
  </si>
  <si>
    <t>ALLIED WIRE &amp; CABLE, LLC</t>
  </si>
  <si>
    <t>BECKHOFF A</t>
  </si>
  <si>
    <t>55378-2574</t>
  </si>
  <si>
    <t>SAVAGE</t>
  </si>
  <si>
    <t>BECKHOFF AUTOMATION, LLC</t>
  </si>
  <si>
    <t>08873-1212</t>
  </si>
  <si>
    <t>SOMERSET</t>
  </si>
  <si>
    <t>BAUER GEAR MOTOR, LLC</t>
  </si>
  <si>
    <t>23606-3085</t>
  </si>
  <si>
    <t>REX COMPANIES, INC.</t>
  </si>
  <si>
    <t>23692-4811</t>
  </si>
  <si>
    <t>GRAFTON</t>
  </si>
  <si>
    <t>AUTOMATED MACHINE &amp; TECHN</t>
  </si>
  <si>
    <t>LIVINGSTON</t>
  </si>
  <si>
    <t>28273-6448</t>
  </si>
  <si>
    <t>CHARLOTTE</t>
  </si>
  <si>
    <t>LIVINGSTON &amp; HAVEN, LLC..</t>
  </si>
  <si>
    <t>48083-1952</t>
  </si>
  <si>
    <t>TROY</t>
  </si>
  <si>
    <t>WELKER ENGINEERED PRODUCT</t>
  </si>
  <si>
    <t>THYSSENKRU</t>
  </si>
  <si>
    <t>19170-8221</t>
  </si>
  <si>
    <t>ACWORTH</t>
  </si>
  <si>
    <t>THYSSENKRUPP MATERIALS N.</t>
  </si>
  <si>
    <t>INDUCTIVE</t>
  </si>
  <si>
    <t>95630-4715</t>
  </si>
  <si>
    <t>FOLSOM</t>
  </si>
  <si>
    <t>INDUCTIVE AUTOMATION, LLC</t>
  </si>
  <si>
    <t>ORBIS</t>
  </si>
  <si>
    <t>53066-0389</t>
  </si>
  <si>
    <t>OCONOMOWOC</t>
  </si>
  <si>
    <t>ORBIS CORPORATION</t>
  </si>
  <si>
    <t>HILMOT</t>
  </si>
  <si>
    <t>53225-2113</t>
  </si>
  <si>
    <t>MILWAUKEE</t>
  </si>
  <si>
    <t>TREW LLC</t>
  </si>
  <si>
    <t>DARANA</t>
  </si>
  <si>
    <t>45015-1605</t>
  </si>
  <si>
    <t>HAMILTON</t>
  </si>
  <si>
    <t>DARANA HYBRID, INC</t>
  </si>
  <si>
    <t>INCORD</t>
  </si>
  <si>
    <t>06415-2712</t>
  </si>
  <si>
    <t>COLCHESTER</t>
  </si>
  <si>
    <t>INTERNATIONAL CORDAGE EAS</t>
  </si>
  <si>
    <t>SHINGLE</t>
  </si>
  <si>
    <t>08057-4225</t>
  </si>
  <si>
    <t>MOORESTOWN</t>
  </si>
  <si>
    <t>SHINGLE &amp; GIBB AUTOMATION</t>
  </si>
  <si>
    <t>ELECTRONIC</t>
  </si>
  <si>
    <t>03431-5038</t>
  </si>
  <si>
    <t>KEENE</t>
  </si>
  <si>
    <t>ELECTRONIC IMAGING MATERI</t>
  </si>
  <si>
    <t>BUSSE</t>
  </si>
  <si>
    <t>53956-1204</t>
  </si>
  <si>
    <t>RANDOLPH</t>
  </si>
  <si>
    <t>BUSSE/SJI CORPORATION</t>
  </si>
  <si>
    <t>MERCURIO</t>
  </si>
  <si>
    <t>12566-6401</t>
  </si>
  <si>
    <t>PINE BUSH</t>
  </si>
  <si>
    <t>MERCURIO-NORTON-TAROLLI-M</t>
  </si>
  <si>
    <t>AMBAFLEX</t>
  </si>
  <si>
    <t>76006-7437</t>
  </si>
  <si>
    <t>ARLINGTON</t>
  </si>
  <si>
    <t>AMBAFLEX, INC.</t>
  </si>
  <si>
    <t>WILDECK</t>
  </si>
  <si>
    <t>53186-5601</t>
  </si>
  <si>
    <t>WAUKESHA</t>
  </si>
  <si>
    <t>WILDECK, INC.</t>
  </si>
  <si>
    <t>PIEDMONT</t>
  </si>
  <si>
    <t>31193-1291</t>
  </si>
  <si>
    <t>PIEDMONT PLASTICS INC.</t>
  </si>
  <si>
    <t>AUTOMOTIVE</t>
  </si>
  <si>
    <t>94066</t>
  </si>
  <si>
    <t>SAN BRUNO</t>
  </si>
  <si>
    <t>AUTOMOTIVE WORKWEAR, INC.</t>
  </si>
  <si>
    <t>MCGRATH RE</t>
  </si>
  <si>
    <t>75261-4001</t>
  </si>
  <si>
    <t>MCGRATH RENTCORP</t>
  </si>
  <si>
    <t>RINGSPANN</t>
  </si>
  <si>
    <t>60131-2302</t>
  </si>
  <si>
    <t>RINGSPANN CORPORATION</t>
  </si>
  <si>
    <t>FERGUSON</t>
  </si>
  <si>
    <t>23606-3322</t>
  </si>
  <si>
    <t>FERGUSON ENTERPRISES, LLC</t>
  </si>
  <si>
    <t>KEYENCE</t>
  </si>
  <si>
    <t>07407-1361</t>
  </si>
  <si>
    <t>ELMWOOD PARK</t>
  </si>
  <si>
    <t>KEYENCE CORPORATION OF AM</t>
  </si>
  <si>
    <t>PEERLESS M</t>
  </si>
  <si>
    <t>01701-1802</t>
  </si>
  <si>
    <t>FRAMINGHAM</t>
  </si>
  <si>
    <t>PEERLESS MEDIA, LLC</t>
  </si>
  <si>
    <t>PFEIFER</t>
  </si>
  <si>
    <t>23661-1317</t>
  </si>
  <si>
    <t>PFEIFER WIRE ROPE &amp; LIFTI</t>
  </si>
  <si>
    <t>FLETCHLINE</t>
  </si>
  <si>
    <t>37172-6639</t>
  </si>
  <si>
    <t>SPRINGFIELD</t>
  </si>
  <si>
    <t>FLETCHLINE INC</t>
  </si>
  <si>
    <t>P+F</t>
  </si>
  <si>
    <t>44087-2245</t>
  </si>
  <si>
    <t>TWINSBURG</t>
  </si>
  <si>
    <t>PEPPERL -FUCHS, INC.</t>
  </si>
  <si>
    <t>WESTERN IN</t>
  </si>
  <si>
    <t>80011</t>
  </si>
  <si>
    <t>WESTERN INDUSTRIAL CONTRA</t>
  </si>
  <si>
    <t>ULINE</t>
  </si>
  <si>
    <t>60085-8311</t>
  </si>
  <si>
    <t>WAUKEGAN</t>
  </si>
  <si>
    <t>ULINE, INC.</t>
  </si>
  <si>
    <t>ELECTRO ME</t>
  </si>
  <si>
    <t>24501-7131</t>
  </si>
  <si>
    <t>LYNCHBURG</t>
  </si>
  <si>
    <t>ELECTRO MECHANICAL HANDLI</t>
  </si>
  <si>
    <t>GAULT</t>
  </si>
  <si>
    <t>23606</t>
  </si>
  <si>
    <t>GAULT ELECTRIC LLC</t>
  </si>
  <si>
    <t>15250-7461</t>
  </si>
  <si>
    <t>PITTSBURGH</t>
  </si>
  <si>
    <t>STAPLES</t>
  </si>
  <si>
    <t>01702-4474</t>
  </si>
  <si>
    <t>STAPLES CONTRACT &amp; COMMER</t>
  </si>
  <si>
    <t>WILLIAMS</t>
  </si>
  <si>
    <t>85008-6927</t>
  </si>
  <si>
    <t>WILLIAMS SCOTSMAN, INC.</t>
  </si>
  <si>
    <t>SOUTHEASTE</t>
  </si>
  <si>
    <t>29073-7485</t>
  </si>
  <si>
    <t>LEXINGTON</t>
  </si>
  <si>
    <t>SOUTHEASTERN FREIGHT LINE</t>
  </si>
  <si>
    <t>BRADLEY</t>
  </si>
  <si>
    <t>23320-0205</t>
  </si>
  <si>
    <t>CHESAPEAKE</t>
  </si>
  <si>
    <t>BRADLEY-MORRIS, LLC</t>
  </si>
  <si>
    <t>UNITED REN</t>
  </si>
  <si>
    <t>30384-0711</t>
  </si>
  <si>
    <t>UNITED RENTALS INC (NORTH</t>
  </si>
  <si>
    <t>MARSH</t>
  </si>
  <si>
    <t>10036-2708</t>
  </si>
  <si>
    <t>NEW YORK</t>
  </si>
  <si>
    <t>MARSH USA INC.</t>
  </si>
  <si>
    <t>AMERIGAS</t>
  </si>
  <si>
    <t>19406-2815</t>
  </si>
  <si>
    <t>KING OF PRUSSIA</t>
  </si>
  <si>
    <t>AMERIGAS PROPANE, INC.</t>
  </si>
  <si>
    <t>NIPPON EXP</t>
  </si>
  <si>
    <t>23603-1367</t>
  </si>
  <si>
    <t>NIPPON EXPRESS USA INC.</t>
  </si>
  <si>
    <t>ADVANCED E</t>
  </si>
  <si>
    <t>23603-1370</t>
  </si>
  <si>
    <t>ADVANCED ELECTRICAL SERVI</t>
  </si>
  <si>
    <t>WAREHOUSIN</t>
  </si>
  <si>
    <t>60523</t>
  </si>
  <si>
    <t>OAK BROOK</t>
  </si>
  <si>
    <t>WAREHOUSING EDUCATION AND</t>
  </si>
  <si>
    <t>RETAIL IND</t>
  </si>
  <si>
    <t>22209-1933</t>
  </si>
  <si>
    <t>RETAIL INDUSTRY LEADERS A</t>
  </si>
  <si>
    <t>CITY SHAFT</t>
  </si>
  <si>
    <t>93263-2047</t>
  </si>
  <si>
    <t>SHAFTER</t>
  </si>
  <si>
    <t>CITY OF SHAFTER</t>
  </si>
  <si>
    <t>AIRPLUS IN</t>
  </si>
  <si>
    <t>22314</t>
  </si>
  <si>
    <t>ALEXANDRIA</t>
  </si>
  <si>
    <t>AIRPLUS INTERNATIONAL INC</t>
  </si>
  <si>
    <t>DELL MARKE</t>
  </si>
  <si>
    <t>78682-7000</t>
  </si>
  <si>
    <t>ROUND ROCK</t>
  </si>
  <si>
    <t>DELL MARKETING L.P.</t>
  </si>
  <si>
    <t>LEVEL</t>
  </si>
  <si>
    <t>80021-8869</t>
  </si>
  <si>
    <t>BROOMFIELD</t>
  </si>
  <si>
    <t>LEVEL 3 COMMUNICATIONS, L</t>
  </si>
  <si>
    <t>XPO</t>
  </si>
  <si>
    <t>60673-1559</t>
  </si>
  <si>
    <t>XPO LOGISTICS FREIGHT, IN</t>
  </si>
  <si>
    <t>REFRIG</t>
  </si>
  <si>
    <t>22202-3418</t>
  </si>
  <si>
    <t>GLOBAL COLD CHAIN ALLIANC</t>
  </si>
  <si>
    <t>X</t>
  </si>
  <si>
    <t>CREATIVE L</t>
  </si>
  <si>
    <t>40503</t>
  </si>
  <si>
    <t>CREATIVE LODGING SOLUTION</t>
  </si>
  <si>
    <t>REFRIGIWEA</t>
  </si>
  <si>
    <t>30533-7603</t>
  </si>
  <si>
    <t>DAHLONEGA</t>
  </si>
  <si>
    <t>REFRIGIWEAR, LLC</t>
  </si>
  <si>
    <t>HAPAG-LLOY</t>
  </si>
  <si>
    <t>30346-2133</t>
  </si>
  <si>
    <t>HAPAG-LLOYD (AMERICA) LLC</t>
  </si>
  <si>
    <t>PAC-VAN</t>
  </si>
  <si>
    <t>60675-1001</t>
  </si>
  <si>
    <t>PAC-VAN, INC.</t>
  </si>
  <si>
    <t>AEROTEK</t>
  </si>
  <si>
    <t>21076-1159</t>
  </si>
  <si>
    <t>HANOVER</t>
  </si>
  <si>
    <t>AEROTEK, INC. DBA</t>
  </si>
  <si>
    <t>PA DEPARTM</t>
  </si>
  <si>
    <t>17128-0427</t>
  </si>
  <si>
    <t>HARRISBURG</t>
  </si>
  <si>
    <t>PA DEPARTMENT OF REVENUE</t>
  </si>
  <si>
    <t>INCOME</t>
  </si>
  <si>
    <t>37242-0002</t>
  </si>
  <si>
    <t>NASHVILLE</t>
  </si>
  <si>
    <t>TENNESSEE DEPARTMENT OF R</t>
  </si>
  <si>
    <t>PRIVILEGE</t>
  </si>
  <si>
    <t>36132-7431</t>
  </si>
  <si>
    <t>MONTGOMERY</t>
  </si>
  <si>
    <t>ALABAMA DEPARTMENT OF REV</t>
  </si>
  <si>
    <t>32399-0100</t>
  </si>
  <si>
    <t>TALLAHASSEE</t>
  </si>
  <si>
    <t>FLORIDA DEPT OF REVENUE</t>
  </si>
  <si>
    <t>ESTIMATES</t>
  </si>
  <si>
    <t>08646-0193</t>
  </si>
  <si>
    <t>TRENTON</t>
  </si>
  <si>
    <t>STATE OF NEW JERSESEY DIV</t>
  </si>
  <si>
    <t>INCOME/LIC</t>
  </si>
  <si>
    <t>02940-9702</t>
  </si>
  <si>
    <t>PROVIDENCE</t>
  </si>
  <si>
    <t>STATE OF RHODE ISLAND</t>
  </si>
  <si>
    <t>53713-1443</t>
  </si>
  <si>
    <t>MADISON</t>
  </si>
  <si>
    <t>DEPT OF REVENUE WISCONSIN</t>
  </si>
  <si>
    <t>EXTENSION</t>
  </si>
  <si>
    <t>36132-7435</t>
  </si>
  <si>
    <t>CALIFORNIA</t>
  </si>
  <si>
    <t>95814-4311</t>
  </si>
  <si>
    <t>SACRAMENTO</t>
  </si>
  <si>
    <t>CALIFORNIA STATE BOARD OF</t>
  </si>
  <si>
    <t>27604-8002</t>
  </si>
  <si>
    <t>RALEIGH</t>
  </si>
  <si>
    <t>NORTH CAROLINA DEPARTMENT</t>
  </si>
  <si>
    <t>MAINE REVE</t>
  </si>
  <si>
    <t>04332-1065</t>
  </si>
  <si>
    <t>AUGUSTA</t>
  </si>
  <si>
    <t>MAINE REVENUE SERVICES</t>
  </si>
  <si>
    <t>95826-3893</t>
  </si>
  <si>
    <t>FRANCHISE TAX BOARD, CALI</t>
  </si>
  <si>
    <t>SCHNECKER</t>
  </si>
  <si>
    <t>11747-3149</t>
  </si>
  <si>
    <t>MELVILLE</t>
  </si>
  <si>
    <t>CORP RETUR</t>
  </si>
  <si>
    <t>50306-0468</t>
  </si>
  <si>
    <t>DES MOINES</t>
  </si>
  <si>
    <t>DEPARTMENT OF REVENUE IOW</t>
  </si>
  <si>
    <t>55146-1765</t>
  </si>
  <si>
    <t>ST PAUL</t>
  </si>
  <si>
    <t>MINNESOTA DEPT OF REVENUE</t>
  </si>
  <si>
    <t>DIRECT REC</t>
  </si>
  <si>
    <t>44139-3570</t>
  </si>
  <si>
    <t>SOLON</t>
  </si>
  <si>
    <t>DIRECT RECRUITERS INC.</t>
  </si>
  <si>
    <t>CORP INCOM</t>
  </si>
  <si>
    <t>62702-5145</t>
  </si>
  <si>
    <t>ILLINOIS DEPARTMENT OF RE</t>
  </si>
  <si>
    <t>NEDCO-RT</t>
  </si>
  <si>
    <t>01886-1560</t>
  </si>
  <si>
    <t>WESTFORD</t>
  </si>
  <si>
    <t>BEYOND COMPONENTS OF MASS</t>
  </si>
  <si>
    <t>RS GROUP A</t>
  </si>
  <si>
    <t>76118-7037</t>
  </si>
  <si>
    <t>FORT WORTH</t>
  </si>
  <si>
    <t>RS AMERICAS INC.</t>
  </si>
  <si>
    <t>ICT</t>
  </si>
  <si>
    <t>29607-5541</t>
  </si>
  <si>
    <t>GREENVILLE</t>
  </si>
  <si>
    <t>INDUSTRIAL CONVEYOR TECHN</t>
  </si>
  <si>
    <t>DELL</t>
  </si>
  <si>
    <t>78682</t>
  </si>
  <si>
    <t>DELL MARKETING LP</t>
  </si>
  <si>
    <t>STREATOR</t>
  </si>
  <si>
    <t>61364-1301</t>
  </si>
  <si>
    <t>STREATOR INDUSTRIAL HANDL</t>
  </si>
  <si>
    <t>CFE</t>
  </si>
  <si>
    <t>23513-3050</t>
  </si>
  <si>
    <t>NORFOLK</t>
  </si>
  <si>
    <t>CFE EQUIPMENT CORPORATION</t>
  </si>
  <si>
    <t>BEI</t>
  </si>
  <si>
    <t>91320-1303</t>
  </si>
  <si>
    <t>THOUSAND OAKS</t>
  </si>
  <si>
    <t>BEI NORTH AMERICA LLC</t>
  </si>
  <si>
    <t>23502-1550</t>
  </si>
  <si>
    <t>NORFOLK BEARINGS AND SUPP</t>
  </si>
  <si>
    <t>MCMASTER</t>
  </si>
  <si>
    <t>44202-8090</t>
  </si>
  <si>
    <t>MCMASTER-CARR SUPPLY COMP</t>
  </si>
  <si>
    <t>NEWARK INO</t>
  </si>
  <si>
    <t>80011-1531</t>
  </si>
  <si>
    <t>NEWARK CORPORATION</t>
  </si>
  <si>
    <t>23005-3453</t>
  </si>
  <si>
    <t>HERMITAGE AUTOMATION &amp; CO</t>
  </si>
  <si>
    <t>55438-2397</t>
  </si>
  <si>
    <t>MINNEAPOLIS</t>
  </si>
  <si>
    <t>SICK, INC</t>
  </si>
  <si>
    <t>CROSS FLUI</t>
  </si>
  <si>
    <t>30374-6408</t>
  </si>
  <si>
    <t>CROSS TECHNOLOGIES INC.</t>
  </si>
  <si>
    <t>JOKELL SD</t>
  </si>
  <si>
    <t>23320-3846</t>
  </si>
  <si>
    <t>JO-KELL INC.</t>
  </si>
  <si>
    <t>DYNATECT</t>
  </si>
  <si>
    <t>53151-0847</t>
  </si>
  <si>
    <t>NEW BERLIN</t>
  </si>
  <si>
    <t>DYNATECT MANUFACTURING IN</t>
  </si>
  <si>
    <t>LEE SPRING</t>
  </si>
  <si>
    <t>11220</t>
  </si>
  <si>
    <t>BROOKLYN, NY</t>
  </si>
  <si>
    <t>RFID</t>
  </si>
  <si>
    <t>80012-5659</t>
  </si>
  <si>
    <t>RFID, INC.</t>
  </si>
  <si>
    <t>68127-1104</t>
  </si>
  <si>
    <t>OMAHA</t>
  </si>
  <si>
    <t>CONDUCTIX, INC.</t>
  </si>
  <si>
    <t>POWER ELEC</t>
  </si>
  <si>
    <t>55447-1995</t>
  </si>
  <si>
    <t>PLYMOUTH</t>
  </si>
  <si>
    <t>POWER ELECTRIC DISTRIBUTI</t>
  </si>
  <si>
    <t>15219-1151</t>
  </si>
  <si>
    <t>WESCO DISTRIBUTION, INC</t>
  </si>
  <si>
    <t>AUTOMATI</t>
  </si>
  <si>
    <t>30040-5860</t>
  </si>
  <si>
    <t>CUMMING</t>
  </si>
  <si>
    <t>AUTOMATIONDIRECT.COM INC.</t>
  </si>
  <si>
    <t>IMAGINIT</t>
  </si>
  <si>
    <t>21117-3373</t>
  </si>
  <si>
    <t>OWINGS MILLS</t>
  </si>
  <si>
    <t>RAND WORLDWIDE SUBSIDIARY</t>
  </si>
  <si>
    <t>KONECRANES</t>
  </si>
  <si>
    <t>23834-5900</t>
  </si>
  <si>
    <t>COLONIAL HEIGHTS</t>
  </si>
  <si>
    <t>KONECRANES INC</t>
  </si>
  <si>
    <t>CAR</t>
  </si>
  <si>
    <t>28273-6598</t>
  </si>
  <si>
    <t>CAROLINA FLUID COMPONENTS</t>
  </si>
  <si>
    <t>76063-1514</t>
  </si>
  <si>
    <t>MANSFIELD</t>
  </si>
  <si>
    <t>MOUSER ELECTRONICS, INC.</t>
  </si>
  <si>
    <t>23661-1032</t>
  </si>
  <si>
    <t>ASPEN AUTOMATION &amp; MACHIN</t>
  </si>
  <si>
    <t>TRANSTECH</t>
  </si>
  <si>
    <t>29605-5100</t>
  </si>
  <si>
    <t>TRANSTECH OF SOUTH CAROLI</t>
  </si>
  <si>
    <t>16001-7607</t>
  </si>
  <si>
    <t>BUTLER</t>
  </si>
  <si>
    <t>ACLA USA, INC.</t>
  </si>
  <si>
    <t>IFM</t>
  </si>
  <si>
    <t>19355-8731</t>
  </si>
  <si>
    <t>MALVERN</t>
  </si>
  <si>
    <t>IFM EFECTOR, INC.</t>
  </si>
  <si>
    <t>SIEMENS</t>
  </si>
  <si>
    <t>37604-1663</t>
  </si>
  <si>
    <t>JOHNSON CITY</t>
  </si>
  <si>
    <t>SIEMENS INDUSTRY, INC.</t>
  </si>
  <si>
    <t>RADWELL SD</t>
  </si>
  <si>
    <t>08046-1000</t>
  </si>
  <si>
    <t>WILLINGBORO</t>
  </si>
  <si>
    <t>RADWELL INTERNATIONAL INC</t>
  </si>
  <si>
    <t>VANDERSTAP</t>
  </si>
  <si>
    <t>60098-2513</t>
  </si>
  <si>
    <t>WOODSTOCK</t>
  </si>
  <si>
    <t>VANDERSTAPPEN LAND SURVEY</t>
  </si>
  <si>
    <t>28034-6001</t>
  </si>
  <si>
    <t>RANKIN USA, INC.</t>
  </si>
  <si>
    <t>BIZCO TECH</t>
  </si>
  <si>
    <t>68510-2500</t>
  </si>
  <si>
    <t>LINCOLN</t>
  </si>
  <si>
    <t>BIZCO, INC.</t>
  </si>
  <si>
    <t>TOTALTRAX</t>
  </si>
  <si>
    <t>19720-1013</t>
  </si>
  <si>
    <t>NEW CASTLE</t>
  </si>
  <si>
    <t>TOTALTRAX, INC</t>
  </si>
  <si>
    <t>GREAT NORT</t>
  </si>
  <si>
    <t>55445-1827</t>
  </si>
  <si>
    <t>BROOKLYN PARK</t>
  </si>
  <si>
    <t>GREAT NORTHERN-TWIN CITIE</t>
  </si>
  <si>
    <t>TRIMECH</t>
  </si>
  <si>
    <t>23060-9293</t>
  </si>
  <si>
    <t>GLEN ALLEN</t>
  </si>
  <si>
    <t>TRIMECH SOLUTIONS, LLC</t>
  </si>
  <si>
    <t>FASTENING</t>
  </si>
  <si>
    <t>17602-3423</t>
  </si>
  <si>
    <t>LANCASTER</t>
  </si>
  <si>
    <t>FASTENING PRODUCTS OF LAN</t>
  </si>
  <si>
    <t>BEAM DISTR</t>
  </si>
  <si>
    <t>23005</t>
  </si>
  <si>
    <t>BEAM DISTRIBUTING, INC.</t>
  </si>
  <si>
    <t>60638-6216</t>
  </si>
  <si>
    <t>BEDFORD PARK</t>
  </si>
  <si>
    <t>TROAX INC.</t>
  </si>
  <si>
    <t>01760-2059</t>
  </si>
  <si>
    <t>NATICK</t>
  </si>
  <si>
    <t>COGNEX CORPORATION</t>
  </si>
  <si>
    <t>MURRELEKTR</t>
  </si>
  <si>
    <t>30024-3507</t>
  </si>
  <si>
    <t>SUWANEE</t>
  </si>
  <si>
    <t>MURRELEKTRONIK, INC.</t>
  </si>
  <si>
    <t>FUCHS</t>
  </si>
  <si>
    <t>60426-6035</t>
  </si>
  <si>
    <t>HARVEY</t>
  </si>
  <si>
    <t>FUCHS LUBRICANTS CO.</t>
  </si>
  <si>
    <t>BEARING</t>
  </si>
  <si>
    <t>23005-8197</t>
  </si>
  <si>
    <t>BEARING DISTRIBUTORS INC.</t>
  </si>
  <si>
    <t>DAIRY CONV</t>
  </si>
  <si>
    <t>10509-4005</t>
  </si>
  <si>
    <t>BREWSTER</t>
  </si>
  <si>
    <t>DAIRY CONVEYOR CORPORATIO</t>
  </si>
  <si>
    <t>SMG</t>
  </si>
  <si>
    <t>46240-2598</t>
  </si>
  <si>
    <t>INDIANAPOLIS</t>
  </si>
  <si>
    <t>SAFETY MANAGEMENT GROUP,</t>
  </si>
  <si>
    <t>WELLS BROT</t>
  </si>
  <si>
    <t>45302-8402</t>
  </si>
  <si>
    <t>ANNA</t>
  </si>
  <si>
    <t>WELLS BROTHERS INC.</t>
  </si>
  <si>
    <t>SUTTON</t>
  </si>
  <si>
    <t>35007-9597</t>
  </si>
  <si>
    <t>ALABASTER</t>
  </si>
  <si>
    <t>SUTTON ENGINEERING TECHNO</t>
  </si>
  <si>
    <t>CURBELL</t>
  </si>
  <si>
    <t>14127-4180</t>
  </si>
  <si>
    <t>CURBELL PLASTICS, INC.</t>
  </si>
  <si>
    <t>ENGINEERED</t>
  </si>
  <si>
    <t>29606</t>
  </si>
  <si>
    <t>ENGINEERED PRODUCTS, LLC</t>
  </si>
  <si>
    <t>UTZ</t>
  </si>
  <si>
    <t>46124-9070</t>
  </si>
  <si>
    <t>EDINBURGH</t>
  </si>
  <si>
    <t>GEORG UTZ, INC.</t>
  </si>
  <si>
    <t>DIGI KEY</t>
  </si>
  <si>
    <t>56701-2703</t>
  </si>
  <si>
    <t>THIEF RIVER FALLS</t>
  </si>
  <si>
    <t>DIGI-KEY CORPORATION</t>
  </si>
  <si>
    <t>28270-1902</t>
  </si>
  <si>
    <t>SEW-EURODRIVE, INC.</t>
  </si>
  <si>
    <t>GANTREX</t>
  </si>
  <si>
    <t>15317-5841</t>
  </si>
  <si>
    <t>CANONSBURG</t>
  </si>
  <si>
    <t>GANTREX, INC.</t>
  </si>
  <si>
    <t>TRANSROBOT</t>
  </si>
  <si>
    <t>28211-4847</t>
  </si>
  <si>
    <t>TRANSBOTICS CORPORATION</t>
  </si>
  <si>
    <t>RENOLD JEF</t>
  </si>
  <si>
    <t>37813</t>
  </si>
  <si>
    <t>MORRISTOWN</t>
  </si>
  <si>
    <t>JEFFREY CHAIN, L.P.</t>
  </si>
  <si>
    <t>SIGNMEDIA</t>
  </si>
  <si>
    <t>23661-1031</t>
  </si>
  <si>
    <t>SIGNMEDIA, INC.</t>
  </si>
  <si>
    <t>45030-2194</t>
  </si>
  <si>
    <t>NEDCON USA LLC</t>
  </si>
  <si>
    <t>IBM</t>
  </si>
  <si>
    <t>10504-1784</t>
  </si>
  <si>
    <t>WESTCHESTER</t>
  </si>
  <si>
    <t>IBM CORPORATION</t>
  </si>
  <si>
    <t>29707-7539</t>
  </si>
  <si>
    <t>FORT MILL</t>
  </si>
  <si>
    <t>HONEYWELL SCANNING &amp; MOBI</t>
  </si>
  <si>
    <t>BACO CONTR</t>
  </si>
  <si>
    <t>13027-1304</t>
  </si>
  <si>
    <t>BALDWINSVILLE</t>
  </si>
  <si>
    <t>BACO CONTROLS, INC.</t>
  </si>
  <si>
    <t>30096-5835</t>
  </si>
  <si>
    <t>DULUTH</t>
  </si>
  <si>
    <t>LEUZE ELECTRONIC, INC.</t>
  </si>
  <si>
    <t>07932-1408</t>
  </si>
  <si>
    <t>FLORHAM PARK</t>
  </si>
  <si>
    <t>LAPP USA, LLC</t>
  </si>
  <si>
    <t>APPLIED IN</t>
  </si>
  <si>
    <t>60673-1225</t>
  </si>
  <si>
    <t>APPLIED INDUSTRIAL TECHNO</t>
  </si>
  <si>
    <t>TMKG</t>
  </si>
  <si>
    <t>29651-6700</t>
  </si>
  <si>
    <t>GREER</t>
  </si>
  <si>
    <t>TMKG, INC.</t>
  </si>
  <si>
    <t>RBC BEARIN</t>
  </si>
  <si>
    <t>60674-0001</t>
  </si>
  <si>
    <t>RBC BEARINGS, INC.</t>
  </si>
  <si>
    <t>BIRCHER</t>
  </si>
  <si>
    <t>60193-4561</t>
  </si>
  <si>
    <t>SCHAUMBURG</t>
  </si>
  <si>
    <t>BIRCHER AMERICA INC - BBC</t>
  </si>
  <si>
    <t>23661-1800</t>
  </si>
  <si>
    <t>GRAYBAR ELECTRIC COMPANY,</t>
  </si>
  <si>
    <t>WOODWORKIN</t>
  </si>
  <si>
    <t>23608</t>
  </si>
  <si>
    <t>THE WOODWORKING SHOP, INC</t>
  </si>
  <si>
    <t>NUMINA</t>
  </si>
  <si>
    <t>60517-5099</t>
  </si>
  <si>
    <t>WOODRIDGE</t>
  </si>
  <si>
    <t>NUMINA GROUP INCORPORATED</t>
  </si>
  <si>
    <t>EPLAN</t>
  </si>
  <si>
    <t>48335-2812</t>
  </si>
  <si>
    <t>FARMINGTON</t>
  </si>
  <si>
    <t> EPLAN SOFTWARE &amp; SERVICE</t>
  </si>
  <si>
    <t>MAINFREIGH</t>
  </si>
  <si>
    <t>90746-4030</t>
  </si>
  <si>
    <t>CARSON</t>
  </si>
  <si>
    <t>MAINFREIGHT, INC.</t>
  </si>
  <si>
    <t>AERO RUBBE</t>
  </si>
  <si>
    <t>60487-9201</t>
  </si>
  <si>
    <t>TINLEY PARK</t>
  </si>
  <si>
    <t>AERO RUBBER COMPANY, INC.</t>
  </si>
  <si>
    <t>28273-6793</t>
  </si>
  <si>
    <t>MIAS, INC.</t>
  </si>
  <si>
    <t>ALL BLUE</t>
  </si>
  <si>
    <t>75201-3206</t>
  </si>
  <si>
    <t>ALL BLUE SOLUTIONS INC. D</t>
  </si>
  <si>
    <t>VMWARE</t>
  </si>
  <si>
    <t>94304-1383</t>
  </si>
  <si>
    <t>PALO ALTO</t>
  </si>
  <si>
    <t>VMWARE, INC</t>
  </si>
  <si>
    <t>PATTI ENGI</t>
  </si>
  <si>
    <t>48326-1969</t>
  </si>
  <si>
    <t>AUBURN HILLS</t>
  </si>
  <si>
    <t>PATTI ENGINEERING INC.</t>
  </si>
  <si>
    <t>BRECO FLEX</t>
  </si>
  <si>
    <t>07724-2206</t>
  </si>
  <si>
    <t>EATONTOWN</t>
  </si>
  <si>
    <t>BRECOFLEX CO., LLC</t>
  </si>
  <si>
    <t>PFANNEBBER</t>
  </si>
  <si>
    <t>14086-9779</t>
  </si>
  <si>
    <t>PFANNENBERG INC.</t>
  </si>
  <si>
    <t>COASTAL SE</t>
  </si>
  <si>
    <t>23452-7816</t>
  </si>
  <si>
    <t>VIRGINIA BEACH</t>
  </si>
  <si>
    <t>SUPERIOR SECURITY, INC.</t>
  </si>
  <si>
    <t>60673-1280</t>
  </si>
  <si>
    <t>UPS SUPPLY CHAIN SOLUTION</t>
  </si>
  <si>
    <t>GD</t>
  </si>
  <si>
    <t>23320-3631</t>
  </si>
  <si>
    <t>GD ENTERPRISES LLC</t>
  </si>
  <si>
    <t>AGILE BUSI</t>
  </si>
  <si>
    <t>02760-6302</t>
  </si>
  <si>
    <t>NORTH ATTLEBORO</t>
  </si>
  <si>
    <t>AGILE BUSINESS MEDIA &amp; EV</t>
  </si>
  <si>
    <t>MHI</t>
  </si>
  <si>
    <t>28217-3992</t>
  </si>
  <si>
    <t>MATERIAL HANDLING INDUSTR</t>
  </si>
  <si>
    <t>STA*</t>
  </si>
  <si>
    <t>48922-0001</t>
  </si>
  <si>
    <t>LANSING</t>
  </si>
  <si>
    <t>STATE OF MICHIGAN MICHIGA</t>
  </si>
  <si>
    <t>SUNBELT</t>
  </si>
  <si>
    <t>30318-4224</t>
  </si>
  <si>
    <t>SUNBELT RENTALS, INC.</t>
  </si>
  <si>
    <t>78613-2215</t>
  </si>
  <si>
    <t>CEDAR PARK</t>
  </si>
  <si>
    <t>UNITED RENTAL INC</t>
  </si>
  <si>
    <t>ROCKWELL</t>
  </si>
  <si>
    <t>53204-2498</t>
  </si>
  <si>
    <t>ROCKWELL AUTOMATION, INC.</t>
  </si>
  <si>
    <t>TRANSYSTEM</t>
  </si>
  <si>
    <t>92121</t>
  </si>
  <si>
    <t>SAN DIEGO</t>
  </si>
  <si>
    <t>TRANSYSTEMS CORPORATION</t>
  </si>
  <si>
    <t>91109-7321</t>
  </si>
  <si>
    <t>PASADENA</t>
  </si>
  <si>
    <t>KAUSLAND</t>
  </si>
  <si>
    <t>23072-4507</t>
  </si>
  <si>
    <t>HAYES</t>
  </si>
  <si>
    <t>ARNE KAUSLAND CONSULTING</t>
  </si>
  <si>
    <t>KEVIN GILL</t>
  </si>
  <si>
    <t>23603-1350</t>
  </si>
  <si>
    <t>KGILLS CONSULTING LLC</t>
  </si>
  <si>
    <t>EIMAJ</t>
  </si>
  <si>
    <t>33470-2602</t>
  </si>
  <si>
    <t>LOXAHATCHEE</t>
  </si>
  <si>
    <t>EIMAJ SOFTWARE SOLUTIONS</t>
  </si>
  <si>
    <t>BRIAN WEST</t>
  </si>
  <si>
    <t>23508</t>
  </si>
  <si>
    <t>HMO GROUP</t>
  </si>
  <si>
    <t>45264-5438</t>
  </si>
  <si>
    <t>ANTHEM HMO GROUP</t>
  </si>
  <si>
    <t>NCC GROUP</t>
  </si>
  <si>
    <t>94105-5126</t>
  </si>
  <si>
    <t>SAN FRANCISCO</t>
  </si>
  <si>
    <t>NCC GROUP, INC.</t>
  </si>
  <si>
    <t>60693-0140</t>
  </si>
  <si>
    <t>AIR EXPRESS INTERNATIONAL</t>
  </si>
  <si>
    <t>19170-0001</t>
  </si>
  <si>
    <t>UPS - UNITED PARCEL SERVI</t>
  </si>
  <si>
    <t>VERIZON</t>
  </si>
  <si>
    <t>07101-0489</t>
  </si>
  <si>
    <t>NEWARK</t>
  </si>
  <si>
    <t>VERIZON WIRELESS</t>
  </si>
  <si>
    <t>ABF</t>
  </si>
  <si>
    <t>72903-5937</t>
  </si>
  <si>
    <t>FORT SMITH</t>
  </si>
  <si>
    <t>ABF FREIGHT SYSTEM, INC.</t>
  </si>
  <si>
    <t>LOUIS</t>
  </si>
  <si>
    <t>49331</t>
  </si>
  <si>
    <t>LOWELL</t>
  </si>
  <si>
    <t>LOUIS JOSEPH GLINZAK</t>
  </si>
  <si>
    <t>CANNON HEA</t>
  </si>
  <si>
    <t>23606-4541</t>
  </si>
  <si>
    <t>CANNON HEATING &amp; AIR COND</t>
  </si>
  <si>
    <t>PRETI</t>
  </si>
  <si>
    <t>04101-6420</t>
  </si>
  <si>
    <t>PORTLAND</t>
  </si>
  <si>
    <t>PRETI, FLAHERTY, BELIVEAU</t>
  </si>
  <si>
    <t>ZOOM INFOR</t>
  </si>
  <si>
    <t>02452-8413</t>
  </si>
  <si>
    <t>WALTHAM</t>
  </si>
  <si>
    <t>ZOOM INFORMATION, LLC</t>
  </si>
  <si>
    <t>WELLS FARG</t>
  </si>
  <si>
    <t>55480-7796</t>
  </si>
  <si>
    <t>WELLS FARGO FINANCIAL LEA</t>
  </si>
  <si>
    <t>AIRWAYS FR</t>
  </si>
  <si>
    <t>72704-5734</t>
  </si>
  <si>
    <t>FAYETTEVILLE</t>
  </si>
  <si>
    <t>AIRWAYS FREIGHT CORPORATI</t>
  </si>
  <si>
    <t>IPLACE</t>
  </si>
  <si>
    <t>22102</t>
  </si>
  <si>
    <t>MCLEAN</t>
  </si>
  <si>
    <t>IPLACE USA, INC</t>
  </si>
  <si>
    <t>MAGIC HOUR</t>
  </si>
  <si>
    <t>46220-1131</t>
  </si>
  <si>
    <t>MAGIC HOUR PRODUCTIONS IN</t>
  </si>
  <si>
    <t>BOX</t>
  </si>
  <si>
    <t>94063-1837</t>
  </si>
  <si>
    <t>REDWOOD CITY</t>
  </si>
  <si>
    <t>BOX, INC.</t>
  </si>
  <si>
    <t>BRIAN JEFF</t>
  </si>
  <si>
    <t>23321-4456</t>
  </si>
  <si>
    <t>BRIAN JEFFERSON, LLC</t>
  </si>
  <si>
    <t>EEC</t>
  </si>
  <si>
    <t>27603-2755</t>
  </si>
  <si>
    <t>ELECTRICAL EQUIPMENT COMP</t>
  </si>
  <si>
    <t>INTEGRO</t>
  </si>
  <si>
    <t>28144-4900</t>
  </si>
  <si>
    <t>SALISBURY</t>
  </si>
  <si>
    <t>INTEGRO TECHNOLOGIES CORP</t>
  </si>
  <si>
    <t>77494-7917</t>
  </si>
  <si>
    <t>KATY</t>
  </si>
  <si>
    <t>VAHLE INC.</t>
  </si>
  <si>
    <t>WULFTEC IN</t>
  </si>
  <si>
    <t>05830-8889</t>
  </si>
  <si>
    <t>DERBY LINE</t>
  </si>
  <si>
    <t>WULFTEC INTERNATIONAL, IN</t>
  </si>
  <si>
    <t>55987-9902</t>
  </si>
  <si>
    <t>WINONA</t>
  </si>
  <si>
    <t>FASTENAL COMPANY</t>
  </si>
  <si>
    <t>60441</t>
  </si>
  <si>
    <t>LOCKPORT</t>
  </si>
  <si>
    <t>AXELENT INC.</t>
  </si>
  <si>
    <t>CDW DIRECT</t>
  </si>
  <si>
    <t>60061-1577</t>
  </si>
  <si>
    <t>VERNON HILLS</t>
  </si>
  <si>
    <t>CDW DIRECT, LLC</t>
  </si>
  <si>
    <t>ID</t>
  </si>
  <si>
    <t>76137-4037</t>
  </si>
  <si>
    <t>ID TECHNOLOGY LLC DBA PRO</t>
  </si>
  <si>
    <t>TIPTON</t>
  </si>
  <si>
    <t>38019-2531</t>
  </si>
  <si>
    <t>COVINGTON</t>
  </si>
  <si>
    <t>COUNTY OF TIPTON</t>
  </si>
  <si>
    <t>YASKAWA</t>
  </si>
  <si>
    <t>45342-4962</t>
  </si>
  <si>
    <t>MIAMISBURG</t>
  </si>
  <si>
    <t>YASKAWA AMERICA, INC.</t>
  </si>
  <si>
    <t>AGVE</t>
  </si>
  <si>
    <t>12210</t>
  </si>
  <si>
    <t>ALBANY, NY</t>
  </si>
  <si>
    <t>AGVE INTERNATIONAL LLC</t>
  </si>
  <si>
    <t>ON POINT L</t>
  </si>
  <si>
    <t>92374</t>
  </si>
  <si>
    <t>REDLANDS</t>
  </si>
  <si>
    <t>ON POINT LAND SURVEYING,</t>
  </si>
  <si>
    <t>STEELE</t>
  </si>
  <si>
    <t>53132</t>
  </si>
  <si>
    <t>FRANKLIN</t>
  </si>
  <si>
    <t>STEELE SOLUTION INC.</t>
  </si>
  <si>
    <t>ROBERT HAL</t>
  </si>
  <si>
    <t>94583-4289</t>
  </si>
  <si>
    <t>SAN RAMON</t>
  </si>
  <si>
    <t>ROBERT HALF, INC.</t>
  </si>
  <si>
    <t>MONTANA DE</t>
  </si>
  <si>
    <t>59601</t>
  </si>
  <si>
    <t>HELENA</t>
  </si>
  <si>
    <t>MONTANA DEPARTMENT OF REV</t>
  </si>
  <si>
    <t>INSIGHT DI</t>
  </si>
  <si>
    <t>85286-1930</t>
  </si>
  <si>
    <t>CHANDLER</t>
  </si>
  <si>
    <t>INSIGHT DIRECT USA, INC.</t>
  </si>
  <si>
    <t>NAYLOR</t>
  </si>
  <si>
    <t>22102-3023</t>
  </si>
  <si>
    <t>NAYLOR, LLC</t>
  </si>
  <si>
    <t>A&amp;B ENGINE</t>
  </si>
  <si>
    <t>A&amp;B ENGINEERING SERVICES,</t>
  </si>
  <si>
    <t>BREEGER</t>
  </si>
  <si>
    <t>23606-4537</t>
  </si>
  <si>
    <t>BREEGER PROPERTIES LLC</t>
  </si>
  <si>
    <t>GLOBAL COL</t>
  </si>
  <si>
    <t>GLOBAL COLD CHAIN PARTNER</t>
  </si>
  <si>
    <t>BAY DISPOS</t>
  </si>
  <si>
    <t>23523-2439</t>
  </si>
  <si>
    <t>BAY DISPOSAL, INC.</t>
  </si>
  <si>
    <t>GRAPHICS</t>
  </si>
  <si>
    <t>28752-5424</t>
  </si>
  <si>
    <t>MARION</t>
  </si>
  <si>
    <t>GRAPHICS WAREHOUSE</t>
  </si>
  <si>
    <t>LAND'S END</t>
  </si>
  <si>
    <t>53595-0001</t>
  </si>
  <si>
    <t>DODGEVILLE</t>
  </si>
  <si>
    <t>LANDS' END, INC. DBA LAND</t>
  </si>
  <si>
    <t>STEVEN JEN</t>
  </si>
  <si>
    <t>23612</t>
  </si>
  <si>
    <t>STEVEN JENSEN INC.</t>
  </si>
  <si>
    <t>CATALYST</t>
  </si>
  <si>
    <t>53158</t>
  </si>
  <si>
    <t>PLEASANT PRAIRIE</t>
  </si>
  <si>
    <t>CATALYST EXHIBITS INC</t>
  </si>
  <si>
    <t>VALLEE</t>
  </si>
  <si>
    <t>08755-6429</t>
  </si>
  <si>
    <t>TOMS RIVER</t>
  </si>
  <si>
    <t>VALLEE SURVEYING, INC.</t>
  </si>
  <si>
    <t>LAND ENGIN</t>
  </si>
  <si>
    <t>30253-6817</t>
  </si>
  <si>
    <t>MCDONOUGH</t>
  </si>
  <si>
    <t>LAND ENGINEERING, INC.</t>
  </si>
  <si>
    <t>AUTOMATED</t>
  </si>
  <si>
    <t>21017-1206</t>
  </si>
  <si>
    <t>BELCAMP</t>
  </si>
  <si>
    <t>AUTOMATED MOTION INC.</t>
  </si>
  <si>
    <t>BASTIUS</t>
  </si>
  <si>
    <t>46290-1068</t>
  </si>
  <si>
    <t>BASTIAN MATERIAL HANDLING</t>
  </si>
  <si>
    <t>D&amp;B PRECIS</t>
  </si>
  <si>
    <t>95361-9372</t>
  </si>
  <si>
    <t>OAKDALE</t>
  </si>
  <si>
    <t>D&amp;B PRECISION SHEET METAL</t>
  </si>
  <si>
    <t>HILL ELECT</t>
  </si>
  <si>
    <t>29621-6827</t>
  </si>
  <si>
    <t>ANDERSON</t>
  </si>
  <si>
    <t>HILL ELECTRIC COMPANY, IN</t>
  </si>
  <si>
    <t>30265-1006</t>
  </si>
  <si>
    <t>NEWNAN</t>
  </si>
  <si>
    <t>GRENZEBACH CORPORATION</t>
  </si>
  <si>
    <t>PIQUA STEE</t>
  </si>
  <si>
    <t>45356-9334</t>
  </si>
  <si>
    <t>PIQUA</t>
  </si>
  <si>
    <t>PIQUA STEEL COMPANY, INC.</t>
  </si>
  <si>
    <t>FULL SOURC</t>
  </si>
  <si>
    <t>32256-4121</t>
  </si>
  <si>
    <t>JACKSONVILLE</t>
  </si>
  <si>
    <t>FULL SOURCE, LLC</t>
  </si>
  <si>
    <t>PT</t>
  </si>
  <si>
    <t>28273</t>
  </si>
  <si>
    <t>P.T. INTERNATIONAL CORP.</t>
  </si>
  <si>
    <t>IRIS</t>
  </si>
  <si>
    <t>94551-5148</t>
  </si>
  <si>
    <t>LIVERMORE</t>
  </si>
  <si>
    <t>IRIS ELECTRONICS, INC</t>
  </si>
  <si>
    <t>RICOH</t>
  </si>
  <si>
    <t>19182-7577</t>
  </si>
  <si>
    <t>EXTON</t>
  </si>
  <si>
    <t>RICOH USA INC</t>
  </si>
  <si>
    <t>CLEAR WAVE</t>
  </si>
  <si>
    <t>95356-9009</t>
  </si>
  <si>
    <t>MODESTO</t>
  </si>
  <si>
    <t>CLEAR WAVE SOFTWARE, INC.</t>
  </si>
  <si>
    <t>PORTABLE P</t>
  </si>
  <si>
    <t>76092-9145</t>
  </si>
  <si>
    <t>SOUTHLAKE</t>
  </si>
  <si>
    <t>PORTABLE POWER SYSTEMS, I</t>
  </si>
  <si>
    <t>STATURE EL</t>
  </si>
  <si>
    <t>13601-1090</t>
  </si>
  <si>
    <t>WATERTOWN</t>
  </si>
  <si>
    <t>STATURE ELECTRIC, INC</t>
  </si>
  <si>
    <t>*HEAR*</t>
  </si>
  <si>
    <t>66224-4536</t>
  </si>
  <si>
    <t>LEAWOOD</t>
  </si>
  <si>
    <t>HEARTLAND SERVICES, INC.</t>
  </si>
  <si>
    <t>95765-1228</t>
  </si>
  <si>
    <t>ROCKLIN</t>
  </si>
  <si>
    <t>GALIL MOTION CONTROL INC</t>
  </si>
  <si>
    <t>RINGFEDER</t>
  </si>
  <si>
    <t>06043-7252</t>
  </si>
  <si>
    <t>BOLTON</t>
  </si>
  <si>
    <t>RINGFEDER POWER TRANSMISS</t>
  </si>
  <si>
    <t>19425-9506</t>
  </si>
  <si>
    <t>CHESTER SPRINGS</t>
  </si>
  <si>
    <t>LASER-VIEW TECHNOLOGIES,</t>
  </si>
  <si>
    <t>DURABELT</t>
  </si>
  <si>
    <t>43026-8990</t>
  </si>
  <si>
    <t>HILLIARD</t>
  </si>
  <si>
    <t>DURA-BELT, INC.</t>
  </si>
  <si>
    <t>01581</t>
  </si>
  <si>
    <t>WESTBOROUGH</t>
  </si>
  <si>
    <t>NEC ENERGY SOLUTIONS, INC</t>
  </si>
  <si>
    <t>SUNRAY</t>
  </si>
  <si>
    <t>28139-6322</t>
  </si>
  <si>
    <t>RUTHERFORDTON</t>
  </si>
  <si>
    <t>SUNRAY INC</t>
  </si>
  <si>
    <t>ALLIED MOT</t>
  </si>
  <si>
    <t>14228-2311</t>
  </si>
  <si>
    <t>AMHERST</t>
  </si>
  <si>
    <t>ALLIENT, INC. - ALLIED MO</t>
  </si>
  <si>
    <t>QUALITY TR</t>
  </si>
  <si>
    <t>95035-6392</t>
  </si>
  <si>
    <t>MILPITAS</t>
  </si>
  <si>
    <t>QUALITY TRANSFORMER &amp; ELE</t>
  </si>
  <si>
    <t>A-1 JAY'S</t>
  </si>
  <si>
    <t>95131-1414</t>
  </si>
  <si>
    <t>SAN JOSE</t>
  </si>
  <si>
    <t>A-1 JAY'S MACHINING, INC.</t>
  </si>
  <si>
    <t>FAHLGREN</t>
  </si>
  <si>
    <t>43219-7012</t>
  </si>
  <si>
    <t>COLUMBUS</t>
  </si>
  <si>
    <t>FAHLGREN INC</t>
  </si>
  <si>
    <t>BARCODES</t>
  </si>
  <si>
    <t>60606-5088</t>
  </si>
  <si>
    <t>BARCODES INC.</t>
  </si>
  <si>
    <t>TPIA</t>
  </si>
  <si>
    <t>75050-7117</t>
  </si>
  <si>
    <t>GRAND PRAIRIE</t>
  </si>
  <si>
    <t>T.P.I.A. LLC</t>
  </si>
  <si>
    <t>07110-3400</t>
  </si>
  <si>
    <t>NUTLEY</t>
  </si>
  <si>
    <t>PNC, INC.</t>
  </si>
  <si>
    <t>TRANSFER P</t>
  </si>
  <si>
    <t>38401-7112</t>
  </si>
  <si>
    <t>TRANSFER PRICING FUNDAMEN</t>
  </si>
  <si>
    <t>CALJAN</t>
  </si>
  <si>
    <t>53051-2328</t>
  </si>
  <si>
    <t>MENOMONEE FALLS</t>
  </si>
  <si>
    <t>CALJAN INC.</t>
  </si>
  <si>
    <t>PRO*</t>
  </si>
  <si>
    <t>37086-3539</t>
  </si>
  <si>
    <t>LA VERGNE</t>
  </si>
  <si>
    <t>PRO CHARGING SYSTEMS, LLC</t>
  </si>
  <si>
    <t>OMNI METAL</t>
  </si>
  <si>
    <t>49707-7923</t>
  </si>
  <si>
    <t>ALPENA</t>
  </si>
  <si>
    <t>OMNI METALCRAFT CORP.</t>
  </si>
  <si>
    <t>PLEIGER PL</t>
  </si>
  <si>
    <t>15301-6114</t>
  </si>
  <si>
    <t>PLEIGER PLASTICS COMPANY</t>
  </si>
  <si>
    <t>NORTHWEST</t>
  </si>
  <si>
    <t>97222-8824</t>
  </si>
  <si>
    <t>MILWAUKIE</t>
  </si>
  <si>
    <t>NORTHWEST POWER, INC.</t>
  </si>
  <si>
    <t>DASI</t>
  </si>
  <si>
    <t>48342</t>
  </si>
  <si>
    <t>PONTIAC</t>
  </si>
  <si>
    <t>DASI SOLUTIONS</t>
  </si>
  <si>
    <t>SHO</t>
  </si>
  <si>
    <t>95037</t>
  </si>
  <si>
    <t>MORGAN HILL</t>
  </si>
  <si>
    <t>SHORAI, INC.</t>
  </si>
  <si>
    <t>COTUMEDIA</t>
  </si>
  <si>
    <t>90802</t>
  </si>
  <si>
    <t>LONG BEACH, CA</t>
  </si>
  <si>
    <t>CENTER OF THE UNIVERSE PR</t>
  </si>
  <si>
    <t>MISUMI USA</t>
  </si>
  <si>
    <t>60173-5482</t>
  </si>
  <si>
    <t>MISUMI USA, INC.</t>
  </si>
  <si>
    <t>A.P. DATA</t>
  </si>
  <si>
    <t>30041-6482</t>
  </si>
  <si>
    <t>AP DATAWEIGH, INC.</t>
  </si>
  <si>
    <t>ADVANTECH</t>
  </si>
  <si>
    <t>45242-3743</t>
  </si>
  <si>
    <t>BLUE ASH</t>
  </si>
  <si>
    <t>ADVANTECH CORPORATION</t>
  </si>
  <si>
    <t>45011-9109</t>
  </si>
  <si>
    <t>FAIRFIELD</t>
  </si>
  <si>
    <t>ALBA MANUFACTURING, INC</t>
  </si>
  <si>
    <t>BACHMANS</t>
  </si>
  <si>
    <t>45103-2586</t>
  </si>
  <si>
    <t>BATAVIA</t>
  </si>
  <si>
    <t>BACHMAN'S, INC</t>
  </si>
  <si>
    <t>CAFCO</t>
  </si>
  <si>
    <t>45237-5009</t>
  </si>
  <si>
    <t>CINCINNATI AIR FILTER SAL</t>
  </si>
  <si>
    <t>CBT</t>
  </si>
  <si>
    <t>BELTING COMPANY OF CINCIN</t>
  </si>
  <si>
    <t>CONTRACTOS</t>
  </si>
  <si>
    <t>95827-1703</t>
  </si>
  <si>
    <t>CONTRACTORS STATE LICENSE</t>
  </si>
  <si>
    <t>CONTROL</t>
  </si>
  <si>
    <t>40511</t>
  </si>
  <si>
    <t>CONTROL POWER &amp; MAINTENAN</t>
  </si>
  <si>
    <t>CONVEYOR S</t>
  </si>
  <si>
    <t>41015-9309</t>
  </si>
  <si>
    <t>CONVEYOR SERVICES, INC.</t>
  </si>
  <si>
    <t>DEHNCO</t>
  </si>
  <si>
    <t>60010-4193</t>
  </si>
  <si>
    <t>BARRINGTON</t>
  </si>
  <si>
    <t>DEHNCO EQUIPMENT &amp; SUPPLI</t>
  </si>
  <si>
    <t>49505-6098</t>
  </si>
  <si>
    <t>GRAND RAPIDS</t>
  </si>
  <si>
    <t>DEMATIC CORPORATION</t>
  </si>
  <si>
    <t>FASTRAK SO</t>
  </si>
  <si>
    <t>53224-9003</t>
  </si>
  <si>
    <t>FASTRAK SOFTWORKS INC</t>
  </si>
  <si>
    <t>DBA FORTE</t>
  </si>
  <si>
    <t>45040</t>
  </si>
  <si>
    <t>FORTE INVESTMENTS, LLC. E</t>
  </si>
  <si>
    <t>HEARTLAND</t>
  </si>
  <si>
    <t>48040-1978</t>
  </si>
  <si>
    <t>MARYSVILLE</t>
  </si>
  <si>
    <t>HEARTLAND ENGINEERED PROD</t>
  </si>
  <si>
    <t>KANAWHA SC</t>
  </si>
  <si>
    <t>25159-7501</t>
  </si>
  <si>
    <t>POCA</t>
  </si>
  <si>
    <t>KANAWHA SCALES &amp; SYSTEMS,</t>
  </si>
  <si>
    <t>KENTUCKY</t>
  </si>
  <si>
    <t>40601-4326</t>
  </si>
  <si>
    <t>FRANKFORT</t>
  </si>
  <si>
    <t>KENTUCKY STATE TREASURER</t>
  </si>
  <si>
    <t>LANTECH</t>
  </si>
  <si>
    <t>60122-8001</t>
  </si>
  <si>
    <t>CAROL STREAM</t>
  </si>
  <si>
    <t>LANTECH, INC.</t>
  </si>
  <si>
    <t>MATTHEWS</t>
  </si>
  <si>
    <t>15212-5851</t>
  </si>
  <si>
    <t>MATTHEWS INTERNATIONAL CO</t>
  </si>
  <si>
    <t>LOGITECH,</t>
  </si>
  <si>
    <t>43123-9524</t>
  </si>
  <si>
    <t>GROVE CITY</t>
  </si>
  <si>
    <t>LOGITECH, INC.</t>
  </si>
  <si>
    <t>OPEX</t>
  </si>
  <si>
    <t>08057-4234</t>
  </si>
  <si>
    <t>OPEX CORPORATION</t>
  </si>
  <si>
    <t>PITNEY</t>
  </si>
  <si>
    <t>15212-5152</t>
  </si>
  <si>
    <t>PITNEY BOWES INC.</t>
  </si>
  <si>
    <t>PROGRAPHIC</t>
  </si>
  <si>
    <t>45212-3302</t>
  </si>
  <si>
    <t>BRENT CARTER ENTERPRISES,</t>
  </si>
  <si>
    <t>RYSON INTE</t>
  </si>
  <si>
    <t>23692-5006</t>
  </si>
  <si>
    <t>YORKTOWN</t>
  </si>
  <si>
    <t>RYSON INTERNATIONAL, INC</t>
  </si>
  <si>
    <t>SILCO FIRE</t>
  </si>
  <si>
    <t>45241-3112</t>
  </si>
  <si>
    <t>BRAKEFIRE, INC. - SILCO F</t>
  </si>
  <si>
    <t>T.R. GEAR</t>
  </si>
  <si>
    <t>45014-4223</t>
  </si>
  <si>
    <t>T. R. GEAR LANDSCAPING, I</t>
  </si>
  <si>
    <t>49546-7087</t>
  </si>
  <si>
    <t>TGW SYSTEMS INC.</t>
  </si>
  <si>
    <t>TRITRONIC</t>
  </si>
  <si>
    <t>33634-2419</t>
  </si>
  <si>
    <t>TAMPA</t>
  </si>
  <si>
    <t>TRI-TRONICS COMPANY, INC.</t>
  </si>
  <si>
    <t>TURNER</t>
  </si>
  <si>
    <t>45068-9420</t>
  </si>
  <si>
    <t>WAYNESVILLE</t>
  </si>
  <si>
    <t>TURNER SERVICES,LLC</t>
  </si>
  <si>
    <t>WARREN</t>
  </si>
  <si>
    <t>45036</t>
  </si>
  <si>
    <t>LEBANON</t>
  </si>
  <si>
    <t>WARREN COUNTY TREASURER</t>
  </si>
  <si>
    <t>WEST</t>
  </si>
  <si>
    <t>49512-9654</t>
  </si>
  <si>
    <t>WEST MICHIGAN TAG AND LAB</t>
  </si>
  <si>
    <t>WSS</t>
  </si>
  <si>
    <t>40517-4060</t>
  </si>
  <si>
    <t>WSS SOFTWARE, INC</t>
  </si>
  <si>
    <t>E&amp;M</t>
  </si>
  <si>
    <t>95448-4438</t>
  </si>
  <si>
    <t>HEALDSBURG</t>
  </si>
  <si>
    <t>E &amp; M ELECTRIC AND MACHIN</t>
  </si>
  <si>
    <t>THERMO</t>
  </si>
  <si>
    <t>55433-8005</t>
  </si>
  <si>
    <t>THERMO RAMSEY LLC</t>
  </si>
  <si>
    <t>MATERIAL H</t>
  </si>
  <si>
    <t>27560-8792</t>
  </si>
  <si>
    <t>MORRISVILLE</t>
  </si>
  <si>
    <t>MATERIAL HANDLING TECHNOL</t>
  </si>
  <si>
    <t>CREATIVE I</t>
  </si>
  <si>
    <t>15473-1005</t>
  </si>
  <si>
    <t>PERRYOPOLIS</t>
  </si>
  <si>
    <t>CREATIVE INDUSTRIAL SYSTE</t>
  </si>
  <si>
    <t>MILLENIUM</t>
  </si>
  <si>
    <t>35022-5656</t>
  </si>
  <si>
    <t>BESSEMER</t>
  </si>
  <si>
    <t>MILLENNIUM, INC.</t>
  </si>
  <si>
    <t>DIR*</t>
  </si>
  <si>
    <t>92865-2003</t>
  </si>
  <si>
    <t>ORANGE</t>
  </si>
  <si>
    <t>DIRECT DRIVES AND CONTROL</t>
  </si>
  <si>
    <t>INCONTACT</t>
  </si>
  <si>
    <t>84070-5528</t>
  </si>
  <si>
    <t>SANDY</t>
  </si>
  <si>
    <t>INCONTACT, INC.</t>
  </si>
  <si>
    <t>ELECTRICAL</t>
  </si>
  <si>
    <t>95678-6305</t>
  </si>
  <si>
    <t>ROSEVILLE</t>
  </si>
  <si>
    <t>ELECTRICAL DESIGN &amp; MOTOR</t>
  </si>
  <si>
    <t>OCEANEERIN</t>
  </si>
  <si>
    <t>21076-1553</t>
  </si>
  <si>
    <t>OCEANEERING INTERNATIONAL</t>
  </si>
  <si>
    <t>MASTER MAC</t>
  </si>
  <si>
    <t>23605-3219</t>
  </si>
  <si>
    <t>MASTER MACHINE &amp; TOOL CO.</t>
  </si>
  <si>
    <t>PRIMUS BUI</t>
  </si>
  <si>
    <t>30189-3672</t>
  </si>
  <si>
    <t>PRIMUS BUILDERS, INC.</t>
  </si>
  <si>
    <t>CUSTOM WAS</t>
  </si>
  <si>
    <t>37128-4162</t>
  </si>
  <si>
    <t>MURFREESBORO</t>
  </si>
  <si>
    <t>CUSTOM WASH SOLUTIONS, LL</t>
  </si>
  <si>
    <t>BW INTEGRA</t>
  </si>
  <si>
    <t>60446-3900</t>
  </si>
  <si>
    <t>ROMEOVILLE</t>
  </si>
  <si>
    <t>BW INTEGRATED SYSTEMS, LL</t>
  </si>
  <si>
    <t>WSP</t>
  </si>
  <si>
    <t>54229-9508</t>
  </si>
  <si>
    <t>GREEN BAY</t>
  </si>
  <si>
    <t>W-S PACKAGING GROUP INC</t>
  </si>
  <si>
    <t>U.S. BANK</t>
  </si>
  <si>
    <t>56258</t>
  </si>
  <si>
    <t>MARSHALL</t>
  </si>
  <si>
    <t>U.S. BANK EQUIPMENT FINAN</t>
  </si>
  <si>
    <t>45103-3247</t>
  </si>
  <si>
    <t>MILACRON MARKETING COMPAN</t>
  </si>
  <si>
    <t>SIGMA SUPP</t>
  </si>
  <si>
    <t>71913-8410</t>
  </si>
  <si>
    <t>HOT SPRINGS</t>
  </si>
  <si>
    <t>SIGMA SUPPLY OF NORTH AME</t>
  </si>
  <si>
    <t>P.E. USA</t>
  </si>
  <si>
    <t>45241-1580</t>
  </si>
  <si>
    <t>P.E. USA, LLC</t>
  </si>
  <si>
    <t>95354-0701</t>
  </si>
  <si>
    <t>MODESTO IRRIGATION DI STR</t>
  </si>
  <si>
    <t>MICROSOFT;</t>
  </si>
  <si>
    <t>98052-8300</t>
  </si>
  <si>
    <t>REDMOND</t>
  </si>
  <si>
    <t>MICROSOFT CORPORATION</t>
  </si>
  <si>
    <t>ILLINOIS TOOL WORKS INC.</t>
  </si>
  <si>
    <t>TELEDYNAMI</t>
  </si>
  <si>
    <t>07082-1025</t>
  </si>
  <si>
    <t>NEW JERSEY</t>
  </si>
  <si>
    <t>TELEDYNAMICS, LLC</t>
  </si>
  <si>
    <t>SEALCON</t>
  </si>
  <si>
    <t>80112-4221</t>
  </si>
  <si>
    <t>CENTENNIAL</t>
  </si>
  <si>
    <t>SEALCON LLC</t>
  </si>
  <si>
    <t>QUANTUM</t>
  </si>
  <si>
    <t>92807-1807</t>
  </si>
  <si>
    <t>ANAHEIM</t>
  </si>
  <si>
    <t>QUANTUM AUTOMATION</t>
  </si>
  <si>
    <t>WEST STEEL</t>
  </si>
  <si>
    <t>95380-5108</t>
  </si>
  <si>
    <t>TURLOCK</t>
  </si>
  <si>
    <t>WEST STEEL &amp; PLASTICS INC</t>
  </si>
  <si>
    <t>WAREHOUSE</t>
  </si>
  <si>
    <t>02886-2531</t>
  </si>
  <si>
    <t>WARWICK</t>
  </si>
  <si>
    <t>WAREHOUSE CABLES, LLC</t>
  </si>
  <si>
    <t>02556-2821</t>
  </si>
  <si>
    <t>NORTH FALMOUTH</t>
  </si>
  <si>
    <t>TELEDYNE INSTRUMENTS, INC</t>
  </si>
  <si>
    <t>TEK SYSTEM</t>
  </si>
  <si>
    <t>21076-1112</t>
  </si>
  <si>
    <t>TEKSYSTEMS INC</t>
  </si>
  <si>
    <t>ACC*</t>
  </si>
  <si>
    <t>07027-1090</t>
  </si>
  <si>
    <t>GARWOOD</t>
  </si>
  <si>
    <t>ACCURATE BUSHING COMPANY</t>
  </si>
  <si>
    <t>APEX ENGIN</t>
  </si>
  <si>
    <t>98409-7420</t>
  </si>
  <si>
    <t>TACOMA</t>
  </si>
  <si>
    <t>APEX ENGINEERING PLLC</t>
  </si>
  <si>
    <t>SMARTSHEET</t>
  </si>
  <si>
    <t>98004</t>
  </si>
  <si>
    <t>BELLEVUE</t>
  </si>
  <si>
    <t>SMARTSHEET INC</t>
  </si>
  <si>
    <t>VOELKER</t>
  </si>
  <si>
    <t>45005-1819</t>
  </si>
  <si>
    <t>VOELKER CONTROLS COMPANY</t>
  </si>
  <si>
    <t>VACO</t>
  </si>
  <si>
    <t>37027-7682</t>
  </si>
  <si>
    <t>BRENTWOOD</t>
  </si>
  <si>
    <t>VACO LLC</t>
  </si>
  <si>
    <t>MALLARD</t>
  </si>
  <si>
    <t>61081-1217</t>
  </si>
  <si>
    <t>STERLING</t>
  </si>
  <si>
    <t>MALLARD HANDLING SOLUTION</t>
  </si>
  <si>
    <t>EDMUND OPT</t>
  </si>
  <si>
    <t>08007-1380</t>
  </si>
  <si>
    <t>EDMUND OPTICS, INC.</t>
  </si>
  <si>
    <t>DIGICERT</t>
  </si>
  <si>
    <t>84043-5803</t>
  </si>
  <si>
    <t>LEHI</t>
  </si>
  <si>
    <t>DIGICERT, INC.</t>
  </si>
  <si>
    <t>CABLE</t>
  </si>
  <si>
    <t>94539-8203</t>
  </si>
  <si>
    <t>FREMONT</t>
  </si>
  <si>
    <t>CABLE CONNECTION INC</t>
  </si>
  <si>
    <t>DB ROBERTS</t>
  </si>
  <si>
    <t>27616-6678</t>
  </si>
  <si>
    <t>D.B. ROBERTS, INC.</t>
  </si>
  <si>
    <t>NERAK</t>
  </si>
  <si>
    <t>12524-2423</t>
  </si>
  <si>
    <t>FISHKILL</t>
  </si>
  <si>
    <t>NERAK SYSTEMS INC.</t>
  </si>
  <si>
    <t>AIRLINE HY</t>
  </si>
  <si>
    <t>19020-5896</t>
  </si>
  <si>
    <t>BENSALEM</t>
  </si>
  <si>
    <t>AIRLINE HYDRAULICS CORPOR</t>
  </si>
  <si>
    <t>GREAT AMER</t>
  </si>
  <si>
    <t>75207</t>
  </si>
  <si>
    <t>GREAT AMERICA FINANCIAL S</t>
  </si>
  <si>
    <t>FMLASOURCE</t>
  </si>
  <si>
    <t>60611-5322</t>
  </si>
  <si>
    <t>FMLASOURCE, INC.</t>
  </si>
  <si>
    <t>WEST-CAMP</t>
  </si>
  <si>
    <t>43081-1463</t>
  </si>
  <si>
    <t>WESTERVILLE</t>
  </si>
  <si>
    <t>WEST-CAMP PRESS, INC.</t>
  </si>
  <si>
    <t>FLEXICELL INC.</t>
  </si>
  <si>
    <t>INTRALOX</t>
  </si>
  <si>
    <t>70123-5326</t>
  </si>
  <si>
    <t>NEW ORLEANS</t>
  </si>
  <si>
    <t>INTRALOX, LLC</t>
  </si>
  <si>
    <t>WINECRAFTE</t>
  </si>
  <si>
    <t>40214-2929</t>
  </si>
  <si>
    <t>LOUISVILLE</t>
  </si>
  <si>
    <t>WIRECRAFTERS, LLC</t>
  </si>
  <si>
    <t>INDIAN</t>
  </si>
  <si>
    <t>46204</t>
  </si>
  <si>
    <t>INDIANA SECRETARY OF STAT</t>
  </si>
  <si>
    <t>ACQUIRE AU</t>
  </si>
  <si>
    <t>46037-3822</t>
  </si>
  <si>
    <t>FISHERS</t>
  </si>
  <si>
    <t>ACQUIRE AUTOMATION, INC.</t>
  </si>
  <si>
    <t>GUS</t>
  </si>
  <si>
    <t>45249-4005</t>
  </si>
  <si>
    <t>GUS PERDIKAKIS ASSOCIATES</t>
  </si>
  <si>
    <t>IGLOO</t>
  </si>
  <si>
    <t>30319-1442</t>
  </si>
  <si>
    <t>IG IGLOO HOLDINGS, INC</t>
  </si>
  <si>
    <t>SCHMITT EL</t>
  </si>
  <si>
    <t>98801-1525</t>
  </si>
  <si>
    <t>WENATCHEE</t>
  </si>
  <si>
    <t>SCHMITT ELECTRIC INC.</t>
  </si>
  <si>
    <t>NATIONWIDE</t>
  </si>
  <si>
    <t>40299-4851</t>
  </si>
  <si>
    <t>NATIONWIDE SERVICES, LLC</t>
  </si>
  <si>
    <t>PRIME CONV</t>
  </si>
  <si>
    <t>46410-7114</t>
  </si>
  <si>
    <t>MERRILLVILLE</t>
  </si>
  <si>
    <t>PRIME CONVEYOR, INC.</t>
  </si>
  <si>
    <t>BABEL ENGI</t>
  </si>
  <si>
    <t>45247-6966</t>
  </si>
  <si>
    <t>BABEL ENGINEERING, LLC</t>
  </si>
  <si>
    <t>GLOBAL EQU</t>
  </si>
  <si>
    <t>60673-1298</t>
  </si>
  <si>
    <t>GLOBAL EQUIPMENT COMPANY</t>
  </si>
  <si>
    <t>HURON TECH</t>
  </si>
  <si>
    <t>49707-6910</t>
  </si>
  <si>
    <t>HURON TECHNOLOGY CORP.</t>
  </si>
  <si>
    <t>STEVEN ENG</t>
  </si>
  <si>
    <t>94080-6370</t>
  </si>
  <si>
    <t>SOUTH SAN FRANCISCO</t>
  </si>
  <si>
    <t>STEVEN ENGINEERING, INC.</t>
  </si>
  <si>
    <t>VAIA TECHN</t>
  </si>
  <si>
    <t>01581-2599</t>
  </si>
  <si>
    <t>VAIA TECHNOLOGIES LLC</t>
  </si>
  <si>
    <t>HELUKABEL</t>
  </si>
  <si>
    <t>60118-9413</t>
  </si>
  <si>
    <t>WEST DUNDEE</t>
  </si>
  <si>
    <t>HELUKABEL USA, INC.</t>
  </si>
  <si>
    <t>PACIFIC CO</t>
  </si>
  <si>
    <t>95119</t>
  </si>
  <si>
    <t>RSN COMM INC.</t>
  </si>
  <si>
    <t>APP TECH</t>
  </si>
  <si>
    <t>97501-7908</t>
  </si>
  <si>
    <t>MEDFORD</t>
  </si>
  <si>
    <t>APP TECH LLC</t>
  </si>
  <si>
    <t>CONVERGENC</t>
  </si>
  <si>
    <t>33609-1851</t>
  </si>
  <si>
    <t>CONVERGENCE TRAINING LLC</t>
  </si>
  <si>
    <t>SPICER</t>
  </si>
  <si>
    <t>48607-1286</t>
  </si>
  <si>
    <t>SAGINAW</t>
  </si>
  <si>
    <t>SPICER GROUP, INC.</t>
  </si>
  <si>
    <t>OGLETREE</t>
  </si>
  <si>
    <t>29615-4808</t>
  </si>
  <si>
    <t>OGLETREE, DEAKINS, NASH,</t>
  </si>
  <si>
    <t>CLARKSON I</t>
  </si>
  <si>
    <t>29303-4712</t>
  </si>
  <si>
    <t>SPARTANBURG</t>
  </si>
  <si>
    <t>CLARKSON INDUSTRIAL CONTR</t>
  </si>
  <si>
    <t>DURA</t>
  </si>
  <si>
    <t>43560-2384</t>
  </si>
  <si>
    <t>SYLVANIA</t>
  </si>
  <si>
    <t>DURA MAGNETICS, INC.</t>
  </si>
  <si>
    <t>MACGREGOR</t>
  </si>
  <si>
    <t>27612</t>
  </si>
  <si>
    <t>MACGREGOR PARTNERS, LLC</t>
  </si>
  <si>
    <t>PLANTWORKE</t>
  </si>
  <si>
    <t>23663-1449</t>
  </si>
  <si>
    <t>PLANTWORKE LLC</t>
  </si>
  <si>
    <t>LOLLIS</t>
  </si>
  <si>
    <t>29624-6237</t>
  </si>
  <si>
    <t>LOLLIS METALS INC.</t>
  </si>
  <si>
    <t>GORRONDONA</t>
  </si>
  <si>
    <t>76137</t>
  </si>
  <si>
    <t>GORRONDONA &amp; ASSOCIATES I</t>
  </si>
  <si>
    <t>JMARK</t>
  </si>
  <si>
    <t>65802</t>
  </si>
  <si>
    <t>JMARK BUSINESS SOLUTIONS,</t>
  </si>
  <si>
    <t>LOGISTYX</t>
  </si>
  <si>
    <t>60008-4703</t>
  </si>
  <si>
    <t>ROLLING MEADOWS</t>
  </si>
  <si>
    <t>LOGISTYX TECHNOLOGIES, LL</t>
  </si>
  <si>
    <t>60007-5514</t>
  </si>
  <si>
    <t>ELK GROVE VILLAGE</t>
  </si>
  <si>
    <t>HITACHI INDUSTRIAL EQUIPM</t>
  </si>
  <si>
    <t>INDUSTRIAL</t>
  </si>
  <si>
    <t>95658-9642</t>
  </si>
  <si>
    <t>NEWCASTLE</t>
  </si>
  <si>
    <t>INDUSTRIAL EQUIPMENT BUIL</t>
  </si>
  <si>
    <t>SANTA CLAR</t>
  </si>
  <si>
    <t>94502-8012</t>
  </si>
  <si>
    <t>ALAMEDA</t>
  </si>
  <si>
    <t>SANTA CLARA SYSTEMS INC.</t>
  </si>
  <si>
    <t>BECKUS</t>
  </si>
  <si>
    <t>29303</t>
  </si>
  <si>
    <t>SPARTANBURG SC</t>
  </si>
  <si>
    <t>BECK &amp; POLLITZER</t>
  </si>
  <si>
    <t>BARRY WEHM</t>
  </si>
  <si>
    <t>95661-4246</t>
  </si>
  <si>
    <t>BARRY-WEHMILLER DESIGN GR</t>
  </si>
  <si>
    <t>BREVETTI</t>
  </si>
  <si>
    <t>28217-3027</t>
  </si>
  <si>
    <t>BREVETTI INC. - BREVETTI</t>
  </si>
  <si>
    <t>PLURALSIGH</t>
  </si>
  <si>
    <t>84020-9858</t>
  </si>
  <si>
    <t>DRAPER</t>
  </si>
  <si>
    <t>PLURALSIGHT, LLC</t>
  </si>
  <si>
    <t>65105-3365</t>
  </si>
  <si>
    <t>BART MANUF</t>
  </si>
  <si>
    <t>94538</t>
  </si>
  <si>
    <t>BART MANUFACTURING,INC</t>
  </si>
  <si>
    <t>43215</t>
  </si>
  <si>
    <t>ELECTRICAL SPECIALISTS IN</t>
  </si>
  <si>
    <t>ADVANCE ST</t>
  </si>
  <si>
    <t>92649-1138</t>
  </si>
  <si>
    <t>HUNTINGTON BEACH</t>
  </si>
  <si>
    <t>J.C.M. INDUSTRIES, INC.</t>
  </si>
  <si>
    <t>INDIANA BR</t>
  </si>
  <si>
    <t>47302-3669</t>
  </si>
  <si>
    <t>MUNCIE</t>
  </si>
  <si>
    <t>INDIANA BRIDGE, INC.</t>
  </si>
  <si>
    <t>NIEDAX</t>
  </si>
  <si>
    <t>43228</t>
  </si>
  <si>
    <t>NIEDAX INC.</t>
  </si>
  <si>
    <t>95642-9767</t>
  </si>
  <si>
    <t>JACKSON</t>
  </si>
  <si>
    <t>PUSH, INC.</t>
  </si>
  <si>
    <t>IND*</t>
  </si>
  <si>
    <t>46933</t>
  </si>
  <si>
    <t>GAS CITY</t>
  </si>
  <si>
    <t>INDUSTRIAL MNTC SPECIALIS</t>
  </si>
  <si>
    <t>LINEAR DES</t>
  </si>
  <si>
    <t>95945</t>
  </si>
  <si>
    <t>GRASS VALLEY</t>
  </si>
  <si>
    <t>LINEAR DESIGN GROUP, INC.</t>
  </si>
  <si>
    <t>EMAINT</t>
  </si>
  <si>
    <t>34135-7222</t>
  </si>
  <si>
    <t>BONITA SPRINGS</t>
  </si>
  <si>
    <t>EMAINT ENTERPRISES LLC</t>
  </si>
  <si>
    <t>DESKTOP</t>
  </si>
  <si>
    <t>23219-3609</t>
  </si>
  <si>
    <t>DESKTOP SERVICE CENTER, I</t>
  </si>
  <si>
    <t>GIBBONS</t>
  </si>
  <si>
    <t>07102-5310</t>
  </si>
  <si>
    <t>GIBBONS P. C.</t>
  </si>
  <si>
    <t>J.W. KOEHL</t>
  </si>
  <si>
    <t>52804-2550</t>
  </si>
  <si>
    <t>DAVENPORT</t>
  </si>
  <si>
    <t>J.W. KOEHLER ELECTRIC, IN</t>
  </si>
  <si>
    <t>*INN*</t>
  </si>
  <si>
    <t>23452</t>
  </si>
  <si>
    <t>INNOVATIVE SYSTEMS &amp; SOLU</t>
  </si>
  <si>
    <t>MCGRATH</t>
  </si>
  <si>
    <t>94551-7806</t>
  </si>
  <si>
    <t>MCGRATH RENTCORP - MOBILE</t>
  </si>
  <si>
    <t>CINTAS FIR</t>
  </si>
  <si>
    <t>45263</t>
  </si>
  <si>
    <t>CINTAS CORPORATION NO. 2</t>
  </si>
  <si>
    <t>KS CONTROL</t>
  </si>
  <si>
    <t>29334</t>
  </si>
  <si>
    <t>DUNCAN</t>
  </si>
  <si>
    <t>KS CONTROL, INC.</t>
  </si>
  <si>
    <t>SINTEC</t>
  </si>
  <si>
    <t>28273-6055</t>
  </si>
  <si>
    <t>SINTEC US LIMITED, LLC</t>
  </si>
  <si>
    <t>TYMOFF + M</t>
  </si>
  <si>
    <t>23510-1108</t>
  </si>
  <si>
    <t>TYMOFF &amp; MOSS ARCHITECTS,</t>
  </si>
  <si>
    <t>INF</t>
  </si>
  <si>
    <t>23464-8408</t>
  </si>
  <si>
    <t>INFORMED DECISION LLC</t>
  </si>
  <si>
    <t>INTERROLL</t>
  </si>
  <si>
    <t>28405-7422</t>
  </si>
  <si>
    <t>WILMINGTON</t>
  </si>
  <si>
    <t>INTERROLL USA LLC</t>
  </si>
  <si>
    <t>TECATE IND</t>
  </si>
  <si>
    <t>92108-4400</t>
  </si>
  <si>
    <t>TECATE INDUSTRIES, INC DB</t>
  </si>
  <si>
    <t>ZENDESK</t>
  </si>
  <si>
    <t>94103</t>
  </si>
  <si>
    <t>ZENDESK, INC.</t>
  </si>
  <si>
    <t>QUALITY PE</t>
  </si>
  <si>
    <t>95361</t>
  </si>
  <si>
    <t>QUALITY PERCISION CNC INC</t>
  </si>
  <si>
    <t>PEOPLEREAD</t>
  </si>
  <si>
    <t>98402-5122</t>
  </si>
  <si>
    <t>PEOPLEREADY, INC.</t>
  </si>
  <si>
    <t>KELLEY</t>
  </si>
  <si>
    <t>47150-8816</t>
  </si>
  <si>
    <t>NEW ALBANY</t>
  </si>
  <si>
    <t>W. M. KELLEY CO., INC.</t>
  </si>
  <si>
    <t>JADAK</t>
  </si>
  <si>
    <t>13212</t>
  </si>
  <si>
    <t>NORTH SYRACUSE</t>
  </si>
  <si>
    <t>JADAK, A NOVANTA COMPANY</t>
  </si>
  <si>
    <t>RUDOLF CON</t>
  </si>
  <si>
    <t>23454-5608</t>
  </si>
  <si>
    <t>RUDOLF CONSTRUCTION PARTN</t>
  </si>
  <si>
    <t>ROGUE WAVE</t>
  </si>
  <si>
    <t>55401-1722</t>
  </si>
  <si>
    <t>ROGUE WAVE SOFTWARE, INC.</t>
  </si>
  <si>
    <t>3RD TEE</t>
  </si>
  <si>
    <t>23185-5562</t>
  </si>
  <si>
    <t>WILLIAMSBURG</t>
  </si>
  <si>
    <t>DL &amp; ASSOCIATES LLC</t>
  </si>
  <si>
    <t>TRU SERVIC</t>
  </si>
  <si>
    <t>53104</t>
  </si>
  <si>
    <t>BRISTOL</t>
  </si>
  <si>
    <t>TRU SERVICE GROUP, INC.</t>
  </si>
  <si>
    <t>SCHOELLER</t>
  </si>
  <si>
    <t>85338-5661</t>
  </si>
  <si>
    <t>GOODYEAR</t>
  </si>
  <si>
    <t>SCHOELLER ALLIBERT US, IN</t>
  </si>
  <si>
    <t>CROWN</t>
  </si>
  <si>
    <t>45869-1288</t>
  </si>
  <si>
    <t>NEW BREMEN</t>
  </si>
  <si>
    <t>CROWN EQUIPMENT CORPORATI</t>
  </si>
  <si>
    <t>SHANE RONA</t>
  </si>
  <si>
    <t>95304-5822</t>
  </si>
  <si>
    <t>TRACY</t>
  </si>
  <si>
    <t>BARBER SURVEYING, INC.</t>
  </si>
  <si>
    <t>KLÜBER</t>
  </si>
  <si>
    <t>03053-2008</t>
  </si>
  <si>
    <t>LONDONDERRY</t>
  </si>
  <si>
    <t>KLÜBER LUBRICATION NA LP</t>
  </si>
  <si>
    <t>ELIZABETH</t>
  </si>
  <si>
    <t>23606-2968</t>
  </si>
  <si>
    <t>LIZ MOORE &amp; ASSOCIATES, L</t>
  </si>
  <si>
    <t>*CAP*</t>
  </si>
  <si>
    <t>95670</t>
  </si>
  <si>
    <t>GOLD RIVER</t>
  </si>
  <si>
    <t>CAPITOL CRATING</t>
  </si>
  <si>
    <t>FASTSPRING</t>
  </si>
  <si>
    <t>93101-7501</t>
  </si>
  <si>
    <t>SANTA BARBARA</t>
  </si>
  <si>
    <t>BRIGHT MARKET, LLC - FAST</t>
  </si>
  <si>
    <t>OLYMPUS CO</t>
  </si>
  <si>
    <t>97062</t>
  </si>
  <si>
    <t>TUALATIN</t>
  </si>
  <si>
    <t>OLYMPUS CONTROLS CORP.</t>
  </si>
  <si>
    <t>BIHL</t>
  </si>
  <si>
    <t>49418</t>
  </si>
  <si>
    <t>GRANDVILLE</t>
  </si>
  <si>
    <t>BIHL &amp; WIEDEMANN, INC</t>
  </si>
  <si>
    <t>ASBECO</t>
  </si>
  <si>
    <t>30041</t>
  </si>
  <si>
    <t>MACROVEY LLC DBA ASBECO</t>
  </si>
  <si>
    <t>KORN</t>
  </si>
  <si>
    <t>55402-3716</t>
  </si>
  <si>
    <t>KORN FERRY (US)</t>
  </si>
  <si>
    <t>MIDWEST ST</t>
  </si>
  <si>
    <t>55374-9479</t>
  </si>
  <si>
    <t>ROGERS</t>
  </si>
  <si>
    <t>MIDWEST STEEL SUPPLY CO,</t>
  </si>
  <si>
    <t>BEL POWER</t>
  </si>
  <si>
    <t>95051-1301</t>
  </si>
  <si>
    <t>SANTA CLARA</t>
  </si>
  <si>
    <t>BEL POWER SOLUTIONS INC.</t>
  </si>
  <si>
    <t>CANDLEWOOD</t>
  </si>
  <si>
    <t>51106-4733</t>
  </si>
  <si>
    <t>SIOUX CITY</t>
  </si>
  <si>
    <t>CANDLEWOOD SUITES SOUTHER</t>
  </si>
  <si>
    <t>L-COM</t>
  </si>
  <si>
    <t>92614-6020</t>
  </si>
  <si>
    <t>IRVINE</t>
  </si>
  <si>
    <t>INFINITE ELECTRONICS INTE</t>
  </si>
  <si>
    <t>SEC</t>
  </si>
  <si>
    <t>23219-1936</t>
  </si>
  <si>
    <t>OFFICE OF THE SECRETARY O</t>
  </si>
  <si>
    <t>LADDER</t>
  </si>
  <si>
    <t>85338</t>
  </si>
  <si>
    <t>LADDER INDUSTRIES INC DBA</t>
  </si>
  <si>
    <t>AMERICAN</t>
  </si>
  <si>
    <t>46256-3977</t>
  </si>
  <si>
    <t>AMERICAN STRUCTUREPOINT,</t>
  </si>
  <si>
    <t>MIS</t>
  </si>
  <si>
    <t>05091-9795</t>
  </si>
  <si>
    <t>MANUFACTURING INFORMATION</t>
  </si>
  <si>
    <t>ASSEMBLY T</t>
  </si>
  <si>
    <t>95066-4260</t>
  </si>
  <si>
    <t>SCOTTS VALLEY</t>
  </si>
  <si>
    <t>ASSEMBLY TEK, INC.</t>
  </si>
  <si>
    <t>POWERMATIC</t>
  </si>
  <si>
    <t>94551-9354</t>
  </si>
  <si>
    <t>POWERMATIC ASSOCIATES INC</t>
  </si>
  <si>
    <t>ADDITIVE</t>
  </si>
  <si>
    <t>89118-2856</t>
  </si>
  <si>
    <t>LAS VEGAS</t>
  </si>
  <si>
    <t>ADDITIVE MANUFACTURING LL</t>
  </si>
  <si>
    <t>UNIFIED</t>
  </si>
  <si>
    <t>30339</t>
  </si>
  <si>
    <t>UNIFIED AV SYSTEMS, INC.</t>
  </si>
  <si>
    <t>ELMO MOTIO</t>
  </si>
  <si>
    <t>03060-3245</t>
  </si>
  <si>
    <t>NASHUA</t>
  </si>
  <si>
    <t>ELMO MOTION CONTROL,INC</t>
  </si>
  <si>
    <t>SOUTHERN F</t>
  </si>
  <si>
    <t>27127-8783</t>
  </si>
  <si>
    <t>WINSTON SALEM</t>
  </si>
  <si>
    <t>SOUTHERN FASTENERS AND SU</t>
  </si>
  <si>
    <t>R&amp;R</t>
  </si>
  <si>
    <t>29627-8836</t>
  </si>
  <si>
    <t>BELTON</t>
  </si>
  <si>
    <t>R &amp; R GOLF CART SERVICES</t>
  </si>
  <si>
    <t>M.C. DEAN</t>
  </si>
  <si>
    <t>22102-3471</t>
  </si>
  <si>
    <t>TYSONS</t>
  </si>
  <si>
    <t>M.C. DEAN INC.</t>
  </si>
  <si>
    <t>PRIORITY F</t>
  </si>
  <si>
    <t>23061-6201</t>
  </si>
  <si>
    <t>GLOUCESTER</t>
  </si>
  <si>
    <t>PRIORITY FIRE PROTECTION,</t>
  </si>
  <si>
    <t>DUNKERMOTO</t>
  </si>
  <si>
    <t>60056-6039</t>
  </si>
  <si>
    <t>MOUNT PROSPECT</t>
  </si>
  <si>
    <t>DUNKERMOTOREN USA, INC</t>
  </si>
  <si>
    <t>AMERICAN A</t>
  </si>
  <si>
    <t>10271-2700</t>
  </si>
  <si>
    <t>AMERICAN ARBITRATION ASSO</t>
  </si>
  <si>
    <t>ITAC</t>
  </si>
  <si>
    <t>23836-3120</t>
  </si>
  <si>
    <t>CHESTER</t>
  </si>
  <si>
    <t>INDUSTRIAL TURNAROUND COR</t>
  </si>
  <si>
    <t>75240-2611</t>
  </si>
  <si>
    <t>REXEL USA, INC.</t>
  </si>
  <si>
    <t>FLEXSIM SO</t>
  </si>
  <si>
    <t>84097-2395</t>
  </si>
  <si>
    <t>OREM</t>
  </si>
  <si>
    <t>FLEXSIM SOFTWARE PRODUCTS</t>
  </si>
  <si>
    <t>MEI RIGGIN</t>
  </si>
  <si>
    <t>97321-7421</t>
  </si>
  <si>
    <t>ALBANY</t>
  </si>
  <si>
    <t>MEI RIGGING &amp; CRATING, LL</t>
  </si>
  <si>
    <t>FACTORYMAT</t>
  </si>
  <si>
    <t>30114-5770</t>
  </si>
  <si>
    <t>CANTON</t>
  </si>
  <si>
    <t>FACTORYMATION, LLC</t>
  </si>
  <si>
    <t>LOGSYSTEMS</t>
  </si>
  <si>
    <t>29651-7181</t>
  </si>
  <si>
    <t>LOGSYSTEMS, INC.</t>
  </si>
  <si>
    <t>*BDT*</t>
  </si>
  <si>
    <t>63367-2117</t>
  </si>
  <si>
    <t>LAKE SAINT LOUIS</t>
  </si>
  <si>
    <t>BD TECHNICAL SERVICES LLC</t>
  </si>
  <si>
    <t>CORPSC</t>
  </si>
  <si>
    <t>19808-1674</t>
  </si>
  <si>
    <t>CORPORATION SERVICE COMPA</t>
  </si>
  <si>
    <t>CFT</t>
  </si>
  <si>
    <t>80002-3970</t>
  </si>
  <si>
    <t>ARVADA</t>
  </si>
  <si>
    <t>CRITICAL FACILITIES TECHN</t>
  </si>
  <si>
    <t>ALAN HALL</t>
  </si>
  <si>
    <t>23181-3432</t>
  </si>
  <si>
    <t>WEST POINT</t>
  </si>
  <si>
    <t>ALAN M. HALL - MARKCO ENG</t>
  </si>
  <si>
    <t>QUI</t>
  </si>
  <si>
    <t>36507</t>
  </si>
  <si>
    <t>BAY MINETTE</t>
  </si>
  <si>
    <t>QUINCY COMPRESSOR, LLC</t>
  </si>
  <si>
    <t>HINCKLEY A</t>
  </si>
  <si>
    <t>02903-2319</t>
  </si>
  <si>
    <t>HINCKLEY ALLEN &amp; SNYDER L</t>
  </si>
  <si>
    <t>QUA</t>
  </si>
  <si>
    <t>44060-4872</t>
  </si>
  <si>
    <t>MENTOR</t>
  </si>
  <si>
    <t>QUADREL, INC.</t>
  </si>
  <si>
    <t>INTERSTATE</t>
  </si>
  <si>
    <t>29306-6125</t>
  </si>
  <si>
    <t>INTERSTATE MECHANICAL &amp; M</t>
  </si>
  <si>
    <t>SIEMENS LO</t>
  </si>
  <si>
    <t>75261-4030</t>
  </si>
  <si>
    <t>DFW AIRPORT</t>
  </si>
  <si>
    <t>SIEMENS LOGISTICS LLC</t>
  </si>
  <si>
    <t>SCHRADER M</t>
  </si>
  <si>
    <t>95240-0740</t>
  </si>
  <si>
    <t>LODI</t>
  </si>
  <si>
    <t>SCHRADER MECHANICAL, INC.</t>
  </si>
  <si>
    <t>COYOTE</t>
  </si>
  <si>
    <t>30005-4123</t>
  </si>
  <si>
    <t>ALPHARETTA</t>
  </si>
  <si>
    <t>COYOTE LOGISTICS, LLC</t>
  </si>
  <si>
    <t>27409-9602</t>
  </si>
  <si>
    <t>GREENSBORO</t>
  </si>
  <si>
    <t>CARLTON GROUP, INC.</t>
  </si>
  <si>
    <t>OHI</t>
  </si>
  <si>
    <t>43017</t>
  </si>
  <si>
    <t>DUBLIN</t>
  </si>
  <si>
    <t>OHIO ELECTRIC MOTORS, INC</t>
  </si>
  <si>
    <t>LOGMEIN</t>
  </si>
  <si>
    <t>02210-1702</t>
  </si>
  <si>
    <t>BOSTON</t>
  </si>
  <si>
    <t>GOTO TECHNOLOGIES USA, LL</t>
  </si>
  <si>
    <t>ELIASSEN</t>
  </si>
  <si>
    <t>01867-3274</t>
  </si>
  <si>
    <t>READING</t>
  </si>
  <si>
    <t>ELIASSEN GROUP, LLC</t>
  </si>
  <si>
    <t>DCH GLOBAL</t>
  </si>
  <si>
    <t>45242-6237</t>
  </si>
  <si>
    <t>DCH GLOBAL LLC</t>
  </si>
  <si>
    <t>TTL</t>
  </si>
  <si>
    <t>35401-7002</t>
  </si>
  <si>
    <t>TUSCALOOSA</t>
  </si>
  <si>
    <t>TTL, INC.</t>
  </si>
  <si>
    <t>VAU</t>
  </si>
  <si>
    <t>29303-6616</t>
  </si>
  <si>
    <t>VAUGHN BELTING CO., INC.</t>
  </si>
  <si>
    <t>IMI MATERI</t>
  </si>
  <si>
    <t>89503-4304</t>
  </si>
  <si>
    <t>RENO</t>
  </si>
  <si>
    <t>IMI MATERIAL HANDLING LOG</t>
  </si>
  <si>
    <t>RSM</t>
  </si>
  <si>
    <t>RSM US LLP</t>
  </si>
  <si>
    <t>WIER</t>
  </si>
  <si>
    <t>76006-7440</t>
  </si>
  <si>
    <t>WIER &amp; ASSOCIATES, INC.</t>
  </si>
  <si>
    <t>MEDICAL</t>
  </si>
  <si>
    <t>08822-6004</t>
  </si>
  <si>
    <t>FLEMINGTON</t>
  </si>
  <si>
    <t>MEDICAL PACKAGING INC.,</t>
  </si>
  <si>
    <t>CANVAS</t>
  </si>
  <si>
    <t>20190-6243</t>
  </si>
  <si>
    <t>RESTON</t>
  </si>
  <si>
    <t>CANVAS SOLUTIONS, INC.</t>
  </si>
  <si>
    <t>RAN</t>
  </si>
  <si>
    <t>85382-0901</t>
  </si>
  <si>
    <t>PEORIA</t>
  </si>
  <si>
    <t>RANDOLPH AND ASSOCIATE, L</t>
  </si>
  <si>
    <t>TRIMBLE</t>
  </si>
  <si>
    <t>94085</t>
  </si>
  <si>
    <t>SUNNYVALE</t>
  </si>
  <si>
    <t>TRIMBLE INC.</t>
  </si>
  <si>
    <t>MER</t>
  </si>
  <si>
    <t>06615-7317</t>
  </si>
  <si>
    <t>STRATFORD</t>
  </si>
  <si>
    <t>J.R. MERRITT CONTROLS INC</t>
  </si>
  <si>
    <t>AXIS</t>
  </si>
  <si>
    <t>78232-5086</t>
  </si>
  <si>
    <t>SAN ANTONIO</t>
  </si>
  <si>
    <t>AXIS STRUCTURAL LLC</t>
  </si>
  <si>
    <t>ATRADIUS C</t>
  </si>
  <si>
    <t>60515-2481</t>
  </si>
  <si>
    <t>DOWNERS GROVE</t>
  </si>
  <si>
    <t>ATRADIUS COLLECTIONS, INC</t>
  </si>
  <si>
    <t>BEAGLE</t>
  </si>
  <si>
    <t>28601-4334</t>
  </si>
  <si>
    <t>HICKORY</t>
  </si>
  <si>
    <t>CLIMATE CONTROL SYSTEMS,</t>
  </si>
  <si>
    <t>ADOBE</t>
  </si>
  <si>
    <t>95110-2704</t>
  </si>
  <si>
    <t>ADOBE INC.</t>
  </si>
  <si>
    <t>ARC ADVISO</t>
  </si>
  <si>
    <t>02026-6148</t>
  </si>
  <si>
    <t>DEDHAM</t>
  </si>
  <si>
    <t>ARC ADVISORY GROUP INC.</t>
  </si>
  <si>
    <t>KMH</t>
  </si>
  <si>
    <t>45414-2531</t>
  </si>
  <si>
    <t>DAYTON</t>
  </si>
  <si>
    <t>KMH SYSTEMS, INC</t>
  </si>
  <si>
    <t>UNILOY</t>
  </si>
  <si>
    <t>49286-8749</t>
  </si>
  <si>
    <t>TECUMSEH</t>
  </si>
  <si>
    <t>UNILOY, INC.</t>
  </si>
  <si>
    <t>ARRAY</t>
  </si>
  <si>
    <t>23321-4265</t>
  </si>
  <si>
    <t>ARRAY TECHNOLOGIES LLC (D</t>
  </si>
  <si>
    <t>MECHCORE</t>
  </si>
  <si>
    <t>32246-6620</t>
  </si>
  <si>
    <t>MECHCORE LLC</t>
  </si>
  <si>
    <t>GEOTECHNIC</t>
  </si>
  <si>
    <t>43081-2837</t>
  </si>
  <si>
    <t>GEOTECHNICAL CONSULTANTS,</t>
  </si>
  <si>
    <t>MJM</t>
  </si>
  <si>
    <t>95054</t>
  </si>
  <si>
    <t>MJM CERTIFIED CONSULTING</t>
  </si>
  <si>
    <t>*HERZOG*</t>
  </si>
  <si>
    <t>64507-2504</t>
  </si>
  <si>
    <t>SAINT JOSEPH</t>
  </si>
  <si>
    <t>HERZOG SERVICES, INC.</t>
  </si>
  <si>
    <t>TEC</t>
  </si>
  <si>
    <t>45403-1240</t>
  </si>
  <si>
    <t>TECHMETALS, INC.</t>
  </si>
  <si>
    <t>GREAT LAKE</t>
  </si>
  <si>
    <t>44128-5702</t>
  </si>
  <si>
    <t>CLEVELAND</t>
  </si>
  <si>
    <t>GREAT LAKES PETROLEUM CO.</t>
  </si>
  <si>
    <t>EXPRESS SE</t>
  </si>
  <si>
    <t>73162-6029</t>
  </si>
  <si>
    <t>EXPRESS SERVICES INC.</t>
  </si>
  <si>
    <t>MASA</t>
  </si>
  <si>
    <t>23513-2415</t>
  </si>
  <si>
    <t>THE MASA CORPORATION</t>
  </si>
  <si>
    <t>BELCAN ENG</t>
  </si>
  <si>
    <t>45242-4718</t>
  </si>
  <si>
    <t>BELCAN ENGINEERING GROUP</t>
  </si>
  <si>
    <t>MAYER ELEC</t>
  </si>
  <si>
    <t>35222-2300</t>
  </si>
  <si>
    <t>BIRMINGHAM</t>
  </si>
  <si>
    <t>MAYER ELECTRIC SUPPLY COM</t>
  </si>
  <si>
    <t>FLEXCON</t>
  </si>
  <si>
    <t>07922-2822</t>
  </si>
  <si>
    <t>BERKELEY HEIGHTS</t>
  </si>
  <si>
    <t>FLEXCON CORPORATION DBA S</t>
  </si>
  <si>
    <t>TREW</t>
  </si>
  <si>
    <t>45014-2347</t>
  </si>
  <si>
    <t>ELECT AIR</t>
  </si>
  <si>
    <t>92337-7716</t>
  </si>
  <si>
    <t>FONTANA</t>
  </si>
  <si>
    <t>COLONIALWE</t>
  </si>
  <si>
    <t>23228</t>
  </si>
  <si>
    <t>COLONIALWEBB CONTRACTORS</t>
  </si>
  <si>
    <t>INS</t>
  </si>
  <si>
    <t>30319</t>
  </si>
  <si>
    <t>BROOKHAVEN</t>
  </si>
  <si>
    <t>INSIGHT GLOBAL, LLC</t>
  </si>
  <si>
    <t>AUTOSTORE</t>
  </si>
  <si>
    <t>03079-3400</t>
  </si>
  <si>
    <t>SALEM</t>
  </si>
  <si>
    <t>AUTOSTORE SYSTEM INC.</t>
  </si>
  <si>
    <t>SCREENLY</t>
  </si>
  <si>
    <t>19958-3608</t>
  </si>
  <si>
    <t>LEWES</t>
  </si>
  <si>
    <t>SCREENLY, INC.</t>
  </si>
  <si>
    <t>EMC</t>
  </si>
  <si>
    <t>01748-2230</t>
  </si>
  <si>
    <t>HOPKINTON</t>
  </si>
  <si>
    <t>EMC CORPORATION</t>
  </si>
  <si>
    <t>DELTA PAIN</t>
  </si>
  <si>
    <t>20187-2700</t>
  </si>
  <si>
    <t>WARRENTON</t>
  </si>
  <si>
    <t>DELTA PAINTING &amp; WALLCOVE</t>
  </si>
  <si>
    <t>GOENGINEER</t>
  </si>
  <si>
    <t>84047-2348</t>
  </si>
  <si>
    <t>MIDVALE</t>
  </si>
  <si>
    <t>GOENGINEER, LLC</t>
  </si>
  <si>
    <t>ALLIANCE T</t>
  </si>
  <si>
    <t>21076-1008</t>
  </si>
  <si>
    <t>ALLIANCE TECHNOLOGY GROUP</t>
  </si>
  <si>
    <t>APEX</t>
  </si>
  <si>
    <t>60185</t>
  </si>
  <si>
    <t>WEST CHICAGO</t>
  </si>
  <si>
    <t>APEX STORAGE LLC</t>
  </si>
  <si>
    <t>RYAN COMPA</t>
  </si>
  <si>
    <t>55415-1133</t>
  </si>
  <si>
    <t>RYAN COMPANIES US, INC.</t>
  </si>
  <si>
    <t>KUTAK</t>
  </si>
  <si>
    <t>68102-2186</t>
  </si>
  <si>
    <t>KUTAK ROCK LLP</t>
  </si>
  <si>
    <t>SIT INDEVA</t>
  </si>
  <si>
    <t>SIT INDEVA, INC.</t>
  </si>
  <si>
    <t>TPA MOTION</t>
  </si>
  <si>
    <t>29708-9328</t>
  </si>
  <si>
    <t>TPA MOTION, LLC</t>
  </si>
  <si>
    <t>MICRON</t>
  </si>
  <si>
    <t>95356-9665</t>
  </si>
  <si>
    <t>MICRON POWDER COATING &amp; M</t>
  </si>
  <si>
    <t>PRIDA TEXA</t>
  </si>
  <si>
    <t>78045-1847</t>
  </si>
  <si>
    <t>LAREDO</t>
  </si>
  <si>
    <t>PRIDA TEXAS CARGO, LLC</t>
  </si>
  <si>
    <t>VAN CLEVE</t>
  </si>
  <si>
    <t>22306-3171</t>
  </si>
  <si>
    <t>VAN CLEVE &amp; ASSOCIATES, I</t>
  </si>
  <si>
    <t>EPLUS</t>
  </si>
  <si>
    <t>20171-3413</t>
  </si>
  <si>
    <t>HERNDON</t>
  </si>
  <si>
    <t>EPLUS TECHNOLOGY, INC.</t>
  </si>
  <si>
    <t>JT MACHINE</t>
  </si>
  <si>
    <t>01516-2313</t>
  </si>
  <si>
    <t>EAST DOUGLAS</t>
  </si>
  <si>
    <t>JT MACHINE, INC.</t>
  </si>
  <si>
    <t>BRISTLECON</t>
  </si>
  <si>
    <t>78653-5468</t>
  </si>
  <si>
    <t>MANOR</t>
  </si>
  <si>
    <t>BRISTLECONE VENTURES II,</t>
  </si>
  <si>
    <t>PROTEAM IN</t>
  </si>
  <si>
    <t>29302-2982</t>
  </si>
  <si>
    <t>PROTEAM INDUSTRIAL SERVIC</t>
  </si>
  <si>
    <t>JCK</t>
  </si>
  <si>
    <t>30066</t>
  </si>
  <si>
    <t>MANETTA</t>
  </si>
  <si>
    <t>JCK USA LTD</t>
  </si>
  <si>
    <t>*SHO*</t>
  </si>
  <si>
    <t>76155-2731</t>
  </si>
  <si>
    <t>SHOPPA'S MATERIAL HANDLIN</t>
  </si>
  <si>
    <t>ELEXANA</t>
  </si>
  <si>
    <t>10589-4036</t>
  </si>
  <si>
    <t>SOMERS</t>
  </si>
  <si>
    <t>ELEXANA LLC DBA JAMES J F</t>
  </si>
  <si>
    <t>TOPPY</t>
  </si>
  <si>
    <t>06019-3246</t>
  </si>
  <si>
    <t>COLLINSVILLE</t>
  </si>
  <si>
    <t>TOPPY AMERICA, LLC</t>
  </si>
  <si>
    <t>ZOOM</t>
  </si>
  <si>
    <t>95113-1612</t>
  </si>
  <si>
    <t>ZOOM VIDEO COMMUNICATIONS</t>
  </si>
  <si>
    <t>SOUTHBAY</t>
  </si>
  <si>
    <t>23320-2646</t>
  </si>
  <si>
    <t>SOUTHBAY COMMUNICATIONS I</t>
  </si>
  <si>
    <t>CERTIFIED</t>
  </si>
  <si>
    <t>46619-2103</t>
  </si>
  <si>
    <t>SOUTH BEND</t>
  </si>
  <si>
    <t>CERTIFIED LIFT SOLUTIONS,</t>
  </si>
  <si>
    <t>TOMPKINS</t>
  </si>
  <si>
    <t>27616-8069</t>
  </si>
  <si>
    <t>TOMPKINS ASSOCIATES, INC.</t>
  </si>
  <si>
    <t>PERFORMANC</t>
  </si>
  <si>
    <t>66219-2302</t>
  </si>
  <si>
    <t>LENEXA</t>
  </si>
  <si>
    <t>PERFORMANCE CONTRACTING,</t>
  </si>
  <si>
    <t>AXIALLON S</t>
  </si>
  <si>
    <t>75023-5914</t>
  </si>
  <si>
    <t>PLANO</t>
  </si>
  <si>
    <t>AXIALLON SOFTWARE, INC.</t>
  </si>
  <si>
    <t>CLARION SA</t>
  </si>
  <si>
    <t>18337-7601</t>
  </si>
  <si>
    <t>MILFORD</t>
  </si>
  <si>
    <t>CLARION SAFETY SYSTEMS, L</t>
  </si>
  <si>
    <t>SIBERSCI</t>
  </si>
  <si>
    <t>42303-4483</t>
  </si>
  <si>
    <t>OWENSBORO</t>
  </si>
  <si>
    <t>SIBERSCI, LLC</t>
  </si>
  <si>
    <t>BOWMAN</t>
  </si>
  <si>
    <t>20191-3425</t>
  </si>
  <si>
    <t>BOWMAN CONSULTING GROUP,</t>
  </si>
  <si>
    <t>GILLMANN S</t>
  </si>
  <si>
    <t>24073-1602</t>
  </si>
  <si>
    <t>CHRISTIANSBURG</t>
  </si>
  <si>
    <t>GILLMANN SERVICES, INC.</t>
  </si>
  <si>
    <t>*WARE*</t>
  </si>
  <si>
    <t>37207-4008</t>
  </si>
  <si>
    <t>WAREHOUSING PRO LLC</t>
  </si>
  <si>
    <t>BEY</t>
  </si>
  <si>
    <t>30097-1825</t>
  </si>
  <si>
    <t>JOHNS CREEK</t>
  </si>
  <si>
    <t>BEYONDTRUST CORPORATION</t>
  </si>
  <si>
    <t>SEL</t>
  </si>
  <si>
    <t>45208</t>
  </si>
  <si>
    <t>SELECT INTEGRATIONS INC.</t>
  </si>
  <si>
    <t>MINTZ</t>
  </si>
  <si>
    <t>02111-2657</t>
  </si>
  <si>
    <t>MINTZ, LEVIN, COHN, FERRI</t>
  </si>
  <si>
    <t>SATELLITE</t>
  </si>
  <si>
    <t>55441-3695</t>
  </si>
  <si>
    <t>SATELLITE SHELTERS INC.</t>
  </si>
  <si>
    <t>WEST SIDE</t>
  </si>
  <si>
    <t>18018-4804</t>
  </si>
  <si>
    <t>BETHLEHEM</t>
  </si>
  <si>
    <t>WEST SIDE ELECTRICAL SERV</t>
  </si>
  <si>
    <t>*BURNETT*</t>
  </si>
  <si>
    <t>76011-5206</t>
  </si>
  <si>
    <t>BURNETT'S STAFFING INC.</t>
  </si>
  <si>
    <t>MID</t>
  </si>
  <si>
    <t>74728</t>
  </si>
  <si>
    <t>BROKEN BOW</t>
  </si>
  <si>
    <t>MID AMERICAN PROCESS &amp; PI</t>
  </si>
  <si>
    <t>CS DISCO</t>
  </si>
  <si>
    <t>78701-4043</t>
  </si>
  <si>
    <t>CS DISCO, INC.</t>
  </si>
  <si>
    <t>ROC</t>
  </si>
  <si>
    <t>15666-2759</t>
  </si>
  <si>
    <t>MOUNT PLEASANT</t>
  </si>
  <si>
    <t>ROCHLING MACHINED PLASTIC</t>
  </si>
  <si>
    <t>MARSHALL I</t>
  </si>
  <si>
    <t>08611</t>
  </si>
  <si>
    <t>MARSHALL INDUSTRIAL TECHN</t>
  </si>
  <si>
    <t>WIL</t>
  </si>
  <si>
    <t>23510-2243</t>
  </si>
  <si>
    <t>WILLCOX &amp; SAVAGE, P.C.</t>
  </si>
  <si>
    <t>ABB</t>
  </si>
  <si>
    <t>32254-1531</t>
  </si>
  <si>
    <t>AB &amp; B MANUFACTURING INC</t>
  </si>
  <si>
    <t>KEITER</t>
  </si>
  <si>
    <t>23060-3379</t>
  </si>
  <si>
    <t>KEITER, STEPHENS, HURST,</t>
  </si>
  <si>
    <t>SAGELEAF C</t>
  </si>
  <si>
    <t>78261-3009</t>
  </si>
  <si>
    <t>SAGELEAF CUSTOM HOMES LLC</t>
  </si>
  <si>
    <t>CAUSEY</t>
  </si>
  <si>
    <t>63841-8400</t>
  </si>
  <si>
    <t>DEXTER</t>
  </si>
  <si>
    <t>CAUSEY LAWN SERVICE</t>
  </si>
  <si>
    <t>BODMAN</t>
  </si>
  <si>
    <t>48226</t>
  </si>
  <si>
    <t>DETROIT</t>
  </si>
  <si>
    <t>BODMAN PLC</t>
  </si>
  <si>
    <t>ALO</t>
  </si>
  <si>
    <t>07410</t>
  </si>
  <si>
    <t>FAIR LAWN</t>
  </si>
  <si>
    <t>ALO CINEMA ONE INC</t>
  </si>
  <si>
    <t>12P</t>
  </si>
  <si>
    <t>68144-5557</t>
  </si>
  <si>
    <t>12 POINTS TECHNOLOGIES, L</t>
  </si>
  <si>
    <t>ENSEMBLEIQ</t>
  </si>
  <si>
    <t>60631-3731</t>
  </si>
  <si>
    <t>ENSEMBLEIQ INC</t>
  </si>
  <si>
    <t>LUCA</t>
  </si>
  <si>
    <t>30127-3005</t>
  </si>
  <si>
    <t>POWDER SPRINGS</t>
  </si>
  <si>
    <t>JIM LUCA ELECTRICAL CONTR</t>
  </si>
  <si>
    <t>CLOPTON</t>
  </si>
  <si>
    <t>23323-4023</t>
  </si>
  <si>
    <t>WEBKEY INTEGRATIONS, LLC</t>
  </si>
  <si>
    <t>*MICHAEL M</t>
  </si>
  <si>
    <t>60014-2919</t>
  </si>
  <si>
    <t>CRYSTAL LAKE</t>
  </si>
  <si>
    <t>MICHAEL MAZZAFERRO</t>
  </si>
  <si>
    <t>HOLDER</t>
  </si>
  <si>
    <t>45039</t>
  </si>
  <si>
    <t>MAINEVILLE</t>
  </si>
  <si>
    <t>HOLDER CREATIVE LLC DBA M</t>
  </si>
  <si>
    <t>YARBROUGH</t>
  </si>
  <si>
    <t>85383</t>
  </si>
  <si>
    <t>YARBROUGH WORLD SOLUTIONS</t>
  </si>
  <si>
    <t>PAYSCALE</t>
  </si>
  <si>
    <t>98104-2205</t>
  </si>
  <si>
    <t>SEATTLE</t>
  </si>
  <si>
    <t>PAYSCALE, INC.</t>
  </si>
  <si>
    <t>PICKERING</t>
  </si>
  <si>
    <t>38119-4848</t>
  </si>
  <si>
    <t>MEMPHIS</t>
  </si>
  <si>
    <t>PICKERING FIRM, INC.</t>
  </si>
  <si>
    <t>4SIGHT</t>
  </si>
  <si>
    <t>07470-7520</t>
  </si>
  <si>
    <t>WAYNE</t>
  </si>
  <si>
    <t>4SIGHT SUPPLY CHAIN GROUP</t>
  </si>
  <si>
    <t>MID STATE</t>
  </si>
  <si>
    <t>37090-7193</t>
  </si>
  <si>
    <t>MID STATE TENT RENTALS, L</t>
  </si>
  <si>
    <t>19901-3618</t>
  </si>
  <si>
    <t>DOVER</t>
  </si>
  <si>
    <t>AUTOMATION SPECIALIST HOL</t>
  </si>
  <si>
    <t>BULWARK</t>
  </si>
  <si>
    <t>95665</t>
  </si>
  <si>
    <t>BULWARK SAFETY SYSTEMS LL</t>
  </si>
  <si>
    <t>JON ROESCH</t>
  </si>
  <si>
    <t>78642-4656</t>
  </si>
  <si>
    <t>LIBERTY HILL</t>
  </si>
  <si>
    <t>VOLTZ RESEARCH AND DEVELO</t>
  </si>
  <si>
    <t>SEARCHLOGI</t>
  </si>
  <si>
    <t>30144-6501</t>
  </si>
  <si>
    <t>KENNESAW</t>
  </si>
  <si>
    <t>MAVERICK RESOURCES, INC.</t>
  </si>
  <si>
    <t>KIMBRO</t>
  </si>
  <si>
    <t>37203-1914</t>
  </si>
  <si>
    <t>KIMBRO OIL COMPANY</t>
  </si>
  <si>
    <t>HOPE</t>
  </si>
  <si>
    <t>30076-3896</t>
  </si>
  <si>
    <t>ROSWELL</t>
  </si>
  <si>
    <t>HOPE INDUSTRIAL SYSTEMS,</t>
  </si>
  <si>
    <t>RJW</t>
  </si>
  <si>
    <t>18925</t>
  </si>
  <si>
    <t>FURLONG</t>
  </si>
  <si>
    <t>RJ WOOLSLAYER INC</t>
  </si>
  <si>
    <t>TERACAI</t>
  </si>
  <si>
    <t>N. SYRACUSE</t>
  </si>
  <si>
    <t>TERACAI CORPORATION</t>
  </si>
  <si>
    <t>NEWCO</t>
  </si>
  <si>
    <t>30213-1642</t>
  </si>
  <si>
    <t>FAIRBURN</t>
  </si>
  <si>
    <t>NEWCO ENTERPRISES,INC</t>
  </si>
  <si>
    <t>BUDROVICH</t>
  </si>
  <si>
    <t>63123-7244</t>
  </si>
  <si>
    <t>SAINT LOUIS</t>
  </si>
  <si>
    <t>BUDROVICH CONTRACTING CO.</t>
  </si>
  <si>
    <t>FOGG FILLE</t>
  </si>
  <si>
    <t>49424-9207</t>
  </si>
  <si>
    <t>HOLLAND</t>
  </si>
  <si>
    <t>FOGG FILLER COMPANY, LLC</t>
  </si>
  <si>
    <t>3 PHASE</t>
  </si>
  <si>
    <t>76244</t>
  </si>
  <si>
    <t>KELLER</t>
  </si>
  <si>
    <t>3 PHASE CONVEYOR LLC DBA</t>
  </si>
  <si>
    <t>SURVTECH</t>
  </si>
  <si>
    <t>33610-5966</t>
  </si>
  <si>
    <t>SURVTECH SOLUTIONS, INC.</t>
  </si>
  <si>
    <t>NEPTUNE</t>
  </si>
  <si>
    <t>32250-3222</t>
  </si>
  <si>
    <t>JACKSONVILLE BEACH</t>
  </si>
  <si>
    <t>NEPTUNE FIRE PROTECTION E</t>
  </si>
  <si>
    <t>OWEN&amp;OWENS</t>
  </si>
  <si>
    <t>23113-7313</t>
  </si>
  <si>
    <t>MIDLOTHIAN</t>
  </si>
  <si>
    <t>OWEN &amp; OWENS PLC</t>
  </si>
  <si>
    <t>DESIGNED E</t>
  </si>
  <si>
    <t>40444-6704</t>
  </si>
  <si>
    <t>DESIGNED ELECTRICAL INTEG</t>
  </si>
  <si>
    <t>PILLAR</t>
  </si>
  <si>
    <t>17111-2806</t>
  </si>
  <si>
    <t>PILLAR AUGHT LLC</t>
  </si>
  <si>
    <t>30028-4878</t>
  </si>
  <si>
    <t>INDUSTRIAL REPAIR SERVICE</t>
  </si>
  <si>
    <t>MCCAMMON</t>
  </si>
  <si>
    <t>23230-1728</t>
  </si>
  <si>
    <t>THE MCCAMMON GROUP, LTD.</t>
  </si>
  <si>
    <t>LOGIC</t>
  </si>
  <si>
    <t>66061-7065</t>
  </si>
  <si>
    <t>OLATHE</t>
  </si>
  <si>
    <t>LOGIC, INC.</t>
  </si>
  <si>
    <t>INDUSTRY D</t>
  </si>
  <si>
    <t>20037-1146</t>
  </si>
  <si>
    <t>INDUSTRY DIVE, INC.</t>
  </si>
  <si>
    <t>*WIPOTEC-O</t>
  </si>
  <si>
    <t>30046-2857</t>
  </si>
  <si>
    <t>LAWRENCEVILLE</t>
  </si>
  <si>
    <t>WIPOTEC-OCS, INC.</t>
  </si>
  <si>
    <t>SUPERIOR</t>
  </si>
  <si>
    <t>65721-7506</t>
  </si>
  <si>
    <t>OZARK</t>
  </si>
  <si>
    <t>SUPERIOR CONTAINERS LLC</t>
  </si>
  <si>
    <t>LAFAYETTE</t>
  </si>
  <si>
    <t>40422-9602</t>
  </si>
  <si>
    <t>DANVILLE</t>
  </si>
  <si>
    <t>LAFAYETTE ENGINEERING, IN</t>
  </si>
  <si>
    <t>AQUESST</t>
  </si>
  <si>
    <t>30328-8203</t>
  </si>
  <si>
    <t>AQUESST INC.</t>
  </si>
  <si>
    <t>LANGAN</t>
  </si>
  <si>
    <t>07054</t>
  </si>
  <si>
    <t>PARSIPPANY</t>
  </si>
  <si>
    <t>LANGAN ENGINEERING AND EN</t>
  </si>
  <si>
    <t>76054-3755</t>
  </si>
  <si>
    <t>HURST</t>
  </si>
  <si>
    <t>MARSHALL LANCASTER &amp; ASSO</t>
  </si>
  <si>
    <t>ALTERNATIV</t>
  </si>
  <si>
    <t>49306-9739</t>
  </si>
  <si>
    <t>BELMONT</t>
  </si>
  <si>
    <t>ALTERNATIVE ENGINEERING I</t>
  </si>
  <si>
    <t>SIMPLIFIED</t>
  </si>
  <si>
    <t>SIMPLIFIED COMMUNICATIONS</t>
  </si>
  <si>
    <t>BAE</t>
  </si>
  <si>
    <t>19114</t>
  </si>
  <si>
    <t>BAE COMPANIES LLC</t>
  </si>
  <si>
    <t>GUIDON</t>
  </si>
  <si>
    <t>75205-3396</t>
  </si>
  <si>
    <t>GUIDON REAL ESTATE PROJEC</t>
  </si>
  <si>
    <t>ARTHUR</t>
  </si>
  <si>
    <t>60008-4036</t>
  </si>
  <si>
    <t>ARTHUR J. GALLAGHER RISK</t>
  </si>
  <si>
    <t>ZAHNER</t>
  </si>
  <si>
    <t>63775-2831</t>
  </si>
  <si>
    <t>PERRYVILLE</t>
  </si>
  <si>
    <t>ZAHNER &amp; ASSOCIATES, INC.</t>
  </si>
  <si>
    <t>CARRERA</t>
  </si>
  <si>
    <t>45214</t>
  </si>
  <si>
    <t>CARRERA CONSTRUCTION LLC</t>
  </si>
  <si>
    <t>KCM</t>
  </si>
  <si>
    <t>92806-5929</t>
  </si>
  <si>
    <t>KCM MARKETING, INC. - MK</t>
  </si>
  <si>
    <t>JEGOOD</t>
  </si>
  <si>
    <t>17361</t>
  </si>
  <si>
    <t>SHREWSBURY</t>
  </si>
  <si>
    <t>JE GOOD CONSULTING ENGINE</t>
  </si>
  <si>
    <t>NEWELLS</t>
  </si>
  <si>
    <t>63766-6102</t>
  </si>
  <si>
    <t>MILLERSVILLE</t>
  </si>
  <si>
    <t>NEWELL'S RAM POWER LLC</t>
  </si>
  <si>
    <t>SEMO</t>
  </si>
  <si>
    <t>63901-3793</t>
  </si>
  <si>
    <t>POPLAR BLUFF</t>
  </si>
  <si>
    <t>STORAGE SOLUTIONS OF SE M</t>
  </si>
  <si>
    <t>SUMMIT</t>
  </si>
  <si>
    <t>23220</t>
  </si>
  <si>
    <t>SUMMIT HUMAN CAPITAL LLC</t>
  </si>
  <si>
    <t>LOTH</t>
  </si>
  <si>
    <t>45241-2009</t>
  </si>
  <si>
    <t>LOTH INC</t>
  </si>
  <si>
    <t>MHS</t>
  </si>
  <si>
    <t>49441-6097</t>
  </si>
  <si>
    <t>NORTON SHORES</t>
  </si>
  <si>
    <t>MHS CONVEYOR CORP.</t>
  </si>
  <si>
    <t>DIVERSIFIE</t>
  </si>
  <si>
    <t>40223-4158</t>
  </si>
  <si>
    <t>DIVERSIFIED AUTOMATION, I</t>
  </si>
  <si>
    <t>SMUCKER</t>
  </si>
  <si>
    <t>45150</t>
  </si>
  <si>
    <t>C SMUCKER PLUMBING</t>
  </si>
  <si>
    <t>A-SAFE</t>
  </si>
  <si>
    <t>17404-8700</t>
  </si>
  <si>
    <t>YORK</t>
  </si>
  <si>
    <t>A-SAFE, INC.</t>
  </si>
  <si>
    <t>ALPHA</t>
  </si>
  <si>
    <t>75229-2087</t>
  </si>
  <si>
    <t>ALPHA TESTING INC</t>
  </si>
  <si>
    <t>BARCODING</t>
  </si>
  <si>
    <t>21224-2522</t>
  </si>
  <si>
    <t>BALTIMORE</t>
  </si>
  <si>
    <t>BARCODING, INC.</t>
  </si>
  <si>
    <t>GOT-A-GO</t>
  </si>
  <si>
    <t>41094-8714</t>
  </si>
  <si>
    <t>WALTON</t>
  </si>
  <si>
    <t>GOT-A-GO INC. RENTALS &amp; S</t>
  </si>
  <si>
    <t>27278-0500</t>
  </si>
  <si>
    <t>HILLSBOROUGH</t>
  </si>
  <si>
    <t>SUMMIT DESIGN AND ENGINEE</t>
  </si>
  <si>
    <t>MITEK</t>
  </si>
  <si>
    <t>63017-2052</t>
  </si>
  <si>
    <t>CHESTERFIELD</t>
  </si>
  <si>
    <t>MITEK INC.</t>
  </si>
  <si>
    <t>GITLAB</t>
  </si>
  <si>
    <t>94104-3503</t>
  </si>
  <si>
    <t>GITLAB INC.</t>
  </si>
  <si>
    <t>NEW ANSWER</t>
  </si>
  <si>
    <t>19090-1705</t>
  </si>
  <si>
    <t>WILLOW GROVE</t>
  </si>
  <si>
    <t>NEW ANSWERNET, INC.</t>
  </si>
  <si>
    <t>CUSTOM</t>
  </si>
  <si>
    <t>63755-7415</t>
  </si>
  <si>
    <t>CUSTOM CUT FABRICATION, L</t>
  </si>
  <si>
    <t>DALE</t>
  </si>
  <si>
    <t>42025</t>
  </si>
  <si>
    <t>BENTON</t>
  </si>
  <si>
    <t>DALE CARNEGIE DBA MANDS G</t>
  </si>
  <si>
    <t>MANIFEST</t>
  </si>
  <si>
    <t>06877</t>
  </si>
  <si>
    <t>RIDGEFIELD</t>
  </si>
  <si>
    <t>MANIFEST EVENTS, LLC</t>
  </si>
  <si>
    <t>META</t>
  </si>
  <si>
    <t>33181-2883</t>
  </si>
  <si>
    <t>NORTH MIAMI</t>
  </si>
  <si>
    <t>META STORAGE SOLUTIONS, I</t>
  </si>
  <si>
    <t>TRAVERS</t>
  </si>
  <si>
    <t>11354-1167</t>
  </si>
  <si>
    <t>FLUSHING</t>
  </si>
  <si>
    <t>TRAVERS TOOL CO., INC.</t>
  </si>
  <si>
    <t>PETER</t>
  </si>
  <si>
    <t>45203-1244</t>
  </si>
  <si>
    <t>PETER PAUL OFFICE EQUIPME</t>
  </si>
  <si>
    <t>PROSOURCE</t>
  </si>
  <si>
    <t>45242-3847</t>
  </si>
  <si>
    <t>CINCINNATI COPIERS, INC.</t>
  </si>
  <si>
    <t>EUROSORT</t>
  </si>
  <si>
    <t>21117-3988</t>
  </si>
  <si>
    <t>EUROSORT, INC.</t>
  </si>
  <si>
    <t>ZOOMINFO</t>
  </si>
  <si>
    <t>98660-3506</t>
  </si>
  <si>
    <t>ZOOMINFO TECHNOLOGIES LLC</t>
  </si>
  <si>
    <t>BUDGET</t>
  </si>
  <si>
    <t>44145-1419</t>
  </si>
  <si>
    <t>WESTLAKE</t>
  </si>
  <si>
    <t>BUDGET DUMPSTER LLC</t>
  </si>
  <si>
    <t>SECURED WE</t>
  </si>
  <si>
    <t>06512</t>
  </si>
  <si>
    <t>EAST HAVEN</t>
  </si>
  <si>
    <t>SECURED WELDING LLC DBA K</t>
  </si>
  <si>
    <t>REPUBLIC</t>
  </si>
  <si>
    <t>63841-9724</t>
  </si>
  <si>
    <t>ALLIED SERVICES LLC</t>
  </si>
  <si>
    <t>ALL-AMERIC</t>
  </si>
  <si>
    <t>30152-8242</t>
  </si>
  <si>
    <t>ALL-AMERICAN SCAFFOLD, LL</t>
  </si>
  <si>
    <t>COTTON</t>
  </si>
  <si>
    <t>63780-1444</t>
  </si>
  <si>
    <t>SCOTT CITY</t>
  </si>
  <si>
    <t>COTTON PICKIN' CLEAN, LLC</t>
  </si>
  <si>
    <t>WILLCOX &amp;</t>
  </si>
  <si>
    <t>35210-1248</t>
  </si>
  <si>
    <t>IRONDALE</t>
  </si>
  <si>
    <t>WILLCOX &amp; ALLEN, INC.</t>
  </si>
  <si>
    <t>PRECISION</t>
  </si>
  <si>
    <t>23666-1369</t>
  </si>
  <si>
    <t>PRECISION SHEET METAL FAB</t>
  </si>
  <si>
    <t>19380-4474</t>
  </si>
  <si>
    <t>WEST CHESTER</t>
  </si>
  <si>
    <t>HARRISON ELECTRICAL, INC.</t>
  </si>
  <si>
    <t>ARCHER</t>
  </si>
  <si>
    <t>08033</t>
  </si>
  <si>
    <t>HADDONFIELD</t>
  </si>
  <si>
    <t>ARCHER &amp; GREINER PC</t>
  </si>
  <si>
    <t>WAGNER</t>
  </si>
  <si>
    <t>08053</t>
  </si>
  <si>
    <t>MARLTON</t>
  </si>
  <si>
    <t>WAGNER HOHNS INGLIS INC.</t>
  </si>
  <si>
    <t>COSOL</t>
  </si>
  <si>
    <t>95350-6530</t>
  </si>
  <si>
    <t>COSOL PROPERTY MANAGEMENT</t>
  </si>
  <si>
    <t>POLK</t>
  </si>
  <si>
    <t>33881-9606</t>
  </si>
  <si>
    <t>WINTER HAVEN</t>
  </si>
  <si>
    <t>POLK POWER SOLUTIONS INC.</t>
  </si>
  <si>
    <t>LOUISIANA</t>
  </si>
  <si>
    <t>70802-5432</t>
  </si>
  <si>
    <t>BATON ROUGE</t>
  </si>
  <si>
    <t>LOUISIANA DEPARTMENT OF R</t>
  </si>
  <si>
    <t>CEC TOOL</t>
  </si>
  <si>
    <t>29644-4613</t>
  </si>
  <si>
    <t>FOUNTAIN INN</t>
  </si>
  <si>
    <t>CEC TOOL COMPANY</t>
  </si>
  <si>
    <t>WEILAND</t>
  </si>
  <si>
    <t>28404</t>
  </si>
  <si>
    <t>WEILAND ELECTRIC INC.</t>
  </si>
  <si>
    <t>ADAMS</t>
  </si>
  <si>
    <t>27401-2119</t>
  </si>
  <si>
    <t>ADAMS ELECTRIC COMPANY</t>
  </si>
  <si>
    <t>OKEEFFES</t>
  </si>
  <si>
    <t>94005-1010</t>
  </si>
  <si>
    <t>BRISBANE</t>
  </si>
  <si>
    <t>O'KEEFFE'S, INC.</t>
  </si>
  <si>
    <t>ROBINSON</t>
  </si>
  <si>
    <t>63775-3320</t>
  </si>
  <si>
    <t>ROBINSON MECHANICAL CONTR</t>
  </si>
  <si>
    <t>HANDY RENT</t>
  </si>
  <si>
    <t>24112-2194</t>
  </si>
  <si>
    <t>MARTINSVILLE</t>
  </si>
  <si>
    <t>HANDY RENTALS, INC.</t>
  </si>
  <si>
    <t>UDEMY</t>
  </si>
  <si>
    <t>94107-1300</t>
  </si>
  <si>
    <t>UDEMY, INC.</t>
  </si>
  <si>
    <t>SPECIALTY</t>
  </si>
  <si>
    <t>63841-2764</t>
  </si>
  <si>
    <t>SPECIALTY ENGINEERING COR</t>
  </si>
  <si>
    <t>FED CEN SD</t>
  </si>
  <si>
    <t>37167-5876</t>
  </si>
  <si>
    <t>SMYRNA</t>
  </si>
  <si>
    <t>FEDERAL-MOGUL MOTORPARTS</t>
  </si>
  <si>
    <t>AC</t>
  </si>
  <si>
    <t>27406-4421</t>
  </si>
  <si>
    <t>AC CORPORATION</t>
  </si>
  <si>
    <t>EU AUTOMAT</t>
  </si>
  <si>
    <t>60007-2442</t>
  </si>
  <si>
    <t>EU AUTOMATION, INC.</t>
  </si>
  <si>
    <t>GABRIELE</t>
  </si>
  <si>
    <t>65401-2362</t>
  </si>
  <si>
    <t>ROLLA</t>
  </si>
  <si>
    <t>GABRIELE CRANE RENTAL, IN</t>
  </si>
  <si>
    <t>SERVICEMAX</t>
  </si>
  <si>
    <t>94588-3061</t>
  </si>
  <si>
    <t>SERVICEMAX, INC.</t>
  </si>
  <si>
    <t>90067-4400</t>
  </si>
  <si>
    <t>LOS ANGELES</t>
  </si>
  <si>
    <t>KORN FERRY(US)</t>
  </si>
  <si>
    <t>DELTA MARK</t>
  </si>
  <si>
    <t>05403-6574</t>
  </si>
  <si>
    <t>SOUTH BURLINGTON</t>
  </si>
  <si>
    <t>DELTA BUSINESS SYSTEMS LT</t>
  </si>
  <si>
    <t>POWER</t>
  </si>
  <si>
    <t>89439-8014</t>
  </si>
  <si>
    <t>VERDI</t>
  </si>
  <si>
    <t>THE POWER-SONIC CORPORATI</t>
  </si>
  <si>
    <t>BDO</t>
  </si>
  <si>
    <t>49512</t>
  </si>
  <si>
    <t>BDO USA LLP</t>
  </si>
  <si>
    <t>ARIBA</t>
  </si>
  <si>
    <t>94304-1355</t>
  </si>
  <si>
    <t>ARIBA, INC.</t>
  </si>
  <si>
    <t>PPM</t>
  </si>
  <si>
    <t>30075-3020</t>
  </si>
  <si>
    <t>PPM GLOBAL SERVICES, INC.</t>
  </si>
  <si>
    <t>EURTON</t>
  </si>
  <si>
    <t>90605-2759</t>
  </si>
  <si>
    <t>SANTA FE SPRINGS</t>
  </si>
  <si>
    <t>EURTON ELECTRIC CO., INC</t>
  </si>
  <si>
    <t>ELASTICSEA</t>
  </si>
  <si>
    <t>94040</t>
  </si>
  <si>
    <t>MOUNTAIN VIEW</t>
  </si>
  <si>
    <t>ELASTICSEARCH INC</t>
  </si>
  <si>
    <t>JMC</t>
  </si>
  <si>
    <t>76262-2704</t>
  </si>
  <si>
    <t>ROANOKE</t>
  </si>
  <si>
    <t>JMC GLOBAL TECHNOLOGIES I</t>
  </si>
  <si>
    <t>SWOOD</t>
  </si>
  <si>
    <t>23225-2811</t>
  </si>
  <si>
    <t>SWOOD SOFTWARE SERVICES L</t>
  </si>
  <si>
    <t>WOGRUBB</t>
  </si>
  <si>
    <t>23234-2276</t>
  </si>
  <si>
    <t>W. O. GRUBB STEEL ERECTIO</t>
  </si>
  <si>
    <t>LINDOO</t>
  </si>
  <si>
    <t>60554-9891</t>
  </si>
  <si>
    <t>SUGAR GROVE</t>
  </si>
  <si>
    <t>LINDOO INSTALLATIONS INC.</t>
  </si>
  <si>
    <t>HOKUYO</t>
  </si>
  <si>
    <t>28079-5630</t>
  </si>
  <si>
    <t>INDIAN TRAIL</t>
  </si>
  <si>
    <t>HOKUYO AUTOMATIC USA CORP</t>
  </si>
  <si>
    <t>DOCKER</t>
  </si>
  <si>
    <t>94306-3314</t>
  </si>
  <si>
    <t>DOCKER, INC.</t>
  </si>
  <si>
    <t>ORION</t>
  </si>
  <si>
    <t>36582-5251</t>
  </si>
  <si>
    <t>THEODORE</t>
  </si>
  <si>
    <t>ORION ENGINEERING, P.C.</t>
  </si>
  <si>
    <t>APPLIED ME</t>
  </si>
  <si>
    <t>94534-6615</t>
  </si>
  <si>
    <t>APPLIED MECHATRONICS, LLC</t>
  </si>
  <si>
    <t>27518</t>
  </si>
  <si>
    <t>CARY</t>
  </si>
  <si>
    <t>ORION ICS, LLC DBA TALENT</t>
  </si>
  <si>
    <t>KENDALL</t>
  </si>
  <si>
    <t>49002-2049</t>
  </si>
  <si>
    <t>PORTAGE</t>
  </si>
  <si>
    <t>KENDALL ELECTRIC, INC.</t>
  </si>
  <si>
    <t>ROBO</t>
  </si>
  <si>
    <t>48035-3617</t>
  </si>
  <si>
    <t>CLINTON TOWNSHIP</t>
  </si>
  <si>
    <t>ROBO-FENCE LLC</t>
  </si>
  <si>
    <t>COUPA</t>
  </si>
  <si>
    <t>94402</t>
  </si>
  <si>
    <t>SAN MATEO CA</t>
  </si>
  <si>
    <t>COUPA SOFTWARE INC</t>
  </si>
  <si>
    <t>SEDLAK</t>
  </si>
  <si>
    <t>44122-5724</t>
  </si>
  <si>
    <t>HIGHLAND HILLS / CLEVELAN</t>
  </si>
  <si>
    <t>SEDLAK MANAGEMENT CONSULT</t>
  </si>
  <si>
    <t>ELDRIDGE</t>
  </si>
  <si>
    <t>78023-4109</t>
  </si>
  <si>
    <t>HELOTES</t>
  </si>
  <si>
    <t>ELDRIDGE ELECTRIC COMPANY</t>
  </si>
  <si>
    <t>FORBO</t>
  </si>
  <si>
    <t>28078-8395</t>
  </si>
  <si>
    <t>HUNTERSVILLE</t>
  </si>
  <si>
    <t>FORBO SIEGLING, LLC - FOR</t>
  </si>
  <si>
    <t>RAYMOUS</t>
  </si>
  <si>
    <t>94538-3113</t>
  </si>
  <si>
    <t>RAYMOND HANDLING CONCEPTS</t>
  </si>
  <si>
    <t>BERKSHIRE</t>
  </si>
  <si>
    <t>01730-2344</t>
  </si>
  <si>
    <t>BEDFORD</t>
  </si>
  <si>
    <t>BERKSHIRE GREY, INC.</t>
  </si>
  <si>
    <t>TOMPKINS ROBOTICS INC</t>
  </si>
  <si>
    <t>GROUNDS</t>
  </si>
  <si>
    <t>45011-9705</t>
  </si>
  <si>
    <t>GROUNDSPRO LLC</t>
  </si>
  <si>
    <t>MUEHLENKAM</t>
  </si>
  <si>
    <t>41018-1002</t>
  </si>
  <si>
    <t>ERLANGER</t>
  </si>
  <si>
    <t>PARAGON METAL FABRICATORS</t>
  </si>
  <si>
    <t>ALAMO</t>
  </si>
  <si>
    <t>78258-7562</t>
  </si>
  <si>
    <t>ALAMO SURVEYORS LLC</t>
  </si>
  <si>
    <t>HENNESSY</t>
  </si>
  <si>
    <t>47670</t>
  </si>
  <si>
    <t>PRINCETON</t>
  </si>
  <si>
    <t>HENNESSY SURVEYING, INC</t>
  </si>
  <si>
    <t>IPME</t>
  </si>
  <si>
    <t>30549-6659</t>
  </si>
  <si>
    <t>JEFFERSON</t>
  </si>
  <si>
    <t>IPME CORP.</t>
  </si>
  <si>
    <t>MATERIAL</t>
  </si>
  <si>
    <t>40047</t>
  </si>
  <si>
    <t>MT.WASHINGTON</t>
  </si>
  <si>
    <t>MATERIAL HANDLING SYSTEMS</t>
  </si>
  <si>
    <t>MICHELLE</t>
  </si>
  <si>
    <t>03110-6002</t>
  </si>
  <si>
    <t>MICHELLE PERRIER COLE - A</t>
  </si>
  <si>
    <t>INTEGRATED</t>
  </si>
  <si>
    <t>76028-2911</t>
  </si>
  <si>
    <t>BURLESON</t>
  </si>
  <si>
    <t>INTEGRATED WAREHOUSE SOLU</t>
  </si>
  <si>
    <t>COGRI</t>
  </si>
  <si>
    <t>30152-4364</t>
  </si>
  <si>
    <t>COGRI USA, INC</t>
  </si>
  <si>
    <t>RAMCO</t>
  </si>
  <si>
    <t>50265-4423</t>
  </si>
  <si>
    <t>WEST DES MOINES</t>
  </si>
  <si>
    <t>RAMCO INNOVATIONS INC</t>
  </si>
  <si>
    <t>CORNERSTON</t>
  </si>
  <si>
    <t>75033-3866</t>
  </si>
  <si>
    <t>FRISCO</t>
  </si>
  <si>
    <t>CORNERSTONE AUTOMATION SY</t>
  </si>
  <si>
    <t>UNITED</t>
  </si>
  <si>
    <t>75220</t>
  </si>
  <si>
    <t>UNITED SITE SERVICES OF T</t>
  </si>
  <si>
    <t>ALLFLAT</t>
  </si>
  <si>
    <t>92069-1269</t>
  </si>
  <si>
    <t>SAN MARCOS</t>
  </si>
  <si>
    <t>ALLFLAT CONCRETE PROFILIN</t>
  </si>
  <si>
    <t>ONUR</t>
  </si>
  <si>
    <t>48126-2903</t>
  </si>
  <si>
    <t>DEARBORN</t>
  </si>
  <si>
    <t>ONUR ULGEN, INC. - PMC PR</t>
  </si>
  <si>
    <t>30022-3074</t>
  </si>
  <si>
    <t>VERIZON CONNECT FLEET USA</t>
  </si>
  <si>
    <t>PROOS</t>
  </si>
  <si>
    <t>49505</t>
  </si>
  <si>
    <t>PROOS MANUFACTURING LLC</t>
  </si>
  <si>
    <t>PROJECT</t>
  </si>
  <si>
    <t>47906-1304</t>
  </si>
  <si>
    <t>WEST LAFAYETTE</t>
  </si>
  <si>
    <t>EDUCATE 360 LLC</t>
  </si>
  <si>
    <t>WEBEVENTS</t>
  </si>
  <si>
    <t>95765-3717</t>
  </si>
  <si>
    <t>WEBEVENTS LLC</t>
  </si>
  <si>
    <t>DORAL</t>
  </si>
  <si>
    <t>53207-1200</t>
  </si>
  <si>
    <t>DORAL CORPORATION</t>
  </si>
  <si>
    <t>PERCEPTRON</t>
  </si>
  <si>
    <t>48170-2461</t>
  </si>
  <si>
    <t>PERCEPTRON, INC.</t>
  </si>
  <si>
    <t>GIBBS</t>
  </si>
  <si>
    <t>93004-1179</t>
  </si>
  <si>
    <t>VENTURA</t>
  </si>
  <si>
    <t>GIBBS UNIVERSAL INDUSTRIE</t>
  </si>
  <si>
    <t>PURE</t>
  </si>
  <si>
    <t>94111-5373</t>
  </si>
  <si>
    <t>PURE IP CALIFORNIA LLC</t>
  </si>
  <si>
    <t>USCUTTER</t>
  </si>
  <si>
    <t>98168-3307</t>
  </si>
  <si>
    <t>TUKWILA</t>
  </si>
  <si>
    <t>USCUTTER, INC.</t>
  </si>
  <si>
    <t>K+S SERVIC</t>
  </si>
  <si>
    <t>48195-2272</t>
  </si>
  <si>
    <t>SOUTHGATE</t>
  </si>
  <si>
    <t>K + S SERVICES, LLC</t>
  </si>
  <si>
    <t>ABLE</t>
  </si>
  <si>
    <t>76051</t>
  </si>
  <si>
    <t>GRAPEVINE</t>
  </si>
  <si>
    <t>ABLE MOVING LLC</t>
  </si>
  <si>
    <t>COMBI PACK</t>
  </si>
  <si>
    <t>44720-7607</t>
  </si>
  <si>
    <t>NORTH CANTON</t>
  </si>
  <si>
    <t>COMBI PACKAGING SYSTEMS,</t>
  </si>
  <si>
    <t>ANDREW</t>
  </si>
  <si>
    <t>92708</t>
  </si>
  <si>
    <t>ANDREW RAYMOND STANEVICIU</t>
  </si>
  <si>
    <t>22314-2743</t>
  </si>
  <si>
    <t>AMERICAN SOCIETY FOR TRAI</t>
  </si>
  <si>
    <t>GEDORE</t>
  </si>
  <si>
    <t>29405</t>
  </si>
  <si>
    <t>NORTH CHARLESTON</t>
  </si>
  <si>
    <t>GEDORE TOOLS INC</t>
  </si>
  <si>
    <t>STEWART</t>
  </si>
  <si>
    <t>43701-5950</t>
  </si>
  <si>
    <t>ZANESVILLE</t>
  </si>
  <si>
    <t>STEWART-GLAPAT CORPORATIO</t>
  </si>
  <si>
    <t>SHIP</t>
  </si>
  <si>
    <t>63005</t>
  </si>
  <si>
    <t>SHIPRQ INC</t>
  </si>
  <si>
    <t>GUDEL</t>
  </si>
  <si>
    <t>48108-9558</t>
  </si>
  <si>
    <t>ANN ARBOR</t>
  </si>
  <si>
    <t>GUDEL, INC.</t>
  </si>
  <si>
    <t>FAIRFLY</t>
  </si>
  <si>
    <t>19801-6101</t>
  </si>
  <si>
    <t>FAIRFLY INC</t>
  </si>
  <si>
    <t>ADVANTAGE</t>
  </si>
  <si>
    <t>60423-2548</t>
  </si>
  <si>
    <t>ADVANTAGE INDUSTRIAL SYST</t>
  </si>
  <si>
    <t>SEASHSE</t>
  </si>
  <si>
    <t>07701-1716</t>
  </si>
  <si>
    <t>RED BANK</t>
  </si>
  <si>
    <t>ASA MANAGEMENT CORP -SEA</t>
  </si>
  <si>
    <t>LANDSTAR</t>
  </si>
  <si>
    <t>32224-5270</t>
  </si>
  <si>
    <t>LANDSTAR RANGER, INC.</t>
  </si>
  <si>
    <t>CHAMBERLAI</t>
  </si>
  <si>
    <t>77002-4496</t>
  </si>
  <si>
    <t>HOUSTON</t>
  </si>
  <si>
    <t>CHAMBERLAIN, HRDLICKA, WH</t>
  </si>
  <si>
    <t>WESTMARK</t>
  </si>
  <si>
    <t>98406-2097</t>
  </si>
  <si>
    <t>WESTMARK CONSTRUCTION, IN</t>
  </si>
  <si>
    <t>DESIGNED</t>
  </si>
  <si>
    <t>DESIGNED MECHANICAL INTEG</t>
  </si>
  <si>
    <t>SYSTEMS</t>
  </si>
  <si>
    <t>76226-5735</t>
  </si>
  <si>
    <t>ARGYLE</t>
  </si>
  <si>
    <t>SYSTEMS AUTOMATED LLC</t>
  </si>
  <si>
    <t>DONALDSON</t>
  </si>
  <si>
    <t>31210-1114</t>
  </si>
  <si>
    <t>MACON</t>
  </si>
  <si>
    <t>DONALDSON,GARRETT &amp; ASSOC</t>
  </si>
  <si>
    <t>EXCEL</t>
  </si>
  <si>
    <t>60067-6645</t>
  </si>
  <si>
    <t>PALATINE</t>
  </si>
  <si>
    <t>EXCEL TALENT SOLUTIONS,LL</t>
  </si>
  <si>
    <t>PLCUSA</t>
  </si>
  <si>
    <t>60007-6301</t>
  </si>
  <si>
    <t>PLC DIRECT, LLC</t>
  </si>
  <si>
    <t>PRICE</t>
  </si>
  <si>
    <t>33607-5750</t>
  </si>
  <si>
    <t>PRICEWATERHOUSECOOPERS LL</t>
  </si>
  <si>
    <t>RLF</t>
  </si>
  <si>
    <t>85224-4874</t>
  </si>
  <si>
    <t>RLF CONSULTING LLC</t>
  </si>
  <si>
    <t>SPRING</t>
  </si>
  <si>
    <t>45214-1728</t>
  </si>
  <si>
    <t>SPRING GROVE SHEET METAL</t>
  </si>
  <si>
    <t>JDR</t>
  </si>
  <si>
    <t>34685-1161</t>
  </si>
  <si>
    <t>PALM HARBOR</t>
  </si>
  <si>
    <t>JDR PM SERVICES LLC</t>
  </si>
  <si>
    <t>VECTOR</t>
  </si>
  <si>
    <t>33609-1869</t>
  </si>
  <si>
    <t>REDVECTOR.COM, LLC</t>
  </si>
  <si>
    <t>METTLERTOL</t>
  </si>
  <si>
    <t>43240-4055</t>
  </si>
  <si>
    <t>METTLER-TOLEDO, LLC</t>
  </si>
  <si>
    <t>37210-3725</t>
  </si>
  <si>
    <t>NASHVILLE RUBBER &amp; GASKET</t>
  </si>
  <si>
    <t>REXOTA</t>
  </si>
  <si>
    <t>20110</t>
  </si>
  <si>
    <t>MANASSAS</t>
  </si>
  <si>
    <t>REXOTA SOLUTIONS LLC</t>
  </si>
  <si>
    <t>LAST</t>
  </si>
  <si>
    <t>02110-2737</t>
  </si>
  <si>
    <t>LASTPASS US LP</t>
  </si>
  <si>
    <t>DISRUPTIVE</t>
  </si>
  <si>
    <t>30361</t>
  </si>
  <si>
    <t>DISRUPTIVE TECHNOLOGIES U</t>
  </si>
  <si>
    <t>CLEAN</t>
  </si>
  <si>
    <t>45365-2328</t>
  </si>
  <si>
    <t>SIDNEY</t>
  </si>
  <si>
    <t>CLEAN ALL SERVICES INC</t>
  </si>
  <si>
    <t>ITOH</t>
  </si>
  <si>
    <t>18706-5332</t>
  </si>
  <si>
    <t>WILKES BARRE</t>
  </si>
  <si>
    <t>ITOH DENKI U.S.A., INC.</t>
  </si>
  <si>
    <t>MAZZELLA</t>
  </si>
  <si>
    <t>23455</t>
  </si>
  <si>
    <t>MAZZELLA LIFTING TECHNOLO</t>
  </si>
  <si>
    <t>4VX</t>
  </si>
  <si>
    <t>37130-3207</t>
  </si>
  <si>
    <t>4VX LLC</t>
  </si>
  <si>
    <t>BCD</t>
  </si>
  <si>
    <t>30339-4364</t>
  </si>
  <si>
    <t>BCD TRAVEL USA LLC</t>
  </si>
  <si>
    <t>MOTION</t>
  </si>
  <si>
    <t>35210</t>
  </si>
  <si>
    <t>MOTION INDUSTRIES, INC.</t>
  </si>
  <si>
    <t>ANIMOTO</t>
  </si>
  <si>
    <t>94108-3269</t>
  </si>
  <si>
    <t>ANIMOTO INC.</t>
  </si>
  <si>
    <t>43230-6670</t>
  </si>
  <si>
    <t>ELECTRONICS AUTOMATION CO</t>
  </si>
  <si>
    <t>MANNIK</t>
  </si>
  <si>
    <t>43537-4086</t>
  </si>
  <si>
    <t>MAUMEE</t>
  </si>
  <si>
    <t>THE MANNIK &amp; SMITH GROUP,</t>
  </si>
  <si>
    <t>PLCUS</t>
  </si>
  <si>
    <t>20018-2829</t>
  </si>
  <si>
    <t>LITTLER</t>
  </si>
  <si>
    <t>94104</t>
  </si>
  <si>
    <t>LITTLER MENDELSON P.C.</t>
  </si>
  <si>
    <t>DSA</t>
  </si>
  <si>
    <t>30008-4456</t>
  </si>
  <si>
    <t>MARIETTA</t>
  </si>
  <si>
    <t>DSA AUTOMATION LLC</t>
  </si>
  <si>
    <t>SUDDATH</t>
  </si>
  <si>
    <t>32207</t>
  </si>
  <si>
    <t>SUDDATH COMPANIES, INC.</t>
  </si>
  <si>
    <t>CAREERBUIL</t>
  </si>
  <si>
    <t>60601-1084</t>
  </si>
  <si>
    <t>CAREERBUILDER, LLC</t>
  </si>
  <si>
    <t>THE PARKER</t>
  </si>
  <si>
    <t>48036-1250</t>
  </si>
  <si>
    <t>THE PARKER GROUP, INC.</t>
  </si>
  <si>
    <t>FLEXSPACE</t>
  </si>
  <si>
    <t>29401</t>
  </si>
  <si>
    <t>CHARLESTON</t>
  </si>
  <si>
    <t>FLEXSPACE 360 LLC</t>
  </si>
  <si>
    <t>ALL</t>
  </si>
  <si>
    <t>60098-7786</t>
  </si>
  <si>
    <t>ALL SEASONS UNIFORMS, INC</t>
  </si>
  <si>
    <t>TRUMPET</t>
  </si>
  <si>
    <t>77484</t>
  </si>
  <si>
    <t>WALLER</t>
  </si>
  <si>
    <t>GRAY WAYNE OWENS II DBA 7</t>
  </si>
  <si>
    <t>OVERHEAD</t>
  </si>
  <si>
    <t>48220-2898</t>
  </si>
  <si>
    <t>FERNDALE</t>
  </si>
  <si>
    <t>OVERHEAD CONVEYOR COMPANY</t>
  </si>
  <si>
    <t>PROLOGISTI</t>
  </si>
  <si>
    <t>30097-5256</t>
  </si>
  <si>
    <t>EMPLOYBRIDGE HOLDING COMP</t>
  </si>
  <si>
    <t>CRITERIA</t>
  </si>
  <si>
    <t>90069-5774</t>
  </si>
  <si>
    <t>WEST HOLLYWOOD</t>
  </si>
  <si>
    <t>CRITERIA CORP.</t>
  </si>
  <si>
    <t>PHD</t>
  </si>
  <si>
    <t>78626-3173</t>
  </si>
  <si>
    <t>GEORGETOWN</t>
  </si>
  <si>
    <t>PHD ENERGY INC</t>
  </si>
  <si>
    <t>SHOPTALK</t>
  </si>
  <si>
    <t>10158-0013</t>
  </si>
  <si>
    <t>SHOPTALK COMMERCE, LLC</t>
  </si>
  <si>
    <t>PRO MACH</t>
  </si>
  <si>
    <t>56308-8022</t>
  </si>
  <si>
    <t>PRO MACH INC DBA ORION PA</t>
  </si>
  <si>
    <t>PATRIOT</t>
  </si>
  <si>
    <t>68128-5579</t>
  </si>
  <si>
    <t>LA VISTA</t>
  </si>
  <si>
    <t>PATRIOT CUSTOM METALS LLC</t>
  </si>
  <si>
    <t>CAPELL</t>
  </si>
  <si>
    <t>36104-4227</t>
  </si>
  <si>
    <t>CAPELL &amp; HOWARD PC</t>
  </si>
  <si>
    <t>CJT</t>
  </si>
  <si>
    <t>28792-0236</t>
  </si>
  <si>
    <t>HENDERSONVILLE</t>
  </si>
  <si>
    <t>CJT MACHINE, INC.</t>
  </si>
  <si>
    <t>HURON</t>
  </si>
  <si>
    <t>HURON TECHNOLOGY LLC</t>
  </si>
  <si>
    <t>APPCAST</t>
  </si>
  <si>
    <t>03766-1604</t>
  </si>
  <si>
    <t>APPCAST, INC.</t>
  </si>
  <si>
    <t>FORD</t>
  </si>
  <si>
    <t>30363-6202</t>
  </si>
  <si>
    <t>FORD &amp; HARRISON, LLP</t>
  </si>
  <si>
    <t>ZONE 4</t>
  </si>
  <si>
    <t>92865-3205</t>
  </si>
  <si>
    <t>ZONE 4 SYSTEMS INTEGRATIO</t>
  </si>
  <si>
    <t>UTAH STATE</t>
  </si>
  <si>
    <t>84134-9000</t>
  </si>
  <si>
    <t>SALT LAKE CITY</t>
  </si>
  <si>
    <t>UTAH STATE TAX COMMISION</t>
  </si>
  <si>
    <t>EIS INTERM</t>
  </si>
  <si>
    <t>45342-6136</t>
  </si>
  <si>
    <t>EIS INTERMEDIATE HOLDINGS</t>
  </si>
  <si>
    <t>LEE</t>
  </si>
  <si>
    <t>32701</t>
  </si>
  <si>
    <t>ALTAMONTE SPRINGS</t>
  </si>
  <si>
    <t>LEE HECHT HARRISON LLC</t>
  </si>
  <si>
    <t>JS HELD</t>
  </si>
  <si>
    <t>11753-2726</t>
  </si>
  <si>
    <t>JERICHO</t>
  </si>
  <si>
    <t>JS HELD LLC</t>
  </si>
  <si>
    <t>TANGENT</t>
  </si>
  <si>
    <t>37167-4414</t>
  </si>
  <si>
    <t>TANGENT INDUSTRIES LLC</t>
  </si>
  <si>
    <t>ROBOTUNITS</t>
  </si>
  <si>
    <t>08512-3630</t>
  </si>
  <si>
    <t>CRANBURY</t>
  </si>
  <si>
    <t>ROBOTUNITS, INC.</t>
  </si>
  <si>
    <t>DEMANDBASE</t>
  </si>
  <si>
    <t>94107</t>
  </si>
  <si>
    <t>DEMANDBASE INC</t>
  </si>
  <si>
    <t>THIRD</t>
  </si>
  <si>
    <t>33432-4939</t>
  </si>
  <si>
    <t>BOCA RATON</t>
  </si>
  <si>
    <t>THE THIRD GROUP LLC</t>
  </si>
  <si>
    <t>ADVANCED</t>
  </si>
  <si>
    <t>70518-8252</t>
  </si>
  <si>
    <t>BROUSSARD</t>
  </si>
  <si>
    <t>ADVANCED GRAPHIC ENGRAVIN</t>
  </si>
  <si>
    <t>DEAN</t>
  </si>
  <si>
    <t>23185-3364</t>
  </si>
  <si>
    <t>DEAN LAW PLC</t>
  </si>
  <si>
    <t>COLE</t>
  </si>
  <si>
    <t>33156-7855</t>
  </si>
  <si>
    <t>MIAMI</t>
  </si>
  <si>
    <t>COLE, SCOTT &amp; KISSANE, P.</t>
  </si>
  <si>
    <t>CLEAR</t>
  </si>
  <si>
    <t>28752-6106</t>
  </si>
  <si>
    <t>CLEAR CREEK GOLF CARTS LL</t>
  </si>
  <si>
    <t>GROCERY</t>
  </si>
  <si>
    <t>10158</t>
  </si>
  <si>
    <t>MANHATTAN</t>
  </si>
  <si>
    <t>GROCERYSHOP LLC</t>
  </si>
  <si>
    <t>89106-2216</t>
  </si>
  <si>
    <t>THE GREER INSTALLATION GR</t>
  </si>
  <si>
    <t>WESTERNACH</t>
  </si>
  <si>
    <t>02482-7775</t>
  </si>
  <si>
    <t>WELLESLEY</t>
  </si>
  <si>
    <t>WESTERNACHER &amp; PARTNER CO</t>
  </si>
  <si>
    <t>53538</t>
  </si>
  <si>
    <t>FORT ATKINSON</t>
  </si>
  <si>
    <t>IRONMARKETS DBA ACBM HOLD</t>
  </si>
  <si>
    <t>ACCENTURE</t>
  </si>
  <si>
    <t>94597-7985</t>
  </si>
  <si>
    <t>WALNUT CREEK</t>
  </si>
  <si>
    <t>ACCENTURE LLP</t>
  </si>
  <si>
    <t>CISCO</t>
  </si>
  <si>
    <t>75234-8911</t>
  </si>
  <si>
    <t>CISCO EAGLE INC</t>
  </si>
  <si>
    <t>DREIER</t>
  </si>
  <si>
    <t>45246</t>
  </si>
  <si>
    <t>DREIER INDUSTRIES DREIER</t>
  </si>
  <si>
    <t>SCIP</t>
  </si>
  <si>
    <t>78229-5825</t>
  </si>
  <si>
    <t>FROST &amp; SULLIVAN HOLDING</t>
  </si>
  <si>
    <t>28621-2325</t>
  </si>
  <si>
    <t>ELKIN</t>
  </si>
  <si>
    <t>RUSSELL CONVEYOR &amp; EQUIPM</t>
  </si>
  <si>
    <t>GLOBAL ARE</t>
  </si>
  <si>
    <t>19087-5245</t>
  </si>
  <si>
    <t>GLOBAL ARENA, LLC</t>
  </si>
  <si>
    <t>STEELPRO</t>
  </si>
  <si>
    <t>38851-2000</t>
  </si>
  <si>
    <t>STEELPRO LLC</t>
  </si>
  <si>
    <t>TRANSPERFE</t>
  </si>
  <si>
    <t>10001</t>
  </si>
  <si>
    <t>TRANSPERFECT HOLDING LLC</t>
  </si>
  <si>
    <t>RAPID</t>
  </si>
  <si>
    <t>48083-1115</t>
  </si>
  <si>
    <t>RAPID GLOBAL BUSINESS SOL</t>
  </si>
  <si>
    <t>VALTICS</t>
  </si>
  <si>
    <t>43220</t>
  </si>
  <si>
    <t>VALTICS LLC</t>
  </si>
  <si>
    <t>JAN-PRO</t>
  </si>
  <si>
    <t>60527</t>
  </si>
  <si>
    <t>BURR RIDGE</t>
  </si>
  <si>
    <t>JAN-PRO OF GREATER CINCIN</t>
  </si>
  <si>
    <t>29732-9592</t>
  </si>
  <si>
    <t>ROCK HILL</t>
  </si>
  <si>
    <t>PRECISION BELTING, INC.</t>
  </si>
  <si>
    <t>UNEX</t>
  </si>
  <si>
    <t>08701-5452</t>
  </si>
  <si>
    <t>LAKEWOOD</t>
  </si>
  <si>
    <t>UNEX MANUFACTURING, INC.</t>
  </si>
  <si>
    <t>JEWETT</t>
  </si>
  <si>
    <t>23224-7020</t>
  </si>
  <si>
    <t>JEWETT AUTOMATION, LLC</t>
  </si>
  <si>
    <t>MULTI</t>
  </si>
  <si>
    <t>45103-2587</t>
  </si>
  <si>
    <t>MULTI-COLOR CORPORATION</t>
  </si>
  <si>
    <t>ACE</t>
  </si>
  <si>
    <t>75061-5613</t>
  </si>
  <si>
    <t>IRVING</t>
  </si>
  <si>
    <t>SOS LIFTING INC DBA ACE E</t>
  </si>
  <si>
    <t>DOMINION R</t>
  </si>
  <si>
    <t>23435-2115</t>
  </si>
  <si>
    <t>SUFFOLK</t>
  </si>
  <si>
    <t>KENNETH J WEINSTEIN DOMIN</t>
  </si>
  <si>
    <t>TOPS</t>
  </si>
  <si>
    <t>75013</t>
  </si>
  <si>
    <t>ALLEN</t>
  </si>
  <si>
    <t>TOPS SOFTWARE CORPORATION</t>
  </si>
  <si>
    <t>30374</t>
  </si>
  <si>
    <t>WELLS FARGO FINANCIAL SER</t>
  </si>
  <si>
    <t>CAROLINA</t>
  </si>
  <si>
    <t>29607</t>
  </si>
  <si>
    <t>CAROLINA MOTION CONTROLS,</t>
  </si>
  <si>
    <t>HODGE</t>
  </si>
  <si>
    <t>30548</t>
  </si>
  <si>
    <t>HOSCHTON</t>
  </si>
  <si>
    <t>ATLANTA COMPRESSOR, LLC</t>
  </si>
  <si>
    <t>75024-6612</t>
  </si>
  <si>
    <t>SIEMENS INDUSTRY SOFTWARE</t>
  </si>
  <si>
    <t>NCC</t>
  </si>
  <si>
    <t>94108-2747</t>
  </si>
  <si>
    <t>NCC GROUP SOFTWARE RESILI</t>
  </si>
  <si>
    <t>MERCER (US) LLC</t>
  </si>
  <si>
    <t>HENDRIX</t>
  </si>
  <si>
    <t>HENDRIX HEATING &amp; AIR LLC</t>
  </si>
  <si>
    <t>VIPA USA</t>
  </si>
  <si>
    <t>30004-4419</t>
  </si>
  <si>
    <t>VIPA USA, INC.</t>
  </si>
  <si>
    <t>QUEST</t>
  </si>
  <si>
    <t>06095-2179</t>
  </si>
  <si>
    <t>WINDSOR</t>
  </si>
  <si>
    <t>QUEST GLOBAL SERVICES-NA,</t>
  </si>
  <si>
    <t>JAMES</t>
  </si>
  <si>
    <t>28655-8441</t>
  </si>
  <si>
    <t>MORGANTON</t>
  </si>
  <si>
    <t>JAMES TOOL, MACHINE &amp; ENG</t>
  </si>
  <si>
    <t>FRESCHWORK</t>
  </si>
  <si>
    <t>94403-2578</t>
  </si>
  <si>
    <t>SAN MATEO</t>
  </si>
  <si>
    <t>FRESHWORKS INC.</t>
  </si>
  <si>
    <t>RVET</t>
  </si>
  <si>
    <t>23320</t>
  </si>
  <si>
    <t>RVET OPERATING, LLC - REC</t>
  </si>
  <si>
    <t>OMRON ELEC</t>
  </si>
  <si>
    <t>60169-7260</t>
  </si>
  <si>
    <t>HOFFMAN ESTATES</t>
  </si>
  <si>
    <t>OMRON ELECTRONICS LLC</t>
  </si>
  <si>
    <t>STOW</t>
  </si>
  <si>
    <t>60446</t>
  </si>
  <si>
    <t>STOW US INC.</t>
  </si>
  <si>
    <t>INFORMA</t>
  </si>
  <si>
    <t>11042</t>
  </si>
  <si>
    <t>NEW HYDE PARK</t>
  </si>
  <si>
    <t>INFORMA MARKETS MANUFACTU</t>
  </si>
  <si>
    <t>ALLEGIS</t>
  </si>
  <si>
    <t>ALLEGIS GROUP HOLDINGS, I</t>
  </si>
  <si>
    <t>METTLER</t>
  </si>
  <si>
    <t>33558-5522</t>
  </si>
  <si>
    <t>LUTZ</t>
  </si>
  <si>
    <t>METTLER-TOLEDO INTERNATIO</t>
  </si>
  <si>
    <t>IVESIA</t>
  </si>
  <si>
    <t>03079</t>
  </si>
  <si>
    <t>IVESIA SOLUTIONS INC.</t>
  </si>
  <si>
    <t>KILPATRICK</t>
  </si>
  <si>
    <t>90067</t>
  </si>
  <si>
    <t>KILPATRICK TOWNSEND &amp; STO</t>
  </si>
  <si>
    <t>A-1</t>
  </si>
  <si>
    <t>A-1 JAY'S SHEET METAL, IN</t>
  </si>
  <si>
    <t>ML TERRACE</t>
  </si>
  <si>
    <t>30346-1227</t>
  </si>
  <si>
    <t>ML TERRACES LLC DBA METRO</t>
  </si>
  <si>
    <t>WW</t>
  </si>
  <si>
    <t>75220-1319</t>
  </si>
  <si>
    <t>W.W. CANNON, LLC</t>
  </si>
  <si>
    <t>UNISHIPPER</t>
  </si>
  <si>
    <t>23188-8218</t>
  </si>
  <si>
    <t>HAMER TRANSPORT LLC - UNI</t>
  </si>
  <si>
    <t>CARITHERS</t>
  </si>
  <si>
    <t>30340</t>
  </si>
  <si>
    <t>CARITHERS-WALLACE-COURTEN</t>
  </si>
  <si>
    <t>WALL</t>
  </si>
  <si>
    <t>23510</t>
  </si>
  <si>
    <t>WALL, EINHORN &amp; CHERNITZE</t>
  </si>
  <si>
    <t>MULTIDIMEN</t>
  </si>
  <si>
    <t>17361-1426</t>
  </si>
  <si>
    <t>MULTI-DIMENSIONAL INTEGRA</t>
  </si>
  <si>
    <t>NGAGE</t>
  </si>
  <si>
    <t>32819</t>
  </si>
  <si>
    <t>ORLANDO</t>
  </si>
  <si>
    <t>NGAGE SPECIALIST RECRUITM</t>
  </si>
  <si>
    <t>PRIORITY-1</t>
  </si>
  <si>
    <t>72201</t>
  </si>
  <si>
    <t>LITTLE ROCK</t>
  </si>
  <si>
    <t>PRIORITY-1 INC</t>
  </si>
  <si>
    <t>HCS</t>
  </si>
  <si>
    <t>95219</t>
  </si>
  <si>
    <t>STOCKTON</t>
  </si>
  <si>
    <t>HCS ENGINEERING INC</t>
  </si>
  <si>
    <t>94105-3106</t>
  </si>
  <si>
    <t>DEMANDBASE, INC.</t>
  </si>
  <si>
    <t>LIGHTSOURC</t>
  </si>
  <si>
    <t>94115-2515</t>
  </si>
  <si>
    <t>LIGHTSOURCE LABS, INC.</t>
  </si>
  <si>
    <t>UPRITE</t>
  </si>
  <si>
    <t>37172</t>
  </si>
  <si>
    <t>UP-RITE SYSTEMS, INC.</t>
  </si>
  <si>
    <t>WYLIE</t>
  </si>
  <si>
    <t>48168</t>
  </si>
  <si>
    <t>NORTHVILLE</t>
  </si>
  <si>
    <t>WYLIE GROUP LLC</t>
  </si>
  <si>
    <t>STRUCTURED</t>
  </si>
  <si>
    <t>86303</t>
  </si>
  <si>
    <t>PRESCOTT</t>
  </si>
  <si>
    <t>STRUCTURED SOLUTIONS, INC</t>
  </si>
  <si>
    <t>SMARTBRIDG</t>
  </si>
  <si>
    <t>77042</t>
  </si>
  <si>
    <t>SMARTBRIDGE, LLC</t>
  </si>
  <si>
    <t>CANON U.S.</t>
  </si>
  <si>
    <t>11747-3036</t>
  </si>
  <si>
    <t>CANON U.S.A., INC.</t>
  </si>
  <si>
    <t>LIFTONE</t>
  </si>
  <si>
    <t>28260-2727</t>
  </si>
  <si>
    <t>LIFTONE LLC</t>
  </si>
  <si>
    <t>DLF</t>
  </si>
  <si>
    <t>95492</t>
  </si>
  <si>
    <t>DLF ENGINEERS INC</t>
  </si>
  <si>
    <t>30326-1140</t>
  </si>
  <si>
    <t>USA CABLING &amp; TECHNOLOGY</t>
  </si>
  <si>
    <t>HERITAGE</t>
  </si>
  <si>
    <t>30067</t>
  </si>
  <si>
    <t>HERITAGE BUILDING GROUP L</t>
  </si>
  <si>
    <t>EQIPMENT</t>
  </si>
  <si>
    <t>21702</t>
  </si>
  <si>
    <t>FREDERICK</t>
  </si>
  <si>
    <t>EQUIPMENT DEVELOPMENT CO.</t>
  </si>
  <si>
    <t>IMPERIUM</t>
  </si>
  <si>
    <t>30004</t>
  </si>
  <si>
    <t>IMPERIUM TECHNOLOGY SOLUT</t>
  </si>
  <si>
    <t>SHORR</t>
  </si>
  <si>
    <t>60502</t>
  </si>
  <si>
    <t>HANCHETT PAPER COMPANY DB</t>
  </si>
  <si>
    <t>AUTODESK</t>
  </si>
  <si>
    <t>94105</t>
  </si>
  <si>
    <t>AUTODESK, INC.</t>
  </si>
  <si>
    <t>MYERS</t>
  </si>
  <si>
    <t>43123</t>
  </si>
  <si>
    <t>MYERS MACHINERY MOVERS, I</t>
  </si>
  <si>
    <t>47201</t>
  </si>
  <si>
    <t>PRECISION TOOLS SERVICE,</t>
  </si>
  <si>
    <t>PANEL FAB</t>
  </si>
  <si>
    <t>45215</t>
  </si>
  <si>
    <t>PANEL-FAB, INC.</t>
  </si>
  <si>
    <t>DM2</t>
  </si>
  <si>
    <t>76116</t>
  </si>
  <si>
    <t>DM2, LLC</t>
  </si>
  <si>
    <t>SMARTCAT</t>
  </si>
  <si>
    <t>19802-4447</t>
  </si>
  <si>
    <t>SMARTCAT PLATFORM INC.</t>
  </si>
  <si>
    <t>MACLEAN</t>
  </si>
  <si>
    <t>MACLEAN MALLARD, L.L.C.</t>
  </si>
  <si>
    <t>31602</t>
  </si>
  <si>
    <t>VALDOSTA</t>
  </si>
  <si>
    <t>ADVANCED PORTABLE RESTROO</t>
  </si>
  <si>
    <t>RELENTLESS</t>
  </si>
  <si>
    <t>27539</t>
  </si>
  <si>
    <t>RELENTLESS PURSUIT LLC</t>
  </si>
  <si>
    <t>FAHLGREN S</t>
  </si>
  <si>
    <t>THE SHIPYARD LLC - FAHLGR</t>
  </si>
  <si>
    <t>E-TECHNOLO</t>
  </si>
  <si>
    <t>45069</t>
  </si>
  <si>
    <t>E-TECHNOLOGIES GROUP, INC</t>
  </si>
  <si>
    <t>BEARING TR</t>
  </si>
  <si>
    <t>73116</t>
  </si>
  <si>
    <t>BEARING TREE LAND SURVEYI</t>
  </si>
  <si>
    <t>DIVERGENT</t>
  </si>
  <si>
    <t>30116</t>
  </si>
  <si>
    <t>CARROLLTON</t>
  </si>
  <si>
    <t>DIVERGENT DYNAMICS, INC.</t>
  </si>
  <si>
    <t>GOANIMATE</t>
  </si>
  <si>
    <t>94401</t>
  </si>
  <si>
    <t>GOANIMATE, INC.</t>
  </si>
  <si>
    <t>53589-3800</t>
  </si>
  <si>
    <t>STOUGHTON</t>
  </si>
  <si>
    <t>AUTOMATION PLUS DBA</t>
  </si>
  <si>
    <t>BARNSLEY R</t>
  </si>
  <si>
    <t>30103-5712</t>
  </si>
  <si>
    <t>ADAIRSVILLE</t>
  </si>
  <si>
    <t>BOOT HOLDINGS 2022 LLC</t>
  </si>
  <si>
    <t>MECK</t>
  </si>
  <si>
    <t>28208-5237</t>
  </si>
  <si>
    <t>MECKLENBURG COUNTY</t>
  </si>
  <si>
    <t>ARMSTRONG</t>
  </si>
  <si>
    <t>98226</t>
  </si>
  <si>
    <t>BELLINGHAM</t>
  </si>
  <si>
    <t>ARMSTRONG MAGNETICS INC</t>
  </si>
  <si>
    <t>43219</t>
  </si>
  <si>
    <t>FAHLGREN MORTINE LLC DBA</t>
  </si>
  <si>
    <t>O'HAGAN</t>
  </si>
  <si>
    <t>60601</t>
  </si>
  <si>
    <t>O'HAGAN MEYER PLLC</t>
  </si>
  <si>
    <t>TEMPLE</t>
  </si>
  <si>
    <t>53092</t>
  </si>
  <si>
    <t>MEQUON</t>
  </si>
  <si>
    <t>TEMPLE CONTROLS SYSTEMS I</t>
  </si>
  <si>
    <t>FRONT PORC</t>
  </si>
  <si>
    <t>45402</t>
  </si>
  <si>
    <t>FRONT PORCH MARKETING LLC</t>
  </si>
  <si>
    <t>ILL SECRET</t>
  </si>
  <si>
    <t>62756-0002</t>
  </si>
  <si>
    <t>ILLINOIS SECRETARY OF STA</t>
  </si>
  <si>
    <t>AMASE ADMI</t>
  </si>
  <si>
    <t>77079-1912</t>
  </si>
  <si>
    <t>ADMIRALTY MARINE &amp; STRUCT</t>
  </si>
  <si>
    <t>NELSANY GU</t>
  </si>
  <si>
    <t>36852-2834</t>
  </si>
  <si>
    <t>CUSSETA</t>
  </si>
  <si>
    <t>NELSANY LLC DBA</t>
  </si>
  <si>
    <t>PICKAWAY</t>
  </si>
  <si>
    <t>43113-1614</t>
  </si>
  <si>
    <t>CIRCLEVILLE</t>
  </si>
  <si>
    <t>PICKAWAY COUNTY</t>
  </si>
  <si>
    <t>FS.COM</t>
  </si>
  <si>
    <t>19720-8100</t>
  </si>
  <si>
    <t>FS.COM, INC.</t>
  </si>
  <si>
    <t>TQL</t>
  </si>
  <si>
    <t>45245-0002</t>
  </si>
  <si>
    <t>TOTAL QUALITY LOGISTICS,</t>
  </si>
  <si>
    <t>BRIGHTCARB</t>
  </si>
  <si>
    <t>02138</t>
  </si>
  <si>
    <t>CAMBRIDGE</t>
  </si>
  <si>
    <t>BRIGHTCARBON</t>
  </si>
  <si>
    <t>CITY OF AU</t>
  </si>
  <si>
    <t>80012-1555</t>
  </si>
  <si>
    <t>CITY OF AURORA DEVELOPMEN</t>
  </si>
  <si>
    <t>TABET</t>
  </si>
  <si>
    <t>23504-3808</t>
  </si>
  <si>
    <t>TABET MANUFACTURING COMPA</t>
  </si>
  <si>
    <t>WASTE</t>
  </si>
  <si>
    <t>44145</t>
  </si>
  <si>
    <t>WASTE DYNAMICS LLC</t>
  </si>
  <si>
    <t>PULS</t>
  </si>
  <si>
    <t>60502-4809</t>
  </si>
  <si>
    <t>PULS, LP</t>
  </si>
  <si>
    <t>HEP MECHAN</t>
  </si>
  <si>
    <t>75572-3823</t>
  </si>
  <si>
    <t>QUEEN CITY</t>
  </si>
  <si>
    <t>HEP MECHANICAL SERVICES,</t>
  </si>
  <si>
    <t>53172-5600</t>
  </si>
  <si>
    <t>SOUTH MILWAUKEE</t>
  </si>
  <si>
    <t>STEELE SOLUTIONS, INC.</t>
  </si>
  <si>
    <t>KUEHNE</t>
  </si>
  <si>
    <t>07302-3918</t>
  </si>
  <si>
    <t>JERSEY CITY</t>
  </si>
  <si>
    <t>KUEHNE + NAGEL, INC.</t>
  </si>
  <si>
    <t>SKILLS SIT</t>
  </si>
  <si>
    <t>74734</t>
  </si>
  <si>
    <t>EAGLETOWN</t>
  </si>
  <si>
    <t>STEPHANIE VANFLEET</t>
  </si>
  <si>
    <t>GIS</t>
  </si>
  <si>
    <t>GIS CORPORATION</t>
  </si>
  <si>
    <t>NEWPORT NE</t>
  </si>
  <si>
    <t>CITY OF NEWPORT NEWS</t>
  </si>
  <si>
    <t>HAMMOND</t>
  </si>
  <si>
    <t>70401</t>
  </si>
  <si>
    <t>CITY OF HAMMOND TAX DEPAR</t>
  </si>
  <si>
    <t>THE OTHER</t>
  </si>
  <si>
    <t>23072-2822</t>
  </si>
  <si>
    <t>THE OTHER MOVING COMPANY,</t>
  </si>
  <si>
    <t>NECC</t>
  </si>
  <si>
    <t>01772-2108</t>
  </si>
  <si>
    <t>SOUTHBOROUGH</t>
  </si>
  <si>
    <t>THE NEW ENGLAND CENTER FO</t>
  </si>
  <si>
    <t>MILLER</t>
  </si>
  <si>
    <t>17972-9720</t>
  </si>
  <si>
    <t>SCHUYLKILL HAVEN</t>
  </si>
  <si>
    <t>MILLER BROS. CONSTRUCTION</t>
  </si>
  <si>
    <t>VOIGTS</t>
  </si>
  <si>
    <t>31602-2135</t>
  </si>
  <si>
    <t>VOIGT’S CRANE RENTAL OF G</t>
  </si>
  <si>
    <t>32801</t>
  </si>
  <si>
    <t>AMERICAN TRAINCO LLC</t>
  </si>
  <si>
    <t>LUXID</t>
  </si>
  <si>
    <t>QIMAROX</t>
  </si>
  <si>
    <t>60602</t>
  </si>
  <si>
    <t>QIMAROX INC</t>
  </si>
  <si>
    <t>OEG</t>
  </si>
  <si>
    <t>97210-1524</t>
  </si>
  <si>
    <t>OEG, INC.</t>
  </si>
  <si>
    <t>DEVELOPMEN</t>
  </si>
  <si>
    <t>92376</t>
  </si>
  <si>
    <t>RIALTO</t>
  </si>
  <si>
    <t>DEVELOPMENT SERVICES-CITY</t>
  </si>
  <si>
    <t>53022-3612</t>
  </si>
  <si>
    <t>GERMANTOWN</t>
  </si>
  <si>
    <t>WEIMER BEARING &amp; TRANSMIS</t>
  </si>
  <si>
    <t>TECHNI</t>
  </si>
  <si>
    <t>27409</t>
  </si>
  <si>
    <t>TECHNI-REPS, INC.</t>
  </si>
  <si>
    <t>CON PEARL</t>
  </si>
  <si>
    <t>29605-3768</t>
  </si>
  <si>
    <t>CON-PEARL NORTH AMERICA I</t>
  </si>
  <si>
    <t>SST</t>
  </si>
  <si>
    <t>53172</t>
  </si>
  <si>
    <t>SST INSTALLATION INC</t>
  </si>
  <si>
    <t>MILLWOOD</t>
  </si>
  <si>
    <t>44473-9796</t>
  </si>
  <si>
    <t>VIENNA</t>
  </si>
  <si>
    <t>MILLWOOD, INC.</t>
  </si>
  <si>
    <t>SOURCELINK</t>
  </si>
  <si>
    <t>60007-1557</t>
  </si>
  <si>
    <t>SOURCELINK SOLUTIONS, LLC</t>
  </si>
  <si>
    <t>SHELLY</t>
  </si>
  <si>
    <t>72076</t>
  </si>
  <si>
    <t>SHELLY EDWARDS</t>
  </si>
  <si>
    <t>BE INTERNA</t>
  </si>
  <si>
    <t>33702-4399</t>
  </si>
  <si>
    <t>SAINT PETERSBURG</t>
  </si>
  <si>
    <t>B.E. INTERNATIONAL COMPAN</t>
  </si>
  <si>
    <t>SOLVE</t>
  </si>
  <si>
    <t>SOLVE INTERMEDIATE HOLDIN</t>
  </si>
  <si>
    <t>UKG</t>
  </si>
  <si>
    <t>33326-3233</t>
  </si>
  <si>
    <t>WESTON</t>
  </si>
  <si>
    <t>UKG INC.</t>
  </si>
  <si>
    <t>INTERNATIO</t>
  </si>
  <si>
    <t>11803</t>
  </si>
  <si>
    <t>PLAINVIEW</t>
  </si>
  <si>
    <t>INTERNATIONAL INTEGRATED</t>
  </si>
  <si>
    <t>04240-2320</t>
  </si>
  <si>
    <t>LEWISTON</t>
  </si>
  <si>
    <t>ELECTRICAL SOLUTIONS INC</t>
  </si>
  <si>
    <t>TR ELECTRO</t>
  </si>
  <si>
    <t>48083-1208</t>
  </si>
  <si>
    <t>TR ENCODER SOLUTIONS INC.</t>
  </si>
  <si>
    <t>MH</t>
  </si>
  <si>
    <t>10901-4239</t>
  </si>
  <si>
    <t>MONTEBELLO</t>
  </si>
  <si>
    <t>MH LEASING LLC - NADLER M</t>
  </si>
  <si>
    <t>COPIA</t>
  </si>
  <si>
    <t>10010-3501</t>
  </si>
  <si>
    <t>COPIA AUTOMATION, INC.</t>
  </si>
  <si>
    <t>STRAIGHTLI</t>
  </si>
  <si>
    <t>HOSCHTON, GA</t>
  </si>
  <si>
    <t>STRAIGHTLINE OPTICAL SERV</t>
  </si>
  <si>
    <t>WTC</t>
  </si>
  <si>
    <t>48335-1507</t>
  </si>
  <si>
    <t>FARMINGTON HILLS</t>
  </si>
  <si>
    <t>WELDING TECHNOLOGY CORPOR</t>
  </si>
  <si>
    <t>LEMPIA</t>
  </si>
  <si>
    <t>60603</t>
  </si>
  <si>
    <t>LEMPIA SUMMERFIELD KATZ L</t>
  </si>
  <si>
    <t>SOLA HEVI</t>
  </si>
  <si>
    <t>53005-2421</t>
  </si>
  <si>
    <t>BROOKFIELD</t>
  </si>
  <si>
    <t>GROSS AUTOMATION, LLC</t>
  </si>
  <si>
    <t>ROSENTHAL</t>
  </si>
  <si>
    <t>60062</t>
  </si>
  <si>
    <t>NORTHBROOK IL</t>
  </si>
  <si>
    <t>ROSENTHAL SHEETING SYSTEM</t>
  </si>
  <si>
    <t>BECHTLE</t>
  </si>
  <si>
    <t>33431</t>
  </si>
  <si>
    <t>JR BECHTLE &amp; CO.</t>
  </si>
  <si>
    <t>RACE</t>
  </si>
  <si>
    <t>30349</t>
  </si>
  <si>
    <t>GEORGIA</t>
  </si>
  <si>
    <t>RACE DOMESTIC LOGISTIC SE</t>
  </si>
  <si>
    <t>IPCOL</t>
  </si>
  <si>
    <t>08016-4105</t>
  </si>
  <si>
    <t>BURLINGTON</t>
  </si>
  <si>
    <t>INTERNATIONAL PRODUCTS CO</t>
  </si>
  <si>
    <t>DUNCAN, SC</t>
  </si>
  <si>
    <t>ENGINEERED SYSTEMS, INC.</t>
  </si>
  <si>
    <t>FINASTRA</t>
  </si>
  <si>
    <t>10017-6401</t>
  </si>
  <si>
    <t>FINASTRA TECHNOLOGY, INC.</t>
  </si>
  <si>
    <t>INTERFREIG</t>
  </si>
  <si>
    <t>30276</t>
  </si>
  <si>
    <t>SENOIA</t>
  </si>
  <si>
    <t>INTERFREIGHT SE</t>
  </si>
  <si>
    <t>06498</t>
  </si>
  <si>
    <t>WESTBROOK, CT</t>
  </si>
  <si>
    <t>THE LEE COMPANY</t>
  </si>
  <si>
    <t>CNA</t>
  </si>
  <si>
    <t>98057</t>
  </si>
  <si>
    <t>RENTON, WASHINGTON</t>
  </si>
  <si>
    <t>CNA MANUFACTURING SYSTEMS</t>
  </si>
  <si>
    <t>46809</t>
  </si>
  <si>
    <t>FORT WAYNE, IN</t>
  </si>
  <si>
    <t>PHD INC.</t>
  </si>
  <si>
    <t>METRO TRAI</t>
  </si>
  <si>
    <t>35124</t>
  </si>
  <si>
    <t>PELHAM ALABAMA</t>
  </si>
  <si>
    <t>METRO TRAILER RENTAL</t>
  </si>
  <si>
    <t>CAPITOL</t>
  </si>
  <si>
    <t>48071-0484</t>
  </si>
  <si>
    <t>MADISON HEIGHTS</t>
  </si>
  <si>
    <t>CAPITOL REPRODUCTIONS INC</t>
  </si>
  <si>
    <t>DOCUSIGN</t>
  </si>
  <si>
    <t>DOCUSIGN INC.</t>
  </si>
  <si>
    <t>LITTELFUSE</t>
  </si>
  <si>
    <t>60631</t>
  </si>
  <si>
    <t>ILLINOIS</t>
  </si>
  <si>
    <t>LITTELFUSE, INC.</t>
  </si>
  <si>
    <t>DAVID JOEL</t>
  </si>
  <si>
    <t>60614</t>
  </si>
  <si>
    <t>DAVID JOEL PHOTOGRAPHY IN</t>
  </si>
  <si>
    <t>FINSBURY</t>
  </si>
  <si>
    <t>10019</t>
  </si>
  <si>
    <t>FINSBURY LLC</t>
  </si>
  <si>
    <t>IEEE</t>
  </si>
  <si>
    <t>08854-4141</t>
  </si>
  <si>
    <t>PISCATAWAY</t>
  </si>
  <si>
    <t>MISYS</t>
  </si>
  <si>
    <t>10036</t>
  </si>
  <si>
    <t>GATES</t>
  </si>
  <si>
    <t>80202</t>
  </si>
  <si>
    <t>DENVER CO</t>
  </si>
  <si>
    <t>GATES CORPORATION</t>
  </si>
  <si>
    <t>INNOWERA</t>
  </si>
  <si>
    <t>75063</t>
  </si>
  <si>
    <t>INNOWERA LLC</t>
  </si>
  <si>
    <t>45030</t>
  </si>
  <si>
    <t>HARRISON, OH</t>
  </si>
  <si>
    <t>CINCINNATI TEST SYSTEMS,</t>
  </si>
  <si>
    <t>OBJEKT</t>
  </si>
  <si>
    <t>02494</t>
  </si>
  <si>
    <t>NEEDHAM</t>
  </si>
  <si>
    <t>OBJECT MANAGEMENT GROUP,</t>
  </si>
  <si>
    <t>BANNER</t>
  </si>
  <si>
    <t>55441</t>
  </si>
  <si>
    <t>BANNER ENGINEERING CORPOR</t>
  </si>
  <si>
    <t>SXSW</t>
  </si>
  <si>
    <t>78768</t>
  </si>
  <si>
    <t>SXSW LLC</t>
  </si>
  <si>
    <t>KLX</t>
  </si>
  <si>
    <t>60695</t>
  </si>
  <si>
    <t>CASS STUDI</t>
  </si>
  <si>
    <t>78704</t>
  </si>
  <si>
    <t>CASS STUDIOS LLC</t>
  </si>
  <si>
    <t>OPC</t>
  </si>
  <si>
    <t>85260-1868</t>
  </si>
  <si>
    <t>SCOTTSDALE</t>
  </si>
  <si>
    <t>OPC FOUNDATION</t>
  </si>
  <si>
    <t>MIDWEST</t>
  </si>
  <si>
    <t>48335</t>
  </si>
  <si>
    <t>MIDWEST THERMAL SPRAY</t>
  </si>
  <si>
    <t>REXNORD</t>
  </si>
  <si>
    <t>53214</t>
  </si>
  <si>
    <t>WEST MILWAUKEE</t>
  </si>
  <si>
    <t>ISRA</t>
  </si>
  <si>
    <t>30096</t>
  </si>
  <si>
    <t>BERKELEY</t>
  </si>
  <si>
    <t>ISRA VISION SYSTEMS INC.</t>
  </si>
  <si>
    <t>SMARTVISIO</t>
  </si>
  <si>
    <t>49445</t>
  </si>
  <si>
    <t>MUSKEGON</t>
  </si>
  <si>
    <t>SMART VISION LIGHTS</t>
  </si>
  <si>
    <t>UNIVERSITY</t>
  </si>
  <si>
    <t>90007-3259</t>
  </si>
  <si>
    <t>UNIVERSITY OF SOUTHERN CA</t>
  </si>
  <si>
    <t>COMMSCOPE</t>
  </si>
  <si>
    <t>28602</t>
  </si>
  <si>
    <t>HICKORY, NC</t>
  </si>
  <si>
    <t>COMMSCOPE INC.</t>
  </si>
  <si>
    <t>SPX FLOW</t>
  </si>
  <si>
    <t>28277-3607</t>
  </si>
  <si>
    <t>SPX FLOW, INC.</t>
  </si>
  <si>
    <t>BLOOMBERG</t>
  </si>
  <si>
    <t>10022</t>
  </si>
  <si>
    <t>NEW YORK, NY</t>
  </si>
  <si>
    <t>BLOOMBERG FINANCE L.P.</t>
  </si>
  <si>
    <t>NEBBIO</t>
  </si>
  <si>
    <t>95035</t>
  </si>
  <si>
    <t>MILPITAS, CA</t>
  </si>
  <si>
    <t>NEBBIOLO TECHNOLOGIES INC</t>
  </si>
  <si>
    <t>48047</t>
  </si>
  <si>
    <t>COLUMBIA MARKING TOOLS</t>
  </si>
  <si>
    <t>INTERACTIV</t>
  </si>
  <si>
    <t>48430-3806</t>
  </si>
  <si>
    <t>FENTON</t>
  </si>
  <si>
    <t>INTERACTIVE TRAINING SYST</t>
  </si>
  <si>
    <t>90089</t>
  </si>
  <si>
    <t>GRACO</t>
  </si>
  <si>
    <t>55413</t>
  </si>
  <si>
    <t>MINNEAPOLIS, MN</t>
  </si>
  <si>
    <t>GRACO INC</t>
  </si>
  <si>
    <t>APTTUS</t>
  </si>
  <si>
    <t>94404-2061</t>
  </si>
  <si>
    <t>APTTUS CORPORATION</t>
  </si>
  <si>
    <t>48170</t>
  </si>
  <si>
    <t>ADS</t>
  </si>
  <si>
    <t>35209</t>
  </si>
  <si>
    <t>HOMEWOOD</t>
  </si>
  <si>
    <t>ADS SECURITY</t>
  </si>
  <si>
    <t>ZEBRA</t>
  </si>
  <si>
    <t>60069</t>
  </si>
  <si>
    <t>LINCOLNSHIRE</t>
  </si>
  <si>
    <t>ZEBRA TECHNOLOGIES CORPOR</t>
  </si>
  <si>
    <t>DOUBLE</t>
  </si>
  <si>
    <t>27513</t>
  </si>
  <si>
    <t>DOUBLEBLAZE CONSULTING, L</t>
  </si>
  <si>
    <t>ARTMADA</t>
  </si>
  <si>
    <t>60102</t>
  </si>
  <si>
    <t>ALGONQUIN</t>
  </si>
  <si>
    <t>ARTMADA, INC</t>
  </si>
  <si>
    <t>MORRELL</t>
  </si>
  <si>
    <t>48326-1808</t>
  </si>
  <si>
    <t>MORRELL INCORPORATED</t>
  </si>
  <si>
    <t>CANNON</t>
  </si>
  <si>
    <t>92618</t>
  </si>
  <si>
    <t>ITT CANNON INC.</t>
  </si>
  <si>
    <t>ECLF</t>
  </si>
  <si>
    <t>90077</t>
  </si>
  <si>
    <t>ECLF, INC.</t>
  </si>
  <si>
    <t>PRAXAIR</t>
  </si>
  <si>
    <t>06810</t>
  </si>
  <si>
    <t>DANBURY, CT</t>
  </si>
  <si>
    <t>PRAXAIR, INC.</t>
  </si>
  <si>
    <t>MANOCHA</t>
  </si>
  <si>
    <t>27517</t>
  </si>
  <si>
    <t>CHAPEL HILL</t>
  </si>
  <si>
    <t>DINESH MANOCHA</t>
  </si>
  <si>
    <t>EBZ</t>
  </si>
  <si>
    <t>35111</t>
  </si>
  <si>
    <t>MCCALLA, AL</t>
  </si>
  <si>
    <t>EBZ SYSTEC, INC.</t>
  </si>
  <si>
    <t>KOEBERLEIN</t>
  </si>
  <si>
    <t>29322</t>
  </si>
  <si>
    <t>CAMPOBELLO, SC</t>
  </si>
  <si>
    <t>KOEBERLEIN &amp; SEIGERT LLC</t>
  </si>
  <si>
    <t>BAUSTELLE</t>
  </si>
  <si>
    <t>35406</t>
  </si>
  <si>
    <t>BAUSTELLE DAIMLER TUSCALO</t>
  </si>
  <si>
    <t>INTEGRIS</t>
  </si>
  <si>
    <t>33609</t>
  </si>
  <si>
    <t>INTEGRIS INTERNATIONAL LL</t>
  </si>
  <si>
    <t>STROOCK</t>
  </si>
  <si>
    <t>20006-1253</t>
  </si>
  <si>
    <t>STROOCK &amp; STROOCK &amp; LAVAN</t>
  </si>
  <si>
    <t>WOOD</t>
  </si>
  <si>
    <t>45202-2917</t>
  </si>
  <si>
    <t>WOOD, HERRON  EVANS L.L.P</t>
  </si>
  <si>
    <t>PMC</t>
  </si>
  <si>
    <t>48126</t>
  </si>
  <si>
    <t>DEARBORN, MI</t>
  </si>
  <si>
    <t>PRODUCTION MODELING CORPO</t>
  </si>
  <si>
    <t>EXOTIC</t>
  </si>
  <si>
    <t>FARMINGTON HILLS, MI</t>
  </si>
  <si>
    <t>EXOTIC AUTOMATION &amp; SUPPL</t>
  </si>
  <si>
    <t>IFF</t>
  </si>
  <si>
    <t>30281-5089</t>
  </si>
  <si>
    <t>STOCKBRIDGE</t>
  </si>
  <si>
    <t>IFF, INC.</t>
  </si>
  <si>
    <t>RDS</t>
  </si>
  <si>
    <t>14580</t>
  </si>
  <si>
    <t>WEBSTER, NY</t>
  </si>
  <si>
    <t>R.D. SPECIALITIES</t>
  </si>
  <si>
    <t>AVNU</t>
  </si>
  <si>
    <t>97003</t>
  </si>
  <si>
    <t>BEAVERTON</t>
  </si>
  <si>
    <t>AVNU ALLIANCE</t>
  </si>
  <si>
    <t>CEC</t>
  </si>
  <si>
    <t>29492</t>
  </si>
  <si>
    <t>CHARLESTON, SC</t>
  </si>
  <si>
    <t>CUSTOM EQUIPMENT COMPANY</t>
  </si>
  <si>
    <t>24018</t>
  </si>
  <si>
    <t>MILLER MARIANNE</t>
  </si>
  <si>
    <t>A&amp;M PRECIS</t>
  </si>
  <si>
    <t>98032</t>
  </si>
  <si>
    <t>KENT</t>
  </si>
  <si>
    <t>A&amp;M PRECISION</t>
  </si>
  <si>
    <t>SPANKY'S</t>
  </si>
  <si>
    <t>35405</t>
  </si>
  <si>
    <t>TUSCALOOSA, AL</t>
  </si>
  <si>
    <t>SPANKY'S PORTABLE TOILETS</t>
  </si>
  <si>
    <t>LOCKWOOD</t>
  </si>
  <si>
    <t>97035</t>
  </si>
  <si>
    <t>LAKE OSWEGO OR</t>
  </si>
  <si>
    <t>LOCKWOOD PRODUCTS INC.</t>
  </si>
  <si>
    <t>MASTECH</t>
  </si>
  <si>
    <t>48310</t>
  </si>
  <si>
    <t>STERLING HEIGHTS</t>
  </si>
  <si>
    <t>TUNKERS-MASTECH</t>
  </si>
  <si>
    <t>35045</t>
  </si>
  <si>
    <t>CLANTON</t>
  </si>
  <si>
    <t>SPECIALTY FINISH &amp; DESIGN</t>
  </si>
  <si>
    <t>MAKERBOT</t>
  </si>
  <si>
    <t>11201</t>
  </si>
  <si>
    <t>MAKERBOT INDUSTRIES LLC</t>
  </si>
  <si>
    <t>37211</t>
  </si>
  <si>
    <t>TROAX INC</t>
  </si>
  <si>
    <t>AMAZON WEB</t>
  </si>
  <si>
    <t>98109-5210</t>
  </si>
  <si>
    <t>AMAZON WEB SERVICES, INC.</t>
  </si>
  <si>
    <t>THOMSON</t>
  </si>
  <si>
    <t>19130</t>
  </si>
  <si>
    <t>PHILADELPHIA PA</t>
  </si>
  <si>
    <t>THOMSON REUTERS (SCIENTIF</t>
  </si>
  <si>
    <t>VARIATION</t>
  </si>
  <si>
    <t>48170-6536</t>
  </si>
  <si>
    <t>VARIATION REDUCTION SOLUT</t>
  </si>
  <si>
    <t>PANDUIT</t>
  </si>
  <si>
    <t>60487-3600</t>
  </si>
  <si>
    <t>PANDUIT CORP.</t>
  </si>
  <si>
    <t>HYDRADYNE</t>
  </si>
  <si>
    <t>39601</t>
  </si>
  <si>
    <t>HYDRADYNE GATLIN CORPORAT</t>
  </si>
  <si>
    <t>JOHN HOPKI</t>
  </si>
  <si>
    <t>21218</t>
  </si>
  <si>
    <t>JOHNS HOPKINS UNIVERSITY</t>
  </si>
  <si>
    <t>DOW CORNIN</t>
  </si>
  <si>
    <t>48611</t>
  </si>
  <si>
    <t>AUBURN MI</t>
  </si>
  <si>
    <t>DOW CORNING CORPORATION</t>
  </si>
  <si>
    <t>DAYKIN</t>
  </si>
  <si>
    <t>03278</t>
  </si>
  <si>
    <t>WARNER, NH</t>
  </si>
  <si>
    <t>WARNER POWER / DAYKIN ELE</t>
  </si>
  <si>
    <t>WÜRTH</t>
  </si>
  <si>
    <t>57201</t>
  </si>
  <si>
    <t>WÜRTH ELECTRONICS MIDCOM</t>
  </si>
  <si>
    <t>AMERIG</t>
  </si>
  <si>
    <t>60055-0140</t>
  </si>
  <si>
    <t>PMMI</t>
  </si>
  <si>
    <t>20170</t>
  </si>
  <si>
    <t>PACKAGING MACHINERY MANUF</t>
  </si>
  <si>
    <t>OHIO ATTOR</t>
  </si>
  <si>
    <t>44101-6471</t>
  </si>
  <si>
    <t>OHIO ATTORNEY GENERAL</t>
  </si>
  <si>
    <t>CONDOC</t>
  </si>
  <si>
    <t>48026</t>
  </si>
  <si>
    <t>FRASER</t>
  </si>
  <si>
    <t>CONSOLIDATED DOCUMENT SOL</t>
  </si>
  <si>
    <t>360 PRODUC</t>
  </si>
  <si>
    <t>91750</t>
  </si>
  <si>
    <t>LAVERNE</t>
  </si>
  <si>
    <t>360 PRODUCTIONS</t>
  </si>
  <si>
    <t>HYGFIN</t>
  </si>
  <si>
    <t>50309-3605</t>
  </si>
  <si>
    <t>HYG FINANCIAL SERVICES IN</t>
  </si>
  <si>
    <t>33436</t>
  </si>
  <si>
    <t>BOYNTON BEACH</t>
  </si>
  <si>
    <t>AUTOMATION TRAINING</t>
  </si>
  <si>
    <t>E S COMPON</t>
  </si>
  <si>
    <t>01564</t>
  </si>
  <si>
    <t>STERLING, MA</t>
  </si>
  <si>
    <t>E S COMPONENTS</t>
  </si>
  <si>
    <t>ATLAS</t>
  </si>
  <si>
    <t>48430</t>
  </si>
  <si>
    <t>FENTON, MI</t>
  </si>
  <si>
    <t>ATLAS TECHNOLOGIES, INC</t>
  </si>
  <si>
    <t>IFA</t>
  </si>
  <si>
    <t>29456</t>
  </si>
  <si>
    <t>LADSON SC</t>
  </si>
  <si>
    <t>IFA ROTORION - NORTH AMER</t>
  </si>
  <si>
    <t>PACIFIC</t>
  </si>
  <si>
    <t>94301</t>
  </si>
  <si>
    <t>PACIFIC UNION PROPERTY MG</t>
  </si>
  <si>
    <t>KOLLMORG</t>
  </si>
  <si>
    <t>24141</t>
  </si>
  <si>
    <t>RADFORD</t>
  </si>
  <si>
    <t>48093</t>
  </si>
  <si>
    <t>MADISON ELECTRIC COMPANY</t>
  </si>
  <si>
    <t>TECHFLEX</t>
  </si>
  <si>
    <t>07871</t>
  </si>
  <si>
    <t>SPARTA</t>
  </si>
  <si>
    <t>TECHFLEX CORPORATE</t>
  </si>
  <si>
    <t>UNIV</t>
  </si>
  <si>
    <t>29208</t>
  </si>
  <si>
    <t>UNIVERSITY OF SOUTH CAROL</t>
  </si>
  <si>
    <t>CONNECTOR</t>
  </si>
  <si>
    <t>29673</t>
  </si>
  <si>
    <t>CONNECTOR 2000 ASSOCIATIO</t>
  </si>
  <si>
    <t>60143-1222</t>
  </si>
  <si>
    <t>ITASCA</t>
  </si>
  <si>
    <t>LIVINGSTON INT'L INC</t>
  </si>
  <si>
    <t>60693-1975</t>
  </si>
  <si>
    <t>DYNAPAR</t>
  </si>
  <si>
    <t>60693-1850</t>
  </si>
  <si>
    <t>DYNAPAR CORP</t>
  </si>
  <si>
    <t>CLEVERBRID</t>
  </si>
  <si>
    <t>60675</t>
  </si>
  <si>
    <t>CLEVERBRIDGE</t>
  </si>
  <si>
    <t>TEKTR</t>
  </si>
  <si>
    <t>48043</t>
  </si>
  <si>
    <t>MT CLEMENS</t>
  </si>
  <si>
    <t>TEK TRANSPORTATION, INC.</t>
  </si>
  <si>
    <t>77008</t>
  </si>
  <si>
    <t>AUTOMATED VOICE &amp; DATA SO</t>
  </si>
  <si>
    <t>SONITROL</t>
  </si>
  <si>
    <t>93791-9189</t>
  </si>
  <si>
    <t>FRESNO</t>
  </si>
  <si>
    <t>DANA</t>
  </si>
  <si>
    <t>48326-1580</t>
  </si>
  <si>
    <t>DANA INCORPORATED</t>
  </si>
  <si>
    <t>ANNE</t>
  </si>
  <si>
    <t>21404-0427</t>
  </si>
  <si>
    <t>ANNAPOLIS</t>
  </si>
  <si>
    <t>ANNE ARUNDEL COUNTY</t>
  </si>
  <si>
    <t>DANA WARRE</t>
  </si>
  <si>
    <t>DANA WARREN MANUFACTURING</t>
  </si>
  <si>
    <t>HRMAN</t>
  </si>
  <si>
    <t>48267-2397</t>
  </si>
  <si>
    <t>HR MANAGEMENT GROUP, INC</t>
  </si>
  <si>
    <t>LINUX</t>
  </si>
  <si>
    <t>THE LINUX FOUNDATION</t>
  </si>
  <si>
    <t>EXPEDITORS</t>
  </si>
  <si>
    <t>48174</t>
  </si>
  <si>
    <t>ROMULUS</t>
  </si>
  <si>
    <t>EXPEDITORS INTERNATIONAL</t>
  </si>
  <si>
    <t>H2</t>
  </si>
  <si>
    <t>33172</t>
  </si>
  <si>
    <t>H2DESK HELP DESK SYSTEMS</t>
  </si>
  <si>
    <t>GSROU</t>
  </si>
  <si>
    <t>48312</t>
  </si>
  <si>
    <t>GS ROUSSILLON, LLC</t>
  </si>
  <si>
    <t>COOL MEDIA</t>
  </si>
  <si>
    <t>43615</t>
  </si>
  <si>
    <t>TOLEDO</t>
  </si>
  <si>
    <t>COOL MEDIA PRODUCTIONS, L</t>
  </si>
  <si>
    <t>DETENGY</t>
  </si>
  <si>
    <t>45274-0786</t>
  </si>
  <si>
    <t>DTE ENERGY</t>
  </si>
  <si>
    <t>PITTSBURCH</t>
  </si>
  <si>
    <t>60686-0051</t>
  </si>
  <si>
    <t>PITTSBURGH LOGISTICS SYST</t>
  </si>
  <si>
    <t>MAN</t>
  </si>
  <si>
    <t>77423-4700</t>
  </si>
  <si>
    <t>BROOKSHIRE</t>
  </si>
  <si>
    <t>EVERLLENCE USA INC.</t>
  </si>
  <si>
    <t>HAZEL</t>
  </si>
  <si>
    <t>48072</t>
  </si>
  <si>
    <t>BERKLEY</t>
  </si>
  <si>
    <t>HAZEL HOUSE FILMS</t>
  </si>
  <si>
    <t>UPSTATE TO</t>
  </si>
  <si>
    <t>29349</t>
  </si>
  <si>
    <t>INMAN</t>
  </si>
  <si>
    <t>UPSTATE TOTAL CARE CLINIC</t>
  </si>
  <si>
    <t>CENDROWSKI</t>
  </si>
  <si>
    <t>48104-6532</t>
  </si>
  <si>
    <t>DWIGHT CENDROWSKI PHOTOGR</t>
  </si>
  <si>
    <t>PEOPLEFLUE</t>
  </si>
  <si>
    <t>27601</t>
  </si>
  <si>
    <t>PEOPLEFLUENT, INC.</t>
  </si>
  <si>
    <t>ASE</t>
  </si>
  <si>
    <t>48267-2389</t>
  </si>
  <si>
    <t>ASE - EDUCATIONAL FOUNDAT</t>
  </si>
  <si>
    <t>PRO-PAC</t>
  </si>
  <si>
    <t>PRO-PAC INTERNATIONAL</t>
  </si>
  <si>
    <t>60693</t>
  </si>
  <si>
    <t>AEROTEK, INC.</t>
  </si>
  <si>
    <t>HERTZ</t>
  </si>
  <si>
    <t>75312-1124</t>
  </si>
  <si>
    <t>DALLAS TX</t>
  </si>
  <si>
    <t>THE HERTZ CORPORATION</t>
  </si>
  <si>
    <t>GENERAL MO</t>
  </si>
  <si>
    <t>48341-3187</t>
  </si>
  <si>
    <t>GENERAL MOTORS CORP.</t>
  </si>
  <si>
    <t>GKN</t>
  </si>
  <si>
    <t>48326</t>
  </si>
  <si>
    <t>AUBURN HILLS, MICHIGAN</t>
  </si>
  <si>
    <t>GKN DRIVELINE NORTH AMERI</t>
  </si>
  <si>
    <t>SUNSOURCE</t>
  </si>
  <si>
    <t>60101</t>
  </si>
  <si>
    <t>ADDISON</t>
  </si>
  <si>
    <t>KONIC</t>
  </si>
  <si>
    <t>60055-9188</t>
  </si>
  <si>
    <t>KONICA MINOLTA BUSINESS S</t>
  </si>
  <si>
    <t>DEPREV</t>
  </si>
  <si>
    <t>DEPARTMENT OF REVENUE</t>
  </si>
  <si>
    <t>XCELL AUTO</t>
  </si>
  <si>
    <t>17402-2777</t>
  </si>
  <si>
    <t>XCELL AUTOMATION, INC.</t>
  </si>
  <si>
    <t>HILTII</t>
  </si>
  <si>
    <t>19176-0299</t>
  </si>
  <si>
    <t>HILTI, INC.</t>
  </si>
  <si>
    <t>MARKLINES</t>
  </si>
  <si>
    <t>48034</t>
  </si>
  <si>
    <t>MI, TROY</t>
  </si>
  <si>
    <t>MARKLINES NORTH AMERICA</t>
  </si>
  <si>
    <t>NORTH CARO</t>
  </si>
  <si>
    <t>27611-6504</t>
  </si>
  <si>
    <t>NORTH CAROLINA DEPT OF CO</t>
  </si>
  <si>
    <t>SENSOR PRO</t>
  </si>
  <si>
    <t>07940</t>
  </si>
  <si>
    <t>SENSOR PRODUCTS, INC.</t>
  </si>
  <si>
    <t>DELACO</t>
  </si>
  <si>
    <t>DELACO STEEL CORPORATION</t>
  </si>
  <si>
    <t>VISTEON</t>
  </si>
  <si>
    <t>STERLING HEIGHT,MI 48310-</t>
  </si>
  <si>
    <t>VISTEON CORP STERLING PLA</t>
  </si>
  <si>
    <t>M-FACTORS</t>
  </si>
  <si>
    <t>92705</t>
  </si>
  <si>
    <t>SANTE ANA</t>
  </si>
  <si>
    <t>M-FACTORS STORAGE INC</t>
  </si>
  <si>
    <t>SCHNORR CO</t>
  </si>
  <si>
    <t>48108</t>
  </si>
  <si>
    <t>SCHNORR CORPORATION</t>
  </si>
  <si>
    <t>STATEOFMI</t>
  </si>
  <si>
    <t>48314</t>
  </si>
  <si>
    <t>STATE OF MICHIGAN</t>
  </si>
  <si>
    <t>BSH HOME C</t>
  </si>
  <si>
    <t>28560</t>
  </si>
  <si>
    <t>NEW BERN NC</t>
  </si>
  <si>
    <t>BSH HOME APPLIANCES CORPO</t>
  </si>
  <si>
    <t>WESTWARD</t>
  </si>
  <si>
    <t>WESTWARD SEAFO0DS INC</t>
  </si>
  <si>
    <t>SKYLINE</t>
  </si>
  <si>
    <t>46184</t>
  </si>
  <si>
    <t>WHITELAND</t>
  </si>
  <si>
    <t>SKYLINE COMMUNICATIONS, I</t>
  </si>
  <si>
    <t>GROSS</t>
  </si>
  <si>
    <t>76099-0847</t>
  </si>
  <si>
    <t>GROSS PUBLICATIONS, INC.</t>
  </si>
  <si>
    <t>HALO</t>
  </si>
  <si>
    <t>60689-5331</t>
  </si>
  <si>
    <t>HALO BRANDED SOLUTIONS, I</t>
  </si>
  <si>
    <t>MARKETSCAL</t>
  </si>
  <si>
    <t>75202</t>
  </si>
  <si>
    <t>MARKETSCALE, LLC</t>
  </si>
  <si>
    <t>DURA AUTOM</t>
  </si>
  <si>
    <t>48326-2752</t>
  </si>
  <si>
    <t>DURA AUTOMOTIVE SYSTEMS,</t>
  </si>
  <si>
    <t>STÄUBLI EL</t>
  </si>
  <si>
    <t>95492-7228</t>
  </si>
  <si>
    <t>STÄUBLI ELECTRICAL CONNEC</t>
  </si>
  <si>
    <t>PIAB USA</t>
  </si>
  <si>
    <t>02043</t>
  </si>
  <si>
    <t>HINGHAM</t>
  </si>
  <si>
    <t>PIAB USA, INC.</t>
  </si>
  <si>
    <t>MINITEC</t>
  </si>
  <si>
    <t>48346</t>
  </si>
  <si>
    <t>CLARKSTON</t>
  </si>
  <si>
    <t>MINITEC AUTOMATION</t>
  </si>
  <si>
    <t>USCUSTO</t>
  </si>
  <si>
    <t>46278</t>
  </si>
  <si>
    <t>US CUSTOMS &amp; BORDER PROTE</t>
  </si>
  <si>
    <t>RETHINK RO</t>
  </si>
  <si>
    <t>02210</t>
  </si>
  <si>
    <t>BOSTON MASSACHUSETTS</t>
  </si>
  <si>
    <t>RETHINK ROBOTICS</t>
  </si>
  <si>
    <t>DINSE</t>
  </si>
  <si>
    <t>60191</t>
  </si>
  <si>
    <t>WOOD DALE</t>
  </si>
  <si>
    <t>DINSE INC.</t>
  </si>
  <si>
    <t>FEDERAL-MO</t>
  </si>
  <si>
    <t>SOUTHFIELD</t>
  </si>
  <si>
    <t>FEDERAL-MOGUL VALVE TRAIN</t>
  </si>
  <si>
    <t>ARCRITE AU</t>
  </si>
  <si>
    <t>06385-1206</t>
  </si>
  <si>
    <t>WATERFORD</t>
  </si>
  <si>
    <t>SGL AUTOMATION, LLC</t>
  </si>
  <si>
    <t>STRATASYS</t>
  </si>
  <si>
    <t>91355</t>
  </si>
  <si>
    <t>VALENCIA</t>
  </si>
  <si>
    <t>STRATASYS DIRECT, INC.</t>
  </si>
  <si>
    <t>HORTIG</t>
  </si>
  <si>
    <t>29466</t>
  </si>
  <si>
    <t>HORTIG AUTOMATION LLC</t>
  </si>
  <si>
    <t>QUALITY FI</t>
  </si>
  <si>
    <t>48393</t>
  </si>
  <si>
    <t>WIXOM</t>
  </si>
  <si>
    <t>QUALITY FIRST AID AND SAF</t>
  </si>
  <si>
    <t>RONALD RIC</t>
  </si>
  <si>
    <t>48334</t>
  </si>
  <si>
    <t>RONALD B. RICH &amp; ASSOCIAT</t>
  </si>
  <si>
    <t>19406</t>
  </si>
  <si>
    <t>EAN</t>
  </si>
  <si>
    <t>64184-0173</t>
  </si>
  <si>
    <t>KANSAS CITY</t>
  </si>
  <si>
    <t>EAN SERVICES, LLC</t>
  </si>
  <si>
    <t>KUROWSKI</t>
  </si>
  <si>
    <t>62269</t>
  </si>
  <si>
    <t>O'FALLON</t>
  </si>
  <si>
    <t>KUROWSKI SHULTZ LLC</t>
  </si>
  <si>
    <t>95403</t>
  </si>
  <si>
    <t>SANTA ROSA</t>
  </si>
  <si>
    <t>MOTION ANALYSIS CORPORATI</t>
  </si>
  <si>
    <t>ENTERPRISE</t>
  </si>
  <si>
    <t>30384-2383</t>
  </si>
  <si>
    <t>EAN SERVICES LLC</t>
  </si>
  <si>
    <t>ULINEC</t>
  </si>
  <si>
    <t>60680-1741</t>
  </si>
  <si>
    <t>ZEPLIN</t>
  </si>
  <si>
    <t>ZEPLIN, INC.</t>
  </si>
  <si>
    <t>BMC INDUST</t>
  </si>
  <si>
    <t>49444</t>
  </si>
  <si>
    <t>MUSKEGON HTS</t>
  </si>
  <si>
    <t>BMC INDUSTRIAL EDUCATIONA</t>
  </si>
  <si>
    <t>ELECTR</t>
  </si>
  <si>
    <t>60675-6476</t>
  </si>
  <si>
    <t>ELECTRO-MATIC PRODUCTS, I</t>
  </si>
  <si>
    <t>GUARDIAN</t>
  </si>
  <si>
    <t>60675-1376</t>
  </si>
  <si>
    <t>GUARDIAN ALARM COMPANY</t>
  </si>
  <si>
    <t>GENESIS SY</t>
  </si>
  <si>
    <t>52806-7323</t>
  </si>
  <si>
    <t>GENESIS SYSTEMS IPG PHOTO</t>
  </si>
  <si>
    <t>SUBBOT</t>
  </si>
  <si>
    <t>48066</t>
  </si>
  <si>
    <t>SUBURBAN BOLT AND SUPPLY</t>
  </si>
  <si>
    <t>MID-STATES</t>
  </si>
  <si>
    <t>48529-2279</t>
  </si>
  <si>
    <t>BURTON</t>
  </si>
  <si>
    <t>MID-STATES BOLT &amp; SCREW L</t>
  </si>
  <si>
    <t>BERNARD</t>
  </si>
  <si>
    <t>60675-1354</t>
  </si>
  <si>
    <t>BERNARD WELDING</t>
  </si>
  <si>
    <t>KIMBERLY</t>
  </si>
  <si>
    <t>54957</t>
  </si>
  <si>
    <t>NEENAH</t>
  </si>
  <si>
    <t>KIMBERLY-CLARK CORPORATIO</t>
  </si>
  <si>
    <t>BULLDOG</t>
  </si>
  <si>
    <t>48071-4151</t>
  </si>
  <si>
    <t>NEWTON LIQUIDATIONS, LLC</t>
  </si>
  <si>
    <t>MATHESO</t>
  </si>
  <si>
    <t>15251-4297</t>
  </si>
  <si>
    <t>PITTSBURG</t>
  </si>
  <si>
    <t>MATHESON TRI-GAS INC.</t>
  </si>
  <si>
    <t>MAHLE ENGI</t>
  </si>
  <si>
    <t>37815-0748</t>
  </si>
  <si>
    <t>MAHLE ENGINE COMPONENTS U</t>
  </si>
  <si>
    <t>PADEPRE</t>
  </si>
  <si>
    <t>PA DEPT OF REVENUE</t>
  </si>
  <si>
    <t>ACCURIDE</t>
  </si>
  <si>
    <t>90670</t>
  </si>
  <si>
    <t>ACCURIDE INTERNATIONAL IN</t>
  </si>
  <si>
    <t>33315</t>
  </si>
  <si>
    <t>FORT LAUDERDALE</t>
  </si>
  <si>
    <t>ROBOTICS</t>
  </si>
  <si>
    <t>48312-2666</t>
  </si>
  <si>
    <t>KUKA ROBOTICS CORPORATION</t>
  </si>
  <si>
    <t>SOPRANO</t>
  </si>
  <si>
    <t>SOPRANO'S CATERING</t>
  </si>
  <si>
    <t>FFT PS</t>
  </si>
  <si>
    <t>29651-6748</t>
  </si>
  <si>
    <t>FFT PRODUCTION SYSTEMS, I</t>
  </si>
  <si>
    <t>3M CORP</t>
  </si>
  <si>
    <t>55144-1000</t>
  </si>
  <si>
    <t>ST. PAUL</t>
  </si>
  <si>
    <t>3M CORPORATION</t>
  </si>
  <si>
    <t>THE RITZ</t>
  </si>
  <si>
    <t>34109</t>
  </si>
  <si>
    <t>NAPLES</t>
  </si>
  <si>
    <t>THE RITZ-CARLTON GOLF RES</t>
  </si>
  <si>
    <t>MICOFF</t>
  </si>
  <si>
    <t>48083-2743</t>
  </si>
  <si>
    <t>FIRST CHOICE COFFEE SERVI</t>
  </si>
  <si>
    <t>UBM</t>
  </si>
  <si>
    <t>60673</t>
  </si>
  <si>
    <t>UBM CANON LLC</t>
  </si>
  <si>
    <t>CONTIN</t>
  </si>
  <si>
    <t>40843</t>
  </si>
  <si>
    <t>MT. CLEMENS</t>
  </si>
  <si>
    <t>CONTINENTAL CARTON</t>
  </si>
  <si>
    <t>RIDLEY</t>
  </si>
  <si>
    <t>48085</t>
  </si>
  <si>
    <t>RIDLEY'S BAKERY</t>
  </si>
  <si>
    <t>AZTEC BOLT</t>
  </si>
  <si>
    <t>77573</t>
  </si>
  <si>
    <t>LEAGUE CITY</t>
  </si>
  <si>
    <t>AZTEC BOLTING SERVICES, I</t>
  </si>
  <si>
    <t>COTU MEDIA</t>
  </si>
  <si>
    <t>LONG BEACH</t>
  </si>
  <si>
    <t>AIRGAS</t>
  </si>
  <si>
    <t>30353-2609</t>
  </si>
  <si>
    <t>AIRGAS USA, LLC</t>
  </si>
  <si>
    <t>D'AGOSTINI</t>
  </si>
  <si>
    <t>D'AGOSTINI LAND COMPANY,</t>
  </si>
  <si>
    <t>HOMELAND</t>
  </si>
  <si>
    <t>20004</t>
  </si>
  <si>
    <t>WASHINGTON DC</t>
  </si>
  <si>
    <t>HOMELAND SECURITY RESEARC</t>
  </si>
  <si>
    <t>SOFTWARE O</t>
  </si>
  <si>
    <t>53202</t>
  </si>
  <si>
    <t>SOFTWAREONE INC.</t>
  </si>
  <si>
    <t>KEY</t>
  </si>
  <si>
    <t>07005</t>
  </si>
  <si>
    <t>KEY MARKET INSIGHTS</t>
  </si>
  <si>
    <t>CREFORM</t>
  </si>
  <si>
    <t>29652</t>
  </si>
  <si>
    <t>CREFORM CORPORATION</t>
  </si>
  <si>
    <t>29418</t>
  </si>
  <si>
    <t>GEDORE TOOLS, INC.</t>
  </si>
  <si>
    <t>48446</t>
  </si>
  <si>
    <t>LAPEER</t>
  </si>
  <si>
    <t>ST. PAUL LUTHERAN CHURCH</t>
  </si>
  <si>
    <t>ICONICS</t>
  </si>
  <si>
    <t>02035</t>
  </si>
  <si>
    <t>FOXBOROUGH MA 02035-2882</t>
  </si>
  <si>
    <t>ICONICS INC</t>
  </si>
  <si>
    <t>PIRTEK</t>
  </si>
  <si>
    <t>BREMER</t>
  </si>
  <si>
    <t>94513</t>
  </si>
  <si>
    <t>PETE BREMER</t>
  </si>
  <si>
    <t>KUKA AUSTI</t>
  </si>
  <si>
    <t>78759</t>
  </si>
  <si>
    <t>CONTINENTA</t>
  </si>
  <si>
    <t>60686-0015</t>
  </si>
  <si>
    <t>CONTINENTAL SERVICES</t>
  </si>
  <si>
    <t>WELLS</t>
  </si>
  <si>
    <t>WELLS FARGO BANK, N.A.</t>
  </si>
  <si>
    <t>FREEMAN</t>
  </si>
  <si>
    <t>75265-0036</t>
  </si>
  <si>
    <t>MOTION &amp; C</t>
  </si>
  <si>
    <t>60677-5888</t>
  </si>
  <si>
    <t>MOTION &amp; CONTROL ENTERPRI</t>
  </si>
  <si>
    <t>INTCERT</t>
  </si>
  <si>
    <t>48315</t>
  </si>
  <si>
    <t>SHELBY TOWNSHIP</t>
  </si>
  <si>
    <t>INTERNATL. CERT. MEASUREM</t>
  </si>
  <si>
    <t>DORTON</t>
  </si>
  <si>
    <t>45242</t>
  </si>
  <si>
    <t>DORTON &amp; WILLIS, LLP</t>
  </si>
  <si>
    <t>MEK</t>
  </si>
  <si>
    <t>17315</t>
  </si>
  <si>
    <t>MEK CONSULTING</t>
  </si>
  <si>
    <t>NEAPCO DRI</t>
  </si>
  <si>
    <t>48111</t>
  </si>
  <si>
    <t>BELLEVILLE</t>
  </si>
  <si>
    <t>NEAPCO DRIVELINES LLC</t>
  </si>
  <si>
    <t>TATA</t>
  </si>
  <si>
    <t>48375</t>
  </si>
  <si>
    <t>NOVI</t>
  </si>
  <si>
    <t>TATA TECHNOLOGIES, INC.</t>
  </si>
  <si>
    <t>BEAVER</t>
  </si>
  <si>
    <t>48180-6810</t>
  </si>
  <si>
    <t>TAYLOR</t>
  </si>
  <si>
    <t>BEAVER PACKAGING &amp; CRATIN</t>
  </si>
  <si>
    <t>SPARTAN</t>
  </si>
  <si>
    <t>30374-3070</t>
  </si>
  <si>
    <t>SPARTANBURG REGIONAL HEAL</t>
  </si>
  <si>
    <t>22203</t>
  </si>
  <si>
    <t>HANOVER RESEARCH</t>
  </si>
  <si>
    <t>AT&amp;T</t>
  </si>
  <si>
    <t>60197-5014</t>
  </si>
  <si>
    <t>FORD MOTOR</t>
  </si>
  <si>
    <t>48124-4079</t>
  </si>
  <si>
    <t>FORD MOTOR COMPANY</t>
  </si>
  <si>
    <t>SECRETARY</t>
  </si>
  <si>
    <t>29201</t>
  </si>
  <si>
    <t>SECRETARY OF STATE</t>
  </si>
  <si>
    <t>RANDAZZO</t>
  </si>
  <si>
    <t>48042</t>
  </si>
  <si>
    <t>MACOMB</t>
  </si>
  <si>
    <t>RANDAZZO MECHANICAL</t>
  </si>
  <si>
    <t>CHAMBER OF</t>
  </si>
  <si>
    <t>48313</t>
  </si>
  <si>
    <t>CHAMBER OF COMMERCE</t>
  </si>
  <si>
    <t>APPLIED MA</t>
  </si>
  <si>
    <t>48359-2403</t>
  </si>
  <si>
    <t>APPLIED MANUFACTURING TEC</t>
  </si>
  <si>
    <t>FISCHER</t>
  </si>
  <si>
    <t>FISCHER FIXINGS, LLC</t>
  </si>
  <si>
    <t>DIMENSIONA</t>
  </si>
  <si>
    <t>DIMENSIONAL CERTIFICATION</t>
  </si>
  <si>
    <t>DAIMLER</t>
  </si>
  <si>
    <t>DAIMLER-BENZ PROJEKT, INC</t>
  </si>
  <si>
    <t>METRAIR</t>
  </si>
  <si>
    <t>METROPOLITAN AIR COMPRESS</t>
  </si>
  <si>
    <t>BACHMAN</t>
  </si>
  <si>
    <t>06510-2802</t>
  </si>
  <si>
    <t>NEW HAVE, CONNECTICUT</t>
  </si>
  <si>
    <t>BACHMAN &amp; LAPOINTE, P.C.</t>
  </si>
  <si>
    <t>PUSHCORP</t>
  </si>
  <si>
    <t>75041-2314</t>
  </si>
  <si>
    <t>GARLAND</t>
  </si>
  <si>
    <t>PUSHCORP, INC.</t>
  </si>
  <si>
    <t>MAGELLAN</t>
  </si>
  <si>
    <t>32246</t>
  </si>
  <si>
    <t>MAGELLAN TRANSPORT LOGIST</t>
  </si>
  <si>
    <t>US MACHINI</t>
  </si>
  <si>
    <t>48036</t>
  </si>
  <si>
    <t>BRUCE TWP</t>
  </si>
  <si>
    <t>US MACHINING</t>
  </si>
  <si>
    <t>KLUBER</t>
  </si>
  <si>
    <t>75373-0031</t>
  </si>
  <si>
    <t>KLUBER LUBRICATION NA LP</t>
  </si>
  <si>
    <t>ANDYROBOT</t>
  </si>
  <si>
    <t>38401-1419</t>
  </si>
  <si>
    <t>EVERGREEN</t>
  </si>
  <si>
    <t>01752</t>
  </si>
  <si>
    <t>MARLBORO</t>
  </si>
  <si>
    <t>EVERGREEN SOLAR INC.</t>
  </si>
  <si>
    <t>AXOSOFT</t>
  </si>
  <si>
    <t>85281</t>
  </si>
  <si>
    <t>AZ SCOTTSDALE</t>
  </si>
  <si>
    <t>AXOSOFT LLC</t>
  </si>
  <si>
    <t>AIR HYDRO</t>
  </si>
  <si>
    <t>40299</t>
  </si>
  <si>
    <t>AIR HYDRO POWER, LLC</t>
  </si>
  <si>
    <t>BLUE MANTI</t>
  </si>
  <si>
    <t>03801</t>
  </si>
  <si>
    <t>PORTSMOUTH</t>
  </si>
  <si>
    <t>BLUE MANTIS, INC.</t>
  </si>
  <si>
    <t>QUALITY FIRE SERVICES</t>
  </si>
  <si>
    <t>KUKA SYSTE</t>
  </si>
  <si>
    <t>48036-1193</t>
  </si>
  <si>
    <t>KUKA SYSTEMS NORTH AMERIC</t>
  </si>
  <si>
    <t>LADAS</t>
  </si>
  <si>
    <t>LADAS &amp; PARRY LLP</t>
  </si>
  <si>
    <t>ATI</t>
  </si>
  <si>
    <t>27539-3869</t>
  </si>
  <si>
    <t>ATI INDUSTRIAL AUTOMATION</t>
  </si>
  <si>
    <t>INTRALINKS</t>
  </si>
  <si>
    <t>10017</t>
  </si>
  <si>
    <t>INTRALINKS HOLDINGS INC.</t>
  </si>
  <si>
    <t>NIS</t>
  </si>
  <si>
    <t>48026-2271</t>
  </si>
  <si>
    <t>NATIONAL INDUSTRIAL SUPPL</t>
  </si>
  <si>
    <t>WASTM</t>
  </si>
  <si>
    <t>60197-4648</t>
  </si>
  <si>
    <t>WASTE MANAGEMENT OF MICHI</t>
  </si>
  <si>
    <t>RANCHER</t>
  </si>
  <si>
    <t>95014</t>
  </si>
  <si>
    <t>CUPERTINO</t>
  </si>
  <si>
    <t>RANCHER LABS</t>
  </si>
  <si>
    <t>PETTY</t>
  </si>
  <si>
    <t>PETTY CASH - KWCF</t>
  </si>
  <si>
    <t>02818</t>
  </si>
  <si>
    <t>EAST GREENWICH</t>
  </si>
  <si>
    <t>VECTOR SOFTWARE INC.</t>
  </si>
  <si>
    <t>TRICOUN</t>
  </si>
  <si>
    <t>48071</t>
  </si>
  <si>
    <t>TRI-COUNTY PACKAGING SUPP</t>
  </si>
  <si>
    <t>VANGUARD</t>
  </si>
  <si>
    <t>49509</t>
  </si>
  <si>
    <t>VANGUARD FIRE &amp; SECURITY</t>
  </si>
  <si>
    <t>GEMCOR</t>
  </si>
  <si>
    <t>14224</t>
  </si>
  <si>
    <t>GEMCOR  INC.</t>
  </si>
  <si>
    <t>GARDNER BU</t>
  </si>
  <si>
    <t>45244-3029</t>
  </si>
  <si>
    <t>GARDNER BUSINESS MEDIA, I</t>
  </si>
  <si>
    <t>SDI</t>
  </si>
  <si>
    <t>19007</t>
  </si>
  <si>
    <t>SDI INC.</t>
  </si>
  <si>
    <t>15264-2962</t>
  </si>
  <si>
    <t>ARIBA , INC.</t>
  </si>
  <si>
    <t>SOTORION</t>
  </si>
  <si>
    <t>SHELBY TOWNSHIP-MI</t>
  </si>
  <si>
    <t>SOTORION CORPORATION</t>
  </si>
  <si>
    <t>ACTE</t>
  </si>
  <si>
    <t>21275-8621</t>
  </si>
  <si>
    <t>RIGHTHAND</t>
  </si>
  <si>
    <t>02238</t>
  </si>
  <si>
    <t>CAMBRIDGE MA 02238</t>
  </si>
  <si>
    <t>RIGHTHAND ROBOTICS</t>
  </si>
  <si>
    <t>C &amp; D RIGG</t>
  </si>
  <si>
    <t>17028</t>
  </si>
  <si>
    <t>GRANTVILLE</t>
  </si>
  <si>
    <t>C &amp; D RIGGING INC</t>
  </si>
  <si>
    <t>SKEIN</t>
  </si>
  <si>
    <t>SKEIN INTEGRATED SYSTEMS</t>
  </si>
  <si>
    <t>D&amp;B</t>
  </si>
  <si>
    <t>60675-5434</t>
  </si>
  <si>
    <t>LINKEDIN</t>
  </si>
  <si>
    <t>60693-0622</t>
  </si>
  <si>
    <t>LINKEDIN CORP</t>
  </si>
  <si>
    <t>WISC</t>
  </si>
  <si>
    <t>53293-0208</t>
  </si>
  <si>
    <t>WISCONSIN DEPT OF REVENUE</t>
  </si>
  <si>
    <t>REMAT</t>
  </si>
  <si>
    <t>29662</t>
  </si>
  <si>
    <t>MAULDIN</t>
  </si>
  <si>
    <t>REMAT LLC</t>
  </si>
  <si>
    <t>ATC AUTOMA</t>
  </si>
  <si>
    <t>38501-2174</t>
  </si>
  <si>
    <t>COOKEVILLE</t>
  </si>
  <si>
    <t>AUTOMATION TOOL COMPANY</t>
  </si>
  <si>
    <t>GET</t>
  </si>
  <si>
    <t>85233</t>
  </si>
  <si>
    <t>GILBERT</t>
  </si>
  <si>
    <t>GET CONTROL, INC.</t>
  </si>
  <si>
    <t>USF HOLLAN</t>
  </si>
  <si>
    <t>60673-1270</t>
  </si>
  <si>
    <t>USF HOLLAND INC.</t>
  </si>
  <si>
    <t>SCHENK</t>
  </si>
  <si>
    <t>60132-2307</t>
  </si>
  <si>
    <t>SCHENKER INTERNATIONAL IN</t>
  </si>
  <si>
    <t>HOWMET</t>
  </si>
  <si>
    <t>15212</t>
  </si>
  <si>
    <t>HOWMET AEROSPACE INC.</t>
  </si>
  <si>
    <t>BLUE ARC</t>
  </si>
  <si>
    <t>95008</t>
  </si>
  <si>
    <t>CAMPBELL</t>
  </si>
  <si>
    <t>BLUE ARC ELECTRIC, INC.</t>
  </si>
  <si>
    <t>NJ E-ZPASS</t>
  </si>
  <si>
    <t>08650</t>
  </si>
  <si>
    <t>TECH SOFT</t>
  </si>
  <si>
    <t>97702</t>
  </si>
  <si>
    <t>BEND</t>
  </si>
  <si>
    <t>TECH SOFT 3D INC.</t>
  </si>
  <si>
    <t>ACTON</t>
  </si>
  <si>
    <t>21275-8689</t>
  </si>
  <si>
    <t>ACTON MOBILE</t>
  </si>
  <si>
    <t>AMAZON</t>
  </si>
  <si>
    <t>02142</t>
  </si>
  <si>
    <t>AMAZON.COM, INC.</t>
  </si>
  <si>
    <t>NLIGHTS</t>
  </si>
  <si>
    <t>98665</t>
  </si>
  <si>
    <t>NLIGHTS INC. CORP.</t>
  </si>
  <si>
    <t>27302-9740</t>
  </si>
  <si>
    <t>MEBANE</t>
  </si>
  <si>
    <t>MIDOOR</t>
  </si>
  <si>
    <t>48080</t>
  </si>
  <si>
    <t>ST. CLAIR SHORES</t>
  </si>
  <si>
    <t>MICHIGAN COMMERCIAL DOOR</t>
  </si>
  <si>
    <t>KRAATZ</t>
  </si>
  <si>
    <t>48043-2132</t>
  </si>
  <si>
    <t>MOUNT CLEMENS</t>
  </si>
  <si>
    <t>LYNETTE MARSACK LLC</t>
  </si>
  <si>
    <t>48361</t>
  </si>
  <si>
    <t>LAKE ORION</t>
  </si>
  <si>
    <t>INDIANWOOD GOLF &amp; COUNTRY</t>
  </si>
  <si>
    <t>ZEROCATER</t>
  </si>
  <si>
    <t>AMT</t>
  </si>
  <si>
    <t>NIDEC</t>
  </si>
  <si>
    <t>63136</t>
  </si>
  <si>
    <t>NIDEC MOTOR CORPORATION</t>
  </si>
  <si>
    <t>48326-2716</t>
  </si>
  <si>
    <t>THYSSENKRUPP SYSTEM ENGIN</t>
  </si>
  <si>
    <t>MAGNA</t>
  </si>
  <si>
    <t>29673-8693</t>
  </si>
  <si>
    <t>DRIVE AUTOMOTIVE INDUSTRI</t>
  </si>
  <si>
    <t>94111</t>
  </si>
  <si>
    <t>STERSE</t>
  </si>
  <si>
    <t>48187</t>
  </si>
  <si>
    <t>STERLING SERVICES</t>
  </si>
  <si>
    <t>60680-2576</t>
  </si>
  <si>
    <t>IAITAM</t>
  </si>
  <si>
    <t>44718</t>
  </si>
  <si>
    <t>IAITAM INC.</t>
  </si>
  <si>
    <t>CORNING IN</t>
  </si>
  <si>
    <t>14831</t>
  </si>
  <si>
    <t>CORNING</t>
  </si>
  <si>
    <t>CORNING INCORPORATED</t>
  </si>
  <si>
    <t>60143</t>
  </si>
  <si>
    <t>ENTERPRISE DATA APPLICATI</t>
  </si>
  <si>
    <t>BUSINESS W</t>
  </si>
  <si>
    <t>94139</t>
  </si>
  <si>
    <t>BUSINESS WIRE, INC.</t>
  </si>
  <si>
    <t>BLUE WATER</t>
  </si>
  <si>
    <t>48060</t>
  </si>
  <si>
    <t>PORT HURON</t>
  </si>
  <si>
    <t>BLUE WATER GLASS INC</t>
  </si>
  <si>
    <t>HR DIRECT</t>
  </si>
  <si>
    <t>33069-4841</t>
  </si>
  <si>
    <t>POMPANO BEACH</t>
  </si>
  <si>
    <t>UNITED STA</t>
  </si>
  <si>
    <t>19176</t>
  </si>
  <si>
    <t>UNITED STATES TREASURY</t>
  </si>
  <si>
    <t>15275-1002</t>
  </si>
  <si>
    <t>LINCOLN ELECTRIC COMPANY</t>
  </si>
  <si>
    <t>ROSE</t>
  </si>
  <si>
    <t>48084</t>
  </si>
  <si>
    <t>ROSE PEST SOLUTIONS</t>
  </si>
  <si>
    <t>REEL VIDEO</t>
  </si>
  <si>
    <t>29615-5435</t>
  </si>
  <si>
    <t>REEL VIDEO &amp; STILLS, INC</t>
  </si>
  <si>
    <t>48212-3442</t>
  </si>
  <si>
    <t>AMERICAN AXLE &amp; MANUFACTU</t>
  </si>
  <si>
    <t>ELTRA INDU</t>
  </si>
  <si>
    <t>35407</t>
  </si>
  <si>
    <t>ELTRA INDUSTRIAL AUTOMATI</t>
  </si>
  <si>
    <t>29505</t>
  </si>
  <si>
    <t>FLORENCE</t>
  </si>
  <si>
    <t>JAMES HOWELL</t>
  </si>
  <si>
    <t>PHOENIX TE</t>
  </si>
  <si>
    <t>95008-0610</t>
  </si>
  <si>
    <t>PHOENIX TECHNOLOGIES INC.</t>
  </si>
  <si>
    <t>EAC</t>
  </si>
  <si>
    <t>91361</t>
  </si>
  <si>
    <t>WESTLAKE VILLAGE</t>
  </si>
  <si>
    <t>EAC COMPLIANCE, INC</t>
  </si>
  <si>
    <t>COMERI</t>
  </si>
  <si>
    <t>COMERICA BANK</t>
  </si>
  <si>
    <t>KARRASS</t>
  </si>
  <si>
    <t>90211-2333</t>
  </si>
  <si>
    <t>BEVERLY HILLS</t>
  </si>
  <si>
    <t>KARRASS LTD</t>
  </si>
  <si>
    <t>SKS WELDIN</t>
  </si>
  <si>
    <t>48309-3513</t>
  </si>
  <si>
    <t>ROCHESTER HILLS</t>
  </si>
  <si>
    <t>SKS WELDING SYSTEMS, INC.</t>
  </si>
  <si>
    <t>F.B. WRIGH</t>
  </si>
  <si>
    <t>48121</t>
  </si>
  <si>
    <t>F.B. WRIGHT</t>
  </si>
  <si>
    <t>FPMAIL</t>
  </si>
  <si>
    <t>60499-0157</t>
  </si>
  <si>
    <t>FRANCOTYP = PAY BY CC</t>
  </si>
  <si>
    <t>WALKER</t>
  </si>
  <si>
    <t>WALKER SANDS, INC.</t>
  </si>
  <si>
    <t>HUSKY</t>
  </si>
  <si>
    <t>28037</t>
  </si>
  <si>
    <t>HUSKY RACK &amp; WIRE</t>
  </si>
  <si>
    <t>MMTC</t>
  </si>
  <si>
    <t>MICHIGAN MANUFACTURING TE</t>
  </si>
  <si>
    <t>MSX</t>
  </si>
  <si>
    <t>48034-1947</t>
  </si>
  <si>
    <t>MICHIGAN</t>
  </si>
  <si>
    <t>MSX INTERNATIONAL</t>
  </si>
  <si>
    <t>TESLA</t>
  </si>
  <si>
    <t>94538-6326</t>
  </si>
  <si>
    <t>TESLA, INC.</t>
  </si>
  <si>
    <t>ROCHTE</t>
  </si>
  <si>
    <t>48309</t>
  </si>
  <si>
    <t>ROCHESTER</t>
  </si>
  <si>
    <t>ROCHESTER TELEMESSAGING C</t>
  </si>
  <si>
    <t>COMAU</t>
  </si>
  <si>
    <t>48033-4280</t>
  </si>
  <si>
    <t>COMAU LLC</t>
  </si>
  <si>
    <t>BPP</t>
  </si>
  <si>
    <t>90074-1151</t>
  </si>
  <si>
    <t>BPP PAC IND CA REIT OWNER</t>
  </si>
  <si>
    <t>TRANSCAT</t>
  </si>
  <si>
    <t>14624-1175</t>
  </si>
  <si>
    <t>TRANSCAT, INC.</t>
  </si>
  <si>
    <t>STRICE</t>
  </si>
  <si>
    <t>95051</t>
  </si>
  <si>
    <t>STRICE INDUSTRIES, INC.</t>
  </si>
  <si>
    <t>THOMAS</t>
  </si>
  <si>
    <t>60055-4193</t>
  </si>
  <si>
    <t>THOMAS PUBLISHING COMPANY</t>
  </si>
  <si>
    <t>HACKETT</t>
  </si>
  <si>
    <t>49037</t>
  </si>
  <si>
    <t>BATTLE CREEK</t>
  </si>
  <si>
    <t>HACKETT CONSTRUCTION COMP</t>
  </si>
  <si>
    <t>FRASER FAB &amp; MACHINE INC.</t>
  </si>
  <si>
    <t>OCCUPA</t>
  </si>
  <si>
    <t>48086-5106</t>
  </si>
  <si>
    <t>OCCUPATIONAL HEALTH CENTE</t>
  </si>
  <si>
    <t>A&amp;B ELECTR</t>
  </si>
  <si>
    <t>39301</t>
  </si>
  <si>
    <t>MERIDIAN</t>
  </si>
  <si>
    <t>A&amp;B ELECTRIC COMPANY INC.</t>
  </si>
  <si>
    <t>MSC</t>
  </si>
  <si>
    <t>28036</t>
  </si>
  <si>
    <t>DAVIDSON, NC</t>
  </si>
  <si>
    <t>MSC INDUSTRIAL SUPPLY CO.</t>
  </si>
  <si>
    <t>GARDNER</t>
  </si>
  <si>
    <t>76126</t>
  </si>
  <si>
    <t>GARDNER DENVER INC.</t>
  </si>
  <si>
    <t>INGERSOLL</t>
  </si>
  <si>
    <t>28036-6924</t>
  </si>
  <si>
    <t>DAVIDSON</t>
  </si>
  <si>
    <t>INGERSOLL RAND INC.</t>
  </si>
  <si>
    <t>60680-5544</t>
  </si>
  <si>
    <t>ILLINOIS TOLLWAY</t>
  </si>
  <si>
    <t>OWNBACKUP</t>
  </si>
  <si>
    <t>07632</t>
  </si>
  <si>
    <t>ENGLEWOOD CLIFFS</t>
  </si>
  <si>
    <t>OWNCOMPANY INC.</t>
  </si>
  <si>
    <t>APPLE</t>
  </si>
  <si>
    <t>95014-0642</t>
  </si>
  <si>
    <t>APPLE INC.</t>
  </si>
  <si>
    <t>DUANE MORR</t>
  </si>
  <si>
    <t>19103-4196</t>
  </si>
  <si>
    <t>DUANE MORRIS LLP</t>
  </si>
  <si>
    <t>GARTNER</t>
  </si>
  <si>
    <t>75391-1319</t>
  </si>
  <si>
    <t>GARTNER INC</t>
  </si>
  <si>
    <t>80918</t>
  </si>
  <si>
    <t>COLORADO SPRINGS</t>
  </si>
  <si>
    <t>ORION WORLD LLC</t>
  </si>
  <si>
    <t>RESEARCH</t>
  </si>
  <si>
    <t>10028</t>
  </si>
  <si>
    <t>THE RESEARCH CORPORATION</t>
  </si>
  <si>
    <t>AUTO KABEL</t>
  </si>
  <si>
    <t>79912-1623</t>
  </si>
  <si>
    <t>EL PASO</t>
  </si>
  <si>
    <t>AUTO KABEL OF NORTH AMERI</t>
  </si>
  <si>
    <t>OCCUPTX</t>
  </si>
  <si>
    <t>75001-9005</t>
  </si>
  <si>
    <t>RUSKEN</t>
  </si>
  <si>
    <t>35246-1726</t>
  </si>
  <si>
    <t>RUSKEN PACKAGING INC</t>
  </si>
  <si>
    <t>NORTHBROOK, I11</t>
  </si>
  <si>
    <t>ROSENTHAL MFG.CO., INC</t>
  </si>
  <si>
    <t>URGENT</t>
  </si>
  <si>
    <t>30909-6520</t>
  </si>
  <si>
    <t>URGENT MD HEALTHCARE SERV</t>
  </si>
  <si>
    <t>CHAMPION T</t>
  </si>
  <si>
    <t>60164-1682</t>
  </si>
  <si>
    <t>NORTHLAKE</t>
  </si>
  <si>
    <t>CHAMPION TRANSPORTATION S</t>
  </si>
  <si>
    <t>USHER</t>
  </si>
  <si>
    <t>48204</t>
  </si>
  <si>
    <t>USHER OIL COMPANY</t>
  </si>
  <si>
    <t>SYNCFUSION</t>
  </si>
  <si>
    <t>27560-7655</t>
  </si>
  <si>
    <t>SYNCFUSION INC.</t>
  </si>
  <si>
    <t>EXAIR</t>
  </si>
  <si>
    <t>45249-1621</t>
  </si>
  <si>
    <t>EXAIR CORPORATION</t>
  </si>
  <si>
    <t>TRAILSIDE</t>
  </si>
  <si>
    <t>29601</t>
  </si>
  <si>
    <t>TRAILSIDE AT REEDY POINT</t>
  </si>
  <si>
    <t>MACLE</t>
  </si>
  <si>
    <t>40513</t>
  </si>
  <si>
    <t>MACLELLAN INTEGRATED SERV</t>
  </si>
  <si>
    <t>OFCONN</t>
  </si>
  <si>
    <t>48331</t>
  </si>
  <si>
    <t>THE OFFICE CONNECTION</t>
  </si>
  <si>
    <t>BALSAMIQ</t>
  </si>
  <si>
    <t>95812</t>
  </si>
  <si>
    <t>SACRAMENTO, CA 95812</t>
  </si>
  <si>
    <t>BALSAMIQ STUDIOS, LLC</t>
  </si>
  <si>
    <t>A3</t>
  </si>
  <si>
    <t>48108-5210</t>
  </si>
  <si>
    <t>ASSOCIATION FOR ADVANCING</t>
  </si>
  <si>
    <t>MOS</t>
  </si>
  <si>
    <t>31193-6719</t>
  </si>
  <si>
    <t>MOS MICHIGAN OFFICE SOLUT</t>
  </si>
  <si>
    <t>77536</t>
  </si>
  <si>
    <t>DEER PARK</t>
  </si>
  <si>
    <t>MAN DIESEL &amp; TURBO NORTH</t>
  </si>
  <si>
    <t>OMH MEDICA</t>
  </si>
  <si>
    <t>49735-8253</t>
  </si>
  <si>
    <t>GAYLORD</t>
  </si>
  <si>
    <t>OMH MEDICAL GRP &amp; MEDCARE</t>
  </si>
  <si>
    <t>C.F.PLASTI</t>
  </si>
  <si>
    <t>48045</t>
  </si>
  <si>
    <t>HARRISON TOWNSHIP</t>
  </si>
  <si>
    <t>C.F. PLASTIC FAB, INC.</t>
  </si>
  <si>
    <t>78701</t>
  </si>
  <si>
    <t>INNOWERA, LLC</t>
  </si>
  <si>
    <t>BERNARD WE</t>
  </si>
  <si>
    <t>60401-3127</t>
  </si>
  <si>
    <t>BEECHER</t>
  </si>
  <si>
    <t>STANFORD</t>
  </si>
  <si>
    <t>94305</t>
  </si>
  <si>
    <t>STANFORD UNIVERSITY</t>
  </si>
  <si>
    <t>TESLA INC</t>
  </si>
  <si>
    <t>E&amp;RIND</t>
  </si>
  <si>
    <t>E &amp; R INDUSTRIAL SALES, I</t>
  </si>
  <si>
    <t>NERD</t>
  </si>
  <si>
    <t>98101</t>
  </si>
  <si>
    <t>BIG NERD SOFTWARE LLC</t>
  </si>
  <si>
    <t>THE CARY C</t>
  </si>
  <si>
    <t>THE CARY COMPANY</t>
  </si>
  <si>
    <t>EBZ SYSTEC</t>
  </si>
  <si>
    <t>35111-2745</t>
  </si>
  <si>
    <t>MC CALLA</t>
  </si>
  <si>
    <t>FRONIUS</t>
  </si>
  <si>
    <t>46368-4667</t>
  </si>
  <si>
    <t>FRONIUS USA LLC</t>
  </si>
  <si>
    <t>PG&amp;E</t>
  </si>
  <si>
    <t>95899-7300</t>
  </si>
  <si>
    <t>ENVIR</t>
  </si>
  <si>
    <t>48091</t>
  </si>
  <si>
    <t>ENVIROBLAST SERVICES, LLC</t>
  </si>
  <si>
    <t>CATERPILLA</t>
  </si>
  <si>
    <t>61630</t>
  </si>
  <si>
    <t>PEORIA, IL</t>
  </si>
  <si>
    <t>CATERPILLAR INC.</t>
  </si>
  <si>
    <t>NUSOFT</t>
  </si>
  <si>
    <t>48304</t>
  </si>
  <si>
    <t>BLOOMFIELD HILLS</t>
  </si>
  <si>
    <t>NUSOFT SOLUTIONS</t>
  </si>
  <si>
    <t>POWERTRAN</t>
  </si>
  <si>
    <t>48220</t>
  </si>
  <si>
    <t>POWERTRAN CORPORATION</t>
  </si>
  <si>
    <t>UNITPA</t>
  </si>
  <si>
    <t>60132-0577</t>
  </si>
  <si>
    <t>UNITED PARCEL SERVICE</t>
  </si>
  <si>
    <t>AROWELD</t>
  </si>
  <si>
    <t>48051</t>
  </si>
  <si>
    <t>CHESTERFIELD TWP</t>
  </si>
  <si>
    <t>ARO WELDING TECHNOLOGIES,</t>
  </si>
  <si>
    <t>OCCIL</t>
  </si>
  <si>
    <t>60148-0369</t>
  </si>
  <si>
    <t>LOMBARD</t>
  </si>
  <si>
    <t>45015</t>
  </si>
  <si>
    <t>THYSSENKRUPP BILSTEIN OF</t>
  </si>
  <si>
    <t>INTERNAT</t>
  </si>
  <si>
    <t>INTERNATIONAL EXPRESS SER</t>
  </si>
  <si>
    <t>LASERMET</t>
  </si>
  <si>
    <t>60173</t>
  </si>
  <si>
    <t>LASERMET INC.</t>
  </si>
  <si>
    <t>LOVEJOY</t>
  </si>
  <si>
    <t>60515</t>
  </si>
  <si>
    <t>LOVEJOY, INC.</t>
  </si>
  <si>
    <t>ANN HARRIS</t>
  </si>
  <si>
    <t>77210-4576</t>
  </si>
  <si>
    <t>ANN HARRIS BENNETT</t>
  </si>
  <si>
    <t>CARDINAL C</t>
  </si>
  <si>
    <t>46241-4832</t>
  </si>
  <si>
    <t>CARDINAL CONTRACTING, LLC</t>
  </si>
  <si>
    <t>29203</t>
  </si>
  <si>
    <t>GFL</t>
  </si>
  <si>
    <t>48076</t>
  </si>
  <si>
    <t>GFL ENVIRONMENTAL RECYCLI</t>
  </si>
  <si>
    <t>NOVARLO</t>
  </si>
  <si>
    <t>METRO PRINTING SERVICE, I</t>
  </si>
  <si>
    <t>SANTINOS</t>
  </si>
  <si>
    <t>48088</t>
  </si>
  <si>
    <t>SANTINOS VOICE INC.</t>
  </si>
  <si>
    <t>48038</t>
  </si>
  <si>
    <t>TURNER SERVICES GROUP</t>
  </si>
  <si>
    <t>MACIOR</t>
  </si>
  <si>
    <t>48303</t>
  </si>
  <si>
    <t>EDMUND MACIOROWSKI, P.C.</t>
  </si>
  <si>
    <t>PACE MACHI</t>
  </si>
  <si>
    <t>48390</t>
  </si>
  <si>
    <t>WALLED LAKE</t>
  </si>
  <si>
    <t>PACE MACHINE TOOL, INC</t>
  </si>
  <si>
    <t>INDIANA</t>
  </si>
  <si>
    <t>47129</t>
  </si>
  <si>
    <t>CLARKSVILLE</t>
  </si>
  <si>
    <t>INDIANA DEPARTMENT OF REV</t>
  </si>
  <si>
    <t>TOOLLADY</t>
  </si>
  <si>
    <t>98366</t>
  </si>
  <si>
    <t>PORT ORCHARD</t>
  </si>
  <si>
    <t>TOOL LADY INC</t>
  </si>
  <si>
    <t>22949</t>
  </si>
  <si>
    <t>LOVINGSTON</t>
  </si>
  <si>
    <t>INTERSTATE INDUSTRIES, IN</t>
  </si>
  <si>
    <t>DEVELOPER</t>
  </si>
  <si>
    <t>91203</t>
  </si>
  <si>
    <t>GLENDALE</t>
  </si>
  <si>
    <t>DEVELOPER EXPRESS INC</t>
  </si>
  <si>
    <t>ALOI MATER</t>
  </si>
  <si>
    <t>14623-2600</t>
  </si>
  <si>
    <t>ALOI MATERIAL HANDLING, I</t>
  </si>
  <si>
    <t>DREAM</t>
  </si>
  <si>
    <t>48307-5315</t>
  </si>
  <si>
    <t>DREAM CLEAN, LLC</t>
  </si>
  <si>
    <t>HENRY</t>
  </si>
  <si>
    <t>48202</t>
  </si>
  <si>
    <t>HENRY FORD HEALTH SYSTEM</t>
  </si>
  <si>
    <t>ERNST &amp; YO</t>
  </si>
  <si>
    <t>15264-0382</t>
  </si>
  <si>
    <t>ERNST &amp; YOUNG LLP</t>
  </si>
  <si>
    <t>BP</t>
  </si>
  <si>
    <t>07470-2040</t>
  </si>
  <si>
    <t>BP LUBRICANTS USA INC.</t>
  </si>
  <si>
    <t>BMW</t>
  </si>
  <si>
    <t>29651-6799</t>
  </si>
  <si>
    <t>BMW MANUFACTURING CO., LL</t>
  </si>
  <si>
    <t>48083</t>
  </si>
  <si>
    <t>TROY, MI</t>
  </si>
  <si>
    <t>WELKER BEARING COMPANY</t>
  </si>
  <si>
    <t>TEREX</t>
  </si>
  <si>
    <t>06880</t>
  </si>
  <si>
    <t>WESTPORT</t>
  </si>
  <si>
    <t>TEREX CORPORATION</t>
  </si>
  <si>
    <t>BURKES</t>
  </si>
  <si>
    <t>35034</t>
  </si>
  <si>
    <t>BRENT</t>
  </si>
  <si>
    <t>BURKES MECHANICAL, INC.</t>
  </si>
  <si>
    <t>BUSWIRE</t>
  </si>
  <si>
    <t>ERGOWEB</t>
  </si>
  <si>
    <t>85377</t>
  </si>
  <si>
    <t>CAREFREE, AZ</t>
  </si>
  <si>
    <t>ERGOWEB LLC</t>
  </si>
  <si>
    <t>29607-2416</t>
  </si>
  <si>
    <t>GREENVILLE TECHNICAL COLL</t>
  </si>
  <si>
    <t>PITA</t>
  </si>
  <si>
    <t>48044</t>
  </si>
  <si>
    <t>PITA PIT</t>
  </si>
  <si>
    <t>PAHOA</t>
  </si>
  <si>
    <t>CLINTON TWP.</t>
  </si>
  <si>
    <t>PAHOA EXPRESS, INC.</t>
  </si>
  <si>
    <t>AMERIC</t>
  </si>
  <si>
    <t>60673-1256</t>
  </si>
  <si>
    <t>AMERICAN RED CROSS</t>
  </si>
  <si>
    <t>API</t>
  </si>
  <si>
    <t>NEWPORT NEWS VA</t>
  </si>
  <si>
    <t>API TECHNICAL SERVICES</t>
  </si>
  <si>
    <t>94279-3535</t>
  </si>
  <si>
    <t>CALIFORNIA DEPT OF TAX AN</t>
  </si>
  <si>
    <t>SIEMENS IN</t>
  </si>
  <si>
    <t>30005</t>
  </si>
  <si>
    <t>SIEMENS INDUSTRY INC.</t>
  </si>
  <si>
    <t>01434</t>
  </si>
  <si>
    <t>DEVENS, MA</t>
  </si>
  <si>
    <t>CLEARVIEW</t>
  </si>
  <si>
    <t>11797</t>
  </si>
  <si>
    <t>WOODBURY</t>
  </si>
  <si>
    <t>INTERNATIONAL AUTOSOURCE</t>
  </si>
  <si>
    <t>54914</t>
  </si>
  <si>
    <t>APPLETON</t>
  </si>
  <si>
    <t>MILLER ELECTRIC MFG. LLC</t>
  </si>
  <si>
    <t>75266-0409</t>
  </si>
  <si>
    <t>STAPLES BUSINESS ADVANTAG</t>
  </si>
  <si>
    <t>SAFETY SER</t>
  </si>
  <si>
    <t>75320-7078</t>
  </si>
  <si>
    <t>SAFETY SERVICES COMPANY</t>
  </si>
  <si>
    <t>BROOKS</t>
  </si>
  <si>
    <t>01824-4111</t>
  </si>
  <si>
    <t>CHELMSFORD</t>
  </si>
  <si>
    <t>BROOKS AUTOMATION US, LLC</t>
  </si>
  <si>
    <t>J5 CREATIV</t>
  </si>
  <si>
    <t>J5 CREATIVE INC</t>
  </si>
  <si>
    <t>3M COMPANY</t>
  </si>
  <si>
    <t>55144</t>
  </si>
  <si>
    <t>ST.PAUL</t>
  </si>
  <si>
    <t>TUV RHEINL</t>
  </si>
  <si>
    <t>01460</t>
  </si>
  <si>
    <t>LITTLETON</t>
  </si>
  <si>
    <t>TUV RHEINLAND CANADA INC.</t>
  </si>
  <si>
    <t>MJ MACHINI</t>
  </si>
  <si>
    <t>CLINTON TWP</t>
  </si>
  <si>
    <t>MJ MACHINING LLC</t>
  </si>
  <si>
    <t>IBF</t>
  </si>
  <si>
    <t>11021</t>
  </si>
  <si>
    <t>GREAT NECK, NEW YORK</t>
  </si>
  <si>
    <t>INSTITUTE OF BUSINESS</t>
  </si>
  <si>
    <t>MORRELL LL</t>
  </si>
  <si>
    <t>60674-7387</t>
  </si>
  <si>
    <t>MORRELL LLC</t>
  </si>
  <si>
    <t>BULLSE</t>
  </si>
  <si>
    <t>60197</t>
  </si>
  <si>
    <t>BULLSEYE TELECOM INC</t>
  </si>
  <si>
    <t>DETROIT AIR COMPRESSOR CO</t>
  </si>
  <si>
    <t>ANIMAKER</t>
  </si>
  <si>
    <t>94304</t>
  </si>
  <si>
    <t>ANIMAKER INC.</t>
  </si>
  <si>
    <t>ONE OFF RO</t>
  </si>
  <si>
    <t>37405</t>
  </si>
  <si>
    <t>CHATTANOOGA</t>
  </si>
  <si>
    <t>ONE-OFF ROBOTICS</t>
  </si>
  <si>
    <t>30318-0711</t>
  </si>
  <si>
    <t>UNITED RENTALS</t>
  </si>
  <si>
    <t>FORT</t>
  </si>
  <si>
    <t>77487-1028</t>
  </si>
  <si>
    <t>SUGARLAND</t>
  </si>
  <si>
    <t>FORT BEND COUNTY TAX ASSE</t>
  </si>
  <si>
    <t>GILL</t>
  </si>
  <si>
    <t>89434</t>
  </si>
  <si>
    <t>SPARKS</t>
  </si>
  <si>
    <t>SURINDER GILL</t>
  </si>
  <si>
    <t>PREZI</t>
  </si>
  <si>
    <t>PREZI INC.</t>
  </si>
  <si>
    <t>FEDEXF</t>
  </si>
  <si>
    <t>15251-2125</t>
  </si>
  <si>
    <t>FEDEX FREIGHT</t>
  </si>
  <si>
    <t>DETCUST</t>
  </si>
  <si>
    <t>DETROIT CUSTOM PAINT</t>
  </si>
  <si>
    <t>EATERY</t>
  </si>
  <si>
    <t>48050</t>
  </si>
  <si>
    <t>LENOX</t>
  </si>
  <si>
    <t>THE EATERY</t>
  </si>
  <si>
    <t>GESTAMP</t>
  </si>
  <si>
    <t>29379-7785</t>
  </si>
  <si>
    <t>UNION</t>
  </si>
  <si>
    <t>GESTAMP SOUTH CAROLINA, L</t>
  </si>
  <si>
    <t>SHOWTIME</t>
  </si>
  <si>
    <t>06854</t>
  </si>
  <si>
    <t>CONNECTTICUT</t>
  </si>
  <si>
    <t>SHOWTIME GROUP</t>
  </si>
  <si>
    <t>RUMSEY</t>
  </si>
  <si>
    <t>75266-0177</t>
  </si>
  <si>
    <t>RUMSEY ENVIRONMENTAL</t>
  </si>
  <si>
    <t>TMOBILE</t>
  </si>
  <si>
    <t>45274</t>
  </si>
  <si>
    <t>T-MOBILE</t>
  </si>
  <si>
    <t>DYNALOG</t>
  </si>
  <si>
    <t>CITY ELECT</t>
  </si>
  <si>
    <t>CITY ELECTRIC SUPPLY</t>
  </si>
  <si>
    <t>ECLIPSE</t>
  </si>
  <si>
    <t>ECLIPSE AUTOMATION SOUTHE</t>
  </si>
  <si>
    <t>SAVIOKE</t>
  </si>
  <si>
    <t>95113</t>
  </si>
  <si>
    <t>SAVIOKE INC.</t>
  </si>
  <si>
    <t>SISAMEX</t>
  </si>
  <si>
    <t>78045</t>
  </si>
  <si>
    <t>SISAMEX SISTEMAS AUTOMOTR</t>
  </si>
  <si>
    <t>NIMAK</t>
  </si>
  <si>
    <t>37421</t>
  </si>
  <si>
    <t>NIMAK NORTH AMERICA, INC.</t>
  </si>
  <si>
    <t>DANA GLOBA</t>
  </si>
  <si>
    <t>43537-9194</t>
  </si>
  <si>
    <t>DANA GLOBAL PRODUCTS, INC</t>
  </si>
  <si>
    <t>NOLAN &amp; CU</t>
  </si>
  <si>
    <t>48092</t>
  </si>
  <si>
    <t>NOLAN &amp; CUNNINGS, INC</t>
  </si>
  <si>
    <t>AVTEX</t>
  </si>
  <si>
    <t>55485</t>
  </si>
  <si>
    <t>AVTEX SOLUTIONS LLC</t>
  </si>
  <si>
    <t>HH BARNUM</t>
  </si>
  <si>
    <t>48116</t>
  </si>
  <si>
    <t>BRIGHTON</t>
  </si>
  <si>
    <t>BARNUM ACQUISITION, LLC</t>
  </si>
  <si>
    <t>UNIVAR SOL</t>
  </si>
  <si>
    <t>43016</t>
  </si>
  <si>
    <t>UNIVAR SOLUTIONS</t>
  </si>
  <si>
    <t>MIDWE</t>
  </si>
  <si>
    <t>49404</t>
  </si>
  <si>
    <t>COOPERSVILLE</t>
  </si>
  <si>
    <t>MIDWEST DIRECT</t>
  </si>
  <si>
    <t>60694</t>
  </si>
  <si>
    <t>PACK EXPO</t>
  </si>
  <si>
    <t>22042</t>
  </si>
  <si>
    <t>FALLS CHURCH</t>
  </si>
  <si>
    <t>PACK EXPO HOTEL RESERVATI</t>
  </si>
  <si>
    <t>MT. CLEMEN</t>
  </si>
  <si>
    <t>MT. CLEMENS GLASS &amp; MIRRO</t>
  </si>
  <si>
    <t>30265</t>
  </si>
  <si>
    <t>BRIGHT</t>
  </si>
  <si>
    <t>90403</t>
  </si>
  <si>
    <t>SANTA MONICA</t>
  </si>
  <si>
    <t>GRAHAME BRIGHT</t>
  </si>
  <si>
    <t>WAR</t>
  </si>
  <si>
    <t>49783</t>
  </si>
  <si>
    <t>SAULT STE MARIE</t>
  </si>
  <si>
    <t>WAR MEMORIAL HOSPITAL</t>
  </si>
  <si>
    <t>48909</t>
  </si>
  <si>
    <t>MI DEPT OF TREASURY   (ES</t>
  </si>
  <si>
    <t>ADAL MECHA</t>
  </si>
  <si>
    <t>35504</t>
  </si>
  <si>
    <t>JASPER</t>
  </si>
  <si>
    <t>ADAL MECHANICAL LLC</t>
  </si>
  <si>
    <t>LEEHECH</t>
  </si>
  <si>
    <t>60055-0544</t>
  </si>
  <si>
    <t>ELECTROIMP</t>
  </si>
  <si>
    <t>98275-5048</t>
  </si>
  <si>
    <t>MUKILTEO</t>
  </si>
  <si>
    <t>ELECTROIMPACT, INC.</t>
  </si>
  <si>
    <t>GKN AUTOMO</t>
  </si>
  <si>
    <t>GKN AUTOMOTIVE, INC.</t>
  </si>
  <si>
    <t>FBSECURITY</t>
  </si>
  <si>
    <t>46733</t>
  </si>
  <si>
    <t>DECATUR</t>
  </si>
  <si>
    <t>FB SECURITY GROUP</t>
  </si>
  <si>
    <t>SC DEPART</t>
  </si>
  <si>
    <t>29214-0007</t>
  </si>
  <si>
    <t>SC DEPARTMENT OF REVENUE</t>
  </si>
  <si>
    <t>SABER</t>
  </si>
  <si>
    <t>95603-9018</t>
  </si>
  <si>
    <t>AUBURN</t>
  </si>
  <si>
    <t>SABER ROBOTICS &amp; VISION S</t>
  </si>
  <si>
    <t>GREEN VALL</t>
  </si>
  <si>
    <t>62549</t>
  </si>
  <si>
    <t>IL MT. ZION</t>
  </si>
  <si>
    <t>GREEN VALLEY MANUFACTURIN</t>
  </si>
  <si>
    <t>NEW VENTUR</t>
  </si>
  <si>
    <t>95959</t>
  </si>
  <si>
    <t>NEVADA CITY</t>
  </si>
  <si>
    <t>NEW VENTURE RESERARCH COR</t>
  </si>
  <si>
    <t>IFA ROTORI</t>
  </si>
  <si>
    <t>29483-7432</t>
  </si>
  <si>
    <t>SUMMERVILLE</t>
  </si>
  <si>
    <t>MOTION INDUSTRIES</t>
  </si>
  <si>
    <t>77423</t>
  </si>
  <si>
    <t>MAN ENERGY SOLUTIONS USA,</t>
  </si>
  <si>
    <t>TURCK</t>
  </si>
  <si>
    <t>TURCK INC.</t>
  </si>
  <si>
    <t>JUICER</t>
  </si>
  <si>
    <t>90401</t>
  </si>
  <si>
    <t>JUICER LLC</t>
  </si>
  <si>
    <t>CREATIVE S</t>
  </si>
  <si>
    <t>CREATIVE SPECIALTIES COMP</t>
  </si>
  <si>
    <t>FORWARD TH</t>
  </si>
  <si>
    <t>43566-1121</t>
  </si>
  <si>
    <t>WATERVILLE</t>
  </si>
  <si>
    <t>FORWARD THINKING TECHNOLO</t>
  </si>
  <si>
    <t>MKS INSTRU</t>
  </si>
  <si>
    <t>01810-2489</t>
  </si>
  <si>
    <t>ANDOVER</t>
  </si>
  <si>
    <t>MKS INSTRUMENTS, INC.</t>
  </si>
  <si>
    <t>ANCHOR BAY</t>
  </si>
  <si>
    <t>NEW BALTIMORE</t>
  </si>
  <si>
    <t>ANCHOR BAY POWDER COAT LL</t>
  </si>
  <si>
    <t>DACHS</t>
  </si>
  <si>
    <t>60197-5806</t>
  </si>
  <si>
    <t>DACHSER USA AIR &amp; SEA LOG</t>
  </si>
  <si>
    <t>GLASSDOOR</t>
  </si>
  <si>
    <t>75312-3436</t>
  </si>
  <si>
    <t>GLASSDOOR, INC</t>
  </si>
  <si>
    <t>GAM</t>
  </si>
  <si>
    <t>60056-2179</t>
  </si>
  <si>
    <t>GAM ENTERPRISES, INC.</t>
  </si>
  <si>
    <t>VERIFIED</t>
  </si>
  <si>
    <t>83642</t>
  </si>
  <si>
    <t>VERIFIED FIRST</t>
  </si>
  <si>
    <t>FELSS</t>
  </si>
  <si>
    <t>53151</t>
  </si>
  <si>
    <t>FELSS ROTAFORM LLC</t>
  </si>
  <si>
    <t>EMONS</t>
  </si>
  <si>
    <t>EMONS AIR &amp; SEA, LLC</t>
  </si>
  <si>
    <t>ELEVATION</t>
  </si>
  <si>
    <t>68003-2250</t>
  </si>
  <si>
    <t>ELEVATION PACKAGING &amp; EQU</t>
  </si>
  <si>
    <t>30028</t>
  </si>
  <si>
    <t>CUMMING, GA</t>
  </si>
  <si>
    <t>AMERICAN BOA INC.</t>
  </si>
  <si>
    <t>BLUE SKY M</t>
  </si>
  <si>
    <t>NORTHBROOK</t>
  </si>
  <si>
    <t>BLUE SKY MARKETING GROUP</t>
  </si>
  <si>
    <t>GACC</t>
  </si>
  <si>
    <t>GACCOM-MICHIGAN CHAPTER</t>
  </si>
  <si>
    <t>IKEY</t>
  </si>
  <si>
    <t>78754-5241</t>
  </si>
  <si>
    <t>IKEY LTD.</t>
  </si>
  <si>
    <t>TRAVIS</t>
  </si>
  <si>
    <t>78714-9328</t>
  </si>
  <si>
    <t>TRAVIS COUNTY TAX OFFICE</t>
  </si>
  <si>
    <t>PENCE MECH</t>
  </si>
  <si>
    <t>36749</t>
  </si>
  <si>
    <t>JONES</t>
  </si>
  <si>
    <t>PENCE MECHANICAL &amp; FABRIC</t>
  </si>
  <si>
    <t>UPSFRT</t>
  </si>
  <si>
    <t>UPS FREIGHT</t>
  </si>
  <si>
    <t>NTT</t>
  </si>
  <si>
    <t>15251-4261</t>
  </si>
  <si>
    <t>NTT CLOUD COMMUNICATIONS</t>
  </si>
  <si>
    <t>MERCEDES</t>
  </si>
  <si>
    <t>35490-2900</t>
  </si>
  <si>
    <t>VANCE</t>
  </si>
  <si>
    <t>MERCEDES-BENZ U.S. INTERN</t>
  </si>
  <si>
    <t>MEDEXPRESS</t>
  </si>
  <si>
    <t>04915-7900</t>
  </si>
  <si>
    <t>BELFAST</t>
  </si>
  <si>
    <t>MEDEXPRESS URGENT CARE,PC</t>
  </si>
  <si>
    <t>CONTROLS C</t>
  </si>
  <si>
    <t>CONTROLS CREW INC</t>
  </si>
  <si>
    <t>GRAINGE</t>
  </si>
  <si>
    <t>60038-0001</t>
  </si>
  <si>
    <t>KARA</t>
  </si>
  <si>
    <t>60525</t>
  </si>
  <si>
    <t>COUNTRYSIDE</t>
  </si>
  <si>
    <t>KARA COMPANY</t>
  </si>
  <si>
    <t>SHEDPW</t>
  </si>
  <si>
    <t>48316</t>
  </si>
  <si>
    <t>CHARTER TOWNSHIP OF SHELB</t>
  </si>
  <si>
    <t>BLUE SKY</t>
  </si>
  <si>
    <t>BLUE SKY MARKETING GROUP,</t>
  </si>
  <si>
    <t>HAMAR</t>
  </si>
  <si>
    <t>06810-7322</t>
  </si>
  <si>
    <t>DANBURY</t>
  </si>
  <si>
    <t>HAMAR LASER INSTRUMENTS,</t>
  </si>
  <si>
    <t>SCHUNK INT</t>
  </si>
  <si>
    <t>27560-8548</t>
  </si>
  <si>
    <t>SCHUNK INTEC, INC.</t>
  </si>
  <si>
    <t>BINGHAM</t>
  </si>
  <si>
    <t>60197-4349</t>
  </si>
  <si>
    <t>CT CORPORATION</t>
  </si>
  <si>
    <t>ALABCAB</t>
  </si>
  <si>
    <t>35126</t>
  </si>
  <si>
    <t>PINSON</t>
  </si>
  <si>
    <t>ALABAMA CABLING &amp; ELECTRI</t>
  </si>
  <si>
    <t>MCNAUGHTON</t>
  </si>
  <si>
    <t>MCNAUGHTON-MCKAY</t>
  </si>
  <si>
    <t>MIT</t>
  </si>
  <si>
    <t>02139-4307</t>
  </si>
  <si>
    <t>MASSACHUSETTS INSTITUTE O</t>
  </si>
  <si>
    <t>ZF</t>
  </si>
  <si>
    <t>29645-3157</t>
  </si>
  <si>
    <t>GRAY COURT</t>
  </si>
  <si>
    <t>ZF TRANSMISSIONS GRAY COU</t>
  </si>
  <si>
    <t>12212-5062</t>
  </si>
  <si>
    <t>CITY OF FR</t>
  </si>
  <si>
    <t>CITY OF FREMONT</t>
  </si>
  <si>
    <t>J9</t>
  </si>
  <si>
    <t>48308</t>
  </si>
  <si>
    <t>J9 MEDIA SOLUTIONS</t>
  </si>
  <si>
    <t>SEALED</t>
  </si>
  <si>
    <t>60673-1260</t>
  </si>
  <si>
    <t>SEALED AIR CORPORATION</t>
  </si>
  <si>
    <t>NADCA</t>
  </si>
  <si>
    <t>60004-1500</t>
  </si>
  <si>
    <t>ARLINGTON HEIGHTS</t>
  </si>
  <si>
    <t>BANDWI</t>
  </si>
  <si>
    <t>60675-6647</t>
  </si>
  <si>
    <t>BANDWIDTH.COM INC.</t>
  </si>
  <si>
    <t>OCCCAL</t>
  </si>
  <si>
    <t>91729-3700</t>
  </si>
  <si>
    <t>RANCHO CUCAMONGA</t>
  </si>
  <si>
    <t>VITA</t>
  </si>
  <si>
    <t>VITA ELECTRICAL LLC</t>
  </si>
  <si>
    <t>BSH</t>
  </si>
  <si>
    <t>28562-6924</t>
  </si>
  <si>
    <t>NEW BERN, NC</t>
  </si>
  <si>
    <t>NEWARK CORP.- NEWARK ELEM</t>
  </si>
  <si>
    <t>43528</t>
  </si>
  <si>
    <t>HOLLAND, OH</t>
  </si>
  <si>
    <t>JOURN</t>
  </si>
  <si>
    <t>75373-4084</t>
  </si>
  <si>
    <t>JOURNYX, INC.</t>
  </si>
  <si>
    <t>COSMOLINE</t>
  </si>
  <si>
    <t>92602</t>
  </si>
  <si>
    <t>COSMOLINE DIRECT, LLC</t>
  </si>
  <si>
    <t>FISHER UNI</t>
  </si>
  <si>
    <t>48069</t>
  </si>
  <si>
    <t>PLEASANT RIDGE</t>
  </si>
  <si>
    <t>FISHER UNITECH LLC</t>
  </si>
  <si>
    <t>FORMLABS</t>
  </si>
  <si>
    <t>02143</t>
  </si>
  <si>
    <t>SOMERVILLE</t>
  </si>
  <si>
    <t>FORMLABS INC.</t>
  </si>
  <si>
    <t>EQUIVALENT</t>
  </si>
  <si>
    <t>WARREN MI,</t>
  </si>
  <si>
    <t>EQUIVALENT BASE CO</t>
  </si>
  <si>
    <t>D.H.GRIFFI</t>
  </si>
  <si>
    <t>D.H. GRIFFIN CONTRACTING,</t>
  </si>
  <si>
    <t>FLEXIBLE</t>
  </si>
  <si>
    <t>92126</t>
  </si>
  <si>
    <t>FLEXIBLE ASSEMBLY SYSTEMS</t>
  </si>
  <si>
    <t>PILOT</t>
  </si>
  <si>
    <t>75265-4058</t>
  </si>
  <si>
    <t>PILOT FREIGHT SERVICES (U</t>
  </si>
  <si>
    <t>CHAZ</t>
  </si>
  <si>
    <t>92620</t>
  </si>
  <si>
    <t>CHAZ AUTOMATION NORTH AME</t>
  </si>
  <si>
    <t>DETROIT DI</t>
  </si>
  <si>
    <t>48239-4002</t>
  </si>
  <si>
    <t>DETROIT DIESEL CORP.</t>
  </si>
  <si>
    <t>DCNINT</t>
  </si>
  <si>
    <t>11434</t>
  </si>
  <si>
    <t>JAMAICA</t>
  </si>
  <si>
    <t>DCN INTERNATIONAL INC.</t>
  </si>
  <si>
    <t>TAPMATIC</t>
  </si>
  <si>
    <t>83854</t>
  </si>
  <si>
    <t>POST FALLS</t>
  </si>
  <si>
    <t>TAPMATIC CORPORATION</t>
  </si>
  <si>
    <t>AMEFEN</t>
  </si>
  <si>
    <t>AMERICAN FENCE COMPANY</t>
  </si>
  <si>
    <t>27606</t>
  </si>
  <si>
    <t>RALEIGH NC</t>
  </si>
  <si>
    <t>IEEE ROBOTICS AND AUTOMAT</t>
  </si>
  <si>
    <t>AVIS</t>
  </si>
  <si>
    <t>AVIS RENT A CAR SYSTEM LL</t>
  </si>
  <si>
    <t>ARTIFICIAL</t>
  </si>
  <si>
    <t>ARTIFICIAL STUPIDITY INC.</t>
  </si>
  <si>
    <t>HOMEDEPOT</t>
  </si>
  <si>
    <t>85062-8047</t>
  </si>
  <si>
    <t>HOME DEPOT CREDIT SERVICE</t>
  </si>
  <si>
    <t>FINSPE</t>
  </si>
  <si>
    <t>FINISHING SPECIALTIES, IN</t>
  </si>
  <si>
    <t>TEXAS</t>
  </si>
  <si>
    <t>77054-2600</t>
  </si>
  <si>
    <t>TEXAS COMPTROLLER OF PUBL</t>
  </si>
  <si>
    <t>SYNDEVCO</t>
  </si>
  <si>
    <t>48005</t>
  </si>
  <si>
    <t>SYNDEVCO, INC.</t>
  </si>
  <si>
    <t>ACRO AUTOM</t>
  </si>
  <si>
    <t>53209</t>
  </si>
  <si>
    <t>ACRO AUTOMATION SYSTEMS,</t>
  </si>
  <si>
    <t>MICROSOFT</t>
  </si>
  <si>
    <t>A.A. ENRIQUE HINOJOSA</t>
  </si>
  <si>
    <t>ALDREV</t>
  </si>
  <si>
    <t>ALABAMA DEPT OF REVENUE</t>
  </si>
  <si>
    <t>REAL-TIME</t>
  </si>
  <si>
    <t>94089-1318</t>
  </si>
  <si>
    <t>REAL-TIME INNOVATIONS, IN</t>
  </si>
  <si>
    <t>PATT</t>
  </si>
  <si>
    <t>60534</t>
  </si>
  <si>
    <t>LYONS</t>
  </si>
  <si>
    <t>PATT CORPORATION</t>
  </si>
  <si>
    <t>37876</t>
  </si>
  <si>
    <t>SEVIERVILLE</t>
  </si>
  <si>
    <t>FEDERAL-MOGUL SEVIERVILLE</t>
  </si>
  <si>
    <t>SUNSTAR</t>
  </si>
  <si>
    <t>SUNSTAR SUPPLY COMPANY</t>
  </si>
  <si>
    <t>CALIF</t>
  </si>
  <si>
    <t>95826</t>
  </si>
  <si>
    <t>CA BOARD OF EQUALIZATION</t>
  </si>
  <si>
    <t>08854</t>
  </si>
  <si>
    <t>IEEE MCE</t>
  </si>
  <si>
    <t>CHART</t>
  </si>
  <si>
    <t>48277-0598</t>
  </si>
  <si>
    <t>TURBO</t>
  </si>
  <si>
    <t>70112</t>
  </si>
  <si>
    <t>TURBOSQUID</t>
  </si>
  <si>
    <t>ACMP</t>
  </si>
  <si>
    <t>32765</t>
  </si>
  <si>
    <t>OVIEDO</t>
  </si>
  <si>
    <t>ASSOCIATION OF</t>
  </si>
  <si>
    <t>ACCO</t>
  </si>
  <si>
    <t>17402</t>
  </si>
  <si>
    <t>ACCO MATERIAL HANDLING SO</t>
  </si>
  <si>
    <t>CONENE</t>
  </si>
  <si>
    <t>45274-0309</t>
  </si>
  <si>
    <t>CONSUMERS ENERGY</t>
  </si>
  <si>
    <t>SUREWAY</t>
  </si>
  <si>
    <t>55485-7130</t>
  </si>
  <si>
    <t>SUREWAY TRANSPORTATION CO</t>
  </si>
  <si>
    <t>KCROB</t>
  </si>
  <si>
    <t>45014-2241</t>
  </si>
  <si>
    <t>KC ROBOTICS, INC.</t>
  </si>
  <si>
    <t>94120-7777</t>
  </si>
  <si>
    <t>WELLS FARGO EQUIPMENT FIN</t>
  </si>
  <si>
    <t>ODVA</t>
  </si>
  <si>
    <t>48104-4811</t>
  </si>
  <si>
    <t>ODVA INC.</t>
  </si>
  <si>
    <t>48326-2839</t>
  </si>
  <si>
    <t>ATLAS COPCO IAS LLC</t>
  </si>
  <si>
    <t>PRODLY</t>
  </si>
  <si>
    <t>REALTIME R</t>
  </si>
  <si>
    <t>02210-1625</t>
  </si>
  <si>
    <t>REALTIME ROBOTICS, INC.</t>
  </si>
  <si>
    <t>WERTHER</t>
  </si>
  <si>
    <t>77088</t>
  </si>
  <si>
    <t>WERTHER INTERNATIONAL INC</t>
  </si>
  <si>
    <t>GLOBAL PAR</t>
  </si>
  <si>
    <t>48185-1937</t>
  </si>
  <si>
    <t>WESTLAND</t>
  </si>
  <si>
    <t>GLOBAL PARTS &amp; MAINTENANC</t>
  </si>
  <si>
    <t>LINTON´S</t>
  </si>
  <si>
    <t>29445</t>
  </si>
  <si>
    <t>GOOSE CREEK</t>
  </si>
  <si>
    <t>LINTON´S MECHANICAL LLC</t>
  </si>
  <si>
    <t>ULTRA</t>
  </si>
  <si>
    <t>48073</t>
  </si>
  <si>
    <t>ROYAL OAK</t>
  </si>
  <si>
    <t>ULTRA MARKETING</t>
  </si>
  <si>
    <t>ORACLE AME</t>
  </si>
  <si>
    <t>94065-1677</t>
  </si>
  <si>
    <t>REDWOOD SHORES</t>
  </si>
  <si>
    <t>ORACLE AMERICA, INC.</t>
  </si>
  <si>
    <t>BOART</t>
  </si>
  <si>
    <t>84119</t>
  </si>
  <si>
    <t>BOART LONGYEAR</t>
  </si>
  <si>
    <t>ARROW</t>
  </si>
  <si>
    <t>80112</t>
  </si>
  <si>
    <t>ARROW ELECTRONICS INC.</t>
  </si>
  <si>
    <t>AMEWE</t>
  </si>
  <si>
    <t>33166</t>
  </si>
  <si>
    <t>AMERICAN WELDING SOCIETY,</t>
  </si>
  <si>
    <t>EDELL</t>
  </si>
  <si>
    <t>20878</t>
  </si>
  <si>
    <t>GAITHERSBURG</t>
  </si>
  <si>
    <t>EDELL, SHAPIRO &amp; FINNAN,</t>
  </si>
  <si>
    <t>TECHGEN</t>
  </si>
  <si>
    <t>08536</t>
  </si>
  <si>
    <t>PLAINSBORO</t>
  </si>
  <si>
    <t>TECHGEN MEDIA GROUP INC</t>
  </si>
  <si>
    <t>ADVANCED C</t>
  </si>
  <si>
    <t>48327</t>
  </si>
  <si>
    <t>ADVANCED CARRIER TECHNOLO</t>
  </si>
  <si>
    <t>50306-0306</t>
  </si>
  <si>
    <t>SEMTORQ</t>
  </si>
  <si>
    <t>44202</t>
  </si>
  <si>
    <t>AURORA, OHIO</t>
  </si>
  <si>
    <t>SEMTORQ, INC.</t>
  </si>
  <si>
    <t>GEMCOR AUTOMATION LLC</t>
  </si>
  <si>
    <t>AMSOCY</t>
  </si>
  <si>
    <t>45263-9663</t>
  </si>
  <si>
    <t>AMERICAN SOCIETY OF EMPLO</t>
  </si>
  <si>
    <t>PAK-RITE</t>
  </si>
  <si>
    <t>48393-2441</t>
  </si>
  <si>
    <t>JACOBS AND THOMPSON, LTD</t>
  </si>
  <si>
    <t>AIRGAS   C</t>
  </si>
  <si>
    <t>91109-7423</t>
  </si>
  <si>
    <t>LAKESIDE</t>
  </si>
  <si>
    <t>LAKESIDE LOCKSMITH INC</t>
  </si>
  <si>
    <t>IAAPA</t>
  </si>
  <si>
    <t>EMHART</t>
  </si>
  <si>
    <t>48051-2521</t>
  </si>
  <si>
    <t>EMHART TEKNOLOGIES, LLC</t>
  </si>
  <si>
    <t>ENERSYS DE</t>
  </si>
  <si>
    <t>60677-1006</t>
  </si>
  <si>
    <t>ENERSYS DELAWARE INC.</t>
  </si>
  <si>
    <t>CITY OF LO</t>
  </si>
  <si>
    <t>80537</t>
  </si>
  <si>
    <t>LOVELAND</t>
  </si>
  <si>
    <t>CITY OF LOVELAND</t>
  </si>
  <si>
    <t>MOZ</t>
  </si>
  <si>
    <t>SEOMOZ INC.</t>
  </si>
  <si>
    <t>PHILLIPS</t>
  </si>
  <si>
    <t>HARRISON TWP</t>
  </si>
  <si>
    <t>PHILLIPS SIGN &amp; LIGHTING</t>
  </si>
  <si>
    <t>ALLINA</t>
  </si>
  <si>
    <t>55485-6296</t>
  </si>
  <si>
    <t>ALLINA HEALTH</t>
  </si>
  <si>
    <t>NOLAN</t>
  </si>
  <si>
    <t>31193-1184</t>
  </si>
  <si>
    <t>NOLAN TRANSPORTATION GROU</t>
  </si>
  <si>
    <t>48371</t>
  </si>
  <si>
    <t>OXFORD</t>
  </si>
  <si>
    <t>925 LAPEER LEGACY</t>
  </si>
  <si>
    <t>MACHINING</t>
  </si>
  <si>
    <t>MACHINING &amp; FABRICATING I</t>
  </si>
  <si>
    <t>REVAL</t>
  </si>
  <si>
    <t>10105</t>
  </si>
  <si>
    <t>REVAL.COM, INC.</t>
  </si>
  <si>
    <t>MACOMB COUNTY TREASURER</t>
  </si>
  <si>
    <t>EXOTIC AUT</t>
  </si>
  <si>
    <t>48165-8522</t>
  </si>
  <si>
    <t>NEW HUDSON</t>
  </si>
  <si>
    <t>EXOTIC RUBBER &amp; PLASTICS</t>
  </si>
  <si>
    <t>FROST</t>
  </si>
  <si>
    <t>78229</t>
  </si>
  <si>
    <t>FROST &amp; SULLIVAN</t>
  </si>
  <si>
    <t>WESTERN</t>
  </si>
  <si>
    <t>75373-4514</t>
  </si>
  <si>
    <t>WESTERN FIRST AID &amp; SAFET</t>
  </si>
  <si>
    <t>PRINCESS</t>
  </si>
  <si>
    <t>95136</t>
  </si>
  <si>
    <t>PRINCESS HOUSECLEANING</t>
  </si>
  <si>
    <t>SOFTWARE</t>
  </si>
  <si>
    <t>53186-4093</t>
  </si>
  <si>
    <t>STRATEGIC</t>
  </si>
  <si>
    <t>STRATEGIC ACCOUNT</t>
  </si>
  <si>
    <t>CHANG</t>
  </si>
  <si>
    <t>78730</t>
  </si>
  <si>
    <t>AUSTIN, TX  78730</t>
  </si>
  <si>
    <t>CHANG ANDY</t>
  </si>
  <si>
    <t>30269</t>
  </si>
  <si>
    <t>PEACHTREE CITY</t>
  </si>
  <si>
    <t>DELPHI</t>
  </si>
  <si>
    <t>48601</t>
  </si>
  <si>
    <t>DELPHI AUTOMOTIVE SYSTEMS</t>
  </si>
  <si>
    <t>ALTLOG</t>
  </si>
  <si>
    <t>48307</t>
  </si>
  <si>
    <t>ALTITUDE LOGISTICS INC.</t>
  </si>
  <si>
    <t>LINCOLN EL</t>
  </si>
  <si>
    <t>45845-8716</t>
  </si>
  <si>
    <t>FORT LORAMIE</t>
  </si>
  <si>
    <t>LINCOLN ELECTRIC AUTOMATI</t>
  </si>
  <si>
    <t>N.Y.C.</t>
  </si>
  <si>
    <t>02134</t>
  </si>
  <si>
    <t>ALLSTON</t>
  </si>
  <si>
    <t>N.Y.C. &amp; ASSOCIATES INC.</t>
  </si>
  <si>
    <t>PALET</t>
  </si>
  <si>
    <t>PALETTA INC</t>
  </si>
  <si>
    <t>PENN</t>
  </si>
  <si>
    <t>19104-6315</t>
  </si>
  <si>
    <t>PENN UNIVERSITY OF PENNSY</t>
  </si>
  <si>
    <t>OKLAHOMA</t>
  </si>
  <si>
    <t>73126-0850</t>
  </si>
  <si>
    <t>SHARING</t>
  </si>
  <si>
    <t>48165</t>
  </si>
  <si>
    <t>SHARING THE BREAD, INC.</t>
  </si>
  <si>
    <t>THS</t>
  </si>
  <si>
    <t>49286</t>
  </si>
  <si>
    <t>THS ROBOTICS</t>
  </si>
  <si>
    <t>FAIRB</t>
  </si>
  <si>
    <t>66202</t>
  </si>
  <si>
    <t>OVERLAND PARK</t>
  </si>
  <si>
    <t>FAIRBANKS SCALES, INC.</t>
  </si>
  <si>
    <t>FMA</t>
  </si>
  <si>
    <t>60123</t>
  </si>
  <si>
    <t>ELGIN</t>
  </si>
  <si>
    <t>FMA COMMUNICATIONS, INC.</t>
  </si>
  <si>
    <t>ALADDIN H&amp;</t>
  </si>
  <si>
    <t>ALADDIN HEATING &amp; COOLING</t>
  </si>
  <si>
    <t>OAK HILL</t>
  </si>
  <si>
    <t>48317</t>
  </si>
  <si>
    <t>OAK HILL APARTMENTS</t>
  </si>
  <si>
    <t>GKN DRIVEL</t>
  </si>
  <si>
    <t>28658-9072</t>
  </si>
  <si>
    <t>NEWTON</t>
  </si>
  <si>
    <t>GKN DRIVELINE NEWTON, LLC</t>
  </si>
  <si>
    <t>USCUST</t>
  </si>
  <si>
    <t>US CUSTOM SERVICE</t>
  </si>
  <si>
    <t>NATIONAL C</t>
  </si>
  <si>
    <t>60634</t>
  </si>
  <si>
    <t>NATIONAL CORRIDOR</t>
  </si>
  <si>
    <t>AMERICAN M</t>
  </si>
  <si>
    <t>30093</t>
  </si>
  <si>
    <t>NORCROSS</t>
  </si>
  <si>
    <t>AMERICAN MEGATRENDS INC.</t>
  </si>
  <si>
    <t>CLARK</t>
  </si>
  <si>
    <t>48226-3435</t>
  </si>
  <si>
    <t>CLARK HILL PLC</t>
  </si>
  <si>
    <t>KUKA NAO</t>
  </si>
  <si>
    <t>KINGAUTOMA</t>
  </si>
  <si>
    <t>29376-3626</t>
  </si>
  <si>
    <t>ROEBUCK</t>
  </si>
  <si>
    <t>KING AUTOMATION INC.</t>
  </si>
  <si>
    <t>THE RAPID</t>
  </si>
  <si>
    <t>49468</t>
  </si>
  <si>
    <t>THE RAPID GROUP,LLC</t>
  </si>
  <si>
    <t>PHOENIX IN</t>
  </si>
  <si>
    <t>07201</t>
  </si>
  <si>
    <t>PHOENIX INT'L BUSINESS LO</t>
  </si>
  <si>
    <t>BRUNSON</t>
  </si>
  <si>
    <t>64129</t>
  </si>
  <si>
    <t>BRUNSON INSTRUMENT COMPAN</t>
  </si>
  <si>
    <t>MIND</t>
  </si>
  <si>
    <t>83702</t>
  </si>
  <si>
    <t>BOISE</t>
  </si>
  <si>
    <t>MINDBREW LLC</t>
  </si>
  <si>
    <t>ALTA</t>
  </si>
  <si>
    <t>ALTA EQUIPMENT COMPANY</t>
  </si>
  <si>
    <t>STOFMIC</t>
  </si>
  <si>
    <t>48980-0001</t>
  </si>
  <si>
    <t>28036-7444</t>
  </si>
  <si>
    <t>MSC INDUSTRIAL DIRECT CO.</t>
  </si>
  <si>
    <t>XACTLY</t>
  </si>
  <si>
    <t>60055-6399</t>
  </si>
  <si>
    <t>XACTLY CORP</t>
  </si>
  <si>
    <t>48150</t>
  </si>
  <si>
    <t>LIVONIA</t>
  </si>
  <si>
    <t>DANA AUTOMOTIVE SYSTEMS G</t>
  </si>
  <si>
    <t>POPPELMANN</t>
  </si>
  <si>
    <t>30374-0934</t>
  </si>
  <si>
    <t>POPPELMANN PLASTICS USA L</t>
  </si>
  <si>
    <t>MAGSWITCH</t>
  </si>
  <si>
    <t>80026</t>
  </si>
  <si>
    <t>MAGSWITCH INDUSTRIAL SOLU</t>
  </si>
  <si>
    <t>SALESFORCE</t>
  </si>
  <si>
    <t>75320-3141</t>
  </si>
  <si>
    <t>SALESFORCE.COM INC.</t>
  </si>
  <si>
    <t>HAMTON</t>
  </si>
  <si>
    <t>SHELBY TWP</t>
  </si>
  <si>
    <t>HAMPTON INN SHELBY TWP</t>
  </si>
  <si>
    <t>OAKLAND UN</t>
  </si>
  <si>
    <t>48309-4401</t>
  </si>
  <si>
    <t>OAKLAND UNIVERSITY</t>
  </si>
  <si>
    <t>AMPHENOL</t>
  </si>
  <si>
    <t>48278-0139</t>
  </si>
  <si>
    <t>AMPHENOL SINE SYSTEMS</t>
  </si>
  <si>
    <t>DGS MARKET</t>
  </si>
  <si>
    <t>46256-3306</t>
  </si>
  <si>
    <t>DGS MARKETING ENGINEERS I</t>
  </si>
  <si>
    <t>FARO</t>
  </si>
  <si>
    <t>32746</t>
  </si>
  <si>
    <t>LAKE MARY</t>
  </si>
  <si>
    <t>FARO TECHNOLOGIES, INC.</t>
  </si>
  <si>
    <t>RESOURCES</t>
  </si>
  <si>
    <t>90074-0909</t>
  </si>
  <si>
    <t>RESOURCES GLOBAL PROFESSI</t>
  </si>
  <si>
    <t>FABRIC</t>
  </si>
  <si>
    <t>60122-4300</t>
  </si>
  <si>
    <t>FABRICATORS &amp; MANUF ASSOC</t>
  </si>
  <si>
    <t>98124-5184</t>
  </si>
  <si>
    <t>AMAZON CAPITAL SERVICES</t>
  </si>
  <si>
    <t>SOUTHWEST</t>
  </si>
  <si>
    <t>78238</t>
  </si>
  <si>
    <t>SOUTHWEST RESEARCH INSTIT</t>
  </si>
  <si>
    <t>ARIZONA</t>
  </si>
  <si>
    <t>85038-9010</t>
  </si>
  <si>
    <t>ARKAY-WALK</t>
  </si>
  <si>
    <t>48081</t>
  </si>
  <si>
    <t>SAINT CLAIR SHORES</t>
  </si>
  <si>
    <t>ARKAY-WALKER PAINT COMPAN</t>
  </si>
  <si>
    <t>SHELV</t>
  </si>
  <si>
    <t>SHELVING INC</t>
  </si>
  <si>
    <t>ORBITAL CO</t>
  </si>
  <si>
    <t>95008-6908</t>
  </si>
  <si>
    <t>ORBITAL COMPOSITES, INC.</t>
  </si>
  <si>
    <t>FIRST</t>
  </si>
  <si>
    <t>03101</t>
  </si>
  <si>
    <t>MANCHESTER</t>
  </si>
  <si>
    <t>IROS</t>
  </si>
  <si>
    <t>89170</t>
  </si>
  <si>
    <t>IROS 2020</t>
  </si>
  <si>
    <t>SANYO</t>
  </si>
  <si>
    <t>90745</t>
  </si>
  <si>
    <t>SANYO SOLAR USA L.L.C.</t>
  </si>
  <si>
    <t>STATE GROU</t>
  </si>
  <si>
    <t>THE STATE GROUP INDUSTRIA</t>
  </si>
  <si>
    <t>URGENT CAR</t>
  </si>
  <si>
    <t>30374-2606</t>
  </si>
  <si>
    <t>URGENT CARE ENTERPRISE LL</t>
  </si>
  <si>
    <t>REMAT L.L.C</t>
  </si>
  <si>
    <t>CREVALUTIO</t>
  </si>
  <si>
    <t>CREVALUTION ROBOTICS</t>
  </si>
  <si>
    <t>WOODS</t>
  </si>
  <si>
    <t>59044</t>
  </si>
  <si>
    <t>LAUREL</t>
  </si>
  <si>
    <t>WOOD'S POWR-GRIP CO. INC.</t>
  </si>
  <si>
    <t>VOLVO</t>
  </si>
  <si>
    <t>29486</t>
  </si>
  <si>
    <t>VOLVO CAR US OPERATIONS I</t>
  </si>
  <si>
    <t>INSIGHT</t>
  </si>
  <si>
    <t>75373-1069</t>
  </si>
  <si>
    <t>HID GLOBAL</t>
  </si>
  <si>
    <t>78753</t>
  </si>
  <si>
    <t>NTHDEG</t>
  </si>
  <si>
    <t>NTH DEGREE, INC</t>
  </si>
  <si>
    <t>OCCCAROL</t>
  </si>
  <si>
    <t>30354-0730</t>
  </si>
  <si>
    <t>HAPEVILLE</t>
  </si>
  <si>
    <t>DISTRICT</t>
  </si>
  <si>
    <t>DISTRICT WEST</t>
  </si>
  <si>
    <t>EMPIRE</t>
  </si>
  <si>
    <t>EMPIRE WIRE &amp; SUPPLY, L.L</t>
  </si>
  <si>
    <t>38563-2143</t>
  </si>
  <si>
    <t>GORDONSVILLE</t>
  </si>
  <si>
    <t>DANA INC</t>
  </si>
  <si>
    <t>EMERGENT</t>
  </si>
  <si>
    <t>98195</t>
  </si>
  <si>
    <t>EMERGENT MACHINES INC.</t>
  </si>
  <si>
    <t>29456-6701</t>
  </si>
  <si>
    <t>LADSON</t>
  </si>
  <si>
    <t>MERCEDES-BENZ VANS, LLC</t>
  </si>
  <si>
    <t>DYMETROL</t>
  </si>
  <si>
    <t>27560</t>
  </si>
  <si>
    <t>DYMETROL COMPANY INC.</t>
  </si>
  <si>
    <t>PRINTMA</t>
  </si>
  <si>
    <t>PRINTMASTERS</t>
  </si>
  <si>
    <t>APC</t>
  </si>
  <si>
    <t>TX, LEAGUE CITX</t>
  </si>
  <si>
    <t>AIR POLLUTION CONTROL SPE</t>
  </si>
  <si>
    <t>FESTOC</t>
  </si>
  <si>
    <t>FESTO CORPORATION</t>
  </si>
  <si>
    <t>CAPITAL TO</t>
  </si>
  <si>
    <t>CAPITAL TOOL AND SAFETY S</t>
  </si>
  <si>
    <t>EMBRACO</t>
  </si>
  <si>
    <t>19808</t>
  </si>
  <si>
    <t>WILMINGTON, DE</t>
  </si>
  <si>
    <t>EMBRACO NA MANUFACTURING</t>
  </si>
  <si>
    <t>35490-9310</t>
  </si>
  <si>
    <t>PHOENIX MA</t>
  </si>
  <si>
    <t>48315-3103</t>
  </si>
  <si>
    <t>PHOENIX MACHINERY MOVERS,</t>
  </si>
  <si>
    <t>THUNDERCHI</t>
  </si>
  <si>
    <t>THUNDERCHICKEN ROBOTICS C</t>
  </si>
  <si>
    <t>PROCESS CO</t>
  </si>
  <si>
    <t>85705-5276</t>
  </si>
  <si>
    <t>TUCSON</t>
  </si>
  <si>
    <t>PROCESS CONTROL &amp; ENGINEE</t>
  </si>
  <si>
    <t>WHIRLPOOL</t>
  </si>
  <si>
    <t>49022</t>
  </si>
  <si>
    <t>BENTON HARBOR</t>
  </si>
  <si>
    <t>WHIRLPOOL CORPORATION</t>
  </si>
  <si>
    <t>AIRPLUS</t>
  </si>
  <si>
    <t>19170-6064</t>
  </si>
  <si>
    <t>80501</t>
  </si>
  <si>
    <t>LONGMONG</t>
  </si>
  <si>
    <t>CITY OF LONGMONT</t>
  </si>
  <si>
    <t>LUBE POWER</t>
  </si>
  <si>
    <t>48315-3293</t>
  </si>
  <si>
    <t>LUBE POWER, INC.</t>
  </si>
  <si>
    <t>VOLVO CAR</t>
  </si>
  <si>
    <t>29472-7372</t>
  </si>
  <si>
    <t>RIDGEVILLE</t>
  </si>
  <si>
    <t>VOLVO CAR USA LLC</t>
  </si>
  <si>
    <t>62736-0001</t>
  </si>
  <si>
    <t>SME - FABT</t>
  </si>
  <si>
    <t>48075-1236</t>
  </si>
  <si>
    <t>SOCIETY OF MANUFACTURING</t>
  </si>
  <si>
    <t>BALLARD IN</t>
  </si>
  <si>
    <t>48341-3143</t>
  </si>
  <si>
    <t>J.M. BALLARD INTERNATIONA</t>
  </si>
  <si>
    <t>SCANLINE V</t>
  </si>
  <si>
    <t>90028</t>
  </si>
  <si>
    <t>SCANLINE VFX INC.</t>
  </si>
  <si>
    <t>FAKHOURY</t>
  </si>
  <si>
    <t>48098</t>
  </si>
  <si>
    <t>FAKHOURY GLOBAL IMMIGRATI</t>
  </si>
  <si>
    <t>INMOTIONIN</t>
  </si>
  <si>
    <t>IN MOTION INC</t>
  </si>
  <si>
    <t>CAN-AM</t>
  </si>
  <si>
    <t>CAN-AM AUTOMATION INC.</t>
  </si>
  <si>
    <t>ALEXANDER</t>
  </si>
  <si>
    <t>ALEXANDER MORGAN &amp; CO</t>
  </si>
  <si>
    <t>GIMPEL SOF</t>
  </si>
  <si>
    <t>19426</t>
  </si>
  <si>
    <t>GIMPEL SOFTWARE LLC</t>
  </si>
  <si>
    <t>AME</t>
  </si>
  <si>
    <t>29715</t>
  </si>
  <si>
    <t>AME INC.</t>
  </si>
  <si>
    <t>PYRAMID SO</t>
  </si>
  <si>
    <t>48025</t>
  </si>
  <si>
    <t>BINGHAM FARMS</t>
  </si>
  <si>
    <t>PYRAMID SOLUTIONS, INC.</t>
  </si>
  <si>
    <t>PETER MICH</t>
  </si>
  <si>
    <t>48059-3913</t>
  </si>
  <si>
    <t>FORT GRATIOT</t>
  </si>
  <si>
    <t>PETER MICHAEL PHOTOGRAPHY</t>
  </si>
  <si>
    <t>07054-1131</t>
  </si>
  <si>
    <t>BUDGET RENT A CAR SYSTEM</t>
  </si>
  <si>
    <t>PERFORMANCE ELECTRONICS,</t>
  </si>
  <si>
    <t>SCN</t>
  </si>
  <si>
    <t>SC NOVI INC.</t>
  </si>
  <si>
    <t>C.H. ROBIN</t>
  </si>
  <si>
    <t>48076-4206</t>
  </si>
  <si>
    <t>C. H. ROBINSON INTERNATIO</t>
  </si>
  <si>
    <t>65105-3020</t>
  </si>
  <si>
    <t>MISSOURI DEPTARTMENT OF R</t>
  </si>
  <si>
    <t>AMERICA'S</t>
  </si>
  <si>
    <t>35244</t>
  </si>
  <si>
    <t>AMERICA'S RENTAL MANAGERS</t>
  </si>
  <si>
    <t>SUCCESS DE</t>
  </si>
  <si>
    <t>11417</t>
  </si>
  <si>
    <t>OZONE PARK</t>
  </si>
  <si>
    <t>SUCCESS DELIVERY INC.</t>
  </si>
  <si>
    <t>48092-3931</t>
  </si>
  <si>
    <t>INDUSTRIAL CONTROL REPAIR</t>
  </si>
  <si>
    <t>NVIDIA COR</t>
  </si>
  <si>
    <t>95051-0952</t>
  </si>
  <si>
    <t>NVIDIA CORPORATION</t>
  </si>
  <si>
    <t>ZION ROBOT</t>
  </si>
  <si>
    <t>48444-1346</t>
  </si>
  <si>
    <t>IMLAY CITY</t>
  </si>
  <si>
    <t>ZION ROBOTICS &amp; CONTROLS</t>
  </si>
  <si>
    <t>LAKE SUPER</t>
  </si>
  <si>
    <t>SAULT SAINTE MARIE</t>
  </si>
  <si>
    <t>LAKE SUPERIOR STATE UNIVE</t>
  </si>
  <si>
    <t>GLOBAL PARTNERS LLC</t>
  </si>
  <si>
    <t>CARNEGIE-M</t>
  </si>
  <si>
    <t>15213-3890</t>
  </si>
  <si>
    <t>CARNEGIE-MELLON UNIVERSIT</t>
  </si>
  <si>
    <t>FESTO</t>
  </si>
  <si>
    <t>DUKE UNIVE</t>
  </si>
  <si>
    <t>27708</t>
  </si>
  <si>
    <t>DURHAM</t>
  </si>
  <si>
    <t>DUKE UNIVERSITY</t>
  </si>
  <si>
    <t>OXIPITAL A</t>
  </si>
  <si>
    <t>01730-1448</t>
  </si>
  <si>
    <t>OXIPITAL AI INC.</t>
  </si>
  <si>
    <t>RGIS</t>
  </si>
  <si>
    <t>48326-1771</t>
  </si>
  <si>
    <t>RGIS LLC</t>
  </si>
  <si>
    <t>SCRUM ALLI</t>
  </si>
  <si>
    <t>80021-6064</t>
  </si>
  <si>
    <t>SCRUM ALLIANCE, INC.</t>
  </si>
  <si>
    <t>48009</t>
  </si>
  <si>
    <t>BROOKS WILKINS SHARKEY &amp;</t>
  </si>
  <si>
    <t>AVISR</t>
  </si>
  <si>
    <t>23462-4415</t>
  </si>
  <si>
    <t>AVIS RENT A CAR</t>
  </si>
  <si>
    <t>OBARA CORP</t>
  </si>
  <si>
    <t>41018-3114</t>
  </si>
  <si>
    <t>OBARA CORPORATION USA</t>
  </si>
  <si>
    <t>NEVADA DEP</t>
  </si>
  <si>
    <t>89713-0030</t>
  </si>
  <si>
    <t>CARSON CITY</t>
  </si>
  <si>
    <t>NEVADA DEPT. OF TAXATION</t>
  </si>
  <si>
    <t>RICHIE COM</t>
  </si>
  <si>
    <t>95113-1806</t>
  </si>
  <si>
    <t>RITCHIE COMMERCIAL REAL E</t>
  </si>
  <si>
    <t>TWTF</t>
  </si>
  <si>
    <t>10013</t>
  </si>
  <si>
    <t>TIME WILL TELL FILMS</t>
  </si>
  <si>
    <t>SCHOENTHAL</t>
  </si>
  <si>
    <t>SCHOENTHALER LAW GROUP</t>
  </si>
  <si>
    <t>BLUE TRADI</t>
  </si>
  <si>
    <t>33178</t>
  </si>
  <si>
    <t>MEDLEY</t>
  </si>
  <si>
    <t>BLUE TRADING LLC</t>
  </si>
  <si>
    <t>ROZ HUSSIN</t>
  </si>
  <si>
    <t>68510</t>
  </si>
  <si>
    <t>KEYSIGHT</t>
  </si>
  <si>
    <t>95403-1738</t>
  </si>
  <si>
    <t>KEYSIGHT TECHNOLOGIES, IN</t>
  </si>
  <si>
    <t>MPEG</t>
  </si>
  <si>
    <t>80111-2938</t>
  </si>
  <si>
    <t>MPEG LA, LLC</t>
  </si>
  <si>
    <t>EUCHNER-US</t>
  </si>
  <si>
    <t>13057</t>
  </si>
  <si>
    <t>EAST SYRACUSE</t>
  </si>
  <si>
    <t>EUCHNER USA, INC</t>
  </si>
  <si>
    <t>VOLVO CAR US OPERATIONS,</t>
  </si>
  <si>
    <t>IMG-NA</t>
  </si>
  <si>
    <t>IMG-NA LLC</t>
  </si>
  <si>
    <t>BITSIGHT</t>
  </si>
  <si>
    <t>02199-1700</t>
  </si>
  <si>
    <t>BITSIGHT TECHNOLOGIES, IN</t>
  </si>
  <si>
    <t>ROHODE IS</t>
  </si>
  <si>
    <t>02908-5829</t>
  </si>
  <si>
    <t>MOZ INC.</t>
  </si>
  <si>
    <t>J.M. BALLA</t>
  </si>
  <si>
    <t>METROLOGYW</t>
  </si>
  <si>
    <t>64014-5909</t>
  </si>
  <si>
    <t>BLUE SPRINGS</t>
  </si>
  <si>
    <t>METROLOGYWORKS, INC.</t>
  </si>
  <si>
    <t>ROBOWORLD</t>
  </si>
  <si>
    <t>45040-9248</t>
  </si>
  <si>
    <t>ROBOWORLD, LLC</t>
  </si>
  <si>
    <t>SAMES KREM</t>
  </si>
  <si>
    <t>48170-2587</t>
  </si>
  <si>
    <t>SAMES KREMLIN INC.</t>
  </si>
  <si>
    <t>ESPRESSO M</t>
  </si>
  <si>
    <t>48317-2563</t>
  </si>
  <si>
    <t>ESPRESSO MACHINE EXPERT,</t>
  </si>
  <si>
    <t>MURRPLASTI</t>
  </si>
  <si>
    <t>45150-9571</t>
  </si>
  <si>
    <t>MURRPLASTIK SYSTEMS, INC.</t>
  </si>
  <si>
    <t>CLOUDFLARE</t>
  </si>
  <si>
    <t>CLOUDFLARE INC.</t>
  </si>
  <si>
    <t>DIAKONT TE</t>
  </si>
  <si>
    <t>92010-4702</t>
  </si>
  <si>
    <t>CARLSBAD</t>
  </si>
  <si>
    <t>DIAKONT ADVANCED TECHNOLO</t>
  </si>
  <si>
    <t>LOCI ROBOT</t>
  </si>
  <si>
    <t>37902</t>
  </si>
  <si>
    <t>KNOXVILLE</t>
  </si>
  <si>
    <t>LOCI ROBOTICS INC.</t>
  </si>
  <si>
    <t>UCLA</t>
  </si>
  <si>
    <t>90024-3439</t>
  </si>
  <si>
    <t>UCLA EXTENSION</t>
  </si>
  <si>
    <t>HARDING PO</t>
  </si>
  <si>
    <t>46268</t>
  </si>
  <si>
    <t>HARDINGPOORMAN, INC.</t>
  </si>
  <si>
    <t>SFI CONSUL</t>
  </si>
  <si>
    <t>33141</t>
  </si>
  <si>
    <t>NORTH BAY VILLAGE</t>
  </si>
  <si>
    <t>SFI CONSULTING SERVICES,</t>
  </si>
  <si>
    <t>03833</t>
  </si>
  <si>
    <t>EXETER</t>
  </si>
  <si>
    <t>65105-0357</t>
  </si>
  <si>
    <t>80041-3001</t>
  </si>
  <si>
    <t>CITY OF AURORA</t>
  </si>
  <si>
    <t>CITY OF FO</t>
  </si>
  <si>
    <t>80521-2719</t>
  </si>
  <si>
    <t>FORT COLLINS</t>
  </si>
  <si>
    <t>CITY OF FORT COLLINS</t>
  </si>
  <si>
    <t>MPE</t>
  </si>
  <si>
    <t>53224-1124</t>
  </si>
  <si>
    <t>MIDWEST PRODUCTS AND ENGI</t>
  </si>
  <si>
    <t>DLA PIPER</t>
  </si>
  <si>
    <t>60606-0089</t>
  </si>
  <si>
    <t>DLA PIPER LLP</t>
  </si>
  <si>
    <t>LOGO ESSEN</t>
  </si>
  <si>
    <t>JOHN'S CREEK</t>
  </si>
  <si>
    <t>LOGO ESSENTIALS, LLC</t>
  </si>
  <si>
    <t>MVG PUBLIS</t>
  </si>
  <si>
    <t>48041</t>
  </si>
  <si>
    <t>RILEY</t>
  </si>
  <si>
    <t>MVG PUBLISHING LLC DBA EV</t>
  </si>
  <si>
    <t>MICCO</t>
  </si>
  <si>
    <t>ROSS OPTIC</t>
  </si>
  <si>
    <t>79935-4809</t>
  </si>
  <si>
    <t>ROSS OPTICAL INDUSTRIES,</t>
  </si>
  <si>
    <t>AMT/IMTS</t>
  </si>
  <si>
    <t>OMNETICS</t>
  </si>
  <si>
    <t>55432-3103</t>
  </si>
  <si>
    <t>OMNETICS CONNECTOR CORPOR</t>
  </si>
  <si>
    <t>90024</t>
  </si>
  <si>
    <t>KONICA</t>
  </si>
  <si>
    <t>19176-0241</t>
  </si>
  <si>
    <t>KONICA MINOLTA PREMIER FI</t>
  </si>
  <si>
    <t>SAF-T-BLOC</t>
  </si>
  <si>
    <t>32168</t>
  </si>
  <si>
    <t>NEW SMYRNA BEACH</t>
  </si>
  <si>
    <t>SAF-T-BLOCK</t>
  </si>
  <si>
    <t>TOWN OF WI</t>
  </si>
  <si>
    <t>80550-5141</t>
  </si>
  <si>
    <t>TOWN OF WINDSOR</t>
  </si>
  <si>
    <t>METROCON D</t>
  </si>
  <si>
    <t>90504-1920</t>
  </si>
  <si>
    <t>TORRANCE</t>
  </si>
  <si>
    <t>METROCON DEVELOPMENT</t>
  </si>
  <si>
    <t>MICHIGAN I</t>
  </si>
  <si>
    <t>MICHIGAN INCOME FUND 1, L</t>
  </si>
  <si>
    <t>PRECITEC</t>
  </si>
  <si>
    <t>48393-3344</t>
  </si>
  <si>
    <t>PRECITEC, INC.</t>
  </si>
  <si>
    <t>HURWITZ LA</t>
  </si>
  <si>
    <t>48103</t>
  </si>
  <si>
    <t>HURWITZ LAW PLLC</t>
  </si>
  <si>
    <t>ACS</t>
  </si>
  <si>
    <t>20036</t>
  </si>
  <si>
    <t>AMERICAN CHEMICAL SOCIETY</t>
  </si>
  <si>
    <t>INPRO ELEC</t>
  </si>
  <si>
    <t>29651</t>
  </si>
  <si>
    <t>INPRO ELECTRIC USA LTD.</t>
  </si>
  <si>
    <t>MENCOM</t>
  </si>
  <si>
    <t>30566-3506</t>
  </si>
  <si>
    <t>OAKWOOD</t>
  </si>
  <si>
    <t>MENCOM CORPORATION</t>
  </si>
  <si>
    <t>3D EXPERIE</t>
  </si>
  <si>
    <t>60193-4523</t>
  </si>
  <si>
    <t>3D EXPERIENTIAL LLC</t>
  </si>
  <si>
    <t>OCTOPUZ</t>
  </si>
  <si>
    <t>76207</t>
  </si>
  <si>
    <t>DENTON</t>
  </si>
  <si>
    <t>THE ESAB GROUP, INC.</t>
  </si>
  <si>
    <t>EDU EFFECT</t>
  </si>
  <si>
    <t>96813</t>
  </si>
  <si>
    <t>HONOLULU</t>
  </si>
  <si>
    <t>EDU EFFECTIVE BUSINESS SC</t>
  </si>
  <si>
    <t>37406</t>
  </si>
  <si>
    <t>RELATED</t>
  </si>
  <si>
    <t>92614</t>
  </si>
  <si>
    <t>RELATED &amp; CO, LLC.</t>
  </si>
  <si>
    <t>SKYLINE IN</t>
  </si>
  <si>
    <t>91746-2858</t>
  </si>
  <si>
    <t>LA PUENTE</t>
  </si>
  <si>
    <t>SKYLINE INDUSTRIAL GROUP,</t>
  </si>
  <si>
    <t>AUTOMATED SOLUTIONS, INC.</t>
  </si>
  <si>
    <t>CITY OF WE</t>
  </si>
  <si>
    <t>80031</t>
  </si>
  <si>
    <t>WESTMINSTER</t>
  </si>
  <si>
    <t>CITY OF WESTMINSTER</t>
  </si>
  <si>
    <t>HYDRAULIC</t>
  </si>
  <si>
    <t>49058</t>
  </si>
  <si>
    <t>HASTINGS</t>
  </si>
  <si>
    <t>HYDRAULIC RESOURCE LLC</t>
  </si>
  <si>
    <t>APL*</t>
  </si>
  <si>
    <t>30504-5356</t>
  </si>
  <si>
    <t>GAINESVILLE</t>
  </si>
  <si>
    <t>APPLIED NETWORK DEFENSE,</t>
  </si>
  <si>
    <t>CONVERGE</t>
  </si>
  <si>
    <t>01960</t>
  </si>
  <si>
    <t>PEABODY</t>
  </si>
  <si>
    <t>PCG TRADING, LLC</t>
  </si>
  <si>
    <t>MANUFACTUR</t>
  </si>
  <si>
    <t>49315</t>
  </si>
  <si>
    <t>BYRON CENTER</t>
  </si>
  <si>
    <t>MANUFACTURING MILLENNIAL,</t>
  </si>
  <si>
    <t>LASERVISIO</t>
  </si>
  <si>
    <t>55130</t>
  </si>
  <si>
    <t>SAINT PAUL</t>
  </si>
  <si>
    <t>LASERVISION USA, LP</t>
  </si>
  <si>
    <t>KVF TROY</t>
  </si>
  <si>
    <t>48083-2737</t>
  </si>
  <si>
    <t>KVF TROY CORPORATION</t>
  </si>
  <si>
    <t>BOHN'S SAL</t>
  </si>
  <si>
    <t>32163</t>
  </si>
  <si>
    <t>THE VILLAGES</t>
  </si>
  <si>
    <t>BOHN'S SALES &amp; CONSULTING</t>
  </si>
  <si>
    <t>RICHARD WI</t>
  </si>
  <si>
    <t>48328</t>
  </si>
  <si>
    <t>RICHARD WILTSIE</t>
  </si>
  <si>
    <t>CASS CATER</t>
  </si>
  <si>
    <t>48363</t>
  </si>
  <si>
    <t>OAKLAND</t>
  </si>
  <si>
    <t>CASS CATERING LLC</t>
  </si>
  <si>
    <t>EYELINE ST</t>
  </si>
  <si>
    <t>EYELINE STUDIOS INC</t>
  </si>
  <si>
    <t>NORDSON</t>
  </si>
  <si>
    <t>44145-1119</t>
  </si>
  <si>
    <t>NORDSON CORPORATION</t>
  </si>
  <si>
    <t>B&amp;B GLASS</t>
  </si>
  <si>
    <t>48309-3116</t>
  </si>
  <si>
    <t>BUTCHER &amp; BUTCHER CONSTRU</t>
  </si>
  <si>
    <t>TRANSPERFECT HOLDINGS, LL</t>
  </si>
  <si>
    <t>PENNSYLVAN</t>
  </si>
  <si>
    <t>19107-2299</t>
  </si>
  <si>
    <t>PENNSYLVANIA CONVENTION C</t>
  </si>
  <si>
    <t>ROBERT HALF INTERNATIONAL</t>
  </si>
  <si>
    <t>ROMEO PART</t>
  </si>
  <si>
    <t>48065</t>
  </si>
  <si>
    <t>ROMEO</t>
  </si>
  <si>
    <t>ROMEO PARTY RENTAL, LLC</t>
  </si>
  <si>
    <t>VISTA SOLU</t>
  </si>
  <si>
    <t>48202-3471</t>
  </si>
  <si>
    <t>VISTA SOLUTIONS (USA) INC</t>
  </si>
  <si>
    <t>CONTORO</t>
  </si>
  <si>
    <t>78758-4493</t>
  </si>
  <si>
    <t>CONTORO INC.</t>
  </si>
  <si>
    <t>NOR-COTE</t>
  </si>
  <si>
    <t>48089</t>
  </si>
  <si>
    <t>NOR-COTE INC.</t>
  </si>
  <si>
    <t>ANYCHART</t>
  </si>
  <si>
    <t>32080</t>
  </si>
  <si>
    <t>SAINT AUGUSTINE</t>
  </si>
  <si>
    <t>ANYCHART, LLC</t>
  </si>
  <si>
    <t>CCC</t>
  </si>
  <si>
    <t>01923-4599</t>
  </si>
  <si>
    <t>DANVERS</t>
  </si>
  <si>
    <t>COPYRIGHT CLEARANCE CENTE</t>
  </si>
  <si>
    <t>PRESENTATI</t>
  </si>
  <si>
    <t>07863</t>
  </si>
  <si>
    <t>PRESENTATION TECHNOLOGIES</t>
  </si>
  <si>
    <t>LEE CONTRA</t>
  </si>
  <si>
    <t>LEE CONTRACTING, INC.</t>
  </si>
  <si>
    <t>EA PRINCIP</t>
  </si>
  <si>
    <t>22312</t>
  </si>
  <si>
    <t>EA PRINCIPALS, INC.</t>
  </si>
  <si>
    <t>CONFERENCE</t>
  </si>
  <si>
    <t>63043</t>
  </si>
  <si>
    <t>MARYLAND</t>
  </si>
  <si>
    <t>CONFERENCE TECHNOLOGIES,</t>
  </si>
  <si>
    <t>PURE RECRU</t>
  </si>
  <si>
    <t>48154</t>
  </si>
  <si>
    <t>PURE RECRUITING AGENCY, L</t>
  </si>
  <si>
    <t>CITY OF GO</t>
  </si>
  <si>
    <t>80401</t>
  </si>
  <si>
    <t>GOLDEN</t>
  </si>
  <si>
    <t>CITY OF GOLDEN</t>
  </si>
  <si>
    <t>SILENCE LI</t>
  </si>
  <si>
    <t>48064</t>
  </si>
  <si>
    <t>CASCO</t>
  </si>
  <si>
    <t>SILENCE LINES LLC</t>
  </si>
  <si>
    <t>NTT GLOBAL</t>
  </si>
  <si>
    <t>NTT GLOBAL NETWORKS INCOR</t>
  </si>
  <si>
    <t>NAPLES TRA</t>
  </si>
  <si>
    <t>34102</t>
  </si>
  <si>
    <t>HOFFMANN NT&amp;T, LLC</t>
  </si>
  <si>
    <t>APEXTOOL</t>
  </si>
  <si>
    <t>21152-9389</t>
  </si>
  <si>
    <t>SPARKS GLENCOE</t>
  </si>
  <si>
    <t>APEX TOOL GROUP, LLC</t>
  </si>
  <si>
    <t>77479</t>
  </si>
  <si>
    <t>SUGAR LAND</t>
  </si>
  <si>
    <t>INDUSTRIAL INFO RESOURCES</t>
  </si>
  <si>
    <t>AXIS AUTOM</t>
  </si>
  <si>
    <t>49544-9009</t>
  </si>
  <si>
    <t>AXIS COMPANY, LLC - AXIS</t>
  </si>
  <si>
    <t>SUNBELT RE</t>
  </si>
  <si>
    <t>SUNBELT RENTALS, INC</t>
  </si>
  <si>
    <t>EMERSON EL</t>
  </si>
  <si>
    <t>63136-1415</t>
  </si>
  <si>
    <t>EMERSON ELECTRIC CO.</t>
  </si>
  <si>
    <t>TECHMATTE</t>
  </si>
  <si>
    <t>16066-6435</t>
  </si>
  <si>
    <t>CRANBERRY TOWNSHIP</t>
  </si>
  <si>
    <t>TECHMATTE INC</t>
  </si>
  <si>
    <t>UNITY</t>
  </si>
  <si>
    <t>94103-3104</t>
  </si>
  <si>
    <t>UNITY TECHNOLOGIES SF</t>
  </si>
  <si>
    <t>MEETING RO</t>
  </si>
  <si>
    <t>91789</t>
  </si>
  <si>
    <t>WALNUT</t>
  </si>
  <si>
    <t>MEETING ROOM 365</t>
  </si>
  <si>
    <t>POWDER MAS</t>
  </si>
  <si>
    <t>POWDER MASTERS LLC</t>
  </si>
  <si>
    <t>ULTRAEDIT</t>
  </si>
  <si>
    <t>ULTRAEDIT, INC.</t>
  </si>
  <si>
    <t>OFFSEC</t>
  </si>
  <si>
    <t>10169</t>
  </si>
  <si>
    <t>OFFSEC SERVICE LIMITED</t>
  </si>
  <si>
    <t>CHRISTOPH</t>
  </si>
  <si>
    <t>94306</t>
  </si>
  <si>
    <t>CHRISTOPH SCHELL</t>
  </si>
  <si>
    <t>NEO BRUTAL</t>
  </si>
  <si>
    <t>NEO BRUTAL, LLC</t>
  </si>
  <si>
    <t>SRS</t>
  </si>
  <si>
    <t>60118</t>
  </si>
  <si>
    <t>EAST DUNDEE</t>
  </si>
  <si>
    <t>SOCIETY OF ROBOTIC SURGER</t>
  </si>
  <si>
    <t>PULSARLUBE</t>
  </si>
  <si>
    <t>60007</t>
  </si>
  <si>
    <t>PULSARLUBE USA INC.</t>
  </si>
  <si>
    <t>AIUT</t>
  </si>
  <si>
    <t>AIUT, INC.</t>
  </si>
  <si>
    <t>PREMIERE A</t>
  </si>
  <si>
    <t>29464</t>
  </si>
  <si>
    <t>PREMIERE AUTOMATION LLC</t>
  </si>
  <si>
    <t>RUDOLPH LI</t>
  </si>
  <si>
    <t>48170-2470</t>
  </si>
  <si>
    <t>RUDOLPH LIBBE, INC.</t>
  </si>
  <si>
    <t>SS&amp;C INTRA</t>
  </si>
  <si>
    <t>INTRALINKS, INC.</t>
  </si>
  <si>
    <t>NVENT</t>
  </si>
  <si>
    <t>55416</t>
  </si>
  <si>
    <t>ST LOUIS PARK</t>
  </si>
  <si>
    <t>NVENT ELECTRIC PLC</t>
  </si>
  <si>
    <t>CAVU DESIG</t>
  </si>
  <si>
    <t>15090</t>
  </si>
  <si>
    <t>WEXFORD</t>
  </si>
  <si>
    <t>CAVU DESIGNWERKS, INC.</t>
  </si>
  <si>
    <t>SMART BUSI</t>
  </si>
  <si>
    <t>SMART BUSINESS SOURCE LLC</t>
  </si>
  <si>
    <t>ACPIT</t>
  </si>
  <si>
    <t>19711</t>
  </si>
  <si>
    <t>ACPIT CONSULTING INC.</t>
  </si>
  <si>
    <t>CONTROL PO</t>
  </si>
  <si>
    <t>CONTROL POWER COMPANY</t>
  </si>
  <si>
    <t>CHANG WEI</t>
  </si>
  <si>
    <t>12309</t>
  </si>
  <si>
    <t>NISKAYUNA</t>
  </si>
  <si>
    <t>DR. CHANG WEI</t>
  </si>
  <si>
    <t>BEC</t>
  </si>
  <si>
    <t>30363</t>
  </si>
  <si>
    <t>BEC CORP.</t>
  </si>
  <si>
    <t>JW MARCO I</t>
  </si>
  <si>
    <t>34145</t>
  </si>
  <si>
    <t>MARCO ISLAND</t>
  </si>
  <si>
    <t>MARRIOTT HOTEL SERVICES,</t>
  </si>
  <si>
    <t>OMNISHARP</t>
  </si>
  <si>
    <t>78664-9553</t>
  </si>
  <si>
    <t>OMNISHARP LLC</t>
  </si>
  <si>
    <t>THE HENDER</t>
  </si>
  <si>
    <t>32541</t>
  </si>
  <si>
    <t>DESTIN</t>
  </si>
  <si>
    <t>DRH HBR TENANT, LLC</t>
  </si>
  <si>
    <t>AGE</t>
  </si>
  <si>
    <t>29302</t>
  </si>
  <si>
    <t>AGE K MEDIA LLC</t>
  </si>
  <si>
    <t>DUROBYTE I</t>
  </si>
  <si>
    <t>48817</t>
  </si>
  <si>
    <t>CORUNNA</t>
  </si>
  <si>
    <t>DUROBYTE, INC.</t>
  </si>
  <si>
    <t>AAP AUTOMA</t>
  </si>
  <si>
    <t>80110-1345</t>
  </si>
  <si>
    <t>ENGLEWOOD</t>
  </si>
  <si>
    <t>AAP AUTOMATION, LLC</t>
  </si>
  <si>
    <t>DLUXSUITES</t>
  </si>
  <si>
    <t>48381-1236</t>
  </si>
  <si>
    <t>DLUX SUITS, INC</t>
  </si>
  <si>
    <t>LASERLINE</t>
  </si>
  <si>
    <t>48150-5031</t>
  </si>
  <si>
    <t>LASERLINE INC</t>
  </si>
  <si>
    <t>ISC</t>
  </si>
  <si>
    <t>ISC INDUSTRIAL SAFETY COA</t>
  </si>
  <si>
    <t>METAOPTIO</t>
  </si>
  <si>
    <t>07306</t>
  </si>
  <si>
    <t>METAOPTION LLC</t>
  </si>
  <si>
    <t>MSA-SAFETY</t>
  </si>
  <si>
    <t>16066</t>
  </si>
  <si>
    <t>MSA INTERNATIONAL, LLC</t>
  </si>
  <si>
    <t>IEEE INTERNATIONAL LLC</t>
  </si>
  <si>
    <t>PALMER</t>
  </si>
  <si>
    <t>CITY OF AUSTIN</t>
  </si>
  <si>
    <t>HOW TO ROB</t>
  </si>
  <si>
    <t>60654-4916</t>
  </si>
  <si>
    <t>HOWTOROBOT INC.</t>
  </si>
  <si>
    <t>PREFERRED</t>
  </si>
  <si>
    <t>PREFERRED MOVING &amp; STORAG</t>
  </si>
  <si>
    <t>INOVATECH</t>
  </si>
  <si>
    <t>48042-4063</t>
  </si>
  <si>
    <t>INOVATECH AUTOMATION, INC</t>
  </si>
  <si>
    <t>LINGO TELE</t>
  </si>
  <si>
    <t>48033</t>
  </si>
  <si>
    <t>LINGO TELECOM LLC</t>
  </si>
  <si>
    <t>QUANTUM LI</t>
  </si>
  <si>
    <t>QUANTUM LIFT INC.</t>
  </si>
  <si>
    <t>AFC</t>
  </si>
  <si>
    <t>29605</t>
  </si>
  <si>
    <t>GREENWOOD</t>
  </si>
  <si>
    <t>AFC URGENT CARE BON SECOU</t>
  </si>
  <si>
    <t>EASTSIDE</t>
  </si>
  <si>
    <t>48314-1327</t>
  </si>
  <si>
    <t>EASTSIDE RESTAURANT  CO.</t>
  </si>
  <si>
    <t>J &amp; D TECH</t>
  </si>
  <si>
    <t>11767</t>
  </si>
  <si>
    <t>J &amp; D TECH INC</t>
  </si>
  <si>
    <t>REALTIMEBO</t>
  </si>
  <si>
    <t>REALTIMEBOARD INC., DBA M</t>
  </si>
  <si>
    <t>FAKHOURY P</t>
  </si>
  <si>
    <t>48098-2644</t>
  </si>
  <si>
    <t>OLGKIT</t>
  </si>
  <si>
    <t>48152-3985</t>
  </si>
  <si>
    <t>SOK VENTURE LLC - OLGA'S</t>
  </si>
  <si>
    <t>SEMI</t>
  </si>
  <si>
    <t>95035-5473</t>
  </si>
  <si>
    <t>GREAT</t>
  </si>
  <si>
    <t>48045-3146</t>
  </si>
  <si>
    <t>GREAT LAKES SCALE LLC</t>
  </si>
  <si>
    <t>RIVERS</t>
  </si>
  <si>
    <t>48317-1333</t>
  </si>
  <si>
    <t>RIVERS OF LIVING WATERS L</t>
  </si>
  <si>
    <t>JONES PHOTOGRAPHY LLC</t>
  </si>
  <si>
    <t>PANEL BUIL</t>
  </si>
  <si>
    <t>30512-3525</t>
  </si>
  <si>
    <t>BLAIRSVILLE</t>
  </si>
  <si>
    <t>PANEL BUILT, INC.</t>
  </si>
  <si>
    <t>NIELSEN</t>
  </si>
  <si>
    <t>19901</t>
  </si>
  <si>
    <t>NIELSEN NORMAN GROUP</t>
  </si>
  <si>
    <t>ROEHM PROD</t>
  </si>
  <si>
    <t>30024</t>
  </si>
  <si>
    <t>ROHM PRODUCTS OF AMERICA</t>
  </si>
  <si>
    <t>BIZLINKINC</t>
  </si>
  <si>
    <t>BIZLINK TECHNOLOGY, INC.</t>
  </si>
  <si>
    <t>LEADEC</t>
  </si>
  <si>
    <t>35243</t>
  </si>
  <si>
    <t>LEADEC CORP.</t>
  </si>
  <si>
    <t>XEROX</t>
  </si>
  <si>
    <t>06851-1056</t>
  </si>
  <si>
    <t>NORWALK</t>
  </si>
  <si>
    <t>XEROX FINANCIAL SERVICES</t>
  </si>
  <si>
    <t>NB VENTURE</t>
  </si>
  <si>
    <t>07066-1253</t>
  </si>
  <si>
    <t>NB VENTURES, INC.</t>
  </si>
  <si>
    <t>NUMFOCUS</t>
  </si>
  <si>
    <t>78709</t>
  </si>
  <si>
    <t>NUMFOCUS, INC</t>
  </si>
  <si>
    <t>MADDOX</t>
  </si>
  <si>
    <t>29651-6719</t>
  </si>
  <si>
    <t>MADDOX INDUSTRIAL TRANSFO</t>
  </si>
  <si>
    <t>FINAL TOUC</t>
  </si>
  <si>
    <t>FINAL TOUCH CONTRACTING I</t>
  </si>
  <si>
    <t>48185-1922</t>
  </si>
  <si>
    <t>M.N.B DINING INC.</t>
  </si>
  <si>
    <t>COMPETITIV</t>
  </si>
  <si>
    <t>49127</t>
  </si>
  <si>
    <t>STEVENSVILLE</t>
  </si>
  <si>
    <t>CE COMPETITIVE EDGE, LLC</t>
  </si>
  <si>
    <t>EXACTERA</t>
  </si>
  <si>
    <t>10591</t>
  </si>
  <si>
    <t>TARRYTOWN</t>
  </si>
  <si>
    <t>EXACTERA LLC</t>
  </si>
  <si>
    <t>CAPTIVATE</t>
  </si>
  <si>
    <t>53089-9907</t>
  </si>
  <si>
    <t>SUSSEX</t>
  </si>
  <si>
    <t>CAPTIVATE EXHIBITS, INC.</t>
  </si>
  <si>
    <t>TOMCO</t>
  </si>
  <si>
    <t>MANSON MANUFACTURING, LLC</t>
  </si>
  <si>
    <t>MIRO CONSU</t>
  </si>
  <si>
    <t>07095</t>
  </si>
  <si>
    <t>WOODBRIDGE</t>
  </si>
  <si>
    <t>MIRO CONSULTING INC.</t>
  </si>
  <si>
    <t>DIBELLA'S</t>
  </si>
  <si>
    <t>14623-2849</t>
  </si>
  <si>
    <t>DIBELLA'S OLD FASHIONED S</t>
  </si>
  <si>
    <t>MECH-MIND</t>
  </si>
  <si>
    <t>91748</t>
  </si>
  <si>
    <t>CITY OF INDUSTRY</t>
  </si>
  <si>
    <t>MECH-MIND, LTD.</t>
  </si>
  <si>
    <t>KUKACA</t>
  </si>
  <si>
    <t>KUKACARES FOUNDATION</t>
  </si>
  <si>
    <t>48267-0148</t>
  </si>
  <si>
    <t>MCNAUGHTON-MCKAY ELECTRIC</t>
  </si>
  <si>
    <t>60016</t>
  </si>
  <si>
    <t>DES PLAINES</t>
  </si>
  <si>
    <t>PRECISION INSTRUMENTS, IN</t>
  </si>
  <si>
    <t>MAGID GLOV</t>
  </si>
  <si>
    <t>60446-1043</t>
  </si>
  <si>
    <t>MAGID GLOVE AND SAFETY MA</t>
  </si>
  <si>
    <t>TORQUE</t>
  </si>
  <si>
    <t>58504-6769</t>
  </si>
  <si>
    <t>BISMARCK</t>
  </si>
  <si>
    <t>TEAM TORQUE INC</t>
  </si>
  <si>
    <t>A1 FABRICA</t>
  </si>
  <si>
    <t>48066-2089</t>
  </si>
  <si>
    <t>A1 FABRICATION, INC.</t>
  </si>
  <si>
    <t>DCH</t>
  </si>
  <si>
    <t>35401</t>
  </si>
  <si>
    <t>DCH HEALTH SYSTEM</t>
  </si>
  <si>
    <t>MINITAB</t>
  </si>
  <si>
    <t>16801</t>
  </si>
  <si>
    <t>STATE COLLEGE</t>
  </si>
  <si>
    <t>MINITAB LLC</t>
  </si>
  <si>
    <t>PEM</t>
  </si>
  <si>
    <t>18916</t>
  </si>
  <si>
    <t>DANBORO</t>
  </si>
  <si>
    <t>PENN ENGINEERING &amp; MANUFA</t>
  </si>
  <si>
    <t>MODULAR BU</t>
  </si>
  <si>
    <t>22901</t>
  </si>
  <si>
    <t>CHARLOTTESVILLE</t>
  </si>
  <si>
    <t>MODULAR BUILDING INSTITUT</t>
  </si>
  <si>
    <t>SUBLIME</t>
  </si>
  <si>
    <t>35080</t>
  </si>
  <si>
    <t>SUBLIME MEDIA LLC</t>
  </si>
  <si>
    <t>HOFFMANN</t>
  </si>
  <si>
    <t>37922</t>
  </si>
  <si>
    <t>HOFFMANN QUALITY TOOLS US</t>
  </si>
  <si>
    <t>KAITECH AU</t>
  </si>
  <si>
    <t>83605</t>
  </si>
  <si>
    <t>CALDWELL</t>
  </si>
  <si>
    <t>KAIZEN FOOD TEK LLC-KAITE</t>
  </si>
  <si>
    <t>80/20</t>
  </si>
  <si>
    <t>46725</t>
  </si>
  <si>
    <t>COLUMBIA CITY</t>
  </si>
  <si>
    <t>80/20 LLC</t>
  </si>
  <si>
    <t>ARMORCODE</t>
  </si>
  <si>
    <t>94303</t>
  </si>
  <si>
    <t>ARMORCODE INC.</t>
  </si>
  <si>
    <t>ROFA</t>
  </si>
  <si>
    <t>ROFA NORTH AMERICA INC.</t>
  </si>
  <si>
    <t>ROBOVENT</t>
  </si>
  <si>
    <t>ROBOVENT SOLUTIONS GROUP,</t>
  </si>
  <si>
    <t>ADAPTIVE C</t>
  </si>
  <si>
    <t>44236</t>
  </si>
  <si>
    <t>HUDSON</t>
  </si>
  <si>
    <t>ADAPTIVE CORPORATION</t>
  </si>
  <si>
    <t>STORCK</t>
  </si>
  <si>
    <t>53511-1967</t>
  </si>
  <si>
    <t>BELOIT</t>
  </si>
  <si>
    <t>STORCK FILMWORKS LLC</t>
  </si>
  <si>
    <t>123.NET</t>
  </si>
  <si>
    <t>48075</t>
  </si>
  <si>
    <t>123.NET,INC.</t>
  </si>
  <si>
    <t>IEEE INTERNATIONAL LLC.</t>
  </si>
  <si>
    <t>SEMRUSH</t>
  </si>
  <si>
    <t>02199-8051</t>
  </si>
  <si>
    <t>SEMRUSH INC.</t>
  </si>
  <si>
    <t>AARON</t>
  </si>
  <si>
    <t>48095</t>
  </si>
  <si>
    <t>AARON SWIFT PLUMBING &amp; SE</t>
  </si>
  <si>
    <t>SLIFCO</t>
  </si>
  <si>
    <t>SLIFCO ELECTRIC, L.L.C.</t>
  </si>
  <si>
    <t>WISIVS</t>
  </si>
  <si>
    <t>WIS IVS LLC FKA RGIS LLC</t>
  </si>
  <si>
    <t>MANU-FORCE</t>
  </si>
  <si>
    <t>76092-4906</t>
  </si>
  <si>
    <t>MANU-FORCE CORP.</t>
  </si>
  <si>
    <t>AMERICOVER</t>
  </si>
  <si>
    <t>92029</t>
  </si>
  <si>
    <t>ESCONDIDO</t>
  </si>
  <si>
    <t>AMERICOVER INC</t>
  </si>
  <si>
    <t>ABI RESARC</t>
  </si>
  <si>
    <t>10023</t>
  </si>
  <si>
    <t>ALLIED BUSINESS INTELLIGE</t>
  </si>
  <si>
    <t>MATHAC</t>
  </si>
  <si>
    <t>92630</t>
  </si>
  <si>
    <t>MATTERHACKERS INC.</t>
  </si>
  <si>
    <t>PROMESS</t>
  </si>
  <si>
    <t>PROMESS INC.</t>
  </si>
  <si>
    <t>RESIDENCE</t>
  </si>
  <si>
    <t>RESIDENCE INN BY MARRIOTT</t>
  </si>
  <si>
    <t>POLYMAKER</t>
  </si>
  <si>
    <t>77489</t>
  </si>
  <si>
    <t>MISSOURI CITY</t>
  </si>
  <si>
    <t>POLYMAKER LLC</t>
  </si>
  <si>
    <t>DESIGN</t>
  </si>
  <si>
    <t>DESIGN FUSION INC.</t>
  </si>
  <si>
    <t>THE ACKERM</t>
  </si>
  <si>
    <t>33004</t>
  </si>
  <si>
    <t>DANIA BEACH</t>
  </si>
  <si>
    <t>THE ACKERMAN GROUP LLC</t>
  </si>
  <si>
    <t>45244</t>
  </si>
  <si>
    <t>GARDNER INTERNATIONAL HOL</t>
  </si>
  <si>
    <t>75041</t>
  </si>
  <si>
    <t>PUSHCORP, LLC</t>
  </si>
  <si>
    <t>GILEXP</t>
  </si>
  <si>
    <t>32824-7617</t>
  </si>
  <si>
    <t>GILBERT EXPOSITION MANAGE</t>
  </si>
  <si>
    <t>CIVILIZED</t>
  </si>
  <si>
    <t>CIVILIZED DISCOURSE CONST</t>
  </si>
  <si>
    <t>GORELE</t>
  </si>
  <si>
    <t>60915</t>
  </si>
  <si>
    <t>GORDON ELECTRIC SUPPLY, I</t>
  </si>
  <si>
    <t>CHALFANT</t>
  </si>
  <si>
    <t>44011</t>
  </si>
  <si>
    <t>AVON</t>
  </si>
  <si>
    <t>CHALFANT MANUFACTURING CO</t>
  </si>
  <si>
    <t>PPMI MEDIA</t>
  </si>
  <si>
    <t>60611</t>
  </si>
  <si>
    <t>CHACOO</t>
  </si>
  <si>
    <t>15301</t>
  </si>
  <si>
    <t>CHASE COOLING SYSTEMS, LL</t>
  </si>
  <si>
    <t>ATEQ</t>
  </si>
  <si>
    <t>ATEQ CORPORATION</t>
  </si>
  <si>
    <t>BSI GROUP</t>
  </si>
  <si>
    <t>20170-6007</t>
  </si>
  <si>
    <t>BSI GROUP AMERICA INC.</t>
  </si>
  <si>
    <t>SAFSYS</t>
  </si>
  <si>
    <t>02061-1612</t>
  </si>
  <si>
    <t>NORWELL</t>
  </si>
  <si>
    <t>SAFETY-KLEEN SYSTEMS, INC</t>
  </si>
  <si>
    <t>RHITOO</t>
  </si>
  <si>
    <t>53151-7363</t>
  </si>
  <si>
    <t>THE TOOL HOUSE LLC - RHIN</t>
  </si>
  <si>
    <t>LAPP TANNE</t>
  </si>
  <si>
    <t>56378</t>
  </si>
  <si>
    <t>LAPP TANNEHILL, INC</t>
  </si>
  <si>
    <t>RDGMED</t>
  </si>
  <si>
    <t>33929</t>
  </si>
  <si>
    <t>ESTERO</t>
  </si>
  <si>
    <t>RDG MEDIA, INC.</t>
  </si>
  <si>
    <t>CAMAJ TOOL</t>
  </si>
  <si>
    <t>CAMAJ TOOL &amp; MACHINE CO</t>
  </si>
  <si>
    <t>46235-3605</t>
  </si>
  <si>
    <t>HAMILTON EXHIBITS, LLC</t>
  </si>
  <si>
    <t>GALIND</t>
  </si>
  <si>
    <t>48071-4060</t>
  </si>
  <si>
    <t>GALCO INDUSTRIAL ELECTRON</t>
  </si>
  <si>
    <t>APPSMITH</t>
  </si>
  <si>
    <t>94114</t>
  </si>
  <si>
    <t>APPSMITH INC.</t>
  </si>
  <si>
    <t>WOODRUFF</t>
  </si>
  <si>
    <t>29388</t>
  </si>
  <si>
    <t>CITY OF WOODRUFF</t>
  </si>
  <si>
    <t>NATLAD</t>
  </si>
  <si>
    <t>NATIONAL LADDER &amp; SCAFFOL</t>
  </si>
  <si>
    <t>44142-1072</t>
  </si>
  <si>
    <t>ESPRESSO</t>
  </si>
  <si>
    <t>77379-7105</t>
  </si>
  <si>
    <t>ESPRESSO MOON LLC/DBA GAG</t>
  </si>
  <si>
    <t>COMMERCIAL CONTRACTING CO</t>
  </si>
  <si>
    <t>AMERICA</t>
  </si>
  <si>
    <t>28255</t>
  </si>
  <si>
    <t>BANK OF AMERICA, N.A.</t>
  </si>
  <si>
    <t>TUV SUD</t>
  </si>
  <si>
    <t>01880</t>
  </si>
  <si>
    <t>WAKEFIELD</t>
  </si>
  <si>
    <t>TUV SUD AMERICA, INC.</t>
  </si>
  <si>
    <t>GODADDY.CO</t>
  </si>
  <si>
    <t>85284</t>
  </si>
  <si>
    <t>TEMPE</t>
  </si>
  <si>
    <t>GODADDY.COM, LLC</t>
  </si>
  <si>
    <t>WOLF &amp; END</t>
  </si>
  <si>
    <t>29485-5683</t>
  </si>
  <si>
    <t>WOLF &amp; ENDRIKAT SOLUTIONS</t>
  </si>
  <si>
    <t>DOZR</t>
  </si>
  <si>
    <t>32801-1923</t>
  </si>
  <si>
    <t>DOZR LTD.</t>
  </si>
  <si>
    <t>TEKNIC</t>
  </si>
  <si>
    <t>14564-9782</t>
  </si>
  <si>
    <t>NY</t>
  </si>
  <si>
    <t>TEKNIC, INC.</t>
  </si>
  <si>
    <t>75254</t>
  </si>
  <si>
    <t>FREEMAN EXPOSITIONS, LLC</t>
  </si>
  <si>
    <t>PRICAT</t>
  </si>
  <si>
    <t>48038-6536</t>
  </si>
  <si>
    <t>PRIME CATERING SERVICES L</t>
  </si>
  <si>
    <t>AUTOMOTIVE INDUSTRY ACTIO</t>
  </si>
  <si>
    <t>OPEN CV</t>
  </si>
  <si>
    <t>OPENCV.AI CORPORATION</t>
  </si>
  <si>
    <t>SENROB</t>
  </si>
  <si>
    <t>45206-1119</t>
  </si>
  <si>
    <t>SENSORY ROBOTICS, INC.</t>
  </si>
  <si>
    <t>SMATRA</t>
  </si>
  <si>
    <t>48310-6565</t>
  </si>
  <si>
    <t>SMT OF MICHIGAN INC</t>
  </si>
  <si>
    <t>GRUBHUB</t>
  </si>
  <si>
    <t>GRUBHUB HOLDINGS INC.</t>
  </si>
  <si>
    <t>SPECID</t>
  </si>
  <si>
    <t>33166-3522</t>
  </si>
  <si>
    <t>SPECIALIST ID, INC.</t>
  </si>
  <si>
    <t>STAHLWILLE</t>
  </si>
  <si>
    <t>53177</t>
  </si>
  <si>
    <t>STURTEVANT</t>
  </si>
  <si>
    <t>STAHLWILLE TOOLS, LLC</t>
  </si>
  <si>
    <t>FOSTER</t>
  </si>
  <si>
    <t>77046-0322</t>
  </si>
  <si>
    <t>FOSTER LLP</t>
  </si>
  <si>
    <t>DESWOR</t>
  </si>
  <si>
    <t>44114</t>
  </si>
  <si>
    <t>DESIGN WORLD LLC</t>
  </si>
  <si>
    <t>MULTI INDU</t>
  </si>
  <si>
    <t>29687</t>
  </si>
  <si>
    <t>TAYLORS</t>
  </si>
  <si>
    <t>MULTI INDUSTRIES OF GREEN</t>
  </si>
  <si>
    <t>AAEON</t>
  </si>
  <si>
    <t>07730</t>
  </si>
  <si>
    <t>HAZLET</t>
  </si>
  <si>
    <t>AAEON ELECTRONICS INC</t>
  </si>
  <si>
    <t>ACCU-TECH</t>
  </si>
  <si>
    <t>TFVV ENTERPRISES, LLC DBA</t>
  </si>
  <si>
    <t>JAY HENGES</t>
  </si>
  <si>
    <t>63045-1211</t>
  </si>
  <si>
    <t>EARTH CITY</t>
  </si>
  <si>
    <t>JAY HENGES ENTERPRISES, I</t>
  </si>
  <si>
    <t>MCQUEEN</t>
  </si>
  <si>
    <t>48045-1406</t>
  </si>
  <si>
    <t>KELLY S. MCQUEEN</t>
  </si>
  <si>
    <t>SVASOF</t>
  </si>
  <si>
    <t>07601-6411</t>
  </si>
  <si>
    <t>HACKENSACK</t>
  </si>
  <si>
    <t>SVA SOFTWARE INC.</t>
  </si>
  <si>
    <t>PROJECT IN</t>
  </si>
  <si>
    <t>29301</t>
  </si>
  <si>
    <t>PROJECT INTEGRATION, INC.</t>
  </si>
  <si>
    <t>ACOEM</t>
  </si>
  <si>
    <t>23236</t>
  </si>
  <si>
    <t>ACOEM USA INC.</t>
  </si>
  <si>
    <t>BGTOOL</t>
  </si>
  <si>
    <t>43220-2793</t>
  </si>
  <si>
    <t>B &amp; G TOOL COMPANY</t>
  </si>
  <si>
    <t>BREAKERS</t>
  </si>
  <si>
    <t>33480</t>
  </si>
  <si>
    <t>PALM BEACH</t>
  </si>
  <si>
    <t>THE BREAKERS PALM BEACH,</t>
  </si>
  <si>
    <t>INTTRA</t>
  </si>
  <si>
    <t>48230-1708</t>
  </si>
  <si>
    <t>GROSSE POINTE PARK</t>
  </si>
  <si>
    <t>INTERPRETER/TRANSLATOR SE</t>
  </si>
  <si>
    <t>EETECH</t>
  </si>
  <si>
    <t>83702-5828</t>
  </si>
  <si>
    <t>EETECH MEDIA, LLC</t>
  </si>
  <si>
    <t>PILAIR</t>
  </si>
  <si>
    <t>19342-2379</t>
  </si>
  <si>
    <t>GLEN MILLS</t>
  </si>
  <si>
    <t>PILOT AIR FREIGHT LLC</t>
  </si>
  <si>
    <t>SOUCAR</t>
  </si>
  <si>
    <t>SOUTH CAROLINA CHARITIES</t>
  </si>
  <si>
    <t>BASTIAN SO</t>
  </si>
  <si>
    <t>BASTIAN SOLUTIONS, LLC</t>
  </si>
  <si>
    <t>CINT SD</t>
  </si>
  <si>
    <t>45040-9151</t>
  </si>
  <si>
    <t>CINTAS CORPORATION</t>
  </si>
  <si>
    <t>89437</t>
  </si>
  <si>
    <t>TESLA, INC. - TESLA GIGAF</t>
  </si>
  <si>
    <t>BIG VISION</t>
  </si>
  <si>
    <t>92130</t>
  </si>
  <si>
    <t>BIG VISION LLC</t>
  </si>
  <si>
    <t>SENSEN</t>
  </si>
  <si>
    <t>89502</t>
  </si>
  <si>
    <t>SEND CUT SEND, INC.</t>
  </si>
  <si>
    <t>SMC CORPOR</t>
  </si>
  <si>
    <t>46060-8701</t>
  </si>
  <si>
    <t>NOBLESVILLE</t>
  </si>
  <si>
    <t>SMC CORPORATION OF AMERIC</t>
  </si>
  <si>
    <t>FLEX WORKF</t>
  </si>
  <si>
    <t>48084-1793</t>
  </si>
  <si>
    <t>FLEX WORKFORCE SOLUTIONS</t>
  </si>
  <si>
    <t>INDDOO</t>
  </si>
  <si>
    <t>48314-2131</t>
  </si>
  <si>
    <t>INDUSTRIAL DOOR &amp; WEATHER</t>
  </si>
  <si>
    <t>ROBSOL</t>
  </si>
  <si>
    <t>47546-2946</t>
  </si>
  <si>
    <t>ROBOTIC SOLUTIONS, LLC</t>
  </si>
  <si>
    <t>MADCAP</t>
  </si>
  <si>
    <t>80202-1238</t>
  </si>
  <si>
    <t>MADCAP SOFTWARE, INC</t>
  </si>
  <si>
    <t>28216-3445</t>
  </si>
  <si>
    <t>BAUER GEAR MOTOR LLC</t>
  </si>
  <si>
    <t>07727-3961</t>
  </si>
  <si>
    <t>FARMINGDALE</t>
  </si>
  <si>
    <t>ATLANTA DRIVE SYSTEMS, IN</t>
  </si>
  <si>
    <t>MILES MEDI</t>
  </si>
  <si>
    <t>30346-1282</t>
  </si>
  <si>
    <t>MILES MEDIATION AND ARBIT</t>
  </si>
  <si>
    <t>CROSSLEY S</t>
  </si>
  <si>
    <t>30064-1734</t>
  </si>
  <si>
    <t>CROSSLEY STAFFING, LLC</t>
  </si>
  <si>
    <t>CONCEN</t>
  </si>
  <si>
    <t>73147-0388</t>
  </si>
  <si>
    <t>ICAT</t>
  </si>
  <si>
    <t>21075-6260</t>
  </si>
  <si>
    <t>ELKRIDGE</t>
  </si>
  <si>
    <t>ICAT LOGISTICS, INC.</t>
  </si>
  <si>
    <t>EDISON WEL</t>
  </si>
  <si>
    <t>43221-3585</t>
  </si>
  <si>
    <t>EDISON WELDING INSTITUTE.</t>
  </si>
  <si>
    <t>FOOTBRIDGE</t>
  </si>
  <si>
    <t>80301-6112</t>
  </si>
  <si>
    <t>BOULDER</t>
  </si>
  <si>
    <t>FOOTBRIDGE LAW LLC</t>
  </si>
  <si>
    <t>AT&amp;T DW HO</t>
  </si>
  <si>
    <t>75202-4206</t>
  </si>
  <si>
    <t>AT&amp;T DW HOLDINGS, INC.</t>
  </si>
  <si>
    <t>PMMI MEDIA</t>
  </si>
  <si>
    <t>60661-4544</t>
  </si>
  <si>
    <t>PMMI MEDIA GROUP</t>
  </si>
  <si>
    <t>VITREC</t>
  </si>
  <si>
    <t>38119</t>
  </si>
  <si>
    <t>VITAL RECORDS HOLDINGS, L</t>
  </si>
  <si>
    <t>MEAGRO</t>
  </si>
  <si>
    <t>43230-5342</t>
  </si>
  <si>
    <t>GAHANNA</t>
  </si>
  <si>
    <t>MEA GROUP LLC</t>
  </si>
  <si>
    <t>55403-2791</t>
  </si>
  <si>
    <t>GREATAPES CORPORATION</t>
  </si>
  <si>
    <t>PURWAT</t>
  </si>
  <si>
    <t>AMANDA BARNETT</t>
  </si>
  <si>
    <t>CARGOH</t>
  </si>
  <si>
    <t>60076-3438</t>
  </si>
  <si>
    <t>SKOKIE</t>
  </si>
  <si>
    <t>CARGOHANSA LLC</t>
  </si>
  <si>
    <t>TINMAN</t>
  </si>
  <si>
    <t>98027-8989</t>
  </si>
  <si>
    <t>ISSAQUAH</t>
  </si>
  <si>
    <t>TINMAN SYSTEMS</t>
  </si>
  <si>
    <t>MANIFEST U</t>
  </si>
  <si>
    <t>MANIFEST US INC</t>
  </si>
  <si>
    <t>CONVERCENT</t>
  </si>
  <si>
    <t>10011</t>
  </si>
  <si>
    <t>CONVERCENT INC.</t>
  </si>
  <si>
    <t>COMMONWEAL</t>
  </si>
  <si>
    <t>23233-1485</t>
  </si>
  <si>
    <t>COMMONWEALTH OF VIRGINIA</t>
  </si>
  <si>
    <t>ADAMS AND</t>
  </si>
  <si>
    <t>70139-4596</t>
  </si>
  <si>
    <t>ADAMS AND REESE, L.L.P.</t>
  </si>
  <si>
    <t>TRANSFLUID</t>
  </si>
  <si>
    <t>29681-6100</t>
  </si>
  <si>
    <t>SIMPSONVILLE</t>
  </si>
  <si>
    <t>TRANSFLUID TUBE PROCESSIN</t>
  </si>
  <si>
    <t>TRACE3</t>
  </si>
  <si>
    <t>92618-3078</t>
  </si>
  <si>
    <t>TRACE3, LLC</t>
  </si>
  <si>
    <t>PRINTEDTAG</t>
  </si>
  <si>
    <t>43612-3902</t>
  </si>
  <si>
    <t>PRINT YOUR MARKETING INC.</t>
  </si>
  <si>
    <t>29605-4515</t>
  </si>
  <si>
    <t>WINKEL</t>
  </si>
  <si>
    <t>WINKEL INC.</t>
  </si>
  <si>
    <t>VIALTO</t>
  </si>
  <si>
    <t>10022-4219</t>
  </si>
  <si>
    <t>GALAXY US OPCO INC.</t>
  </si>
  <si>
    <t>32746-2230</t>
  </si>
  <si>
    <t>ELCOEN</t>
  </si>
  <si>
    <t>49201-7711</t>
  </si>
  <si>
    <t>ELCO ENTERPRISES, INC.</t>
  </si>
  <si>
    <t>CNC DOOR C</t>
  </si>
  <si>
    <t>28078-0657</t>
  </si>
  <si>
    <t>CNC DOOR COMPANY - DOOR S</t>
  </si>
  <si>
    <t>WISETECH G</t>
  </si>
  <si>
    <t>60173-4706</t>
  </si>
  <si>
    <t>WISETECH GLOBAL (US) INC.</t>
  </si>
  <si>
    <t>VICFIR</t>
  </si>
  <si>
    <t>48706-1183</t>
  </si>
  <si>
    <t>BAY CITY</t>
  </si>
  <si>
    <t>VICTORY FIRE &amp; GAS INC.</t>
  </si>
  <si>
    <t>ASME</t>
  </si>
  <si>
    <t>10016-5675</t>
  </si>
  <si>
    <t>THE AMERICAN SOCIETY OF M</t>
  </si>
  <si>
    <t>GRANITE TE</t>
  </si>
  <si>
    <t>02171-2105</t>
  </si>
  <si>
    <t>QUINCY</t>
  </si>
  <si>
    <t>GRANITE TELECOMMUNICATION</t>
  </si>
  <si>
    <t>US TRADES</t>
  </si>
  <si>
    <t>85331-4307</t>
  </si>
  <si>
    <t>CAVE CREEK</t>
  </si>
  <si>
    <t>US TRADES LLC</t>
  </si>
  <si>
    <t>VERACODE</t>
  </si>
  <si>
    <t>01803</t>
  </si>
  <si>
    <t>VERACODE INC.</t>
  </si>
  <si>
    <t>BEARCOM OP</t>
  </si>
  <si>
    <t>75041-6164</t>
  </si>
  <si>
    <t>BEARCOM OPERATING LLC</t>
  </si>
  <si>
    <t>HESS</t>
  </si>
  <si>
    <t>95356-8893</t>
  </si>
  <si>
    <t>HESS PRECISION LASER, INC</t>
  </si>
  <si>
    <t>RAGO</t>
  </si>
  <si>
    <t>23603</t>
  </si>
  <si>
    <t>EVAN RAGO</t>
  </si>
  <si>
    <t>EICK</t>
  </si>
  <si>
    <t>TIM EICK</t>
  </si>
  <si>
    <t>BERINGER</t>
  </si>
  <si>
    <t>GRANT BERINGER</t>
  </si>
  <si>
    <t>[D] *DONT</t>
  </si>
  <si>
    <t>[D] *DONT USE*</t>
  </si>
  <si>
    <t>[D] HARMON</t>
  </si>
  <si>
    <t>[D] JONATHAN HARMON</t>
  </si>
  <si>
    <t>[D] MCBRID</t>
  </si>
  <si>
    <t>[D] MICHAEL MCBRIDE</t>
  </si>
  <si>
    <t>[D] BARTGI</t>
  </si>
  <si>
    <t>[D] MATHEW BARTGIS</t>
  </si>
  <si>
    <t>[D] POWELL</t>
  </si>
  <si>
    <t>[D] LEANNE POWELL</t>
  </si>
  <si>
    <t>SPURLOCK</t>
  </si>
  <si>
    <t>CAROLA SPURLOCK</t>
  </si>
  <si>
    <t>[D] BATES</t>
  </si>
  <si>
    <t>[D] THOMMY BATES</t>
  </si>
  <si>
    <t>WADE</t>
  </si>
  <si>
    <t>KYLE WADE</t>
  </si>
  <si>
    <t>[D] BLAIS</t>
  </si>
  <si>
    <t>[D] KARIN BLAIS</t>
  </si>
  <si>
    <t>BRESNAHAN</t>
  </si>
  <si>
    <t>JEROME BRESNAHAN</t>
  </si>
  <si>
    <t>WANG</t>
  </si>
  <si>
    <t>JIAN WANG</t>
  </si>
  <si>
    <t>OTTAWAY</t>
  </si>
  <si>
    <t>DAVID OTTAWAY</t>
  </si>
  <si>
    <t>ROSS</t>
  </si>
  <si>
    <t>WILLIAM (RANDY) ROSS</t>
  </si>
  <si>
    <t>[D] KRANTZ</t>
  </si>
  <si>
    <t>[D] TERRY KRANTZ</t>
  </si>
  <si>
    <t>STURROCK</t>
  </si>
  <si>
    <t>TIMOTHY STURROCK</t>
  </si>
  <si>
    <t>DOANE</t>
  </si>
  <si>
    <t>JOSEPH (LANDON) DOANE</t>
  </si>
  <si>
    <t>[D] SMITH</t>
  </si>
  <si>
    <t>[D] CHRISTOPHER SMITH</t>
  </si>
  <si>
    <t>[D] CARR</t>
  </si>
  <si>
    <t>[D] NATHAN CARR</t>
  </si>
  <si>
    <t>[D] JATZKE</t>
  </si>
  <si>
    <t>[D] JAMES JATZKE</t>
  </si>
  <si>
    <t>DEPAULO LO</t>
  </si>
  <si>
    <t>MELISSA L. DEPAULO-LOTT</t>
  </si>
  <si>
    <t>[D] FANNIN</t>
  </si>
  <si>
    <t>[D] TERRENCE FANNING</t>
  </si>
  <si>
    <t>[D] JOHNSO</t>
  </si>
  <si>
    <t>[D] RAYMOND JOHNSON</t>
  </si>
  <si>
    <t>DUNNING</t>
  </si>
  <si>
    <t>ALBERT DUNNING</t>
  </si>
  <si>
    <t>LENTZ</t>
  </si>
  <si>
    <t>BRIAN LENTZ</t>
  </si>
  <si>
    <t>[D] THORNE</t>
  </si>
  <si>
    <t>[D] STEVE THORNE</t>
  </si>
  <si>
    <t>[D] STEKET</t>
  </si>
  <si>
    <t>[D] DON STEKETEE</t>
  </si>
  <si>
    <t>DIGANGI</t>
  </si>
  <si>
    <t>SANTO DIGANGI</t>
  </si>
  <si>
    <t>[D] MABE</t>
  </si>
  <si>
    <t>[D] JERRY MABE</t>
  </si>
  <si>
    <t>[D] PAYNE</t>
  </si>
  <si>
    <t>[D] MARTIN PAYNE</t>
  </si>
  <si>
    <t>[D] SCHMID</t>
  </si>
  <si>
    <t>[D] MARKUS SCHMIDT</t>
  </si>
  <si>
    <t>DIESBURG</t>
  </si>
  <si>
    <t>DAVID DIESBURG</t>
  </si>
  <si>
    <t>FURMAN</t>
  </si>
  <si>
    <t>CEMAL FURMAN</t>
  </si>
  <si>
    <t>[D] DODGE</t>
  </si>
  <si>
    <t>[D] BROOK DODGE</t>
  </si>
  <si>
    <t>TUCKER</t>
  </si>
  <si>
    <t>TRAVIS TUCKER</t>
  </si>
  <si>
    <t>WIGINTON</t>
  </si>
  <si>
    <t>RONALD WIGINTON</t>
  </si>
  <si>
    <t>[D] WONG</t>
  </si>
  <si>
    <t>[D] TECK YING WONG</t>
  </si>
  <si>
    <t>[D] LOKE</t>
  </si>
  <si>
    <t>[D] DENNIS (KIN HOE) LOKE</t>
  </si>
  <si>
    <t>[D] LANGLE</t>
  </si>
  <si>
    <t>[D] ALLEN LANGLEY</t>
  </si>
  <si>
    <t>[D] LEBER</t>
  </si>
  <si>
    <t>[D] WILLIAM LEBER</t>
  </si>
  <si>
    <t>[D] COLLIN</t>
  </si>
  <si>
    <t>[D] DANIEL COLLINS</t>
  </si>
  <si>
    <t>[D] WENDEL</t>
  </si>
  <si>
    <t>[D] WILLIAM WENDEL</t>
  </si>
  <si>
    <t>[D] ENGEL</t>
  </si>
  <si>
    <t>[D] BRIAN ENGEL</t>
  </si>
  <si>
    <t>[D] FULTZ</t>
  </si>
  <si>
    <t>[D] JERRY FULTZ</t>
  </si>
  <si>
    <t>DAVID CAMPBELL</t>
  </si>
  <si>
    <t>[D] PAGLIA</t>
  </si>
  <si>
    <t>[D] PETER PAGLIA</t>
  </si>
  <si>
    <t>[D] LANIER</t>
  </si>
  <si>
    <t>[D] LAMAR LANIER</t>
  </si>
  <si>
    <t>LANG</t>
  </si>
  <si>
    <t>DEREK LANG</t>
  </si>
  <si>
    <t>HANSON</t>
  </si>
  <si>
    <t>DREW HANSON</t>
  </si>
  <si>
    <t>ZHAO</t>
  </si>
  <si>
    <t>HEHONG ZHAO</t>
  </si>
  <si>
    <t>[D] HUGHES</t>
  </si>
  <si>
    <t>[D] THOMAS HUGHES</t>
  </si>
  <si>
    <t>[D] KOOIST</t>
  </si>
  <si>
    <t>[D] ALEXANDER KOOISTRA</t>
  </si>
  <si>
    <t>[D] KNAPP</t>
  </si>
  <si>
    <t>[D] JENNIFER KNAPP</t>
  </si>
  <si>
    <t>[D] BRAXTO</t>
  </si>
  <si>
    <t>[D] MICHAEL BRAXTON</t>
  </si>
  <si>
    <t>MCCABE</t>
  </si>
  <si>
    <t>PAUL MCCABE</t>
  </si>
  <si>
    <t>[D] DIXIT</t>
  </si>
  <si>
    <t>[D] PUSHKAR DIXIT</t>
  </si>
  <si>
    <t>[D] SPRAGU</t>
  </si>
  <si>
    <t>[D] JASON SPRAGUE</t>
  </si>
  <si>
    <t>MCCANN</t>
  </si>
  <si>
    <t>CHARLA MCCANN</t>
  </si>
  <si>
    <t>[D] DURAN</t>
  </si>
  <si>
    <t>[D] RAQUEL DURAN</t>
  </si>
  <si>
    <t>BAILEY</t>
  </si>
  <si>
    <t>RICHARD BAILEY</t>
  </si>
  <si>
    <t>ALLISON</t>
  </si>
  <si>
    <t>WILLIAM S. ALLISON</t>
  </si>
  <si>
    <t>[D] DONOVA</t>
  </si>
  <si>
    <t>[D] DAVID DONOVAN</t>
  </si>
  <si>
    <t>SALTER</t>
  </si>
  <si>
    <t>GREGORY SALTER</t>
  </si>
  <si>
    <t>MANDAVALLI</t>
  </si>
  <si>
    <t>RANJIT MANDAVALLI</t>
  </si>
  <si>
    <t>CARROLL</t>
  </si>
  <si>
    <t>GLENNA CARROLL</t>
  </si>
  <si>
    <t>DIN</t>
  </si>
  <si>
    <t>HOWARD DIN</t>
  </si>
  <si>
    <t>[D] NAH</t>
  </si>
  <si>
    <t>[D] JONGBONB NAH</t>
  </si>
  <si>
    <t>[D] POTTER</t>
  </si>
  <si>
    <t>[D] DONALD POTTER</t>
  </si>
  <si>
    <t>[D] GRAHAM</t>
  </si>
  <si>
    <t>[D] THEODORE GRAHAM</t>
  </si>
  <si>
    <t>[D] ARMSTR</t>
  </si>
  <si>
    <t>[D] NIGEL ARMSTRONG</t>
  </si>
  <si>
    <t>[D] MCALIS</t>
  </si>
  <si>
    <t>[D] GERALD MCALISTER</t>
  </si>
  <si>
    <t>DESMOND</t>
  </si>
  <si>
    <t>DANIEL DESMOND</t>
  </si>
  <si>
    <t>[D] WOOD</t>
  </si>
  <si>
    <t>[D] STEPHEN WOOD</t>
  </si>
  <si>
    <t>SAENZ</t>
  </si>
  <si>
    <t>EDWARD SAENZ</t>
  </si>
  <si>
    <t>CEDERHOLM</t>
  </si>
  <si>
    <t>DAVID CEDERHOLM</t>
  </si>
  <si>
    <t>(D)STADLER</t>
  </si>
  <si>
    <t>(D)KAREN STADLER</t>
  </si>
  <si>
    <t>[D] HOLLAN</t>
  </si>
  <si>
    <t>[D] VICTOR HOLLAND</t>
  </si>
  <si>
    <t>[D] SCHROE</t>
  </si>
  <si>
    <t>[D] RILEY SCHROEDER</t>
  </si>
  <si>
    <t>MAXWELL</t>
  </si>
  <si>
    <t>KEITH MAXWELL</t>
  </si>
  <si>
    <t>KEVIN RANDOLPH</t>
  </si>
  <si>
    <t>[D] BARHAM</t>
  </si>
  <si>
    <t>[D] JOSHUA BARHAM</t>
  </si>
  <si>
    <t>[D] CHHURA</t>
  </si>
  <si>
    <t>[D] RAMAN CHHURA</t>
  </si>
  <si>
    <t>KHANDELWAL</t>
  </si>
  <si>
    <t>AYUSH KHANDELWAL</t>
  </si>
  <si>
    <t>MISKOVCH</t>
  </si>
  <si>
    <t>MATTHEW MISKOVCH</t>
  </si>
  <si>
    <t>CHAPMAN</t>
  </si>
  <si>
    <t>JORDAN CHAPMAN</t>
  </si>
  <si>
    <t>WILLIAM STEWART</t>
  </si>
  <si>
    <t>[D] TILLER</t>
  </si>
  <si>
    <t>[D] POMNISA TILLERSON</t>
  </si>
  <si>
    <t>[D] COLE</t>
  </si>
  <si>
    <t>[D] ALEXANDRIA COLE</t>
  </si>
  <si>
    <t>[D] ZHANG</t>
  </si>
  <si>
    <t>[D] NINGSHA ZHANG</t>
  </si>
  <si>
    <t>MEHDANI</t>
  </si>
  <si>
    <t>ADIL MEHDANI</t>
  </si>
  <si>
    <t>STADLER</t>
  </si>
  <si>
    <t>JOSHUA STADLER</t>
  </si>
  <si>
    <t>RAMIREZ</t>
  </si>
  <si>
    <t>JOHN RAMIREZ</t>
  </si>
  <si>
    <t>[D] CHANDL</t>
  </si>
  <si>
    <t>[D] JASON CHANDLER</t>
  </si>
  <si>
    <t>[D] ZOEHRE</t>
  </si>
  <si>
    <t>[D] TOM ZOEHRER</t>
  </si>
  <si>
    <t>BURCH</t>
  </si>
  <si>
    <t>ERIC BURCH</t>
  </si>
  <si>
    <t>[D] EISENM</t>
  </si>
  <si>
    <t>[D] STEVEN EISENMANCOLLIN</t>
  </si>
  <si>
    <t>MARTINEZ M</t>
  </si>
  <si>
    <t>CARLOS MARTINEZ MUNOZ</t>
  </si>
  <si>
    <t>[D] PERKIN</t>
  </si>
  <si>
    <t>[D] DAVID PERKINS</t>
  </si>
  <si>
    <t>[D] ALEXAN</t>
  </si>
  <si>
    <t>[D] DAVID ALEXANDER</t>
  </si>
  <si>
    <t>SEYMORE</t>
  </si>
  <si>
    <t>JESS SEYMORE</t>
  </si>
  <si>
    <t>STRANGE</t>
  </si>
  <si>
    <t>ADAM STRANGE</t>
  </si>
  <si>
    <t>[D] FRAILE</t>
  </si>
  <si>
    <t>[D] STEVE FRAILEY</t>
  </si>
  <si>
    <t>[D] RAIA</t>
  </si>
  <si>
    <t>[D] MICHAEL RAIA</t>
  </si>
  <si>
    <t>[D] PETERS</t>
  </si>
  <si>
    <t>[D] COREY PETERSON</t>
  </si>
  <si>
    <t>[D] SAVINI</t>
  </si>
  <si>
    <t>[D] ANDREW SAVINI</t>
  </si>
  <si>
    <t>O'MALLEY</t>
  </si>
  <si>
    <t>BRENDAN O'MALLEY</t>
  </si>
  <si>
    <t>[D] GALLAG</t>
  </si>
  <si>
    <t>[D] BRYAN GALLAGHER</t>
  </si>
  <si>
    <t>[D] PATEL</t>
  </si>
  <si>
    <t>[D] PRIYANK PATEL</t>
  </si>
  <si>
    <t>MEESAWAN</t>
  </si>
  <si>
    <t>MANASWINEE MEESAWAN</t>
  </si>
  <si>
    <t>[D] MCCLUR</t>
  </si>
  <si>
    <t>[D] NATHAN MCCLURE</t>
  </si>
  <si>
    <t>[D] REYNOL</t>
  </si>
  <si>
    <t>[D] MALCOLM REYNOLDS</t>
  </si>
  <si>
    <t>[D] AUSTIN</t>
  </si>
  <si>
    <t>[D] RICHARD AUSTIN</t>
  </si>
  <si>
    <t>[D] HARLOW</t>
  </si>
  <si>
    <t>[D] DAVID HARLOW</t>
  </si>
  <si>
    <t>[D] HILL</t>
  </si>
  <si>
    <t>[D] GREGG HILL</t>
  </si>
  <si>
    <t>(D)TOSCANO</t>
  </si>
  <si>
    <t>(D)JOHN TOSCANO</t>
  </si>
  <si>
    <t>[D] COPES</t>
  </si>
  <si>
    <t>[D] JOSH COPES</t>
  </si>
  <si>
    <t>[D] FOCHT</t>
  </si>
  <si>
    <t>[D] FRANCES FOCHT</t>
  </si>
  <si>
    <t>HOFFMAN</t>
  </si>
  <si>
    <t>ROBERT HOFFMAN</t>
  </si>
  <si>
    <t>[D] DESTEP</t>
  </si>
  <si>
    <t>[D] KRISTEN DESTEPHANO</t>
  </si>
  <si>
    <t>[D] HARRIS</t>
  </si>
  <si>
    <t>[D] JASON HARRIS</t>
  </si>
  <si>
    <t>[D] FORTE</t>
  </si>
  <si>
    <t>[D] EUGENE FORTE</t>
  </si>
  <si>
    <t>[D] GOMEZ</t>
  </si>
  <si>
    <t>[D] LOUIS GOMEZ</t>
  </si>
  <si>
    <t>KAUFMAN</t>
  </si>
  <si>
    <t>COREY KAUFMAN</t>
  </si>
  <si>
    <t>PYRON</t>
  </si>
  <si>
    <t>JOSHUA PYRON</t>
  </si>
  <si>
    <t>MCDANIEL</t>
  </si>
  <si>
    <t>ANDREW MCDANIEL</t>
  </si>
  <si>
    <t>BENTINE</t>
  </si>
  <si>
    <t>YOUNESS BENTINE</t>
  </si>
  <si>
    <t>[D] ANDERS</t>
  </si>
  <si>
    <t>[D] MARTIN ANDERSSON</t>
  </si>
  <si>
    <t>[D] RISSER</t>
  </si>
  <si>
    <t>[D] KURT RISSER</t>
  </si>
  <si>
    <t>[D] SCHAFF</t>
  </si>
  <si>
    <t>[D] AUSTIN SCHAFFER</t>
  </si>
  <si>
    <t>[D] TRIPPT</t>
  </si>
  <si>
    <t>[D] NICHOLAS TRIPPTREE</t>
  </si>
  <si>
    <t>[D] WANG</t>
  </si>
  <si>
    <t>[D] XIAOTIAN WANG</t>
  </si>
  <si>
    <t>EDWARDS</t>
  </si>
  <si>
    <t>ROYDEN EDWARDS</t>
  </si>
  <si>
    <t>[D] TINKLE</t>
  </si>
  <si>
    <t>[D] DANIEL TINKLER</t>
  </si>
  <si>
    <t>BROGAN</t>
  </si>
  <si>
    <t>MICHAEL BROGAN</t>
  </si>
  <si>
    <t>ADAM CLARK</t>
  </si>
  <si>
    <t>CRAFT</t>
  </si>
  <si>
    <t>DAVID CRAFT</t>
  </si>
  <si>
    <t>[D] MONEYM</t>
  </si>
  <si>
    <t>[D] JEFFERY MONEYMAKER</t>
  </si>
  <si>
    <t>JUSTIN ANDERSON</t>
  </si>
  <si>
    <t>[D] LOPEZ</t>
  </si>
  <si>
    <t>[D] JOSHUA LOPEZ</t>
  </si>
  <si>
    <t>[D] BADIA</t>
  </si>
  <si>
    <t>[D] WILFREDOO BADIA</t>
  </si>
  <si>
    <t>WINSTON</t>
  </si>
  <si>
    <t>WINSTON JONES</t>
  </si>
  <si>
    <t>FAKHRI</t>
  </si>
  <si>
    <t>TARIK FAKHRI</t>
  </si>
  <si>
    <t>WILLIAM</t>
  </si>
  <si>
    <t>WILLIAM  BRIAN EVANS</t>
  </si>
  <si>
    <t>MORMAN</t>
  </si>
  <si>
    <t>DONALD MORMAN</t>
  </si>
  <si>
    <t>STRAUGHTER</t>
  </si>
  <si>
    <t>MICHAEL STRAUGHTER</t>
  </si>
  <si>
    <t>[D] ROBIN</t>
  </si>
  <si>
    <t>[D] ROBIN KIRKLAND</t>
  </si>
  <si>
    <t>JEFFERY BOWMAN</t>
  </si>
  <si>
    <t>[D] BROWN</t>
  </si>
  <si>
    <t>[D] ASHLEY BROWN</t>
  </si>
  <si>
    <t>[D] ELLIOT</t>
  </si>
  <si>
    <t>[D] RICK ELLIOTT</t>
  </si>
  <si>
    <t>[D] RAMANK</t>
  </si>
  <si>
    <t>[D] MOHAN RAMANKUTTY</t>
  </si>
  <si>
    <t>[D] TERRIL</t>
  </si>
  <si>
    <t>[D] MIKE TERRILL</t>
  </si>
  <si>
    <t>[D] HERNAN</t>
  </si>
  <si>
    <t>[D] MIGUEL HERNANDEZ</t>
  </si>
  <si>
    <t>[D] TODD</t>
  </si>
  <si>
    <t>[D] CRAIG TODD</t>
  </si>
  <si>
    <t>HARMON</t>
  </si>
  <si>
    <t>BRYCE HARMON</t>
  </si>
  <si>
    <t>CHITTAPHON</t>
  </si>
  <si>
    <t>DON CHITTAPHONG</t>
  </si>
  <si>
    <t>[D] OLAKOW</t>
  </si>
  <si>
    <t>[D] JOHN OLAKOWSKI</t>
  </si>
  <si>
    <t>[D] DO NOT</t>
  </si>
  <si>
    <t>[D] DO NOT USED</t>
  </si>
  <si>
    <t>[D] HYPES</t>
  </si>
  <si>
    <t>[D] GARY HYPES</t>
  </si>
  <si>
    <t>MCDOWELL</t>
  </si>
  <si>
    <t>BILL MCDOWELL</t>
  </si>
  <si>
    <t>[D] BABEL</t>
  </si>
  <si>
    <t>[D] ROBERT BABEL</t>
  </si>
  <si>
    <t>BOYLES</t>
  </si>
  <si>
    <t>STEVEN BOYLES</t>
  </si>
  <si>
    <t>[D] BRUMLE</t>
  </si>
  <si>
    <t>[D] GARRIE BRUMLEY</t>
  </si>
  <si>
    <t>[D] CRIHFI</t>
  </si>
  <si>
    <t>[D] THOMAS CRIHFIELD</t>
  </si>
  <si>
    <t>[D] DEING</t>
  </si>
  <si>
    <t>[D] HERMAN DEING</t>
  </si>
  <si>
    <t>[D] DILLON</t>
  </si>
  <si>
    <t>[D] MICHAEL, DILLON</t>
  </si>
  <si>
    <t>[D] ANDREW FORTE</t>
  </si>
  <si>
    <t>[D] FOX</t>
  </si>
  <si>
    <t>[D] FREDERICK FOX</t>
  </si>
  <si>
    <t>[D] HAYES</t>
  </si>
  <si>
    <t>[D] MITCHELL HAYES</t>
  </si>
  <si>
    <t>[D] HOLTZ</t>
  </si>
  <si>
    <t>[D] ROBERT HOLTZ</t>
  </si>
  <si>
    <t>[D] HOOPER</t>
  </si>
  <si>
    <t>[D] STEPHEN HOOPER</t>
  </si>
  <si>
    <t>HORTON</t>
  </si>
  <si>
    <t>BRAD HORTON</t>
  </si>
  <si>
    <t>[D] HOWES</t>
  </si>
  <si>
    <t>[D] MICHAEL HOWES</t>
  </si>
  <si>
    <t>[D] JOEL HUGHS-THOMAS</t>
  </si>
  <si>
    <t>[D] JENKIN</t>
  </si>
  <si>
    <t>[D] CHRISTOPHER JENKINS</t>
  </si>
  <si>
    <t>[D] LINDA JOHNSON</t>
  </si>
  <si>
    <t>[D] KUMPF</t>
  </si>
  <si>
    <t>[D] DAVID KUMPF</t>
  </si>
  <si>
    <t>[D] LEWIS</t>
  </si>
  <si>
    <t>[D] BRIAN LEWIS</t>
  </si>
  <si>
    <t>MARTIN</t>
  </si>
  <si>
    <t>DANIEL MARTIN</t>
  </si>
  <si>
    <t>[D] MILLS</t>
  </si>
  <si>
    <t>[D] RANDY MILLS</t>
  </si>
  <si>
    <t>MIGUT</t>
  </si>
  <si>
    <t>CLINT MIGUT</t>
  </si>
  <si>
    <t>[D] MURRAY</t>
  </si>
  <si>
    <t>[D] PATRICK MURRAY</t>
  </si>
  <si>
    <t>PARSHALL</t>
  </si>
  <si>
    <t>ADAM PARSHALL</t>
  </si>
  <si>
    <t>POE</t>
  </si>
  <si>
    <t>ROBYN POE</t>
  </si>
  <si>
    <t>PUCKETT</t>
  </si>
  <si>
    <t>JONATHAN PUCKETT</t>
  </si>
  <si>
    <t>[D] RENTSC</t>
  </si>
  <si>
    <t>[D] THOMAS RENTSCHLER</t>
  </si>
  <si>
    <t>[D] ROSS</t>
  </si>
  <si>
    <t>[D] JEFFREY ROSS</t>
  </si>
  <si>
    <t>SORENSEN</t>
  </si>
  <si>
    <t>DEREK SORENSON</t>
  </si>
  <si>
    <t>[D] SPRANG</t>
  </si>
  <si>
    <t>[D] JOSHUA SPRANG</t>
  </si>
  <si>
    <t>[D] SPYCHE</t>
  </si>
  <si>
    <t>[D] CURT SPYCHER</t>
  </si>
  <si>
    <t>STIDHAM</t>
  </si>
  <si>
    <t>KEVIN STIDHAM</t>
  </si>
  <si>
    <t>[D] STAMPE</t>
  </si>
  <si>
    <t>[D] DOUGLAS STAMPER</t>
  </si>
  <si>
    <t>[D] STUBBE</t>
  </si>
  <si>
    <t>[D] JOSEPH STUBBERS</t>
  </si>
  <si>
    <t>[D] WELLMA</t>
  </si>
  <si>
    <t>[D] KASI WELLMAN</t>
  </si>
  <si>
    <t>[D] JAMES SMITH</t>
  </si>
  <si>
    <t>[D] MCLEOD</t>
  </si>
  <si>
    <t>[D] THOMAS MCLEOD</t>
  </si>
  <si>
    <t>[D] SNYDER</t>
  </si>
  <si>
    <t>[D] JASON SNYDER</t>
  </si>
  <si>
    <t>[D] MCCART</t>
  </si>
  <si>
    <t>[D] SEAN MCCARTHY</t>
  </si>
  <si>
    <t>CASTELLI</t>
  </si>
  <si>
    <t>ANDREW CASTELLI</t>
  </si>
  <si>
    <t>[D] OWEN</t>
  </si>
  <si>
    <t>[D] MARK OWEN</t>
  </si>
  <si>
    <t>FISHER</t>
  </si>
  <si>
    <t>AMELIA, FISHER</t>
  </si>
  <si>
    <t>O'CONNELL</t>
  </si>
  <si>
    <t>BRIAN O'CONNELL</t>
  </si>
  <si>
    <t>[D] MICHAEL CARR</t>
  </si>
  <si>
    <t>[D] KEYSER</t>
  </si>
  <si>
    <t>[D] JOSHUA KEYSER</t>
  </si>
  <si>
    <t>[D] WENDLE</t>
  </si>
  <si>
    <t>[D] PETER WENDLER</t>
  </si>
  <si>
    <t>[D] ROSE</t>
  </si>
  <si>
    <t>[D] ZACH ROSE</t>
  </si>
  <si>
    <t>[D] SCHWEB</t>
  </si>
  <si>
    <t>[D] DAVID SCHWEBEL</t>
  </si>
  <si>
    <t>[D] BILLY WENDEL</t>
  </si>
  <si>
    <t>62306</t>
  </si>
  <si>
    <t>[D] MARK SCHMIDT</t>
  </si>
  <si>
    <t>[D] SANDHU</t>
  </si>
  <si>
    <t>[D] VIMAL SANDHU</t>
  </si>
  <si>
    <t>[D] SHANG</t>
  </si>
  <si>
    <t>[D] GUANWEI SHANG</t>
  </si>
  <si>
    <t>GUTIERREZ</t>
  </si>
  <si>
    <t>PEDRO GUTIERREZ</t>
  </si>
  <si>
    <t>RANDALL JONES</t>
  </si>
  <si>
    <t>[D] GAMINO</t>
  </si>
  <si>
    <t>[D] ERICK GAMINO</t>
  </si>
  <si>
    <t>HAIR</t>
  </si>
  <si>
    <t>HARLAND HAIR</t>
  </si>
  <si>
    <t>PRASAD</t>
  </si>
  <si>
    <t>RAJESH PRASAD</t>
  </si>
  <si>
    <t>BARTELS</t>
  </si>
  <si>
    <t>ATHENA BARTELS</t>
  </si>
  <si>
    <t>[D] LAWSON</t>
  </si>
  <si>
    <t>[D] KEVIN LAWSON</t>
  </si>
  <si>
    <t>[D] SHANE SMITH</t>
  </si>
  <si>
    <t>[D] BOPP</t>
  </si>
  <si>
    <t>[D] DALE BOPP</t>
  </si>
  <si>
    <t>MEENI</t>
  </si>
  <si>
    <t>PRIYANKA MEENI</t>
  </si>
  <si>
    <t>[D] HYRA</t>
  </si>
  <si>
    <t>[D] BRADLEY HYRA</t>
  </si>
  <si>
    <t>[D] COREY SMITH</t>
  </si>
  <si>
    <t>[D] LEONAR</t>
  </si>
  <si>
    <t>[D] NICHOLAS LEONARD</t>
  </si>
  <si>
    <t>[D] WALKER</t>
  </si>
  <si>
    <t>[D] CARLOS WALKER</t>
  </si>
  <si>
    <t>[D] KEMPTO</t>
  </si>
  <si>
    <t>[D] BENJAMIN KEMPTON</t>
  </si>
  <si>
    <t>[D] MILLER</t>
  </si>
  <si>
    <t>[D] DAVID V. MILLER</t>
  </si>
  <si>
    <t>[D] PREVAT</t>
  </si>
  <si>
    <t>[D] MICHAEL PREVATTE</t>
  </si>
  <si>
    <t>[D] ARNO</t>
  </si>
  <si>
    <t>[D] SUSAN ARNO</t>
  </si>
  <si>
    <t>JUTZ</t>
  </si>
  <si>
    <t>STEPHAN JUTZ</t>
  </si>
  <si>
    <t>CONNELLY</t>
  </si>
  <si>
    <t>RYAN CONNELLY</t>
  </si>
  <si>
    <t>[D] OMVIG</t>
  </si>
  <si>
    <t>[D] GREG OMVIG</t>
  </si>
  <si>
    <t>REECE</t>
  </si>
  <si>
    <t>MARGHERITA REECE</t>
  </si>
  <si>
    <t>KOENIG</t>
  </si>
  <si>
    <t>KATHLEEN KOENIG</t>
  </si>
  <si>
    <t>[D] BEEBE</t>
  </si>
  <si>
    <t>NEWPORT</t>
  </si>
  <si>
    <t>[D] PARKER BEEBE</t>
  </si>
  <si>
    <t>[D] CAITLYN KOOISTRA</t>
  </si>
  <si>
    <t>KEN BRADLEY</t>
  </si>
  <si>
    <t>[D] BENNET</t>
  </si>
  <si>
    <t>[D] KENNETH BENNETT</t>
  </si>
  <si>
    <t>WHITSON</t>
  </si>
  <si>
    <t>JOEL WHITSON</t>
  </si>
  <si>
    <t>[D] TOOTIL</t>
  </si>
  <si>
    <t>[D] JESSICA TOOTILL</t>
  </si>
  <si>
    <t>[D] RAMOS</t>
  </si>
  <si>
    <t>[D] MARIO RAMOS</t>
  </si>
  <si>
    <t>[D] HOYT</t>
  </si>
  <si>
    <t>[D] RICHARD HOYT</t>
  </si>
  <si>
    <t>WARD</t>
  </si>
  <si>
    <t>QUENTIN WARD</t>
  </si>
  <si>
    <t>KAUFMANN</t>
  </si>
  <si>
    <t>THOMAS KAUFMANN</t>
  </si>
  <si>
    <t>[D] SIDHU</t>
  </si>
  <si>
    <t>23602</t>
  </si>
  <si>
    <t>[D] MOHAN SIDHU</t>
  </si>
  <si>
    <t>MACALLISTE</t>
  </si>
  <si>
    <t>SHERRI MACALLISTER</t>
  </si>
  <si>
    <t>[D] KHANAN</t>
  </si>
  <si>
    <t>[D] VICTOR KHANANYA</t>
  </si>
  <si>
    <t>CAUSBY</t>
  </si>
  <si>
    <t>JACOB CAUSBY</t>
  </si>
  <si>
    <t>[D] BENISC</t>
  </si>
  <si>
    <t>[D] DONALD BENISCH</t>
  </si>
  <si>
    <t>SHELTON</t>
  </si>
  <si>
    <t>CHAVON SHELTON</t>
  </si>
  <si>
    <t>[D] FISHER</t>
  </si>
  <si>
    <t>[D] PATRICK FISCHER</t>
  </si>
  <si>
    <t>[D] HALL</t>
  </si>
  <si>
    <t>[D] DAVE HALL</t>
  </si>
  <si>
    <t>[D] MULLIN</t>
  </si>
  <si>
    <t>[D] MICHAEL MULLINS</t>
  </si>
  <si>
    <t>[D] PARCHU</t>
  </si>
  <si>
    <t>[D] DANIEL PARCHUK</t>
  </si>
  <si>
    <t>[D] POMATT</t>
  </si>
  <si>
    <t>[D] JESSICA POMATTO</t>
  </si>
  <si>
    <t>MOSIER</t>
  </si>
  <si>
    <t>TIMOTHY MOSIER</t>
  </si>
  <si>
    <t>[D] HATTON</t>
  </si>
  <si>
    <t>[D] WILLIAN TYRONE HATTON</t>
  </si>
  <si>
    <t>(D)HEBERT</t>
  </si>
  <si>
    <t>(D)KENT HEBERT</t>
  </si>
  <si>
    <t>[D] RAY</t>
  </si>
  <si>
    <t>[D] JOSHUA RAY</t>
  </si>
  <si>
    <t>TARR</t>
  </si>
  <si>
    <t>LAUREN TARR</t>
  </si>
  <si>
    <t>[D] HUNT</t>
  </si>
  <si>
    <t>[D] CHARLENE M HUNT</t>
  </si>
  <si>
    <t>[D] BODEMP</t>
  </si>
  <si>
    <t>[D] MADHU BABU BODEMPUDI</t>
  </si>
  <si>
    <t>[D] JESSE HARRISON</t>
  </si>
  <si>
    <t>[D] HOUCHI</t>
  </si>
  <si>
    <t>[D] DANIEL HOUCHIN</t>
  </si>
  <si>
    <t>[D] ALVARE</t>
  </si>
  <si>
    <t>[D] JESSIE ALVAREZ</t>
  </si>
  <si>
    <t>[D] KARACI</t>
  </si>
  <si>
    <t>[D] JILL KARACIA</t>
  </si>
  <si>
    <t>MILLS</t>
  </si>
  <si>
    <t>TARYN MILLS</t>
  </si>
  <si>
    <t>[D] BECKER</t>
  </si>
  <si>
    <t>[D] THOMAS BECKER</t>
  </si>
  <si>
    <t>[D] WADE</t>
  </si>
  <si>
    <t>[D] RAYMOND WADE</t>
  </si>
  <si>
    <t>BEDEKAR</t>
  </si>
  <si>
    <t>TANVI BEDEKAR</t>
  </si>
  <si>
    <t>[D] BISHOP</t>
  </si>
  <si>
    <t>[D] GABRIELLA BISHOP</t>
  </si>
  <si>
    <t>[D] CLOPTO</t>
  </si>
  <si>
    <t>[D] KYLE CLOPTON</t>
  </si>
  <si>
    <t>[D] CUELLA</t>
  </si>
  <si>
    <t>[D] DANIEL CUELLAR</t>
  </si>
  <si>
    <t>[D] DAVID JOHNSON</t>
  </si>
  <si>
    <t>[D] TANDON</t>
  </si>
  <si>
    <t>[D] NEELESH TANDON</t>
  </si>
  <si>
    <t>[D] SERPA</t>
  </si>
  <si>
    <t>[D] NICHOLAS SERPA</t>
  </si>
  <si>
    <t>[D] COVING</t>
  </si>
  <si>
    <t>[D] WILLIAM COVINGTON</t>
  </si>
  <si>
    <t>[D] DRAPER</t>
  </si>
  <si>
    <t>[D] CHRISTOPHER DRAPER</t>
  </si>
  <si>
    <t>SUTHERLAND</t>
  </si>
  <si>
    <t>THOMAS SUTHERLAND</t>
  </si>
  <si>
    <t>[D] MENGIS</t>
  </si>
  <si>
    <t>[D] DEBESSAYE MENGISTAB</t>
  </si>
  <si>
    <t>[D] SOUNG</t>
  </si>
  <si>
    <t>[D] NEANG SOUNG</t>
  </si>
  <si>
    <t>TANNER</t>
  </si>
  <si>
    <t>SEAN TANNER</t>
  </si>
  <si>
    <t>[D] KRENTZ</t>
  </si>
  <si>
    <t>[D] MICHAEL KRENTZ</t>
  </si>
  <si>
    <t>[D] JACOBS</t>
  </si>
  <si>
    <t>[D] MICHAEL JACOBS</t>
  </si>
  <si>
    <t>[D] THRASH</t>
  </si>
  <si>
    <t>[D] ROBBY THRASH</t>
  </si>
  <si>
    <t>KENNEDY</t>
  </si>
  <si>
    <t>STEVEN KENNEDY</t>
  </si>
  <si>
    <t>KYLE MCDOWELL</t>
  </si>
  <si>
    <t>[D] DANIEL ELLIOTT</t>
  </si>
  <si>
    <t>MCCLEARY</t>
  </si>
  <si>
    <t>JOSEPH MCCLEARY</t>
  </si>
  <si>
    <t>[D] GRAYSO</t>
  </si>
  <si>
    <t>[D] JONATHAN GRAYSON</t>
  </si>
  <si>
    <t>[D] BRANDON WALKER</t>
  </si>
  <si>
    <t>[D] FRIZZE</t>
  </si>
  <si>
    <t>[D] KYLE FRIZZELL</t>
  </si>
  <si>
    <t>[D] BAKER</t>
  </si>
  <si>
    <t>[D] JOSHUA BAKER</t>
  </si>
  <si>
    <t>BENTLE</t>
  </si>
  <si>
    <t>ALISON MOORE BENTLE</t>
  </si>
  <si>
    <t>[D] MADDISON THORNE</t>
  </si>
  <si>
    <t>[D] BRANIG</t>
  </si>
  <si>
    <t>[D] OWEN BRANIGAN</t>
  </si>
  <si>
    <t>COMERFORD</t>
  </si>
  <si>
    <t>MATTHEW COMERFORD</t>
  </si>
  <si>
    <t>VANDYKE</t>
  </si>
  <si>
    <t>MICHELE VANDYKE</t>
  </si>
  <si>
    <t>[D] RACHEL SMITH</t>
  </si>
  <si>
    <t>[D] HUFF</t>
  </si>
  <si>
    <t>[D] SAMUEL HUFF</t>
  </si>
  <si>
    <t>[D] SAPPAT</t>
  </si>
  <si>
    <t>[D] PALLAVI SAPPATI</t>
  </si>
  <si>
    <t>BOERTLEIN</t>
  </si>
  <si>
    <t>JOHN STEWART BOERTLEIN</t>
  </si>
  <si>
    <t>[D] MORAN</t>
  </si>
  <si>
    <t>[D] MEGHAN MORAN</t>
  </si>
  <si>
    <t>[D] ZHAO</t>
  </si>
  <si>
    <t>[D] JENNY ZHAO</t>
  </si>
  <si>
    <t>[D] OLIVER</t>
  </si>
  <si>
    <t>[D] GREGORY OLIVER</t>
  </si>
  <si>
    <t>SCHALJO</t>
  </si>
  <si>
    <t>JOSEPH SCHALJO</t>
  </si>
  <si>
    <t>[D] CEDERH</t>
  </si>
  <si>
    <t>[D] ZACHARY CEDERHOLM</t>
  </si>
  <si>
    <t>BOWER</t>
  </si>
  <si>
    <t>BRADY BOWER</t>
  </si>
  <si>
    <t>ARNOLD POLK</t>
  </si>
  <si>
    <t>SARGENT</t>
  </si>
  <si>
    <t>CUSHMEER SARGENT</t>
  </si>
  <si>
    <t>[D] OAKLEY</t>
  </si>
  <si>
    <t>[D] JACOB OAKLEY</t>
  </si>
  <si>
    <t>[D] BUGENS</t>
  </si>
  <si>
    <t>[D] BENJAMIN BUGENSTEIN</t>
  </si>
  <si>
    <t>[D] LINN</t>
  </si>
  <si>
    <t>[D] MICHAEL LINN</t>
  </si>
  <si>
    <t>[D] REBER</t>
  </si>
  <si>
    <t>[D] JOHN REBER</t>
  </si>
  <si>
    <t>[D] BOSCHE</t>
  </si>
  <si>
    <t>[D] TIMOTHY BOSCHERT</t>
  </si>
  <si>
    <t>CHHIM</t>
  </si>
  <si>
    <t>MAKARA CHHIM</t>
  </si>
  <si>
    <t>MENO</t>
  </si>
  <si>
    <t>ANTHONY MENO</t>
  </si>
  <si>
    <t>[D] CHENGHAO WANG</t>
  </si>
  <si>
    <t>[D] LEVICK</t>
  </si>
  <si>
    <t>[D] CARLY LEVICK</t>
  </si>
  <si>
    <t>[D] CAVAZO</t>
  </si>
  <si>
    <t>[D] MIGUEL CAVAZOS</t>
  </si>
  <si>
    <t>[D] SHIRAZ</t>
  </si>
  <si>
    <t>[D] SHAHRAM SHIRAZI</t>
  </si>
  <si>
    <t>[D] HENRIK</t>
  </si>
  <si>
    <t>[D] FREDRIK HENRIKSSON</t>
  </si>
  <si>
    <t>[D] SHRONT</t>
  </si>
  <si>
    <t>[D] TIMOTHY SHRONTZ</t>
  </si>
  <si>
    <t>[D] GREEN</t>
  </si>
  <si>
    <t>[D] JASON GREEN</t>
  </si>
  <si>
    <t>SINGH</t>
  </si>
  <si>
    <t>SHALIENDRA SINGH</t>
  </si>
  <si>
    <t>ANCHETA</t>
  </si>
  <si>
    <t>STEVE ANCHETA</t>
  </si>
  <si>
    <t>[D] WESTER</t>
  </si>
  <si>
    <t>[D] ERIC WESTERN</t>
  </si>
  <si>
    <t>[D] WOLFF</t>
  </si>
  <si>
    <t>[D] STEVEN WOLFF</t>
  </si>
  <si>
    <t>[D] COHEN</t>
  </si>
  <si>
    <t>[D] GREG COHEN</t>
  </si>
  <si>
    <t>DAMIAN TEMPLE</t>
  </si>
  <si>
    <t>[D] NUKAVA</t>
  </si>
  <si>
    <t>[D] AYYAPPA SAI NUKAVARAP</t>
  </si>
  <si>
    <t>[D] FRISBY</t>
  </si>
  <si>
    <t>[D] SETH FRISBY</t>
  </si>
  <si>
    <t>GOINS</t>
  </si>
  <si>
    <t>LARRY GOINS</t>
  </si>
  <si>
    <t>[D] VORIS</t>
  </si>
  <si>
    <t>[D] CHRISTOPHER VORIS</t>
  </si>
  <si>
    <t>HAVEL</t>
  </si>
  <si>
    <t>MELISSA HAVEL</t>
  </si>
  <si>
    <t>RANGEL</t>
  </si>
  <si>
    <t>KELLY RANGEL</t>
  </si>
  <si>
    <t>[D] BLACKM</t>
  </si>
  <si>
    <t>[D] PATRICK BLACKMON</t>
  </si>
  <si>
    <t>[D] BOYD</t>
  </si>
  <si>
    <t>[D] ROBERT BOYD</t>
  </si>
  <si>
    <t>MITCHELL</t>
  </si>
  <si>
    <t>AARON MITCHELL</t>
  </si>
  <si>
    <t>ALEX RAMIREZ</t>
  </si>
  <si>
    <t>[D] NIMBAL</t>
  </si>
  <si>
    <t>[D] VEERAJ NIMBALKAR</t>
  </si>
  <si>
    <t>[D] STROUP</t>
  </si>
  <si>
    <t>[D] BRIAN STROUP</t>
  </si>
  <si>
    <t>[D] ARNETT</t>
  </si>
  <si>
    <t>[D] JIM ARNETT</t>
  </si>
  <si>
    <t>[D] FAHEY</t>
  </si>
  <si>
    <t>[D] JOE FAHEY</t>
  </si>
  <si>
    <t>BAYSE</t>
  </si>
  <si>
    <t>JOHN BAYSE</t>
  </si>
  <si>
    <t>[D] CANNON</t>
  </si>
  <si>
    <t>[D] JEMAL CANNON JR</t>
  </si>
  <si>
    <t>[D] LANG</t>
  </si>
  <si>
    <t>[D] KASHA LANG</t>
  </si>
  <si>
    <t>[D] JASSO</t>
  </si>
  <si>
    <t>[D] RIO JASSO</t>
  </si>
  <si>
    <t>SHAINNA CARSON</t>
  </si>
  <si>
    <t>JEMELL ANDERSON</t>
  </si>
  <si>
    <t>BRANDOW</t>
  </si>
  <si>
    <t>JASON BRANDOW</t>
  </si>
  <si>
    <t>[D] FRANCO</t>
  </si>
  <si>
    <t>[D] ELIZABETH FRANCOM</t>
  </si>
  <si>
    <t>ENTERPRISE DR</t>
  </si>
  <si>
    <t>[D] JOSHUA JOHNSON</t>
  </si>
  <si>
    <t>[D] MCGRIF</t>
  </si>
  <si>
    <t>[D] DE'SHAUN MCGRIFF</t>
  </si>
  <si>
    <t>[D] KLOPFE</t>
  </si>
  <si>
    <t>[D] JOSHUA KLOPFENSTEIN</t>
  </si>
  <si>
    <t>[D] WILLIA</t>
  </si>
  <si>
    <t>[D] SHARON WILLIAMS</t>
  </si>
  <si>
    <t>[D] GOERLI</t>
  </si>
  <si>
    <t>[D] MARK GOERLICH</t>
  </si>
  <si>
    <t>PETER MITCHELL</t>
  </si>
  <si>
    <t>LYTHGOE</t>
  </si>
  <si>
    <t>CASSIE LYTHGOE</t>
  </si>
  <si>
    <t>TYLER</t>
  </si>
  <si>
    <t>JELISA TYLER</t>
  </si>
  <si>
    <t>HARRIS</t>
  </si>
  <si>
    <t>TYRONE HARRIS</t>
  </si>
  <si>
    <t>[D] YEAW</t>
  </si>
  <si>
    <t>[D] LISA YEAW</t>
  </si>
  <si>
    <t>[D] JAMESO</t>
  </si>
  <si>
    <t>[D] JASON JAMESON</t>
  </si>
  <si>
    <t>[D] MARTIN</t>
  </si>
  <si>
    <t>[D] WILLIAM MARTIN</t>
  </si>
  <si>
    <t>JAQUAY</t>
  </si>
  <si>
    <t>FRANCINE JAQUAY</t>
  </si>
  <si>
    <t>PROCHKO</t>
  </si>
  <si>
    <t>MARK PROCHKO</t>
  </si>
  <si>
    <t>[D] GARRET</t>
  </si>
  <si>
    <t>[D] ANDREW GARRETT</t>
  </si>
  <si>
    <t>LONCARIC</t>
  </si>
  <si>
    <t>MICHAEL LONCARIC</t>
  </si>
  <si>
    <t>KAUPLA</t>
  </si>
  <si>
    <t>MICHAEL KAUPLA</t>
  </si>
  <si>
    <t>MATTHEW LYTHGOE</t>
  </si>
  <si>
    <t>[D] JACKSO</t>
  </si>
  <si>
    <t>[D] NAOMI JACKSON</t>
  </si>
  <si>
    <t>[D] BYERS</t>
  </si>
  <si>
    <t>[D] RICK BYERS</t>
  </si>
  <si>
    <t>BERMUDEZ</t>
  </si>
  <si>
    <t>MICHAEL BERMUDEZ</t>
  </si>
  <si>
    <t>RICKS</t>
  </si>
  <si>
    <t>TIMOTHY  A. RICKS</t>
  </si>
  <si>
    <t>[D] DILLIO</t>
  </si>
  <si>
    <t>[D] JOHN DILLION</t>
  </si>
  <si>
    <t>[D] TISDAL</t>
  </si>
  <si>
    <t>[D] AUSTIN TISDALE</t>
  </si>
  <si>
    <t>[D] PICKAR</t>
  </si>
  <si>
    <t>[D] TATIANA PICKARD</t>
  </si>
  <si>
    <t>[D] ASHLEE CEDERHOLM</t>
  </si>
  <si>
    <t>[D] BLACKL</t>
  </si>
  <si>
    <t>[D] WARD T. BLACKLOCK III</t>
  </si>
  <si>
    <t>[D] STEINM</t>
  </si>
  <si>
    <t>[D] NICHOLAS STEINMETZ</t>
  </si>
  <si>
    <t>NATHAN YORK</t>
  </si>
  <si>
    <t>[D] LYNCH</t>
  </si>
  <si>
    <t>[D] JOHN LYNCH</t>
  </si>
  <si>
    <t>ZACHARY SOMERS</t>
  </si>
  <si>
    <t>[D] KINDER</t>
  </si>
  <si>
    <t>[D] JON KINDER</t>
  </si>
  <si>
    <t>[D] RUPNOW</t>
  </si>
  <si>
    <t>[D] DAVID RUPNOW</t>
  </si>
  <si>
    <t>BRINGUEZ</t>
  </si>
  <si>
    <t>CHERYL BRINGUEZ</t>
  </si>
  <si>
    <t>[D] PRICE</t>
  </si>
  <si>
    <t>[D] DWAYNE PRICE</t>
  </si>
  <si>
    <t>DAY</t>
  </si>
  <si>
    <t>COLLIN DAY</t>
  </si>
  <si>
    <t>[D] KAUSLA</t>
  </si>
  <si>
    <t>[D] ARNE KAUSLAND</t>
  </si>
  <si>
    <t>[D] TILLY</t>
  </si>
  <si>
    <t>[D] CHRISTINA TILLY</t>
  </si>
  <si>
    <t>[D] NEMETH</t>
  </si>
  <si>
    <t>[D] THERESA NEMETH</t>
  </si>
  <si>
    <t>[D] DONIGE</t>
  </si>
  <si>
    <t>[D] ROBERT DONIGER</t>
  </si>
  <si>
    <t>[D] DAUGHE</t>
  </si>
  <si>
    <t>[D] JOHN DAUGHERTY</t>
  </si>
  <si>
    <t>[D] JOYCE</t>
  </si>
  <si>
    <t>[D] RICHARD JOYCE</t>
  </si>
  <si>
    <t>GRIFFITH</t>
  </si>
  <si>
    <t>DAVID GRIFFITH</t>
  </si>
  <si>
    <t>[D] KATARI</t>
  </si>
  <si>
    <t>[D] SUHAS KATARIA</t>
  </si>
  <si>
    <t>[D] CARRIC</t>
  </si>
  <si>
    <t>[D] MICHAEL CARRICK</t>
  </si>
  <si>
    <t>HICKS</t>
  </si>
  <si>
    <t>CYLINA HICKS</t>
  </si>
  <si>
    <t>AUSTIN  WALKER</t>
  </si>
  <si>
    <t>[D] ROCKMA</t>
  </si>
  <si>
    <t>[D] MAXWELL ROCKMAN</t>
  </si>
  <si>
    <t>[D] WHITLE</t>
  </si>
  <si>
    <t>[D] MATTHEW WHITLEY</t>
  </si>
  <si>
    <t>[D] KAZMER</t>
  </si>
  <si>
    <t>[D] RICHARD KAZMER</t>
  </si>
  <si>
    <t>BRIAN KELLEY</t>
  </si>
  <si>
    <t>[D] JUSTIN PETERSON</t>
  </si>
  <si>
    <t>CHAPPELL</t>
  </si>
  <si>
    <t>JENNIFER CHAPPELL</t>
  </si>
  <si>
    <t>[D] PERRY</t>
  </si>
  <si>
    <t>[D] ADAM PERRY</t>
  </si>
  <si>
    <t>MONROY</t>
  </si>
  <si>
    <t>NICKLAUS MONROY</t>
  </si>
  <si>
    <t>[D] FUKUSH</t>
  </si>
  <si>
    <t>[D] DOUGLAS FUKUSHIMA</t>
  </si>
  <si>
    <t>NUTTER</t>
  </si>
  <si>
    <t>JONATHAN NUTTER</t>
  </si>
  <si>
    <t>[D] HOFFMA</t>
  </si>
  <si>
    <t>[D] JILLIAN HOFFMAN</t>
  </si>
  <si>
    <t>[D] GOERTE</t>
  </si>
  <si>
    <t>[D] SANDRA GOERTEMILLER</t>
  </si>
  <si>
    <t>[D] GOMEX</t>
  </si>
  <si>
    <t>[D] MARTIN GOMEZ</t>
  </si>
  <si>
    <t>[D] JARRET</t>
  </si>
  <si>
    <t>[D] BRANDON CLARK JARRETT</t>
  </si>
  <si>
    <t>[D] RUTAN</t>
  </si>
  <si>
    <t>[D] MARION RUTAN</t>
  </si>
  <si>
    <t>SEABERG</t>
  </si>
  <si>
    <t>LAWRENCE SEABERG</t>
  </si>
  <si>
    <t>[D] MANNIX</t>
  </si>
  <si>
    <t>[D] ASA MANNIX</t>
  </si>
  <si>
    <t>[D] REED</t>
  </si>
  <si>
    <t>[D] ERIC REED</t>
  </si>
  <si>
    <t>HANNY</t>
  </si>
  <si>
    <t>AARON HANNY</t>
  </si>
  <si>
    <t>[D] FAN</t>
  </si>
  <si>
    <t>[D] WEIDA FAN</t>
  </si>
  <si>
    <t>[D] BLOOM</t>
  </si>
  <si>
    <t>[D] JARED BLOOM</t>
  </si>
  <si>
    <t>[D] RYAN</t>
  </si>
  <si>
    <t>[D] PAIGE RYAN</t>
  </si>
  <si>
    <t>DONOVAN</t>
  </si>
  <si>
    <t>KATHERINE DONOVAN</t>
  </si>
  <si>
    <t>MOLL</t>
  </si>
  <si>
    <t>THERESE MOLL</t>
  </si>
  <si>
    <t>[D] BRADLE</t>
  </si>
  <si>
    <t>[D] TUCKER BRADLEY</t>
  </si>
  <si>
    <t>CLEMONS</t>
  </si>
  <si>
    <t>MORGAN CLEMONS</t>
  </si>
  <si>
    <t>[D] SHIJIA WANG</t>
  </si>
  <si>
    <t>[D] DEAN</t>
  </si>
  <si>
    <t>[D] DUSTIN DEAN</t>
  </si>
  <si>
    <t>[D] ROOS</t>
  </si>
  <si>
    <t>[D] JONATHAN ROOS</t>
  </si>
  <si>
    <t>[D] BARTKO</t>
  </si>
  <si>
    <t>[D] FRANCIS BARTKOWIAK</t>
  </si>
  <si>
    <t>[D] ROBERT</t>
  </si>
  <si>
    <t>[D] TIMOTHY ROBERTSON</t>
  </si>
  <si>
    <t>OSAGE</t>
  </si>
  <si>
    <t>DAVID OSAGE</t>
  </si>
  <si>
    <t>[D] WAGNER</t>
  </si>
  <si>
    <t>[D] AUSTIN WAGNER</t>
  </si>
  <si>
    <t>QUESADA</t>
  </si>
  <si>
    <t>GEYSHA QUESADA</t>
  </si>
  <si>
    <t>SANDERS</t>
  </si>
  <si>
    <t>DILLON SANDERS</t>
  </si>
  <si>
    <t>[D] HEBRON</t>
  </si>
  <si>
    <t>[D] SARAH HEBRON</t>
  </si>
  <si>
    <t>[D] BURKE</t>
  </si>
  <si>
    <t>[D] LORI BURKE</t>
  </si>
  <si>
    <t>[D] RAO</t>
  </si>
  <si>
    <t>[D] VINAY RAO</t>
  </si>
  <si>
    <t>[D] BROWNE</t>
  </si>
  <si>
    <t>[D] WAYNE BROWNE</t>
  </si>
  <si>
    <t>[D] CLEMME</t>
  </si>
  <si>
    <t>[D] RODNEY CLEMMER</t>
  </si>
  <si>
    <t>[D] HAWLEY</t>
  </si>
  <si>
    <t>[D] RICHARD HAWLEY</t>
  </si>
  <si>
    <t>[D] WILLIAM HALL</t>
  </si>
  <si>
    <t>[D] ROWLAN</t>
  </si>
  <si>
    <t>[D] CHRISTOPHER ROWLAND</t>
  </si>
  <si>
    <t>[D] BIMBER</t>
  </si>
  <si>
    <t>[D] TYSON BIMBER</t>
  </si>
  <si>
    <t>[D] CLEMEN</t>
  </si>
  <si>
    <t>[D] ROBERT CLEMENTS</t>
  </si>
  <si>
    <t>ESQUIVEL</t>
  </si>
  <si>
    <t>PEDRO ESQUIVEL</t>
  </si>
  <si>
    <t>CROUSE</t>
  </si>
  <si>
    <t>KEITH CROUSE</t>
  </si>
  <si>
    <t>[D] CONLEY</t>
  </si>
  <si>
    <t>[D] JOSHUA CONLEY</t>
  </si>
  <si>
    <t>[D] JAYNES</t>
  </si>
  <si>
    <t>[D] MARK JAYNES</t>
  </si>
  <si>
    <t>[D] OGLESB</t>
  </si>
  <si>
    <t>[D] TRISTAN OGLESBY</t>
  </si>
  <si>
    <t>POWERS</t>
  </si>
  <si>
    <t>DUSTIN POWERS</t>
  </si>
  <si>
    <t>[D] SNIPES</t>
  </si>
  <si>
    <t>[D] ANDREW SNIPES</t>
  </si>
  <si>
    <t>COOKE</t>
  </si>
  <si>
    <t>CHRISTINE COOKE</t>
  </si>
  <si>
    <t>[D] MURPHY</t>
  </si>
  <si>
    <t>[D] RICHARD MURPHY</t>
  </si>
  <si>
    <t>BROUGH</t>
  </si>
  <si>
    <t>NICK BROUGH</t>
  </si>
  <si>
    <t>CROTZER</t>
  </si>
  <si>
    <t>JOHN CROTZER</t>
  </si>
  <si>
    <t>[D] MOSER</t>
  </si>
  <si>
    <t>[D] TYLER MOSER</t>
  </si>
  <si>
    <t>ACKERMAN</t>
  </si>
  <si>
    <t>NEEWPORT NEWS</t>
  </si>
  <si>
    <t>RICHARD ACKERMAN</t>
  </si>
  <si>
    <t>(D)DEAN</t>
  </si>
  <si>
    <t>(D)DAVID DEAN</t>
  </si>
  <si>
    <t>[D] LEE MARTIN</t>
  </si>
  <si>
    <t>[D] MCMILL</t>
  </si>
  <si>
    <t>[D] CHAD MCMILLEN</t>
  </si>
  <si>
    <t>[D] DRIVAS</t>
  </si>
  <si>
    <t>[D] THOMAS DRIVAS</t>
  </si>
  <si>
    <t>[D] HILLMA</t>
  </si>
  <si>
    <t>[D] GREGORY HILLMAN</t>
  </si>
  <si>
    <t>[D] SCHEMM</t>
  </si>
  <si>
    <t>[D] ROMAN SCHEMMEL</t>
  </si>
  <si>
    <t>[D] CHRIS ENGEL</t>
  </si>
  <si>
    <t>[D] WISE</t>
  </si>
  <si>
    <t>[D] STEVEN WISE</t>
  </si>
  <si>
    <t>[D] WARREN</t>
  </si>
  <si>
    <t>[D] JOSHUA WARREN</t>
  </si>
  <si>
    <t>[D] PARK</t>
  </si>
  <si>
    <t>[D] AL PARK</t>
  </si>
  <si>
    <t>FAWOLE</t>
  </si>
  <si>
    <t>ABIODUN FAWOLE</t>
  </si>
  <si>
    <t>BALDE</t>
  </si>
  <si>
    <t>MOUCTAR BALDE</t>
  </si>
  <si>
    <t>[D] KULKAR</t>
  </si>
  <si>
    <t>[D] AMIT KULKARI</t>
  </si>
  <si>
    <t>[D] SZYMEC</t>
  </si>
  <si>
    <t>[D] CHESTER SZYMECKI</t>
  </si>
  <si>
    <t>[D] THOMAS</t>
  </si>
  <si>
    <t>[D] ROBERT THOMAS</t>
  </si>
  <si>
    <t>LAWHORN</t>
  </si>
  <si>
    <t>JEFF LAWHORN</t>
  </si>
  <si>
    <t>[D] KENDRA SMITH</t>
  </si>
  <si>
    <t>MANJALA</t>
  </si>
  <si>
    <t>RAVI MANJALA</t>
  </si>
  <si>
    <t>HORNE</t>
  </si>
  <si>
    <t>FLOYD HORNE</t>
  </si>
  <si>
    <t>[D] FERNAN</t>
  </si>
  <si>
    <t>[D] FEDERICO FERNANDEZ</t>
  </si>
  <si>
    <t>LOPEZ</t>
  </si>
  <si>
    <t>JAMES LOPEZ</t>
  </si>
  <si>
    <t>FOTIADIS</t>
  </si>
  <si>
    <t>CAITLIN FOTIADIS</t>
  </si>
  <si>
    <t>JOHNSON</t>
  </si>
  <si>
    <t>SEAN JOHNSON</t>
  </si>
  <si>
    <t>[D] BURNET</t>
  </si>
  <si>
    <t>[D] MARCOL BURNETTE</t>
  </si>
  <si>
    <t>[D] DONAHU</t>
  </si>
  <si>
    <t>[D] LEO DONAHUE</t>
  </si>
  <si>
    <t>KESTERSON</t>
  </si>
  <si>
    <t>BILLY JOE KESTERSON</t>
  </si>
  <si>
    <t>GUIN</t>
  </si>
  <si>
    <t>HANNAH GUIN</t>
  </si>
  <si>
    <t>GODFREY</t>
  </si>
  <si>
    <t>HOWARD GODFREY</t>
  </si>
  <si>
    <t>[D] SABB</t>
  </si>
  <si>
    <t>[D] MICHAEL SABB</t>
  </si>
  <si>
    <t>CROCKETT</t>
  </si>
  <si>
    <t>MICHELLE CROCKETT</t>
  </si>
  <si>
    <t>[D] ROBINS</t>
  </si>
  <si>
    <t>[D] BASIL ROBINSON</t>
  </si>
  <si>
    <t>WOODWARD</t>
  </si>
  <si>
    <t>RYAN WOODWARD</t>
  </si>
  <si>
    <t>WINTER</t>
  </si>
  <si>
    <t>GIDEON WINTER</t>
  </si>
  <si>
    <t>[D] MOKHA</t>
  </si>
  <si>
    <t>[D] SANGEET MOKHA</t>
  </si>
  <si>
    <t>[D] COLEMA</t>
  </si>
  <si>
    <t>[D] KRISHNA COLEMAN</t>
  </si>
  <si>
    <t>ROBERT DAY</t>
  </si>
  <si>
    <t>[D] FREEMA</t>
  </si>
  <si>
    <t>[D] DERRICK FREEMAN</t>
  </si>
  <si>
    <t>[D] WALLAC</t>
  </si>
  <si>
    <t>[D] JAMES WALLACE</t>
  </si>
  <si>
    <t>HUSSMAN</t>
  </si>
  <si>
    <t>MICHAEL HUSSMAN</t>
  </si>
  <si>
    <t>SMITH</t>
  </si>
  <si>
    <t>MIRANDA SMITH</t>
  </si>
  <si>
    <t>ROONEY</t>
  </si>
  <si>
    <t>JACK ROONEY</t>
  </si>
  <si>
    <t>PITKIN</t>
  </si>
  <si>
    <t>JESSE PITKIN</t>
  </si>
  <si>
    <t>[D] TRAVIS REED</t>
  </si>
  <si>
    <t>[D] APPLEB</t>
  </si>
  <si>
    <t>[D] DAVID APPLEBY</t>
  </si>
  <si>
    <t>GUPTON</t>
  </si>
  <si>
    <t>CASEY GUPTON</t>
  </si>
  <si>
    <t>[D] JILL PATEL</t>
  </si>
  <si>
    <t>[D] YU</t>
  </si>
  <si>
    <t>[D] JAMES YU</t>
  </si>
  <si>
    <t>[D] HAAS</t>
  </si>
  <si>
    <t>[D] MITHELL HAAS</t>
  </si>
  <si>
    <t>[D] WRIGHT</t>
  </si>
  <si>
    <t>[D] KIREH WRIGHT</t>
  </si>
  <si>
    <t>[D] RAWAL</t>
  </si>
  <si>
    <t>[D] NIRALI RAWAL</t>
  </si>
  <si>
    <t>VASQUEZ</t>
  </si>
  <si>
    <t>LOUIE VASQUEZ</t>
  </si>
  <si>
    <t>[D] DOSS</t>
  </si>
  <si>
    <t>[D] JACOB DOSS</t>
  </si>
  <si>
    <t>MANALANG</t>
  </si>
  <si>
    <t>LEE MANALANG</t>
  </si>
  <si>
    <t>[D] BRANNO</t>
  </si>
  <si>
    <t>[D] CARLA BRANNON</t>
  </si>
  <si>
    <t>[D] LOGAN WRIGHT</t>
  </si>
  <si>
    <t>MEYER</t>
  </si>
  <si>
    <t>KYLIE MEYER</t>
  </si>
  <si>
    <t>[D] MOULDS</t>
  </si>
  <si>
    <t>[D] ERIK MOULDS</t>
  </si>
  <si>
    <t>[D] GOSS</t>
  </si>
  <si>
    <t>[D] DAVID GOSS</t>
  </si>
  <si>
    <t>DOMINICK</t>
  </si>
  <si>
    <t>JOSEPH DOMINICK</t>
  </si>
  <si>
    <t>HOUCK</t>
  </si>
  <si>
    <t>JOSEPH HOUCK</t>
  </si>
  <si>
    <t>CHACKO</t>
  </si>
  <si>
    <t>ROBIN CHACKO</t>
  </si>
  <si>
    <t>RAYMOND MEYER</t>
  </si>
  <si>
    <t>[D] MARISSA HARRIS</t>
  </si>
  <si>
    <t>HOSKINS</t>
  </si>
  <si>
    <t>NATALIE HOSKINS</t>
  </si>
  <si>
    <t>BRUCKNER</t>
  </si>
  <si>
    <t>ROBERT BRUCKNER</t>
  </si>
  <si>
    <t>HERBERT</t>
  </si>
  <si>
    <t>MARIAH HERBERT</t>
  </si>
  <si>
    <t>[D] DABE</t>
  </si>
  <si>
    <t>[D] RACHEL DABE</t>
  </si>
  <si>
    <t>[D] PRATT-</t>
  </si>
  <si>
    <t>[D] ALLISON PRATT-CESPEDE</t>
  </si>
  <si>
    <t>SARAH WOOD</t>
  </si>
  <si>
    <t>[D] DAVID BATES</t>
  </si>
  <si>
    <t>[D] DOUGLA</t>
  </si>
  <si>
    <t>[D] PAUL DOUGLAS</t>
  </si>
  <si>
    <t>SPLAWN</t>
  </si>
  <si>
    <t>MARK SPLAWN</t>
  </si>
  <si>
    <t>[D] MCCORM</t>
  </si>
  <si>
    <t>[D] ANDREA MCCORMICK</t>
  </si>
  <si>
    <t>HENSON</t>
  </si>
  <si>
    <t>JERAMYA HENSON</t>
  </si>
  <si>
    <t>[D] SHIELD</t>
  </si>
  <si>
    <t>[D] ZACHARY SHIELDS</t>
  </si>
  <si>
    <t>ARNOLD</t>
  </si>
  <si>
    <t>DUSTIN ARNOLD</t>
  </si>
  <si>
    <t>[D] STEVEN</t>
  </si>
  <si>
    <t>[D] JEFFREY STEVENS</t>
  </si>
  <si>
    <t>[D] JONES</t>
  </si>
  <si>
    <t>[D] JAYNE JONES</t>
  </si>
  <si>
    <t>SCHUSTER</t>
  </si>
  <si>
    <t>ALICE SCHUSTER</t>
  </si>
  <si>
    <t>[D] PEDROZ</t>
  </si>
  <si>
    <t>[D] BENANCIO PEDROZA</t>
  </si>
  <si>
    <t>WRONSKI</t>
  </si>
  <si>
    <t>ALEXANDER WRONSKI</t>
  </si>
  <si>
    <t>PHILIP JOHNSON</t>
  </si>
  <si>
    <t>[D] LARRIM</t>
  </si>
  <si>
    <t>[D] CHERRIE LARRIMORE</t>
  </si>
  <si>
    <t>[D] PAKKIR</t>
  </si>
  <si>
    <t>[D] SHANKAR PAKKIRU</t>
  </si>
  <si>
    <t>TATE</t>
  </si>
  <si>
    <t>DERRICK TATE</t>
  </si>
  <si>
    <t>JEREMY BEAVER</t>
  </si>
  <si>
    <t>GASSAWAY</t>
  </si>
  <si>
    <t>CHAVON GASSAWAY</t>
  </si>
  <si>
    <t>[D] MCGUIR</t>
  </si>
  <si>
    <t>[D] MICHELLE MCGUIRE</t>
  </si>
  <si>
    <t>[D] MOORE</t>
  </si>
  <si>
    <t>[D] DANIEL MOORE</t>
  </si>
  <si>
    <t>[D] ERIC STEVENS</t>
  </si>
  <si>
    <t>[D] TIRADO</t>
  </si>
  <si>
    <t>[D] ERNESTO TIRADO</t>
  </si>
  <si>
    <t>[D] ZHOU</t>
  </si>
  <si>
    <t>[D] CINDY ZHOU</t>
  </si>
  <si>
    <t>[D] FINNER</t>
  </si>
  <si>
    <t>[D] DESHAWN FINNER</t>
  </si>
  <si>
    <t>[D] VU</t>
  </si>
  <si>
    <t>[D] BINH VU</t>
  </si>
  <si>
    <t>NANDIPATI</t>
  </si>
  <si>
    <t>POOJITHA NANDIPATI</t>
  </si>
  <si>
    <t>[D] BEZA</t>
  </si>
  <si>
    <t>[D] JOEL BEZA</t>
  </si>
  <si>
    <t>[D] SARGEN</t>
  </si>
  <si>
    <t>[D] JONATHAN SARGENT</t>
  </si>
  <si>
    <t>VISSER</t>
  </si>
  <si>
    <t>JOHN VISSER</t>
  </si>
  <si>
    <t>ORMSBEE</t>
  </si>
  <si>
    <t>GREGG ORMSBEE</t>
  </si>
  <si>
    <t>MULLARKEY</t>
  </si>
  <si>
    <t>DANIEL MULLARKEY</t>
  </si>
  <si>
    <t>[D] GARCIA</t>
  </si>
  <si>
    <t>[D] JORGE GARCIA</t>
  </si>
  <si>
    <t>SUMNER</t>
  </si>
  <si>
    <t>JEFFREY SUMNER</t>
  </si>
  <si>
    <t>WHITE</t>
  </si>
  <si>
    <t>CHRISTOPHER WHITE</t>
  </si>
  <si>
    <t>[D] MERRIT</t>
  </si>
  <si>
    <t>[D] WILLIAM MERRITT</t>
  </si>
  <si>
    <t>MATEOS</t>
  </si>
  <si>
    <t>JOAN MATEOS</t>
  </si>
  <si>
    <t>[D] CHOWDH</t>
  </si>
  <si>
    <t>[D] ASIB CHOWDHURY</t>
  </si>
  <si>
    <t>ROCHE</t>
  </si>
  <si>
    <t>COLMAN ROCHE</t>
  </si>
  <si>
    <t>[D] AHN</t>
  </si>
  <si>
    <t>[D] CHARLIE AHN</t>
  </si>
  <si>
    <t>KAYA</t>
  </si>
  <si>
    <t>ERDAL KAYA</t>
  </si>
  <si>
    <t>[D] BLEW</t>
  </si>
  <si>
    <t>[D] DYLAN BLEW</t>
  </si>
  <si>
    <t>[D] TREVONE WILLIAMS</t>
  </si>
  <si>
    <t>DOTTI</t>
  </si>
  <si>
    <t>DYLAN DOTTI</t>
  </si>
  <si>
    <t>[D] MATTHEW COLLINS</t>
  </si>
  <si>
    <t>SPRINGER</t>
  </si>
  <si>
    <t>JOHN SPRINGER</t>
  </si>
  <si>
    <t>JAMES ALLEN</t>
  </si>
  <si>
    <t>HOWLAND</t>
  </si>
  <si>
    <t>JAMES ZACHARY HOWLAND</t>
  </si>
  <si>
    <t>[D] LEE</t>
  </si>
  <si>
    <t>[D] CHAO LEE</t>
  </si>
  <si>
    <t>HOLOWAYCHU</t>
  </si>
  <si>
    <t>HOLOWAYCHUK, AARON</t>
  </si>
  <si>
    <t>IYER</t>
  </si>
  <si>
    <t>KADAMBARI IYER</t>
  </si>
  <si>
    <t>[D] HOUSTO</t>
  </si>
  <si>
    <t>[D] ARTHUR HOUSTON</t>
  </si>
  <si>
    <t>BILKA</t>
  </si>
  <si>
    <t>JEFFREY BILKA</t>
  </si>
  <si>
    <t>[D] LIU</t>
  </si>
  <si>
    <t>[D] XUEJUN LIU</t>
  </si>
  <si>
    <t>[D] TAYLOR</t>
  </si>
  <si>
    <t>[D] JOSHUA TAYLOR</t>
  </si>
  <si>
    <t>WISEMAN</t>
  </si>
  <si>
    <t>JOE WISEMAN</t>
  </si>
  <si>
    <t>[D] HUSKIN</t>
  </si>
  <si>
    <t>[D] DEREK HUSKINS</t>
  </si>
  <si>
    <t>SHARIF</t>
  </si>
  <si>
    <t>HAROON SHARIF</t>
  </si>
  <si>
    <t>HUNRATH</t>
  </si>
  <si>
    <t>JASON HUNRATH</t>
  </si>
  <si>
    <t>PASTELLA</t>
  </si>
  <si>
    <t>CASEY PASTELLA</t>
  </si>
  <si>
    <t>[D] LOMAX</t>
  </si>
  <si>
    <t>[D] JAMES LOMAX</t>
  </si>
  <si>
    <t>MANJESHWAR</t>
  </si>
  <si>
    <t>SHRUTHI MANJESHWAR</t>
  </si>
  <si>
    <t>[D] BRIAN HUNT</t>
  </si>
  <si>
    <t>[D] SANCHE</t>
  </si>
  <si>
    <t>[D] JUAN SANCHEZ</t>
  </si>
  <si>
    <t>[D] STOWE</t>
  </si>
  <si>
    <t>[D] JEFFREY STOWE</t>
  </si>
  <si>
    <t>GARRETT AUSTIN</t>
  </si>
  <si>
    <t>KEVIN CAMPBELL</t>
  </si>
  <si>
    <t>RIEDEL</t>
  </si>
  <si>
    <t>SARAH RIEDEL</t>
  </si>
  <si>
    <t>[D] MARTIN LOPEZ</t>
  </si>
  <si>
    <t>[D] BARKER</t>
  </si>
  <si>
    <t>[D] MICHAEL BARKER</t>
  </si>
  <si>
    <t>HAUPT</t>
  </si>
  <si>
    <t>AARON HAUPT</t>
  </si>
  <si>
    <t>CERNY</t>
  </si>
  <si>
    <t>DAVID CERNY</t>
  </si>
  <si>
    <t>WRIGHT</t>
  </si>
  <si>
    <t>COLIN WRIGHT</t>
  </si>
  <si>
    <t>SHARIFI</t>
  </si>
  <si>
    <t>DEHGAN SHARIFI</t>
  </si>
  <si>
    <t>ESTES</t>
  </si>
  <si>
    <t>MARTIN ESTES</t>
  </si>
  <si>
    <t>[D] KALNIN</t>
  </si>
  <si>
    <t>[D] RYAN KALNINS</t>
  </si>
  <si>
    <t>COOK</t>
  </si>
  <si>
    <t>TAMYRA COOK</t>
  </si>
  <si>
    <t>HARTLEY</t>
  </si>
  <si>
    <t>BRETT HARTLEY</t>
  </si>
  <si>
    <t>[D] LYNN JOHNSON</t>
  </si>
  <si>
    <t>[D] SCOTT</t>
  </si>
  <si>
    <t>[D] HARRISON SCOTT</t>
  </si>
  <si>
    <t>[D] MEESAW</t>
  </si>
  <si>
    <t>[D] TERA MEESAWAN</t>
  </si>
  <si>
    <t>KEITH</t>
  </si>
  <si>
    <t>ADAM KEITH</t>
  </si>
  <si>
    <t>BRUZZESE</t>
  </si>
  <si>
    <t>BRIAN BRUZZESE</t>
  </si>
  <si>
    <t>[D] JEFF REED</t>
  </si>
  <si>
    <t>[D] SILLS</t>
  </si>
  <si>
    <t>[D] JOHN SILLS</t>
  </si>
  <si>
    <t>SAID</t>
  </si>
  <si>
    <t>WASFI SAID</t>
  </si>
  <si>
    <t>[D] JASON TAYLOR</t>
  </si>
  <si>
    <t>(D)HUGHES</t>
  </si>
  <si>
    <t>(D)HUNTER HUGHES</t>
  </si>
  <si>
    <t>ISACHE</t>
  </si>
  <si>
    <t>ADRIAN ISACHE</t>
  </si>
  <si>
    <t>[D] MALCOLM SMITH</t>
  </si>
  <si>
    <t>[D] JABER</t>
  </si>
  <si>
    <t>[D] ANDY JABER</t>
  </si>
  <si>
    <t>NUNN</t>
  </si>
  <si>
    <t>THOMAS NUNN</t>
  </si>
  <si>
    <t>[D] BEYANE</t>
  </si>
  <si>
    <t>[D] FANUEL BEYANE</t>
  </si>
  <si>
    <t>RICHARD TAYLOR</t>
  </si>
  <si>
    <t>BOER</t>
  </si>
  <si>
    <t>MARTHA BOER</t>
  </si>
  <si>
    <t>PIERRE</t>
  </si>
  <si>
    <t>LEE PIERRE</t>
  </si>
  <si>
    <t>AVERETT</t>
  </si>
  <si>
    <t>JENITTA AVERETT</t>
  </si>
  <si>
    <t>FLORES</t>
  </si>
  <si>
    <t>RICARDO FLORES</t>
  </si>
  <si>
    <t>ZIEGELMEYE</t>
  </si>
  <si>
    <t>GARY ZIEGELMEYER</t>
  </si>
  <si>
    <t>[D] ALLEN</t>
  </si>
  <si>
    <t>[D] DANIEL ALLEN</t>
  </si>
  <si>
    <t>[D] LEAL</t>
  </si>
  <si>
    <t>[D] MATTHEW LEAL</t>
  </si>
  <si>
    <t>NESBITT</t>
  </si>
  <si>
    <t>DAVID NESBITT</t>
  </si>
  <si>
    <t>[D] ONCEL</t>
  </si>
  <si>
    <t>[D] BERKAY ONCEL</t>
  </si>
  <si>
    <t>OGLES</t>
  </si>
  <si>
    <t>SIDNEY OGLES</t>
  </si>
  <si>
    <t>[D] RIBEIR</t>
  </si>
  <si>
    <t>[D] RICARDO RIBEIRO</t>
  </si>
  <si>
    <t>BLAKE MILLER</t>
  </si>
  <si>
    <t>[D] DAVIS</t>
  </si>
  <si>
    <t>[D] STEPHEN DAVIS</t>
  </si>
  <si>
    <t>[D] NILSSO</t>
  </si>
  <si>
    <t>[D] ROBERT NILSSON</t>
  </si>
  <si>
    <t>RADENHEIME</t>
  </si>
  <si>
    <t>ROBERT RADENHEIMER</t>
  </si>
  <si>
    <t>MCDANIEL I</t>
  </si>
  <si>
    <t>PARKER MCDANIEL III</t>
  </si>
  <si>
    <t>BRUMLEY</t>
  </si>
  <si>
    <t>CHRISTOPHER BRUMLEY</t>
  </si>
  <si>
    <t>KING</t>
  </si>
  <si>
    <t>CHRISTOPHER KING</t>
  </si>
  <si>
    <t>CORSON</t>
  </si>
  <si>
    <t>RICK CORSON</t>
  </si>
  <si>
    <t>[D] ZETTEL</t>
  </si>
  <si>
    <t>[D] KIM ZETTEL</t>
  </si>
  <si>
    <t>[D] BUENRO</t>
  </si>
  <si>
    <t>[D] ISRAEL BUENROSTRO</t>
  </si>
  <si>
    <t>SCHILLINGE</t>
  </si>
  <si>
    <t>JOSHUA SCHILLINGER</t>
  </si>
  <si>
    <t>BECERRA</t>
  </si>
  <si>
    <t>LEIDY BECERRA</t>
  </si>
  <si>
    <t>VANDERVEEN</t>
  </si>
  <si>
    <t>IAN VANDERVEEN</t>
  </si>
  <si>
    <t>GRUENBURG</t>
  </si>
  <si>
    <t>MARK GRUENBURG</t>
  </si>
  <si>
    <t>[D] SHAHAR</t>
  </si>
  <si>
    <t>[D] KAMAL SHAHARIER</t>
  </si>
  <si>
    <t>[D] ENRIGH</t>
  </si>
  <si>
    <t>[D] LOGAN ENRIGHT</t>
  </si>
  <si>
    <t>[D] GUDE</t>
  </si>
  <si>
    <t>[D] STEPHEN GUDE</t>
  </si>
  <si>
    <t>[D] ADAMS</t>
  </si>
  <si>
    <t>[D] MERIWEATHER ADAMS</t>
  </si>
  <si>
    <t>ADIKESAVAN</t>
  </si>
  <si>
    <t>GANESH ADIKESAVAN</t>
  </si>
  <si>
    <t>PRITCHETT</t>
  </si>
  <si>
    <t>RYAN PRITCHETT</t>
  </si>
  <si>
    <t>GOETZ</t>
  </si>
  <si>
    <t>JOHN GOETZ</t>
  </si>
  <si>
    <t>TANKERSLEY</t>
  </si>
  <si>
    <t>TRAVIS TANKERSLEY</t>
  </si>
  <si>
    <t>DUFRESNE</t>
  </si>
  <si>
    <t>TODD DUFRESNE</t>
  </si>
  <si>
    <t>[D] CAMERO</t>
  </si>
  <si>
    <t>[D] COSTA CAMERON</t>
  </si>
  <si>
    <t>RODRIGUEZ</t>
  </si>
  <si>
    <t>ANGEL RODRIGUEZ</t>
  </si>
  <si>
    <t>[D] GELHAU</t>
  </si>
  <si>
    <t>[D] TAYLOR GELHAUSEN</t>
  </si>
  <si>
    <t>[D] LEBLAN</t>
  </si>
  <si>
    <t>[D] JOSHUA LEBLANC</t>
  </si>
  <si>
    <t>[D] CURTIS LEE</t>
  </si>
  <si>
    <t>GREIMEL</t>
  </si>
  <si>
    <t>BERND GREIMEL</t>
  </si>
  <si>
    <t>BARTEE</t>
  </si>
  <si>
    <t>BRANDON BARTEE</t>
  </si>
  <si>
    <t>GARREN</t>
  </si>
  <si>
    <t>RONALD GARREN</t>
  </si>
  <si>
    <t>[D] YOUNG</t>
  </si>
  <si>
    <t>[D] NIA YOUNG</t>
  </si>
  <si>
    <t>URAMOTO</t>
  </si>
  <si>
    <t>CHRISTOPHER URAMOTO</t>
  </si>
  <si>
    <t>WILDER</t>
  </si>
  <si>
    <t>WILLIAM WILDER</t>
  </si>
  <si>
    <t>[D] JORDAN</t>
  </si>
  <si>
    <t>[D] DANIEL JORDAN</t>
  </si>
  <si>
    <t>WEINBERG</t>
  </si>
  <si>
    <t>JASON WEINBERG</t>
  </si>
  <si>
    <t>[D] CHRISTOPHER WADE</t>
  </si>
  <si>
    <t>[D] BAILEY</t>
  </si>
  <si>
    <t>[D] WILLIAM BAILEY</t>
  </si>
  <si>
    <t>GRANT</t>
  </si>
  <si>
    <t>JAMES GRANT</t>
  </si>
  <si>
    <t>STELLA</t>
  </si>
  <si>
    <t>RYAN STELLA</t>
  </si>
  <si>
    <t>GAVINA</t>
  </si>
  <si>
    <t>SARAH GAVINA</t>
  </si>
  <si>
    <t>JEREMY KAUFMAN</t>
  </si>
  <si>
    <t>MARTINO</t>
  </si>
  <si>
    <t>AUSTIN MARTINO</t>
  </si>
  <si>
    <t>[D] RATHBO</t>
  </si>
  <si>
    <t>[D] JOHN LUKE RATHBONE</t>
  </si>
  <si>
    <t>LUONG</t>
  </si>
  <si>
    <t>TONY LUONG</t>
  </si>
  <si>
    <t>BRANDON TAYLOR</t>
  </si>
  <si>
    <t>WHITTNEY BAYSE</t>
  </si>
  <si>
    <t>SHAROYAN</t>
  </si>
  <si>
    <t>IRINA SHAROYAN</t>
  </si>
  <si>
    <t>[D] RYCKMA</t>
  </si>
  <si>
    <t>[D] RAYMOND RYCKMAN</t>
  </si>
  <si>
    <t>LARRY ROBINSON</t>
  </si>
  <si>
    <t>[D] SHAIKH</t>
  </si>
  <si>
    <t>[D] AALAM SHAIKH</t>
  </si>
  <si>
    <t>CLAURE</t>
  </si>
  <si>
    <t>ANTONIO CLAURE</t>
  </si>
  <si>
    <t>MADRAY</t>
  </si>
  <si>
    <t>JAMES STEVEN MADRAY</t>
  </si>
  <si>
    <t>HUBBARD</t>
  </si>
  <si>
    <t>SEAN-DAVID HUBBARD</t>
  </si>
  <si>
    <t>BENJAMIN ANDERSON</t>
  </si>
  <si>
    <t>(D)HARDING</t>
  </si>
  <si>
    <t>(D)TIMOTHY HARDING</t>
  </si>
  <si>
    <t>BROWN</t>
  </si>
  <si>
    <t>ROSE BROWN</t>
  </si>
  <si>
    <t>[D] CHAMBE</t>
  </si>
  <si>
    <t>[D] DESMOND CHAMBERS</t>
  </si>
  <si>
    <t>ROIG</t>
  </si>
  <si>
    <t>KENNY ROIG</t>
  </si>
  <si>
    <t>[D] BROADS</t>
  </si>
  <si>
    <t>[D] TOM BROADSTOCK</t>
  </si>
  <si>
    <t>CHERVONNE ROGERS</t>
  </si>
  <si>
    <t>MORRIS</t>
  </si>
  <si>
    <t>CHRISTOPHER MORRIS</t>
  </si>
  <si>
    <t>COREY</t>
  </si>
  <si>
    <t>ROBERT COREY</t>
  </si>
  <si>
    <t>BARNES</t>
  </si>
  <si>
    <t>JONATHAN BARNES</t>
  </si>
  <si>
    <t>HORNBACK</t>
  </si>
  <si>
    <t>DIANA HORNBACK</t>
  </si>
  <si>
    <t>[D] MOODY</t>
  </si>
  <si>
    <t>[D] GWENDOLYN MOODY</t>
  </si>
  <si>
    <t>MCCANTS</t>
  </si>
  <si>
    <t>RANDOLPH MCCANTS</t>
  </si>
  <si>
    <t>ENGLISH</t>
  </si>
  <si>
    <t>TIMOTHY ENGLISH</t>
  </si>
  <si>
    <t>[D] GONZAL</t>
  </si>
  <si>
    <t>[D] RODOLFO GONZALEZ</t>
  </si>
  <si>
    <t>COMENZO</t>
  </si>
  <si>
    <t>ANDREW COMENZO</t>
  </si>
  <si>
    <t>CUNNINGHAM</t>
  </si>
  <si>
    <t>PIERRE CUNNINGHAM</t>
  </si>
  <si>
    <t>BARRIENTES</t>
  </si>
  <si>
    <t>CECARIO BARRIENTES</t>
  </si>
  <si>
    <t>BEAN</t>
  </si>
  <si>
    <t>PATRICK BEAN</t>
  </si>
  <si>
    <t>[D] ORR</t>
  </si>
  <si>
    <t>[D] GARY SHANE ORR</t>
  </si>
  <si>
    <t>WIRTH</t>
  </si>
  <si>
    <t>TRENT WIRTH</t>
  </si>
  <si>
    <t>DUVAIL</t>
  </si>
  <si>
    <t>PERRY DUVAIL</t>
  </si>
  <si>
    <t>GINEFRA</t>
  </si>
  <si>
    <t>THOMAS GINEFRA</t>
  </si>
  <si>
    <t>WEIERMUELL</t>
  </si>
  <si>
    <t>ODO WEIERMUELLER</t>
  </si>
  <si>
    <t>[D] BRYANT</t>
  </si>
  <si>
    <t>[D] JAWANN BRYANT</t>
  </si>
  <si>
    <t>JORDAN</t>
  </si>
  <si>
    <t>JARRETT JORDAN</t>
  </si>
  <si>
    <t>[D] LENT</t>
  </si>
  <si>
    <t>[D] JONATHAN LENT</t>
  </si>
  <si>
    <t>[D] RESEND</t>
  </si>
  <si>
    <t>[D] PAUL RESENDES</t>
  </si>
  <si>
    <t>GODSEY</t>
  </si>
  <si>
    <t>LAURIE GODSEY</t>
  </si>
  <si>
    <t>THORNTON</t>
  </si>
  <si>
    <t>ROGER THORNTON</t>
  </si>
  <si>
    <t>NATHAN JONES</t>
  </si>
  <si>
    <t>JASON WALKER</t>
  </si>
  <si>
    <t>MOHAMMED</t>
  </si>
  <si>
    <t>NASER MOHAMMED</t>
  </si>
  <si>
    <t>PASZKIEWIC</t>
  </si>
  <si>
    <t>STEPHEN PASZKIEWICZ</t>
  </si>
  <si>
    <t>(D)GIBSON</t>
  </si>
  <si>
    <t>(D)JOSHUA GIBSON</t>
  </si>
  <si>
    <t>PICKENS</t>
  </si>
  <si>
    <t>FITZGERALD PICKENS</t>
  </si>
  <si>
    <t>RAMSEY</t>
  </si>
  <si>
    <t>JACOB RAMSEY</t>
  </si>
  <si>
    <t>MAURICE COOK</t>
  </si>
  <si>
    <t>LAHR</t>
  </si>
  <si>
    <t>JACOB LAHR</t>
  </si>
  <si>
    <t>KITCHEN</t>
  </si>
  <si>
    <t>STEVEN KITCHEN</t>
  </si>
  <si>
    <t>PAUL MYERS</t>
  </si>
  <si>
    <t>HODGES</t>
  </si>
  <si>
    <t>NICHOLAS HODGES</t>
  </si>
  <si>
    <t>[D] MICHAEL YOUNG</t>
  </si>
  <si>
    <t>[D] YETTER</t>
  </si>
  <si>
    <t>[D] NATHAN YETTER</t>
  </si>
  <si>
    <t>ZAPATA</t>
  </si>
  <si>
    <t>JOSEPH ZAPATA</t>
  </si>
  <si>
    <t>NGUYEN</t>
  </si>
  <si>
    <t>LUCY NGUYEN</t>
  </si>
  <si>
    <t>[D] JARREL</t>
  </si>
  <si>
    <t>[D] CURTIS JARRELL</t>
  </si>
  <si>
    <t>CAROTHERS</t>
  </si>
  <si>
    <t>JACOB CAROTHERS</t>
  </si>
  <si>
    <t>CUTTS</t>
  </si>
  <si>
    <t>WILLIAM  CUTTS</t>
  </si>
  <si>
    <t>THOMAS KESTERSON</t>
  </si>
  <si>
    <t>[D] LAURIN</t>
  </si>
  <si>
    <t>[D] MARCUS LAURINE</t>
  </si>
  <si>
    <t>BOEHME</t>
  </si>
  <si>
    <t>JUSTIN BOEHME</t>
  </si>
  <si>
    <t>LOGAN BARTELS</t>
  </si>
  <si>
    <t>DOUGHERTY</t>
  </si>
  <si>
    <t>SHAWN DOUGHERTY</t>
  </si>
  <si>
    <t>CULPS</t>
  </si>
  <si>
    <t>BRANDON CULPS</t>
  </si>
  <si>
    <t>[D] BURRIE</t>
  </si>
  <si>
    <t>[D] JAMES BURRIER</t>
  </si>
  <si>
    <t>STALEY</t>
  </si>
  <si>
    <t>ANDREW STALEY</t>
  </si>
  <si>
    <t>LEWIS</t>
  </si>
  <si>
    <t>ALEXA LEWIS</t>
  </si>
  <si>
    <t>YEDINAK</t>
  </si>
  <si>
    <t>JUSTIN YEDINAK</t>
  </si>
  <si>
    <t>MUSAEVA</t>
  </si>
  <si>
    <t>AIDA MUSAEVA</t>
  </si>
  <si>
    <t>(D)FURTERE</t>
  </si>
  <si>
    <t>(D)MARY KRIS FURTERER</t>
  </si>
  <si>
    <t>PARRISH</t>
  </si>
  <si>
    <t>CHRIS PARRISH</t>
  </si>
  <si>
    <t>HALL</t>
  </si>
  <si>
    <t>KENDRA HALL</t>
  </si>
  <si>
    <t>BOESCH</t>
  </si>
  <si>
    <t>LAUREN BOESCH</t>
  </si>
  <si>
    <t>RUSSELL</t>
  </si>
  <si>
    <t>BRANDON RUSSELL</t>
  </si>
  <si>
    <t>LAMB</t>
  </si>
  <si>
    <t>TYLER LAMB</t>
  </si>
  <si>
    <t>BOGART</t>
  </si>
  <si>
    <t>TANNER BOGART</t>
  </si>
  <si>
    <t>LANCLOS</t>
  </si>
  <si>
    <t>JOSEPH LANCLOS</t>
  </si>
  <si>
    <t>(D)UPDIKE</t>
  </si>
  <si>
    <t>(D)KENNETH UPDIKE</t>
  </si>
  <si>
    <t>FORREST WILLIAMS</t>
  </si>
  <si>
    <t>SCOTT</t>
  </si>
  <si>
    <t>NICHOLAS SCOTT</t>
  </si>
  <si>
    <t>(D)KOEHLER</t>
  </si>
  <si>
    <t>(D)JOHN KOEHLER</t>
  </si>
  <si>
    <t>DELOS REYE</t>
  </si>
  <si>
    <t>JULIET DELOS REYES</t>
  </si>
  <si>
    <t>PROVENZANO</t>
  </si>
  <si>
    <t>KELLY PROVENZANO</t>
  </si>
  <si>
    <t>[D] RODRIG</t>
  </si>
  <si>
    <t>[D] ROBERTO RODRIGUEZ</t>
  </si>
  <si>
    <t>[D] BLACKE</t>
  </si>
  <si>
    <t>[D] JAILAN BLACKETT</t>
  </si>
  <si>
    <t>GOSSELIN</t>
  </si>
  <si>
    <t>JENNIFER GOSSELIN</t>
  </si>
  <si>
    <t>FIELDS</t>
  </si>
  <si>
    <t>NATHANIEL FIELDS</t>
  </si>
  <si>
    <t>SWIFT</t>
  </si>
  <si>
    <t>FORREST SWIFT</t>
  </si>
  <si>
    <t>MUSE</t>
  </si>
  <si>
    <t>MICHAEL MUSE</t>
  </si>
  <si>
    <t>BRADY</t>
  </si>
  <si>
    <t>CHRISTOPHER BRADY</t>
  </si>
  <si>
    <t>CASTRO</t>
  </si>
  <si>
    <t>FERNANDO CASTRO BECERRA</t>
  </si>
  <si>
    <t>BOUAZZAOUI</t>
  </si>
  <si>
    <t>SARAH BOUAZZAOUI</t>
  </si>
  <si>
    <t>VINDIGNI</t>
  </si>
  <si>
    <t>JEAN-CLAUDE VINDIGNI</t>
  </si>
  <si>
    <t>[D] FELBIN</t>
  </si>
  <si>
    <t>[D] MICHAEL FELBINGER</t>
  </si>
  <si>
    <t>FRYE</t>
  </si>
  <si>
    <t>KEVIN FRYE</t>
  </si>
  <si>
    <t>MARK</t>
  </si>
  <si>
    <t>MARK GALDO</t>
  </si>
  <si>
    <t>GOTTSCHLIC</t>
  </si>
  <si>
    <t>PAUL GOTTSCHLICH</t>
  </si>
  <si>
    <t>GUION</t>
  </si>
  <si>
    <t>ARTHUR GUION</t>
  </si>
  <si>
    <t>[D] OREFFI</t>
  </si>
  <si>
    <t>[D] JILLIAN OREFFICE</t>
  </si>
  <si>
    <t>KREGIEL</t>
  </si>
  <si>
    <t>23185</t>
  </si>
  <si>
    <t>CARL  F KREGIEL</t>
  </si>
  <si>
    <t>KLINE</t>
  </si>
  <si>
    <t>AMORETTE KLINE</t>
  </si>
  <si>
    <t>KAATZ</t>
  </si>
  <si>
    <t>DAVID KAATZ</t>
  </si>
  <si>
    <t>LINK</t>
  </si>
  <si>
    <t>VALERIE LINK</t>
  </si>
  <si>
    <t>[D] TURCHI</t>
  </si>
  <si>
    <t>[D] FAITH TURCHI</t>
  </si>
  <si>
    <t>[D] BRAD MOORE</t>
  </si>
  <si>
    <t>[D] RUTHER</t>
  </si>
  <si>
    <t>[D] PHIL RUTHERFORD</t>
  </si>
  <si>
    <t>[D] SCHULT</t>
  </si>
  <si>
    <t>[D] A K SCHULTZ</t>
  </si>
  <si>
    <t>AMBER TAYLOR</t>
  </si>
  <si>
    <t>STONEHOUSE</t>
  </si>
  <si>
    <t>PAUL STONEHOUSE</t>
  </si>
  <si>
    <t>[D] SPICER</t>
  </si>
  <si>
    <t>[D] EDWARD SPICER</t>
  </si>
  <si>
    <t>[D] STODDA</t>
  </si>
  <si>
    <t>[D] STEPHEN STODDARD</t>
  </si>
  <si>
    <t>[D] TWININ</t>
  </si>
  <si>
    <t>[D] DAVID TWINING</t>
  </si>
  <si>
    <t>[D] WEATHE</t>
  </si>
  <si>
    <t>[D] MICHAEL WEATHERS</t>
  </si>
  <si>
    <t>[D] JAKSIC</t>
  </si>
  <si>
    <t>[D] DUSAN JAKSIC</t>
  </si>
  <si>
    <t>TINNON</t>
  </si>
  <si>
    <t>TRICIA TINNON</t>
  </si>
  <si>
    <t>[D] SAID</t>
  </si>
  <si>
    <t>[D] FRANCIS SAID</t>
  </si>
  <si>
    <t>[D] JENNIN</t>
  </si>
  <si>
    <t>[D] RANDY JENNINGS</t>
  </si>
  <si>
    <t>HAYER</t>
  </si>
  <si>
    <t>KENNETH HAYER</t>
  </si>
  <si>
    <t>[D] CHEE</t>
  </si>
  <si>
    <t>[D] KIN WENG CHEE</t>
  </si>
  <si>
    <t>WORTHINGTO</t>
  </si>
  <si>
    <t>RICHARD R. WORTHINGTON</t>
  </si>
  <si>
    <t>WESLEY</t>
  </si>
  <si>
    <t>WESLEY HASTINGS</t>
  </si>
  <si>
    <t>DAVID CHAPMAN</t>
  </si>
  <si>
    <t>JOHN RAMSEY</t>
  </si>
  <si>
    <t>[D] SCHAFE</t>
  </si>
  <si>
    <t>[D] DANIEL SCHAFER</t>
  </si>
  <si>
    <t>[D] HAZLET</t>
  </si>
  <si>
    <t>[D] EDWARD HAZLETT</t>
  </si>
  <si>
    <t>HORACE BAILEY</t>
  </si>
  <si>
    <t>[D] RICKS</t>
  </si>
  <si>
    <t>[D] JONATHAN RICKS</t>
  </si>
  <si>
    <t>[D] NORRIS</t>
  </si>
  <si>
    <t>[D] DAVID NORRIS</t>
  </si>
  <si>
    <t>NARKAR</t>
  </si>
  <si>
    <t>RUPESH NARKAR</t>
  </si>
  <si>
    <t>[D] GLINZA</t>
  </si>
  <si>
    <t>[D] LOUIS GLINZAK</t>
  </si>
  <si>
    <t>[D] ADCOCK</t>
  </si>
  <si>
    <t>[D] EARL ADCOCK</t>
  </si>
  <si>
    <t>[D] SADOQ</t>
  </si>
  <si>
    <t>[D] MAROUANE SADOQ</t>
  </si>
  <si>
    <t>PRANTL</t>
  </si>
  <si>
    <t>FERDINAND PRANTL</t>
  </si>
  <si>
    <t>[D] CHITAN</t>
  </si>
  <si>
    <t>[D] SHATRUJIT CHITANAND</t>
  </si>
  <si>
    <t>MARROW</t>
  </si>
  <si>
    <t>GWENDOLYLN MARROW</t>
  </si>
  <si>
    <t>KOCEV</t>
  </si>
  <si>
    <t>GORAN KOCEV</t>
  </si>
  <si>
    <t>SHAH</t>
  </si>
  <si>
    <t>SHIVAM SHAH</t>
  </si>
  <si>
    <t>[D] ISAIAH REYNOLDS</t>
  </si>
  <si>
    <t>[D] BLACKB</t>
  </si>
  <si>
    <t>[D] ANDREW BLACKBURN</t>
  </si>
  <si>
    <t>[D] ANATOLY PARCHUK</t>
  </si>
  <si>
    <t>WILLIAMSON</t>
  </si>
  <si>
    <t>CLIFTON WILLIAMSON SR</t>
  </si>
  <si>
    <t>PATRICK DOUGHERTY</t>
  </si>
  <si>
    <t>BRINKMAN</t>
  </si>
  <si>
    <t>CHERYL BRINKMAN</t>
  </si>
  <si>
    <t>[D] RICHARD KOOISTRA</t>
  </si>
  <si>
    <t>POLYCHRONO</t>
  </si>
  <si>
    <t>IOANNIS POLYCHRONOPOULOS</t>
  </si>
  <si>
    <t>[D] ZHONGLU WANG</t>
  </si>
  <si>
    <t>[D] MALEES</t>
  </si>
  <si>
    <t>[D] PRIYAMVADA MALEESWARA</t>
  </si>
  <si>
    <t>CORBETT</t>
  </si>
  <si>
    <t>TASHA CORBETT</t>
  </si>
  <si>
    <t>[D] WHITEH</t>
  </si>
  <si>
    <t>[D] DONNELL WHITEHEAD</t>
  </si>
  <si>
    <t>KARANDE</t>
  </si>
  <si>
    <t>KSHAMA KARANDE</t>
  </si>
  <si>
    <t>[D] OAKEY</t>
  </si>
  <si>
    <t>[D] TONYA OAKEY</t>
  </si>
  <si>
    <t>NEGRON</t>
  </si>
  <si>
    <t>JOAN NEGRON</t>
  </si>
  <si>
    <t>LILJEQVIST</t>
  </si>
  <si>
    <t>MARK LILJEQVIST</t>
  </si>
  <si>
    <t>[D] EVANS</t>
  </si>
  <si>
    <t>[D] ARSENIO EVANS</t>
  </si>
  <si>
    <t>[D] BORGER</t>
  </si>
  <si>
    <t>[D] RYAN BORGERDING</t>
  </si>
  <si>
    <t>MATTHEW FERGUSON</t>
  </si>
  <si>
    <t>[D] BIDDLE</t>
  </si>
  <si>
    <t>[D] MARK BIDDLE</t>
  </si>
  <si>
    <t>[D] TALAMA</t>
  </si>
  <si>
    <t>[D] FELIX TALAMANTES</t>
  </si>
  <si>
    <t>[D] MAG*</t>
  </si>
  <si>
    <t>[D] MAGNUS DURIETZ</t>
  </si>
  <si>
    <t>WOLF</t>
  </si>
  <si>
    <t>MEGAN WOLF</t>
  </si>
  <si>
    <t>[D] WHITE</t>
  </si>
  <si>
    <t>[D] GREGORY WHITE II</t>
  </si>
  <si>
    <t>KAHMEIL BROWN</t>
  </si>
  <si>
    <t>[D] TEBBET</t>
  </si>
  <si>
    <t>[D] JOMIE TEBBETTS</t>
  </si>
  <si>
    <t>[D] SETIEN</t>
  </si>
  <si>
    <t>[D] JEFFREY SETIEN</t>
  </si>
  <si>
    <t>[D] SLOTTA</t>
  </si>
  <si>
    <t>[D] DAVID SLOTTA</t>
  </si>
  <si>
    <t>BOWERS</t>
  </si>
  <si>
    <t>MATTHEW BOWERS</t>
  </si>
  <si>
    <t>DOSTER</t>
  </si>
  <si>
    <t>STEVEN DOSTER</t>
  </si>
  <si>
    <t>[D] FUNG</t>
  </si>
  <si>
    <t>[D] MARK FUNG</t>
  </si>
  <si>
    <t>[D] DEWEIN</t>
  </si>
  <si>
    <t>[D] MARK DEWEIN</t>
  </si>
  <si>
    <t>LINDBLOM</t>
  </si>
  <si>
    <t>MATS LINDBLOM</t>
  </si>
  <si>
    <t>[D] BACKMA</t>
  </si>
  <si>
    <t>[D] ERIK BACKMAN</t>
  </si>
  <si>
    <t>BRANDT</t>
  </si>
  <si>
    <t>CLAYTON BRANDT</t>
  </si>
  <si>
    <t>CROSEN</t>
  </si>
  <si>
    <t>EMME CROSEN</t>
  </si>
  <si>
    <t>SEVERSON</t>
  </si>
  <si>
    <t>SAGE SEVERSON</t>
  </si>
  <si>
    <t>NOGUERA</t>
  </si>
  <si>
    <t>DIEGO NOGUERA</t>
  </si>
  <si>
    <t>CHAMPION</t>
  </si>
  <si>
    <t>SEBASTYON CHAMPION</t>
  </si>
  <si>
    <t>SILVER</t>
  </si>
  <si>
    <t>CHANNING SILVER</t>
  </si>
  <si>
    <t>AARON WASHINGTON</t>
  </si>
  <si>
    <t>QUINTANILL</t>
  </si>
  <si>
    <t>JENNIFER QUINTANILLA</t>
  </si>
  <si>
    <t>ANDREW BRESNAHAN</t>
  </si>
  <si>
    <t>WIBOM</t>
  </si>
  <si>
    <t>JORGEN WIBOM</t>
  </si>
  <si>
    <t>WALLINGFOR</t>
  </si>
  <si>
    <t>SEAN WALLINGFORD</t>
  </si>
  <si>
    <t>D'CRUZ</t>
  </si>
  <si>
    <t>N0</t>
  </si>
  <si>
    <t>MARIO D'CRUZ</t>
  </si>
  <si>
    <t>RICHARD SMITH</t>
  </si>
  <si>
    <t>CASEY</t>
  </si>
  <si>
    <t>SEAN CASEY</t>
  </si>
  <si>
    <t>HAYCOCK</t>
  </si>
  <si>
    <t>ROBERT HAYCOCK</t>
  </si>
  <si>
    <t>HALDEMAN</t>
  </si>
  <si>
    <t>GRANT HALDEMAN</t>
  </si>
  <si>
    <t>SCOTT ROSE</t>
  </si>
  <si>
    <t>BERRY</t>
  </si>
  <si>
    <t>NEIL BERRY</t>
  </si>
  <si>
    <t>KALINOWSKI</t>
  </si>
  <si>
    <t>N</t>
  </si>
  <si>
    <t>KYLIE KALINOWSKI</t>
  </si>
  <si>
    <t>SHIVELY</t>
  </si>
  <si>
    <t>RACHEL SHIVELY</t>
  </si>
  <si>
    <t>JOSEPH</t>
  </si>
  <si>
    <t>HENRY JOSEPH</t>
  </si>
  <si>
    <t>DAVIS</t>
  </si>
  <si>
    <t>VERRY DAVIS</t>
  </si>
  <si>
    <t>ELLIS</t>
  </si>
  <si>
    <t>MATTHEW ELLIS</t>
  </si>
  <si>
    <t>STEPP</t>
  </si>
  <si>
    <t>ZACHERY STEPP</t>
  </si>
  <si>
    <t>OBAKPOLOR</t>
  </si>
  <si>
    <t>PAMELA OBAKPOLOR</t>
  </si>
  <si>
    <t>GINTER</t>
  </si>
  <si>
    <t>BRIAN SCOTT GINTER</t>
  </si>
  <si>
    <t>MELCHER</t>
  </si>
  <si>
    <t>ROBERT MELCHER</t>
  </si>
  <si>
    <t>SHETTER</t>
  </si>
  <si>
    <t>JACOB SHETTER</t>
  </si>
  <si>
    <t>HECHT</t>
  </si>
  <si>
    <t>OSCAR HECHT</t>
  </si>
  <si>
    <t>MADAJ</t>
  </si>
  <si>
    <t>JOHN MADAJ</t>
  </si>
  <si>
    <t>JARED WORTHINGTON</t>
  </si>
  <si>
    <t>HALTER</t>
  </si>
  <si>
    <t>ELIZABETH HALTER</t>
  </si>
  <si>
    <t>BUNCH</t>
  </si>
  <si>
    <t>CHRISTOPHER BUNCH</t>
  </si>
  <si>
    <t>COLLIN CAMPBELL</t>
  </si>
  <si>
    <t>RICHARDSON</t>
  </si>
  <si>
    <t>KATHLEEN RICHARDSON</t>
  </si>
  <si>
    <t>KOSTARAS</t>
  </si>
  <si>
    <t>ARTHUR KOSTARAS</t>
  </si>
  <si>
    <t>BOND</t>
  </si>
  <si>
    <t>TIMOTHY BOND</t>
  </si>
  <si>
    <t>JAMIE PETTY</t>
  </si>
  <si>
    <t>CABRAL</t>
  </si>
  <si>
    <t>CARLOS CABRAL</t>
  </si>
  <si>
    <t>JOHN CUNNINGHAM</t>
  </si>
  <si>
    <t>SATCHELL</t>
  </si>
  <si>
    <t>TAELER SATCHELL</t>
  </si>
  <si>
    <t>WALKE</t>
  </si>
  <si>
    <t>OMKAR WALKE</t>
  </si>
  <si>
    <t>MIZELL</t>
  </si>
  <si>
    <t>CAROLINE MIZELL</t>
  </si>
  <si>
    <t>PIRIANO</t>
  </si>
  <si>
    <t>DOMINIC PIRIANO</t>
  </si>
  <si>
    <t>KNIGHT</t>
  </si>
  <si>
    <t>BODHI KNIGHT</t>
  </si>
  <si>
    <t>CHOI</t>
  </si>
  <si>
    <t>NICK CHOI</t>
  </si>
  <si>
    <t>(D)BURROWS</t>
  </si>
  <si>
    <t>(D)LYNNE BURROWS</t>
  </si>
  <si>
    <t>HOLLEY</t>
  </si>
  <si>
    <t>JESICA HOLLEY</t>
  </si>
  <si>
    <t>BRYANT</t>
  </si>
  <si>
    <t>CLARA BRYANT</t>
  </si>
  <si>
    <t>GREEN</t>
  </si>
  <si>
    <t>JOHNNY GREEN</t>
  </si>
  <si>
    <t>MAXEL</t>
  </si>
  <si>
    <t>STUART MAXEL</t>
  </si>
  <si>
    <t>PROKULEWIC</t>
  </si>
  <si>
    <t>YANCY PROKULEWICZ</t>
  </si>
  <si>
    <t>CHRISTOPHER WOOD</t>
  </si>
  <si>
    <t>BEERS</t>
  </si>
  <si>
    <t>MARK BEERS</t>
  </si>
  <si>
    <t>CONDRON</t>
  </si>
  <si>
    <t>PAUL CONDRON</t>
  </si>
  <si>
    <t>DOOLITTLE</t>
  </si>
  <si>
    <t>RODNEY DOOLITTLE</t>
  </si>
  <si>
    <t>LADONNA JOHNSON</t>
  </si>
  <si>
    <t>ALBERTELLI</t>
  </si>
  <si>
    <t>MICHAEL ALBERTELLI</t>
  </si>
  <si>
    <t>LUTHER LOLLIS</t>
  </si>
  <si>
    <t>HUTSON</t>
  </si>
  <si>
    <t>RICHARD HUTSON</t>
  </si>
  <si>
    <t>ANDREWS</t>
  </si>
  <si>
    <t>ANTONIO ANDREWS</t>
  </si>
  <si>
    <t>CRAIG ARNOLD</t>
  </si>
  <si>
    <t>REED</t>
  </si>
  <si>
    <t>ALEX REED</t>
  </si>
  <si>
    <t>BROMLEY</t>
  </si>
  <si>
    <t>ARLO BROMLEY</t>
  </si>
  <si>
    <t>ROBERT WALKER</t>
  </si>
  <si>
    <t>PELLEGRINI</t>
  </si>
  <si>
    <t>MATTHEW PELLEGRINI</t>
  </si>
  <si>
    <t>STENGER</t>
  </si>
  <si>
    <t>WILLIAM STENGER</t>
  </si>
  <si>
    <t>KLUESNER</t>
  </si>
  <si>
    <t>KEVIN KLUESNER</t>
  </si>
  <si>
    <t>STEVENS</t>
  </si>
  <si>
    <t>DANIEL STEVENS</t>
  </si>
  <si>
    <t>RITCH</t>
  </si>
  <si>
    <t>ZACAHRY RITCH</t>
  </si>
  <si>
    <t>EICHEL</t>
  </si>
  <si>
    <t>CHRISTOPHER EICHEL</t>
  </si>
  <si>
    <t>HAYDEN</t>
  </si>
  <si>
    <t>DARRYL HAYDEN</t>
  </si>
  <si>
    <t>EMU</t>
  </si>
  <si>
    <t>HENDRIX EMU</t>
  </si>
  <si>
    <t>HOKANSON</t>
  </si>
  <si>
    <t>JILL HOKANSON</t>
  </si>
  <si>
    <t>WOLCOTT</t>
  </si>
  <si>
    <t>NICHOLAS WOLCOTT</t>
  </si>
  <si>
    <t>ENTERLINE</t>
  </si>
  <si>
    <t>GERAD ENTERLINE</t>
  </si>
  <si>
    <t>PAYNE</t>
  </si>
  <si>
    <t>ERIC PAYNE</t>
  </si>
  <si>
    <t>BENJAMIN LEE</t>
  </si>
  <si>
    <t>MOLUMBY</t>
  </si>
  <si>
    <t>JOHN MOLUMBY</t>
  </si>
  <si>
    <t>CHEEK</t>
  </si>
  <si>
    <t>NOAH CHEEK</t>
  </si>
  <si>
    <t>HOWARD</t>
  </si>
  <si>
    <t>LISA HOWARD</t>
  </si>
  <si>
    <t>NICELY</t>
  </si>
  <si>
    <t>HERMAN NICELY</t>
  </si>
  <si>
    <t>KUMAR</t>
  </si>
  <si>
    <t>ARVIND KUMAR</t>
  </si>
  <si>
    <t>SHABANI</t>
  </si>
  <si>
    <t>STEPHANIE SHABANI</t>
  </si>
  <si>
    <t>CATCHPOLE</t>
  </si>
  <si>
    <t>CHRISTINA CATCHPOLE</t>
  </si>
  <si>
    <t>WISE</t>
  </si>
  <si>
    <t>JAMES W WISE</t>
  </si>
  <si>
    <t>WAKEMAN</t>
  </si>
  <si>
    <t>KURT WAKEMAN</t>
  </si>
  <si>
    <t>NIEHAUS</t>
  </si>
  <si>
    <t>TRACY NIEHAUS</t>
  </si>
  <si>
    <t>MANIACI</t>
  </si>
  <si>
    <t>ANTHONY MANIACI</t>
  </si>
  <si>
    <t>RENCURREL-</t>
  </si>
  <si>
    <t>KAREN RENCURREL-ANDREWS</t>
  </si>
  <si>
    <t>LOWERY</t>
  </si>
  <si>
    <t>JOHN LOWERY</t>
  </si>
  <si>
    <t>GENOVESE</t>
  </si>
  <si>
    <t>WESTON GENOVESE</t>
  </si>
  <si>
    <t>REYNOLDS</t>
  </si>
  <si>
    <t>JAMES REYNOLDS</t>
  </si>
  <si>
    <t>TIEDE</t>
  </si>
  <si>
    <t>THOMAS TIEDE</t>
  </si>
  <si>
    <t>ANDREW WAGNER</t>
  </si>
  <si>
    <t>ANDWELE BUTLER</t>
  </si>
  <si>
    <t>SAUTTO</t>
  </si>
  <si>
    <t>HERBERT SAUTTO RAMOS</t>
  </si>
  <si>
    <t>THAPA</t>
  </si>
  <si>
    <t>SAGAR THAPA</t>
  </si>
  <si>
    <t>PERKINS</t>
  </si>
  <si>
    <t>JAYSON PERKINS</t>
  </si>
  <si>
    <t>CHANEY</t>
  </si>
  <si>
    <t>ALEXIS CHANEY</t>
  </si>
  <si>
    <t>HORD</t>
  </si>
  <si>
    <t>JONATHAN HORD</t>
  </si>
  <si>
    <t>HUNTER WAGNER</t>
  </si>
  <si>
    <t>BARRE</t>
  </si>
  <si>
    <t>JONATHAN BARRE</t>
  </si>
  <si>
    <t>MAIER</t>
  </si>
  <si>
    <t>MARTIN MAIER</t>
  </si>
  <si>
    <t>LUNDIE</t>
  </si>
  <si>
    <t>DAWSYN LUNDIE</t>
  </si>
  <si>
    <t>BULLARD</t>
  </si>
  <si>
    <t>JAKE BULLARD</t>
  </si>
  <si>
    <t>VEGA</t>
  </si>
  <si>
    <t>JAVIER VEGA</t>
  </si>
  <si>
    <t>JOSHUA GRANT</t>
  </si>
  <si>
    <t>STARLING</t>
  </si>
  <si>
    <t>BRYAN STARLING</t>
  </si>
  <si>
    <t>ANDRE RAMSEY</t>
  </si>
  <si>
    <t>FREES</t>
  </si>
  <si>
    <t>JOSEPH FREES</t>
  </si>
  <si>
    <t>BRODEN</t>
  </si>
  <si>
    <t>DARIUS BRODEN</t>
  </si>
  <si>
    <t>MUMMAW</t>
  </si>
  <si>
    <t>GREGORY MUMMAW</t>
  </si>
  <si>
    <t>NIKITA KHANGELWAL</t>
  </si>
  <si>
    <t>HEINHOLD</t>
  </si>
  <si>
    <t>MATTHEW HEINHOLD</t>
  </si>
  <si>
    <t>MCCALLUM</t>
  </si>
  <si>
    <t>DERICK MCCALLUM</t>
  </si>
  <si>
    <t>GULOTTA</t>
  </si>
  <si>
    <t>GASPER GULOTTA</t>
  </si>
  <si>
    <t>AJAEGBU</t>
  </si>
  <si>
    <t>DAVIS AJAEGBU</t>
  </si>
  <si>
    <t>DIEDRICK</t>
  </si>
  <si>
    <t>HALEY DIEDRICK</t>
  </si>
  <si>
    <t>SANLEY</t>
  </si>
  <si>
    <t>SAMUEL STANLEY</t>
  </si>
  <si>
    <t>HEAD</t>
  </si>
  <si>
    <t>CHRISTOPHER HEAD</t>
  </si>
  <si>
    <t>PIES</t>
  </si>
  <si>
    <t>KIRK PIES</t>
  </si>
  <si>
    <t>MILLICENT SMITH</t>
  </si>
  <si>
    <t>LAU</t>
  </si>
  <si>
    <t>TRI KHANG LAU</t>
  </si>
  <si>
    <t>HEFFNER</t>
  </si>
  <si>
    <t>JONATHAN HEFFNER</t>
  </si>
  <si>
    <t>AGANS</t>
  </si>
  <si>
    <t>KENNETH AGANS</t>
  </si>
  <si>
    <t>KASAKO</t>
  </si>
  <si>
    <t>ANDREW KASAKO</t>
  </si>
  <si>
    <t>JOSEPH REESE STEVENS</t>
  </si>
  <si>
    <t>CARMON</t>
  </si>
  <si>
    <t>JAMES CARMON</t>
  </si>
  <si>
    <t>LONGO</t>
  </si>
  <si>
    <t>JOOYEON LONGO</t>
  </si>
  <si>
    <t>SABUROV</t>
  </si>
  <si>
    <t>MICHAEL SABUROV</t>
  </si>
  <si>
    <t>SEAN KENNEDY</t>
  </si>
  <si>
    <t>BELLINGER</t>
  </si>
  <si>
    <t>DAVID BELLINGER</t>
  </si>
  <si>
    <t>HERRYGERS</t>
  </si>
  <si>
    <t>RYAN HERRYGERS</t>
  </si>
  <si>
    <t>CAHALON</t>
  </si>
  <si>
    <t>DANIEL CAHALAN</t>
  </si>
  <si>
    <t>DANIELS</t>
  </si>
  <si>
    <t>ERIC DANIELS</t>
  </si>
  <si>
    <t>LEMLEY</t>
  </si>
  <si>
    <t>TIMOTHEY LEMLEY</t>
  </si>
  <si>
    <t>SCHMIDT</t>
  </si>
  <si>
    <t>DANIEL SCHMIDT</t>
  </si>
  <si>
    <t>WALROD</t>
  </si>
  <si>
    <t>DANIEL WALROD</t>
  </si>
  <si>
    <t>EUDY</t>
  </si>
  <si>
    <t>JASON EUDY</t>
  </si>
  <si>
    <t>WATZEL</t>
  </si>
  <si>
    <t>THOMAS WATZEL</t>
  </si>
  <si>
    <t>ANITA CAMPBELL</t>
  </si>
  <si>
    <t>PULLIAM</t>
  </si>
  <si>
    <t>JOHNNY PULLIAM</t>
  </si>
  <si>
    <t>POWELL</t>
  </si>
  <si>
    <t>MATTHEW POWELL</t>
  </si>
  <si>
    <t>AINSLEY WILLIAMS</t>
  </si>
  <si>
    <t>RACE REYNOLDS</t>
  </si>
  <si>
    <t>HASIB</t>
  </si>
  <si>
    <t>ABDUL HASIB</t>
  </si>
  <si>
    <t>SHELDRICK</t>
  </si>
  <si>
    <t>JACK SHELDRICK</t>
  </si>
  <si>
    <t>(D) BRITTANY BROWN</t>
  </si>
  <si>
    <t>BRITTANY BROWN</t>
  </si>
  <si>
    <t>NGO</t>
  </si>
  <si>
    <t>JONATHAN NGO</t>
  </si>
  <si>
    <t>SEIBERT</t>
  </si>
  <si>
    <t>TODD SEIBERT</t>
  </si>
  <si>
    <t>HYMAN</t>
  </si>
  <si>
    <t>NOAH HYMAN</t>
  </si>
  <si>
    <t>HORNBUCKLE</t>
  </si>
  <si>
    <t>ROBERT HORNBUCKLE</t>
  </si>
  <si>
    <t>LEONARD</t>
  </si>
  <si>
    <t>MAIA LEONARD</t>
  </si>
  <si>
    <t>ROYSTER</t>
  </si>
  <si>
    <t>GREGORY ROYSTER</t>
  </si>
  <si>
    <t>KREMER</t>
  </si>
  <si>
    <t>MATTHEW KREMER</t>
  </si>
  <si>
    <t>LOWE</t>
  </si>
  <si>
    <t>PAUL LOWE</t>
  </si>
  <si>
    <t>BAKER</t>
  </si>
  <si>
    <t>CAMERON BAKER</t>
  </si>
  <si>
    <t>ROCCA</t>
  </si>
  <si>
    <t>MASSIMO ROCCA</t>
  </si>
  <si>
    <t>NICHOLAS BARRE</t>
  </si>
  <si>
    <t>BARKER</t>
  </si>
  <si>
    <t>MICHAEL BARKER</t>
  </si>
  <si>
    <t>BIBEE</t>
  </si>
  <si>
    <t>GRAYSON BIBEE</t>
  </si>
  <si>
    <t>MILES</t>
  </si>
  <si>
    <t>CORNELIUS F MILES</t>
  </si>
  <si>
    <t>CAMARA</t>
  </si>
  <si>
    <t>ISAAC CAMARA</t>
  </si>
  <si>
    <t>JIKAR</t>
  </si>
  <si>
    <t>PARTH JIKAR</t>
  </si>
  <si>
    <t>GAUGH</t>
  </si>
  <si>
    <t>EARL BAUGH</t>
  </si>
  <si>
    <t>ZALEWSKI</t>
  </si>
  <si>
    <t>BRANDON ZALEWSKI</t>
  </si>
  <si>
    <t>DESJARDINS</t>
  </si>
  <si>
    <t>TIMOTHY DESJARDINS</t>
  </si>
  <si>
    <t>SUPERCHI</t>
  </si>
  <si>
    <t>ANDREA SUPERCHI</t>
  </si>
  <si>
    <t>KAZDA</t>
  </si>
  <si>
    <t>NATHAN KAZDA</t>
  </si>
  <si>
    <t>UNG</t>
  </si>
  <si>
    <t>HENRY UNG</t>
  </si>
  <si>
    <t>SHOEMAKER</t>
  </si>
  <si>
    <t>WILL SHOEMAKER</t>
  </si>
  <si>
    <t>TRAMBER</t>
  </si>
  <si>
    <t>ANTONIO TRAMBER</t>
  </si>
  <si>
    <t>MANINALETH</t>
  </si>
  <si>
    <t>SHAWN MANINALETHU</t>
  </si>
  <si>
    <t>KEMMANN</t>
  </si>
  <si>
    <t>CHRISTOPHER KEMMANN</t>
  </si>
  <si>
    <t>SYS-US</t>
  </si>
  <si>
    <t>K101117</t>
  </si>
  <si>
    <t>SON-US-HOL</t>
  </si>
  <si>
    <t>KUKA U. S. HOLDINGS COMPA</t>
  </si>
  <si>
    <t>K101118</t>
  </si>
  <si>
    <t>SYS-KTPO-U</t>
  </si>
  <si>
    <t>43608-1310</t>
  </si>
  <si>
    <t>KUKA TOLEDO PRODUCTION OP</t>
  </si>
  <si>
    <t>K101309</t>
  </si>
  <si>
    <t>ROB-US</t>
  </si>
  <si>
    <t>48315-1787</t>
  </si>
  <si>
    <t>K2000062</t>
  </si>
  <si>
    <t>REIS-R-US</t>
  </si>
  <si>
    <t>60110-1721</t>
  </si>
  <si>
    <t>CARPENTERSVILLE</t>
  </si>
  <si>
    <t>REIS ROBOTICS USA, INC.</t>
  </si>
  <si>
    <t>K2000084</t>
  </si>
  <si>
    <t>SL-H-US</t>
  </si>
  <si>
    <t>CITY OF DOVER</t>
  </si>
  <si>
    <t>SWISSLOG USA INC.</t>
  </si>
  <si>
    <t>K2000225</t>
  </si>
  <si>
    <t>K2000231</t>
  </si>
  <si>
    <t>KUKA U.S. HOLDINGS COMPAN</t>
  </si>
  <si>
    <t>K2000254</t>
  </si>
  <si>
    <t>SL-L-US</t>
  </si>
  <si>
    <t>STATE DEPARTMENT</t>
  </si>
  <si>
    <t>SWISSLOG LOGISTICS, INC.</t>
  </si>
  <si>
    <t>K2000264</t>
  </si>
  <si>
    <t>SYS-A&amp;T-US</t>
  </si>
  <si>
    <t>KUKA ASSEMBLY &amp; TEST CORP</t>
  </si>
  <si>
    <t>K2000266</t>
  </si>
  <si>
    <t>K2000270</t>
  </si>
  <si>
    <t>K2000286</t>
  </si>
  <si>
    <t>REIS ROBOTICS USA INC.</t>
  </si>
  <si>
    <t>K2000292</t>
  </si>
  <si>
    <t>SWISSLOG LOGISTICS, INC</t>
  </si>
  <si>
    <t>K2000293</t>
  </si>
  <si>
    <t>ROB-VC-NA</t>
  </si>
  <si>
    <t>48360</t>
  </si>
  <si>
    <t>VISUAL COMPONENTS NORTH A</t>
  </si>
  <si>
    <t>K2000294</t>
  </si>
  <si>
    <t>SL-TLC-US</t>
  </si>
  <si>
    <t>TRANSLOGIC CORPORATION</t>
  </si>
  <si>
    <t>K2000297</t>
  </si>
  <si>
    <t>K2000298</t>
  </si>
  <si>
    <t>SWISSLOG LOGISTICS INC.</t>
  </si>
  <si>
    <t>K201205</t>
  </si>
  <si>
    <t>48601-5828</t>
  </si>
  <si>
    <t>KUKA ASSEMBLY AND TEST CO</t>
  </si>
  <si>
    <t>K202128</t>
  </si>
  <si>
    <t>REIS-ROB-U</t>
  </si>
  <si>
    <t>P018</t>
  </si>
  <si>
    <t>80239-2913</t>
  </si>
  <si>
    <t>P033</t>
  </si>
  <si>
    <t>23603-1369</t>
  </si>
  <si>
    <t>P034</t>
  </si>
  <si>
    <t>80020-2855</t>
  </si>
  <si>
    <t>TRANSLOGIC CORPORATION DB</t>
  </si>
  <si>
    <t>P036</t>
  </si>
  <si>
    <t>SL-FIES-US</t>
  </si>
  <si>
    <t>45040-8819</t>
  </si>
  <si>
    <t>FORTE INDUSTRIAL EQUIPMEN</t>
  </si>
  <si>
    <t>Part number</t>
  </si>
  <si>
    <t>Manufacturer</t>
  </si>
  <si>
    <t>Provider</t>
  </si>
  <si>
    <t>Materials Group</t>
  </si>
  <si>
    <t>Materials Group Desc.</t>
  </si>
  <si>
    <t>Project or SPP</t>
  </si>
  <si>
    <t>Intemized</t>
  </si>
  <si>
    <t>Units meas.</t>
  </si>
  <si>
    <t>c</t>
  </si>
  <si>
    <t>Puchase Group</t>
  </si>
  <si>
    <t>K50LYXXPPB2Q</t>
  </si>
  <si>
    <t>K50L Series EZ-LIGHT: 1-Color Indicator with Dry Contact Switch; Voltage: 12-30 V dc; Housing: Polycarbonate; IP67; Input: PNP; Colors: Yellow; 4-pin M12 Integral</t>
  </si>
  <si>
    <t>EC Pushbutton, Lamp</t>
  </si>
  <si>
    <t>K</t>
  </si>
  <si>
    <t>B</t>
  </si>
  <si>
    <t>PC</t>
  </si>
  <si>
    <t>036 US Spare Parts (CS)</t>
  </si>
  <si>
    <t>SSA-EB1PLGR-0DECQ8</t>
  </si>
  <si>
    <t>Emergency Stop with ISD: 30 mm Mount with 40 mm Push Button; Illuminated Color: Green/Red Flashing; 2 N.C. OSSD Safety Contacts, IP65; 8-pin M12</t>
  </si>
  <si>
    <t>EA</t>
  </si>
  <si>
    <t>037 US Project (NB)</t>
  </si>
  <si>
    <t>TL50BYQ</t>
  </si>
  <si>
    <t>L50 Tower Light: 2-Color Indicator; Voltage: 18-30 V dc or 24 V ac; Environmental Rating: IP67; Input: Bimodal; Colors: Blue Yellow; 4-pin M12</t>
  </si>
  <si>
    <t>AU</t>
  </si>
  <si>
    <t>038 US Mason</t>
  </si>
  <si>
    <t>TL50GBYRAOSQ</t>
  </si>
  <si>
    <t>Tower Light: 4-Color Sealed; Omnidirectional Continuous Audible Indicator; Voltage: 18-30 V dc or 24 V ac; Environmental Rating: IP67; Input: Bimodal; Colors: Green Blue Yellow Red; 8-pin M12 Integra</t>
  </si>
  <si>
    <t>219 US ATC</t>
  </si>
  <si>
    <t>SMB30A</t>
  </si>
  <si>
    <t>Bracket: Right-Angle Mounting; Material: 12 Gauge Stainless Steel; Curved mounting slot for versatility/orientation; Clearance for M6 (1/4 in) hardwar</t>
  </si>
  <si>
    <t>Mechanical Component: Mounting Hardware</t>
  </si>
  <si>
    <t>SSA-MBK-EEC2</t>
  </si>
  <si>
    <t>Bracket: E-STOP Mounting Hub Bracket; Right-Angle; Two 30 mm Holes; Black;</t>
  </si>
  <si>
    <t>SSA-MBK-EEC1</t>
  </si>
  <si>
    <t>Bracket: E-STOP Mounting Hub Bracket; Right-Angle; One 30 mm Hole; Black</t>
  </si>
  <si>
    <t>By EE Installer</t>
  </si>
  <si>
    <t>SOP-E12-300A</t>
  </si>
  <si>
    <t>300 mm Elevated-Use Stand-Off Pipe (1/2 in NPSM/DN15)</t>
  </si>
  <si>
    <t>By Swisslog USA</t>
  </si>
  <si>
    <t>QS18VP6LDQ8</t>
  </si>
  <si>
    <t>WORLD-BEAM QS18 Series: Laser Diffuse; Range: 300 mm; Input: 10-30 V dc; Output: Complementary Solid-State PNP; 4-pin M12 Integral</t>
  </si>
  <si>
    <t>By Swisslog EU</t>
  </si>
  <si>
    <t>SMB18A</t>
  </si>
  <si>
    <t>Bracket: 18 mm Right-Angle-mount; Material: 11 Gauge Stainless Steel; Curved mounting slot for versatility/orientation; Clearance for M4 #8 hardware</t>
  </si>
  <si>
    <t>MQDEC-450SS</t>
  </si>
  <si>
    <t>Cordset A-Code M12 to A-Code M12 Double Ended 5-pin Straight Female; 4-pin Straight Male Connectors 15.2 m (49.86 ft) in Length</t>
  </si>
  <si>
    <t>Photoelectric retro-reflective sensor M12 MALE</t>
  </si>
  <si>
    <t>Universal bar clamp systems</t>
  </si>
  <si>
    <t>MQDC-415</t>
  </si>
  <si>
    <t>Cordset A-Code M12 Single Ended; 4-pin Straight Female Connector; 5 m (16.4 ft) in Length; Black PVC Jacket, Nickel-Plated Brass Nu</t>
  </si>
  <si>
    <t>MQDEC1-815SS</t>
  </si>
  <si>
    <t>M12 Quick Disconnect Cable; Double-Ended; 8-pin Male Connector Straight; 8-pin Female Connector Straight; 5.0 m Length Black Cabl</t>
  </si>
  <si>
    <t>E20997</t>
  </si>
  <si>
    <t>Die cast zinc swivel bracket</t>
  </si>
  <si>
    <t>E20870</t>
  </si>
  <si>
    <t>Metal short swivel bracket</t>
  </si>
  <si>
    <t>3SU18020AB002AB1</t>
  </si>
  <si>
    <t>Enclosure for command devices, 22 mm, round, Enclosure material plastic, enclosure top part gray, 2 control points plastic, B=Pushbutton green, label: I, 1 NO, screw terminal, A=Pushbutton red, label: O, 1 NC, screw terminal, floor mounting, 1xM20 each on top and bottom, Labels enclosed</t>
  </si>
  <si>
    <t>3SU19000HG100AA0</t>
  </si>
  <si>
    <t>metric screw connection M20 with hexagon nut for enclosure</t>
  </si>
  <si>
    <t>IE-SW-BL05-5TX</t>
  </si>
  <si>
    <t>WEIDMULLER</t>
  </si>
  <si>
    <t>Network switch, unmanaged, Fast Ethernet,
Number of ports: 5x RJ45, IP30, -10 °C...60 °C</t>
  </si>
  <si>
    <t>MQDC-830</t>
  </si>
  <si>
    <t>Cordset A-Code M12 Single Ended; 8-Pin Straight Female Connector with Shield; 9 m (29.52 ft) in Length</t>
  </si>
  <si>
    <t>U0885-26</t>
  </si>
  <si>
    <t>M12 Field Wireable 8 Pin Straight Female Connector, PG 9</t>
  </si>
  <si>
    <t>Electrical Component: Cables, Connectors</t>
  </si>
  <si>
    <t>MQDMC-430</t>
  </si>
  <si>
    <t>Cordset A-Code M12 Single Ended 4-pin Straight Male Connector 10.04 m (32.93 ft) in Length</t>
  </si>
  <si>
    <t>MQDEC-430SS</t>
  </si>
  <si>
    <t>Cordset A-Code M12 to A-Code M12 Double Ended; 5-pin Straight Female; 4-pin Straight Male Connectors; 9.2 m (30.18 ft) in Length</t>
  </si>
  <si>
    <t>RP-RM83F-75LTE</t>
  </si>
  <si>
    <t>Heavy-Duty Metal Emergency Stop Rope Pull; Turnbuckle Attachment, 75 m Max Range, Integral E-Stop Button; Latch Actuation, 2 NC Safety Contacts; 2 NO Aux contacts, PNP Aux Output</t>
  </si>
  <si>
    <t>RPA-C2-80</t>
  </si>
  <si>
    <t>RPA-C2-80 ROPE PULL ACCESS ROPE WIRE 3MM DIA 80M LONG</t>
  </si>
  <si>
    <t>RPA-C1-100</t>
  </si>
  <si>
    <t>RPA-C1-100 ROPE PULL ACCESS ROPE WIRE 2MM DIA 100M LONG</t>
  </si>
  <si>
    <t>RPA-T1-4</t>
  </si>
  <si>
    <t>RPA-T1-4 ROPE PULL ACCESSORY THIMBLE ZINC 1/16-3/32 QTY 4</t>
  </si>
  <si>
    <t>RPA-T2-4</t>
  </si>
  <si>
    <t>RPA-T2-4 ROPE PULL ACCESSORY THIMBLE ZINC 3/32-1/8 QTY 4</t>
  </si>
  <si>
    <t>RPA-CC1-4</t>
  </si>
  <si>
    <t>RPA-CC1-4 ROPE PULL ACCESSORY CLAMP #2 QTY 4</t>
  </si>
  <si>
    <t>RPA-CC2-4</t>
  </si>
  <si>
    <t>RPA-CC2-4 ROPE PULL ACCESSORY CLAMP #3 QTY 4</t>
  </si>
  <si>
    <t>RPA-TA1-1</t>
  </si>
  <si>
    <t>RPA-TA1-1 ROPE PULL ACCESSORY TURNBUCKLE #4 QTY 1</t>
  </si>
  <si>
    <t>RPA-EB1-1</t>
  </si>
  <si>
    <t>RPA-EB1-1 ROPE PULL ACCESSORY EYE BOLT 1/4-20 x 3 in SHFT QTY1</t>
  </si>
  <si>
    <t>RPA-S3-1</t>
  </si>
  <si>
    <t>Rope Pull Spring Qty 1; Used with: RP-LS42 and RP-RM83; 75 m</t>
  </si>
  <si>
    <t>SI-QM-CGM20</t>
  </si>
  <si>
    <t>SI-QM-CGM20 SAFETY INTERLOCK
M20 × 1.5 Metal 5.0 to 12.0 mm (0.20 to
0.47 inches)</t>
  </si>
  <si>
    <t>KEM316UL Y/R</t>
  </si>
  <si>
    <t>ALTECH CORP</t>
  </si>
  <si>
    <t>Disconnect Switch, Enclosed, 16A, 600VAC, 3, Polycarbonate, 16, KEM Series</t>
  </si>
  <si>
    <t>FPT300.246-042-101</t>
  </si>
  <si>
    <t>300W, 380-480VAC 3PH, 24-28VDC, 12.5-10.7A (IN HAN Q5/0, OUT (4) M12-A), NEC CLASS 2, IP54</t>
  </si>
  <si>
    <t>Electrical Component: Power Supply</t>
  </si>
  <si>
    <t>MQDC1-530</t>
  </si>
  <si>
    <t>Cordset A-Code M12 Single Ended; 5-pin Straight Female Connector; 9 m (29.52 ft) in Length</t>
  </si>
  <si>
    <t>MQDC1-815</t>
  </si>
  <si>
    <t>Cordset A-Code M12 to Flying Leads Single Ended; 8-Pin Straight Female Connector; 5.00 m (16.40 ft) in Length</t>
  </si>
  <si>
    <t>HARTING</t>
  </si>
  <si>
    <t>Han 3A Hood Top Entry M20 Black</t>
  </si>
  <si>
    <t>Han 3A IP67 M3 sealing screw</t>
  </si>
  <si>
    <t>Han Q5/0-M-QL 2,5mm²</t>
  </si>
  <si>
    <t>Han CGM-P M20x1,5 D.6-12mm black</t>
  </si>
  <si>
    <t>SI-RFA-TS</t>
  </si>
  <si>
    <t>SI-RF Safety Switch; T Adapter for series connection; IP68 Rated FEMALE 8P, FEMALE 4P AND MALE 4P</t>
  </si>
  <si>
    <t>MQDEC-412SS</t>
  </si>
  <si>
    <t>Cordset A-Code M12 to A-Code M12 Double Ended; 5-pin Straight Female; 4-pin Straight Male Connectors; 3.66 m (12 ft) in Length</t>
  </si>
  <si>
    <t xml:space="preserve">MQDEC-403SS </t>
  </si>
  <si>
    <t>Cordset A-Code M12 to A-Code M12 Double Ended; 5-pin Straight Female; 4-pin Straight Male Connectors; 0.91 m (2.98 ft) in Length</t>
  </si>
  <si>
    <t xml:space="preserve">DEE2R-88D </t>
  </si>
  <si>
    <t>Cordset A-Code M12 to A-Code M12 Double Ended; 8-pin Straight Female; 8-pin Straight Male Connectors; 2.44 m (8 ft) in Length</t>
  </si>
  <si>
    <t xml:space="preserve">MQDEC1-810SS </t>
  </si>
  <si>
    <t>M12 Quick Disconnect Cable; Double-Ended; 8-pin Male Connector Straight; 8-pin Female Connector Straight; 3.0 m Length Black Cable</t>
  </si>
  <si>
    <t>ESRT-A4.400-GC2K-5</t>
  </si>
  <si>
    <t>A-Code M12 male 4Pin 5 meters</t>
  </si>
  <si>
    <t>SI-RFA-P</t>
  </si>
  <si>
    <t>SI-RF Safety Switch; Termination plug M12; IP68 Rated</t>
  </si>
  <si>
    <t>MQDMC-415</t>
  </si>
  <si>
    <t>Cordset A-Code M12 Single Ended; 4-pin Straight Male Connector; 5.04 m (16.4 ft) in Length</t>
  </si>
  <si>
    <t xml:space="preserve">889D-F4AE-2 </t>
  </si>
  <si>
    <t>Allen Bradley</t>
  </si>
  <si>
    <t>M12 Female, Straight ,4 Pins, 18AWG,PVC Cable, Yellow, 18AWG,Cable IEC Stndrd Color Code,Standard, 2 m</t>
  </si>
  <si>
    <t>889D-F4AE-5</t>
  </si>
  <si>
    <t>M12 Female, Straight ,4 Pins, 18AWG,PVC Cable, Yellow, 18AWG,Cable IEC Stndrd Color Code,Standard, 5 m</t>
  </si>
  <si>
    <t>889D-F4AE-10</t>
  </si>
  <si>
    <t>M12 Female, Straight ,4 Pins, 18AWG,PVC Cable, Yellow, 18AWG,Cable IEC Stndrd Color Code,Standard, 10 m</t>
  </si>
  <si>
    <t>FPT500.241.006-104</t>
  </si>
  <si>
    <t>IP65/67 power supply 24V, 20A with ASI black DC output power cable 1M</t>
  </si>
  <si>
    <t>61 88 780 0101 5</t>
  </si>
  <si>
    <t>Powercbl. Han Q4/2 f str 4G1,5</t>
  </si>
  <si>
    <t>61 88 780 0701 5</t>
  </si>
  <si>
    <t>Powercbl. Han Q5/0 f str 4G1,5</t>
  </si>
  <si>
    <t>61 88 201 0357</t>
  </si>
  <si>
    <t>Motor Cable (screened) for Motors, one-sided prefabricated 4x2.5mm2 14AWG without Brake 5 meters</t>
  </si>
  <si>
    <t>61 88 201 0292</t>
  </si>
  <si>
    <t>Motor cable for FC, shielded
HAN Q8 - open 4x2.5 mm² + 2x (2x0.75 mm²) Length 3 m</t>
  </si>
  <si>
    <t>61 88 201 0608 00</t>
  </si>
  <si>
    <t>Y-distributor, With maintenance switch, On/off Switch, for 0.75kW - 3.5 kW motor</t>
  </si>
  <si>
    <t>6SL3525-0PE17-5AA1</t>
  </si>
  <si>
    <t>0.75kw 1HP Veriable Frequency Drive</t>
  </si>
  <si>
    <t>6SL3525-0PE21-5AA1</t>
  </si>
  <si>
    <t>1.5kw 1.5HP Veriable Frequency Drive</t>
  </si>
  <si>
    <t>6SL3544-0FB20-1FA0</t>
  </si>
  <si>
    <t>SINAMICS G120D Control Unit CU240D-2 PN PROFINET, STO onboard 6 DI/1 F-DI, 2 DO, 2 AI USB interface SD/MMC 
card interface HTL encoder interface Degree of protection IP65 Ambient temperature -10 to +50 °C without Power Module</t>
  </si>
  <si>
    <t>61 88 201 0289 00</t>
  </si>
  <si>
    <t>Motor cable Q8/0 M 4G1.5+2x2x0.75 EMC 3.0m</t>
  </si>
  <si>
    <t>A3448</t>
  </si>
  <si>
    <t>Turck</t>
  </si>
  <si>
    <t xml:space="preserve">LOCKNUT-P18 (10/BAG) </t>
  </si>
  <si>
    <t>OPT2010</t>
  </si>
  <si>
    <t>Wenglor</t>
  </si>
  <si>
    <t>Photoelectric sensor, square, polycarbonate, diffuse with
background suppression, 0-3m sensing distance, complementary
light-on/dark-on, PNP, teach-in button, 1 kHz switching frequency, 5-
pin M12 quick-disconnect</t>
  </si>
  <si>
    <t>OPT2038</t>
  </si>
  <si>
    <t>Mounting bracket, right-angle, vertical and horizontal
adjustment, 304 stainless steel. For use with OPT series 50x50mm
photoelectric sensors.</t>
  </si>
  <si>
    <t>CD12M-0B-070-A1</t>
  </si>
  <si>
    <t xml:space="preserve"> AutomationDirect</t>
  </si>
  <si>
    <t>Connection cable, M12 axial female to pigtail, 4-
pole, PVC jacket, gray, 22.9ft/7m cable length, IP67, sensor &amp;
signal.</t>
  </si>
  <si>
    <t>3SU1804-0NZ00 K0Y</t>
  </si>
  <si>
    <t>Enclosure for Command devices 22 mm, round, Enclosure material 
plastic, 4 control points, Customer-specific selection with SIRIUS 
ACT configurator (CIN), with EMERGENCY STOP 
K0Y CIN20210730145836170018</t>
  </si>
  <si>
    <t>SSA-EB1PLXR-12ECQ8</t>
  </si>
  <si>
    <t>30 MM MOUNT EMERGENCY STOP 1.0
PUSH BUTTON; RED SOLID/FLASHING ILLUMINATED 
BASE; 40 MM ACTUATOR; IP65; CONTACTS: 2NC/1NO-PNP; 
M12 8-PIN QD</t>
  </si>
  <si>
    <t>00.704.0504.1</t>
  </si>
  <si>
    <t>Weiland</t>
  </si>
  <si>
    <t xml:space="preserve">Tray Cable 7G4PVC 12AWG 7 core Tray rated Flat Cable. Per 100Meters
</t>
  </si>
  <si>
    <t>Z5.562.7553.1</t>
  </si>
  <si>
    <t xml:space="preserve">Cable piece for Podis Ribbon Cable End 
</t>
  </si>
  <si>
    <t>75.018.0051.2</t>
  </si>
  <si>
    <t>Connection module FCS 4 7 SI FK; 7-pole, 20 A; 500V, 4 kV/3 (VDE); protection type IP65; insulating piercing contact 1 x 4 sq.mm, finely stranded/single stranded via spring terminals; 4 knock outs (2 x M20, 2 x M25); black</t>
  </si>
  <si>
    <t>Z5.507.1553.1</t>
  </si>
  <si>
    <t>cable screw gland M 25 x 1,5 SCHWARZ</t>
  </si>
  <si>
    <t>05.505.0253.1</t>
  </si>
  <si>
    <t>nut M 25 x 1,5 SCHWARZ</t>
  </si>
  <si>
    <t>06.502.5200.0</t>
  </si>
  <si>
    <t>Screw Driver inser Phillips Gr.1 Shaft Length 45mm</t>
  </si>
  <si>
    <t>BW4243</t>
  </si>
  <si>
    <t>BIHL WIEDEMANN</t>
  </si>
  <si>
    <t xml:space="preserve">AUX 48 V profile cable, EPDM, gray, 2 wires, 2.5 mm², 100 m </t>
  </si>
  <si>
    <t>Bihl wiedemann</t>
  </si>
  <si>
    <t>BW3169</t>
  </si>
  <si>
    <t xml:space="preserve">AUX 48 V profile cable, EPDM, black, 2 wires, 2.5 mm², 100 m </t>
  </si>
  <si>
    <t>Olflex TRAY II caable 10AWG 7 Core</t>
  </si>
  <si>
    <t>Olflex TRAY II caable 12AWG 7 Core</t>
  </si>
  <si>
    <t>Olflex TRAY II caable 12AWG 4 Core</t>
  </si>
  <si>
    <t>Olflex TRAY II caable 14AWG 3 Core</t>
  </si>
  <si>
    <t>Olflex TRAY II caable 18AWG 5 Core</t>
  </si>
  <si>
    <t>Olflex TRAY II caable 18AWG 9 Core</t>
  </si>
  <si>
    <t>Olflex TRAY II caable 18AWG 4 Core</t>
  </si>
  <si>
    <t>Etherline CAT5E 4COND 22AWG GRN FEET</t>
  </si>
  <si>
    <t>Etherline 2 pair CAT.5E  flexible</t>
  </si>
  <si>
    <t>SI-K30LGRX7P</t>
  </si>
  <si>
    <t>Banner</t>
  </si>
  <si>
    <t>Green/Red (overrides Green)
Used with RP Rope Pull and SI Interlocking Switches
M20 x 1.5 Threaded Housing, 130 mm (5 in) wires</t>
  </si>
  <si>
    <t>RPAK-CH2-80</t>
  </si>
  <si>
    <t>Ropepull hardware kit
80 m 3 mm steel rope, 11 eye bolts, 4 clamps and 4 thimbles</t>
  </si>
  <si>
    <t>TL70BYQ</t>
  </si>
  <si>
    <t>Tower Light: 2-Color Indicator Yellow/Blue M12 - 4 Pin</t>
  </si>
  <si>
    <t>TL70YQ</t>
  </si>
  <si>
    <t>TL70 Tower Light; Black Housing: 1-Color Indicator Yellow</t>
  </si>
  <si>
    <t>TL70BGYRALQ</t>
  </si>
  <si>
    <t>4 Color Beacon with Horn M12 - 8-Pin</t>
  </si>
  <si>
    <t>SSA-EB1PLGR-12ECQ8</t>
  </si>
  <si>
    <t>SSA-EB1 30 mm Mount Emergency Stop Push Button Red Solid/Flashing Illuminated Base 40 mm Actuator M12 8-pin</t>
  </si>
  <si>
    <t>SOP-E12-900A</t>
  </si>
  <si>
    <t>900 mm Elevated-Use Stand-Off Pipe (1/2 in NPSM/DN15)</t>
  </si>
  <si>
    <t>SA-M30</t>
  </si>
  <si>
    <t>SA-M30 Steamlined Black Acetal Stand-Off Pipe Adapter/Cover with M30 x 1.5 Threads for use with K70 and K90 EZ-Light</t>
  </si>
  <si>
    <t>SOK-TL70-150A</t>
  </si>
  <si>
    <t>TL70 Pipe Bracket Kit Adapter, Stand-off Pipe, Base Mount</t>
  </si>
  <si>
    <t>SSA-MBK-EEC3</t>
  </si>
  <si>
    <t>Bracket: E-STOP Mounting Hub Bracket, Right-Angle; Three 30 mm Hole Black</t>
  </si>
  <si>
    <t>99 0487 12 08</t>
  </si>
  <si>
    <t>Binder</t>
  </si>
  <si>
    <t>M12 Male cable connector, Contacts: 8, 6.0-8.0 mm, unshielded, screw clamp, IP67, UL</t>
  </si>
  <si>
    <t>K50LGXXPPB2Q</t>
  </si>
  <si>
    <t>GREEN PUSH BUTTON</t>
  </si>
  <si>
    <t>EP1957-2222</t>
  </si>
  <si>
    <t>Beckhoff</t>
  </si>
  <si>
    <t>EtherCAT Box, 8 digital inputs, 4 digital outputs with up to 0,5 A</t>
  </si>
  <si>
    <t>Electrical Component: Controls</t>
  </si>
  <si>
    <t>EP2339-0042</t>
  </si>
  <si>
    <t>EtherCAT Box, 16-channel digital combi, 24 V DC, 3 ms, 0.5 A, M12</t>
  </si>
  <si>
    <t>Euchner</t>
  </si>
  <si>
    <t>Connecting cable with plug connector M12, 8-pin, 10 m</t>
  </si>
  <si>
    <t>MGBS set AP, M12, door hinge on Right</t>
  </si>
  <si>
    <t>Electrical Component: Sensor, Scanner</t>
  </si>
  <si>
    <t>Connecting cable with plug connector M12, 8-pin, 20 m</t>
  </si>
  <si>
    <t>Eaton</t>
  </si>
  <si>
    <t>Eaton Rotary disconnect switch, 25 A, Surface, Category: disconnect switch, Red handle</t>
  </si>
  <si>
    <t>M12 Male cable connector, Contacts: 4, 5.0-8.0 mm, shieldable, screw clamp, IP67, UL</t>
  </si>
  <si>
    <t>BWU4975</t>
  </si>
  <si>
    <t>Passive Distributor AUX, 16A/20A, to 1 x 7/8" cable socket, straight, 5 poles, depth 25 mm, IP67</t>
  </si>
  <si>
    <t>BWU5189</t>
  </si>
  <si>
    <t>Passive Distributor AUX to 1 x M8 cable socket, straight, 4 poles, depth 19 mm, IP67</t>
  </si>
  <si>
    <t>M8 Male cable connector, Contacts: 4, 3.5-5.0 mm, unshielded, solder, IP67, UL</t>
  </si>
  <si>
    <t>BWU5132</t>
  </si>
  <si>
    <t>Bihl Wiedemann</t>
  </si>
  <si>
    <t>Passive Distributor AUX, 16A/20A, to 1 x M12 power cable socket, angled, L-coded, 4 poles, depth 25 mm, IP67</t>
  </si>
  <si>
    <t>9000-41014-0400067</t>
  </si>
  <si>
    <t>MICO IP67 electronic circuit protection, 4 Channels, 4A</t>
  </si>
  <si>
    <t>M12 Male cable connector, Contacts: 8, 8.0-10.0 mm, unshielded, screw clamp, IP67, UL, PG 11</t>
  </si>
  <si>
    <t>CC-2025-002565</t>
  </si>
  <si>
    <t>Flextee, M12-8p female 0º, 0.3m / 2x M12-3p male &amp; M12-8p female, PUR 3x0.34 &amp; PVC 8x0.25 bk UL/CSA 0.3m</t>
  </si>
  <si>
    <t>CC-2025-002566</t>
  </si>
  <si>
    <t>Flextee, M12-8p female 0º, 0.3m / 2x M12-3p male, PVC 8x0.25 &amp; 3x0.34 bk UL/CSA 0.3m</t>
  </si>
  <si>
    <t>CC-2025-002568</t>
  </si>
  <si>
    <t>Flextee, M12-8p female 0º, 0.3m / 2x M12-4p male, PVC 8x0.25 &amp; 3x0.34 bk UL/CSA 0.3m</t>
  </si>
  <si>
    <t>CC-2025-002569</t>
  </si>
  <si>
    <t>Flextee, M12-8p female 0º, 0.3m / 3x M12-3p male, PUR 3x0.34 &amp; PVC 8x0.25 bk UL/CSA 0.3m</t>
  </si>
  <si>
    <t>M12 Male cable connector, Contacts: 5, 8.0-10.0 mm, unshielded, screw clamp, IP67, UL, VDE, for the power supply</t>
  </si>
  <si>
    <t>M12 Female cable connector, Contacts: 5, 6.0-8.0 mm, unshielded, screw clamp, IP67, UL, VDE</t>
  </si>
  <si>
    <t>M12 Female cable duo connector, Contacts: 5, 2.1-3.0 mm (2 cable), unshielded, screw clamp, IP67, UL</t>
  </si>
  <si>
    <t>SL0102-003-0001</t>
  </si>
  <si>
    <t>Swisslog</t>
  </si>
  <si>
    <t>Vertical Light VFD Panel 3HP</t>
  </si>
  <si>
    <t>Panel Fab</t>
  </si>
  <si>
    <t>Electrical Component: Cabinet</t>
  </si>
  <si>
    <t>SL0103-001-0002</t>
  </si>
  <si>
    <t>Remote Contactor Panel 6 PWG</t>
  </si>
  <si>
    <t>SL0107-001-0001</t>
  </si>
  <si>
    <t>Local Network Panel Beckhoff (EtherCAT)</t>
  </si>
  <si>
    <t>SL0109-001-0003</t>
  </si>
  <si>
    <t>Vertical Lift Control Station</t>
  </si>
  <si>
    <t>BW3348</t>
  </si>
  <si>
    <t>Passive Distributor AUX, 16A/20A to 4 x spring type terminals 2,5 mm², depth 29 mm, IP20</t>
  </si>
  <si>
    <t>HP5424</t>
  </si>
  <si>
    <t>Interroll</t>
  </si>
  <si>
    <t>40A power Supplied</t>
  </si>
  <si>
    <t>MMF31S01-D11-5D3-SFDI0-C/IV/M31/EBW/DSI10A-0032</t>
  </si>
  <si>
    <t>SEW MoviFlexible 3.2A output, M23 Power In/Out with external Brake Resistor</t>
  </si>
  <si>
    <t>Motors and Drives: Frequency Inverter</t>
  </si>
  <si>
    <t>MMF32S02-D11-5D3-SFDI0-C/IV/M32/EBW/DSI10A-0070</t>
  </si>
  <si>
    <t>SEW MoviFlexible 7A output, M23 Power In/Out with external Brake Resistor</t>
  </si>
  <si>
    <t>3350C900277050</t>
  </si>
  <si>
    <t>Harting</t>
  </si>
  <si>
    <t>Han Q8/0 CA 10G2,5 m/-st/-PVC,5m</t>
  </si>
  <si>
    <t>3350B800275050</t>
  </si>
  <si>
    <t>Han Q4/2 CA 7G2,5 f-st/-PVC,3m</t>
  </si>
  <si>
    <t>3350B800275010</t>
  </si>
  <si>
    <t>Han Q4/2 CA 7G2,5 f/-st/-PVC,1m</t>
  </si>
  <si>
    <t>3350C900277030</t>
  </si>
  <si>
    <t>Han Q8/0 CA 10G2,5 m/-st/-PVC,3m</t>
  </si>
  <si>
    <t>M12 Male cable connector, Contacts: 5, 6.0-8.0 mm, unshielded, screw clamp, IP67, UL 2238</t>
  </si>
  <si>
    <t>M12 Female cable connector, Contacts: 4+FE, 8.0-13.0 mm, unshielded, screw clamp, IP67, UL 2238, M12x1.0</t>
  </si>
  <si>
    <t>7000-P4611-0000000</t>
  </si>
  <si>
    <t>M12 Power female 0° L-cod. screw terminal</t>
  </si>
  <si>
    <t>7000-12721-0000000</t>
  </si>
  <si>
    <t>M12 male 0° A-cod. screw terminal</t>
  </si>
  <si>
    <t>7000-12961-0000000</t>
  </si>
  <si>
    <t>M12 female 0° A-cod. screw terminal
5-pol., max. 0,75mm², 6 - 8mm</t>
  </si>
  <si>
    <t>7000-14591-0000000</t>
  </si>
  <si>
    <t>M12 male 0° D-cod. screw terminal
4-pol., max. 0,75mm², 6 - 8mm, shielded</t>
  </si>
  <si>
    <t>7000-08651-0000000</t>
  </si>
  <si>
    <t>M8 Male 0° A-cod. screw terminal
4-pol., 0,14 - 0,5mm², 4 - 5mm</t>
  </si>
  <si>
    <t>7000-17301-0000000</t>
  </si>
  <si>
    <t>M12 male 0° A-cod. screw terminal
8-pol., max. 0.5mm², 6 - 8mm</t>
  </si>
  <si>
    <t>7000-12761-0000000</t>
  </si>
  <si>
    <t>M12 male 0° A-cod. screw terminal
5-pol., max. 0,75mm², 6 - 8mm</t>
  </si>
  <si>
    <t>EL6631-0010</t>
  </si>
  <si>
    <t>ETHERCAT TERMINAL 2 PORT COMM</t>
  </si>
  <si>
    <t>ZK1096-9191-3005</t>
  </si>
  <si>
    <t>PATCH CABLE, RJ45 TO RJ45, CAT6A, 0.5m</t>
  </si>
  <si>
    <t>ZK1096-9191-3010</t>
  </si>
  <si>
    <t>PATCH CABLE, RJ45 TO RJ45, CAT6A, 1m</t>
  </si>
  <si>
    <t>ZK1096-9191-3020</t>
  </si>
  <si>
    <t>PATCH CABLE, RJ45 TO RJ45, CAT6A, 2m</t>
  </si>
  <si>
    <t>092898</t>
  </si>
  <si>
    <t>Connecting cable with plug connector M23 with option C1825, 10 m, straight</t>
  </si>
  <si>
    <t>VAZ-T1-FK-G10-V1</t>
  </si>
  <si>
    <t>S-Interface splitter box M12 female</t>
  </si>
  <si>
    <t>VAZ-2FK-G10-BRIDGE</t>
  </si>
  <si>
    <t>AS-Interface bridge splitter box</t>
  </si>
  <si>
    <t>M12 male 0° / 7/8'' female 0°
PVC 4x0.5 bk UL/CSA 1m</t>
  </si>
  <si>
    <t>MMF31S02-D11-5D3-SFDI0-C/IV/BW1/M31/DSI10A-0032</t>
  </si>
  <si>
    <t>SEW MoviFlexible 3.2A output, M23 Power In/Out</t>
  </si>
  <si>
    <t>MMF31S02-D11-5D3-SFDI0-C/IV/BW2/M31/DSI10A-0070</t>
  </si>
  <si>
    <t>SEW MoviFlexible 7A output, M23 Power In/Out</t>
  </si>
  <si>
    <t>MMF31S02-D11-5D3-SFDI0-C/IV/BW1/M31/DSI10A-0020</t>
  </si>
  <si>
    <t>SEW MoviFlexible 2.0A output, M23 Power In/Out</t>
  </si>
  <si>
    <t>Terminal Strip CPL DT63,CT71-DV225</t>
  </si>
  <si>
    <t>INTERFACE ADAPTER USM21A</t>
  </si>
  <si>
    <t xml:space="preserve">SIGNAL CABLE 0301-RJ10S-N-F09SDS </t>
  </si>
  <si>
    <t>PREF.CABLE USBAMS-4P-USBMINBMS-4P-3M</t>
  </si>
  <si>
    <t>28135350 /5.0</t>
  </si>
  <si>
    <t>Pre-Fabricated 5 Meters</t>
  </si>
  <si>
    <t>18153283 /5.0</t>
  </si>
  <si>
    <t>18153283 /3.0</t>
  </si>
  <si>
    <t>Pre-Fabricated 3 Meters</t>
  </si>
  <si>
    <t>28135350 /2.0</t>
  </si>
  <si>
    <t>Pre-Fabricated 2 Meters</t>
  </si>
  <si>
    <t>EL9189</t>
  </si>
  <si>
    <t>16 CHANNEL 0VDC DISTRIBUTION TERMINAL</t>
  </si>
  <si>
    <t>EL9188</t>
  </si>
  <si>
    <t>16 CHANNEL 24VDC DISTRIBUTION TERMINAL</t>
  </si>
  <si>
    <t>EL1008</t>
  </si>
  <si>
    <t>8 CHANNEL DI TERMINAL</t>
  </si>
  <si>
    <t>EL2008</t>
  </si>
  <si>
    <t>8 CHANNEL DO TERMINAL</t>
  </si>
  <si>
    <t>CU2008</t>
  </si>
  <si>
    <t>8-PORT ETHERNET SWITCH</t>
  </si>
  <si>
    <t>EL9011</t>
  </si>
  <si>
    <t>BUS END COVER</t>
  </si>
  <si>
    <t>EK1100</t>
  </si>
  <si>
    <t>ETHERCAT COUPLER</t>
  </si>
  <si>
    <t>EL6633-0010</t>
  </si>
  <si>
    <t>CU2508</t>
  </si>
  <si>
    <t>REAL-TIME ETHERCAT PORT MULTIPLIER</t>
  </si>
  <si>
    <t>EL6070</t>
  </si>
  <si>
    <t>TWINCAT LICENSE KEY TERMINAL</t>
  </si>
  <si>
    <t>EL2904</t>
  </si>
  <si>
    <t>TWINSAFE 4 CHANNEL DO SAFETY I/O</t>
  </si>
  <si>
    <t>EL1918</t>
  </si>
  <si>
    <t>TWINSAFE 8 CHANNEL DI SAFETY I/O</t>
  </si>
  <si>
    <t>EL6910</t>
  </si>
  <si>
    <t>TWINSAFE LOGIC TERMINAL</t>
  </si>
  <si>
    <t>CU8130-0120</t>
  </si>
  <si>
    <t>UPS BACKUP BATTERY</t>
  </si>
  <si>
    <t>C9900-K552</t>
  </si>
  <si>
    <t>USB 2.0 A-B CABLE, 3m</t>
  </si>
  <si>
    <t>C6032-0060</t>
  </si>
  <si>
    <t>Ultra Compact Control Cabinet Industrial PC</t>
  </si>
  <si>
    <t>C9900-C616</t>
  </si>
  <si>
    <t>Processor 7th Generation Intel® Core™ i5-7500, 3.4GHz, 4 cores (TC3: 70), requires Windows 10 64 Bit or Windows Server 2016, instead of Intel® Celeron® G3900 2.8 GHz (TC3: 50)</t>
  </si>
  <si>
    <t>C9900-R270</t>
  </si>
  <si>
    <t>Memory extension to 8 GB DDR4 RAM, instead of 4 GB, requires a 64 bit operating system.</t>
  </si>
  <si>
    <t>C9900-H598</t>
  </si>
  <si>
    <t>160 GB M.2 SSD, 3D flash, extended temperature range, for C603x and C602x, instead of 40 GB M.2 SSD</t>
  </si>
  <si>
    <t>C9900-S493</t>
  </si>
  <si>
    <t>Microsoft Windows 10 IoT Enterprise 2019 LTSC, 64 bit, English, for industrial PCs with Intel® Celeron®, Pentium®, Core™ i3 or Core™ i5 from the 6th generation onward</t>
  </si>
  <si>
    <t>FC9082</t>
  </si>
  <si>
    <t>Gigabit Ethernet PCIe compact module for PCs with Beckhoff PCIe compact module slots, 2-channel, PCI Express x1 bus</t>
  </si>
  <si>
    <t>EL6070-0033</t>
  </si>
  <si>
    <t>License-Key-Terminal (Dongle) for TwinCAT 3.1.  TwinCAT 3.1. License-Key-Terminal (Dongle) with pre-activated TwinCAT 3.1 licenses by Beckhoff.</t>
  </si>
  <si>
    <t>TC1200-0170</t>
  </si>
  <si>
    <t>License for usage of TwinCAT 3 PLC.  License activated by Beckhoff - Dongle.  License for one CPU.</t>
  </si>
  <si>
    <t>TF6310-0170</t>
  </si>
  <si>
    <t>License for usage of TwinCAT 3 TCP/IP Server.  License activated by Beckhoff - Dongle.  License for one CPU.</t>
  </si>
  <si>
    <t>TF6281-0170</t>
  </si>
  <si>
    <t>License for usage of TwinCAT 3 Ethernet/IP Master.  License activated by Beckhoff - Dongle.  License for one CPU.</t>
  </si>
  <si>
    <t>TF6220-0170</t>
  </si>
  <si>
    <t>License for usage of TwinCAT 3 EtherCAT Redundancy 250.  License activated by Beckhoff - Dongle.  License for one CPU.</t>
  </si>
  <si>
    <t>7000-P4221-9660150</t>
  </si>
  <si>
    <t>M12 Power female 0° L-cod. with cable
PUR 5x1.5 gy 1.5m</t>
  </si>
  <si>
    <t>7000-40581-6310300</t>
  </si>
  <si>
    <t>M12 male 0° / M8 female 0° A-cod.
PUR 4x0.25 bk UL/CSA+drag ch. 3m</t>
  </si>
  <si>
    <t>SL0102-010-0002</t>
  </si>
  <si>
    <t>Remote IO Panel/Siemens Coupler</t>
  </si>
  <si>
    <t>sew</t>
  </si>
  <si>
    <t>KeyPad CBG21A</t>
  </si>
  <si>
    <t>SL0106-004-0004</t>
  </si>
  <si>
    <t>5HP Allen Bradley 725 Vertical Lift VFD Panel</t>
  </si>
  <si>
    <t>SL0101-001-0001</t>
  </si>
  <si>
    <t>Beckhoff AE Panel</t>
  </si>
  <si>
    <t>SL0106-002-0004</t>
  </si>
  <si>
    <t>1HP Allen Bradley 525 VFD Panel</t>
  </si>
  <si>
    <t>MMF31S01-D11-5D3-SFDI0-C/IV/M31/EBW/DSI10A-0040</t>
  </si>
  <si>
    <t>SEW MoviFlexible 4A output, M23 Power In/Out with external Brake Resistor</t>
  </si>
  <si>
    <t>MMF32S02-D11-5D3-SFDI0-C/IV/M32/EBW/DSI10A-0095</t>
  </si>
  <si>
    <t>SEW MoviFlexible 9.5A output, M23 Power In/Out with external Brake Resistor</t>
  </si>
  <si>
    <t>CBG21A</t>
  </si>
  <si>
    <t>TC1200-0180</t>
  </si>
  <si>
    <t>beckhoff</t>
  </si>
  <si>
    <t>TF6220-0180</t>
  </si>
  <si>
    <t>TF6281-0180</t>
  </si>
  <si>
    <t>TF6310-0180</t>
  </si>
  <si>
    <t>7000-40021-8620150</t>
  </si>
  <si>
    <t>M12 male 0° / M12 female 0° A-cod. PUR 4x0.75 gy UL/CSA 1.5m</t>
  </si>
  <si>
    <t>7000-40721-6330150</t>
  </si>
  <si>
    <t>Y-Distributor M12 male / M12 female 0° A-cod.
PUR 3x0.34 bk UL/CSA+drag ch. 1.5m</t>
  </si>
  <si>
    <t>C9900-C617</t>
  </si>
  <si>
    <t>rocessor 7th Generation Intel® Core™ i7-7700, 3.6 GHz, 4 cores (TC3: 80),
requires Windows 10 64 Bit or Windows Server 2016,
instead of Intel® Celeron® G3900 2.8 GHz (TC3: 50)</t>
  </si>
  <si>
    <t>C6032-0060 / 000637531</t>
  </si>
  <si>
    <t>Item ID</t>
  </si>
  <si>
    <t>Item Type</t>
  </si>
  <si>
    <t>QTY</t>
  </si>
  <si>
    <t>Manufacturer 1</t>
  </si>
  <si>
    <t>Part Number 1</t>
  </si>
  <si>
    <t>Manufacturer 2</t>
  </si>
  <si>
    <t>Part Number 2</t>
  </si>
  <si>
    <t>Manufacturer 3</t>
  </si>
  <si>
    <t>Part Number 3</t>
  </si>
  <si>
    <t>Manufacturer 4</t>
  </si>
  <si>
    <t>Part Number 4</t>
  </si>
  <si>
    <t>Manufacturer 5</t>
  </si>
  <si>
    <t>Part Number 5</t>
  </si>
  <si>
    <t>Manufacturer 6</t>
  </si>
  <si>
    <t>Part Number 6</t>
  </si>
  <si>
    <t>Device Type</t>
  </si>
  <si>
    <t>Variant</t>
  </si>
  <si>
    <t>1005-B-1</t>
  </si>
  <si>
    <t>H/R/B/GN</t>
  </si>
  <si>
    <t>1005-B-2</t>
  </si>
  <si>
    <t>1005-LFT1</t>
  </si>
  <si>
    <t>Vertical Lift VFD</t>
  </si>
  <si>
    <t>VFD Livertical lift</t>
  </si>
  <si>
    <t>1005-LOC-1</t>
  </si>
  <si>
    <t>SAFETY LOCK</t>
  </si>
  <si>
    <t>EUCHNER</t>
  </si>
  <si>
    <t>1005-LOC-2</t>
  </si>
  <si>
    <t>1005-PBL-1</t>
  </si>
  <si>
    <t>PBB (YL)</t>
  </si>
  <si>
    <t>1005-PBL-2</t>
  </si>
  <si>
    <t>1010-EST</t>
  </si>
  <si>
    <t>Estop Pushbutton</t>
  </si>
  <si>
    <t>1010-PBL</t>
  </si>
  <si>
    <t>1010-PSU-1</t>
  </si>
  <si>
    <t>Interroll 40A power Supply</t>
  </si>
  <si>
    <t>1015-PSU</t>
  </si>
  <si>
    <t>1020-PBL</t>
  </si>
  <si>
    <t>PBB (GN)</t>
  </si>
  <si>
    <t>1030-02A-B</t>
  </si>
  <si>
    <t>B/Y</t>
  </si>
  <si>
    <t>1030-02-PBL</t>
  </si>
  <si>
    <t>1030-EPC</t>
  </si>
  <si>
    <t>PULL-CORD</t>
  </si>
  <si>
    <t>1030-IO/D</t>
  </si>
  <si>
    <t>IO BLOCK Digital</t>
  </si>
  <si>
    <t>1030-IO/S</t>
  </si>
  <si>
    <t>IO BLOCK Safety</t>
  </si>
  <si>
    <t>1035-PBL</t>
  </si>
  <si>
    <t>1035-PSU</t>
  </si>
  <si>
    <t>1045-IO/D</t>
  </si>
  <si>
    <t>1045-IO/S</t>
  </si>
  <si>
    <t>1050-EST</t>
  </si>
  <si>
    <t>1050-PBL</t>
  </si>
  <si>
    <t>1050-PSU</t>
  </si>
  <si>
    <t>1055-01-PBL</t>
  </si>
  <si>
    <t>1055-PSU</t>
  </si>
  <si>
    <t>1055-SC</t>
  </si>
  <si>
    <t>SCANNER</t>
  </si>
  <si>
    <t>1070-PSU</t>
  </si>
  <si>
    <t>1074-01-PBL</t>
  </si>
  <si>
    <t>1074-EST</t>
  </si>
  <si>
    <t>1074-IO/D</t>
  </si>
  <si>
    <t>1074-IO/S</t>
  </si>
  <si>
    <t>1074-PBL</t>
  </si>
  <si>
    <t>1074-PSU-1</t>
  </si>
  <si>
    <t>1074-PSU-2</t>
  </si>
  <si>
    <t>1080-VFD</t>
  </si>
  <si>
    <t>Belt Curved</t>
  </si>
  <si>
    <t>1085-PSU-1</t>
  </si>
  <si>
    <t>1085-PSU-2</t>
  </si>
  <si>
    <t>1091-A1</t>
  </si>
  <si>
    <t>DSC</t>
  </si>
  <si>
    <t>1091-B</t>
  </si>
  <si>
    <t>1091-B1</t>
  </si>
  <si>
    <t>1091-IO/D</t>
  </si>
  <si>
    <t>1091-IO/S</t>
  </si>
  <si>
    <t>1091-LOC</t>
  </si>
  <si>
    <t>1091-PBL</t>
  </si>
  <si>
    <t>1091-SC</t>
  </si>
  <si>
    <t>1095-PSU</t>
  </si>
  <si>
    <t>1100-PSU</t>
  </si>
  <si>
    <t>1110-EPC</t>
  </si>
  <si>
    <t>1110-IO/D</t>
  </si>
  <si>
    <t>1110-IO/S</t>
  </si>
  <si>
    <t>1110-PBL</t>
  </si>
  <si>
    <t>1110-PSU</t>
  </si>
  <si>
    <t>1115-EPC</t>
  </si>
  <si>
    <t>1115-IO/D</t>
  </si>
  <si>
    <t>1115-IO/S</t>
  </si>
  <si>
    <t>1115-PBL</t>
  </si>
  <si>
    <t>1115-PSU</t>
  </si>
  <si>
    <t>1120-B-1</t>
  </si>
  <si>
    <t>1120-B-2</t>
  </si>
  <si>
    <t>1120-LFT2</t>
  </si>
  <si>
    <t>1120-LOC-1</t>
  </si>
  <si>
    <t>1120-LOC-2</t>
  </si>
  <si>
    <t>1120-PBL-1</t>
  </si>
  <si>
    <t>1120-PBL-2</t>
  </si>
  <si>
    <t>1125-EST</t>
  </si>
  <si>
    <t>1125-IO/D</t>
  </si>
  <si>
    <t>1125-IO/S</t>
  </si>
  <si>
    <t>1125-PBL</t>
  </si>
  <si>
    <t>1125-PSU</t>
  </si>
  <si>
    <t>1130-PSU</t>
  </si>
  <si>
    <t>1135-IO/D</t>
  </si>
  <si>
    <t>1135-IO/S</t>
  </si>
  <si>
    <t>1145-02-B</t>
  </si>
  <si>
    <t>1145-02-PBL</t>
  </si>
  <si>
    <t>1145-PSU</t>
  </si>
  <si>
    <t>1150-PSU</t>
  </si>
  <si>
    <t>1160-PBL</t>
  </si>
  <si>
    <t>1175-PSU-1</t>
  </si>
  <si>
    <t>1175-PSU-2</t>
  </si>
  <si>
    <t>1180-B</t>
  </si>
  <si>
    <t>1180-EPC</t>
  </si>
  <si>
    <t>1180-IO/D</t>
  </si>
  <si>
    <t>1180-IO/S</t>
  </si>
  <si>
    <t>1180-PBL</t>
  </si>
  <si>
    <t>1185-PBL</t>
  </si>
  <si>
    <t>1190-PSU</t>
  </si>
  <si>
    <t>1195-PSU</t>
  </si>
  <si>
    <t>1200-PSU</t>
  </si>
  <si>
    <t>1215-PSU</t>
  </si>
  <si>
    <t>1220-EPC1</t>
  </si>
  <si>
    <t>1220-EPC2</t>
  </si>
  <si>
    <t>1220-IO/D</t>
  </si>
  <si>
    <t>1220-IO/S</t>
  </si>
  <si>
    <t>1220-PBL1</t>
  </si>
  <si>
    <t>1220-PBL2</t>
  </si>
  <si>
    <t>1225-PSU</t>
  </si>
  <si>
    <t>1235-PBL</t>
  </si>
  <si>
    <t>1235-PSU</t>
  </si>
  <si>
    <t>1235-SC1</t>
  </si>
  <si>
    <t>1235-SC2</t>
  </si>
  <si>
    <t>1240-PSU</t>
  </si>
  <si>
    <t>1270-01-B</t>
  </si>
  <si>
    <t>1270-03-B</t>
  </si>
  <si>
    <t>YL</t>
  </si>
  <si>
    <t>1270-PBL</t>
  </si>
  <si>
    <t>1270-PSU-1</t>
  </si>
  <si>
    <t>1270-PSU-2</t>
  </si>
  <si>
    <t>1270-PSU-3</t>
  </si>
  <si>
    <t>1280-IO/D</t>
  </si>
  <si>
    <t>1280-PSU-2</t>
  </si>
  <si>
    <t>1290-01-B</t>
  </si>
  <si>
    <t>1290-03-B</t>
  </si>
  <si>
    <t>1290-PBL</t>
  </si>
  <si>
    <t>1290-PSU-1</t>
  </si>
  <si>
    <t>1290-PSU-2</t>
  </si>
  <si>
    <t>1290-PSU-3</t>
  </si>
  <si>
    <t>1300-PSU</t>
  </si>
  <si>
    <t>1305-PBL</t>
  </si>
  <si>
    <t>1305-SC</t>
  </si>
  <si>
    <t>1315-02-B</t>
  </si>
  <si>
    <t>1315-02-PBL</t>
  </si>
  <si>
    <t>1315-04-B</t>
  </si>
  <si>
    <t>1315-04-PBL</t>
  </si>
  <si>
    <t>1315-B</t>
  </si>
  <si>
    <t>BU/YL</t>
  </si>
  <si>
    <t>1315-IO/D</t>
  </si>
  <si>
    <t>1315-IO/S</t>
  </si>
  <si>
    <t>1315-PBL</t>
  </si>
  <si>
    <t>1320-PSU</t>
  </si>
  <si>
    <t>1330-IO/D</t>
  </si>
  <si>
    <t>1330-PSU</t>
  </si>
  <si>
    <t>1335-PBL</t>
  </si>
  <si>
    <t>1345-02-B</t>
  </si>
  <si>
    <t>1345-02-PBL</t>
  </si>
  <si>
    <t>1355-03-B</t>
  </si>
  <si>
    <t>1355-03-PBL</t>
  </si>
  <si>
    <t>1355-IO/D</t>
  </si>
  <si>
    <t>1355-IO/S</t>
  </si>
  <si>
    <t>1355-PSU</t>
  </si>
  <si>
    <t>1360-EST</t>
  </si>
  <si>
    <t>1360-PBL</t>
  </si>
  <si>
    <t>1360-PSU</t>
  </si>
  <si>
    <t>1365-PBL</t>
  </si>
  <si>
    <t>1370-PSU-1</t>
  </si>
  <si>
    <t>1370-PSU-2</t>
  </si>
  <si>
    <t>1400-EPC1</t>
  </si>
  <si>
    <t>1400-EPC2</t>
  </si>
  <si>
    <t>1400-IO/D</t>
  </si>
  <si>
    <t>1400-IO/S</t>
  </si>
  <si>
    <t>1400-PBL1</t>
  </si>
  <si>
    <t>1400-PBL2</t>
  </si>
  <si>
    <t>1405-EPC1</t>
  </si>
  <si>
    <t>1405-EPC2</t>
  </si>
  <si>
    <t>1405-IO/D</t>
  </si>
  <si>
    <t>1405-IO/S</t>
  </si>
  <si>
    <t>1405-PBL1</t>
  </si>
  <si>
    <t>1405-PBL2</t>
  </si>
  <si>
    <t>1405-PBL3</t>
  </si>
  <si>
    <t>1405-SC</t>
  </si>
  <si>
    <t>1420-EPC1</t>
  </si>
  <si>
    <t>1420-EPC2</t>
  </si>
  <si>
    <t>1420-IO/D</t>
  </si>
  <si>
    <t>1420-IO/S</t>
  </si>
  <si>
    <t>1420-PBL1</t>
  </si>
  <si>
    <t>1420-PBL2</t>
  </si>
  <si>
    <t>1425-EPC1</t>
  </si>
  <si>
    <t>1425-EPC2</t>
  </si>
  <si>
    <t>1425-IO/D</t>
  </si>
  <si>
    <t>1425-IO/S</t>
  </si>
  <si>
    <t>1425-PBL1</t>
  </si>
  <si>
    <t>1425-PBL2</t>
  </si>
  <si>
    <t>1425-PBL3</t>
  </si>
  <si>
    <t>1425-SC</t>
  </si>
  <si>
    <t>1440-01-B</t>
  </si>
  <si>
    <t>1440-01-PBL</t>
  </si>
  <si>
    <t>1440-EST</t>
  </si>
  <si>
    <t>1440-PBL</t>
  </si>
  <si>
    <t>1460-PBL</t>
  </si>
  <si>
    <t>1460-SC</t>
  </si>
  <si>
    <t>1470-PSU</t>
  </si>
  <si>
    <t>1475-01A-B</t>
  </si>
  <si>
    <t>1475-01A-PBL</t>
  </si>
  <si>
    <t>1475-03A-B</t>
  </si>
  <si>
    <t>1475-EPC</t>
  </si>
  <si>
    <t>1475-PBL</t>
  </si>
  <si>
    <t>1475-PSU</t>
  </si>
  <si>
    <t>1490-PSU</t>
  </si>
  <si>
    <t>1495-01-B</t>
  </si>
  <si>
    <t>1495-01-PBL</t>
  </si>
  <si>
    <t>1515-B</t>
  </si>
  <si>
    <t>1515-SC</t>
  </si>
  <si>
    <t>1520-PSU</t>
  </si>
  <si>
    <t>1525-PSU</t>
  </si>
  <si>
    <t>1540-IO/D</t>
  </si>
  <si>
    <t>1540-PSU</t>
  </si>
  <si>
    <t>1545-01-B</t>
  </si>
  <si>
    <t>1545-03-B</t>
  </si>
  <si>
    <t>1550-PSU</t>
  </si>
  <si>
    <t>1560-02-B</t>
  </si>
  <si>
    <t>1560-04-B</t>
  </si>
  <si>
    <t>1565-PSU</t>
  </si>
  <si>
    <t>1570-02-B</t>
  </si>
  <si>
    <t>1570-IO/D</t>
  </si>
  <si>
    <t>1580-01-B</t>
  </si>
  <si>
    <t>1595-01A-B</t>
  </si>
  <si>
    <t>1595-03A-B</t>
  </si>
  <si>
    <t>1595-IO/D</t>
  </si>
  <si>
    <t>1595-IO/S</t>
  </si>
  <si>
    <t>1595-PSU</t>
  </si>
  <si>
    <t>1615-PSU</t>
  </si>
  <si>
    <t>1630-02A-B</t>
  </si>
  <si>
    <t>1630-04A-B</t>
  </si>
  <si>
    <t>1630-IO/D</t>
  </si>
  <si>
    <t>1630-PSU</t>
  </si>
  <si>
    <t>1650-02A-B</t>
  </si>
  <si>
    <t>1655-PSU</t>
  </si>
  <si>
    <t>1670-01A-B</t>
  </si>
  <si>
    <t>1685-PSU</t>
  </si>
  <si>
    <t>1695-01-B</t>
  </si>
  <si>
    <t>1695-PSU</t>
  </si>
  <si>
    <t>1700-IO/D</t>
  </si>
  <si>
    <t>1700-IO/S</t>
  </si>
  <si>
    <t>1700-PSU</t>
  </si>
  <si>
    <t>1705-04-B</t>
  </si>
  <si>
    <t>1705-EPC1</t>
  </si>
  <si>
    <t>1705-IO/D</t>
  </si>
  <si>
    <t>1705-IO/S</t>
  </si>
  <si>
    <t>1705-PBL</t>
  </si>
  <si>
    <t>1705-PSU</t>
  </si>
  <si>
    <t>1715-PBL</t>
  </si>
  <si>
    <t>1715-PSU-1</t>
  </si>
  <si>
    <t>1715-PSU-2</t>
  </si>
  <si>
    <t>1740-EST</t>
  </si>
  <si>
    <t>1740-IO/D</t>
  </si>
  <si>
    <t>1740-IO/S</t>
  </si>
  <si>
    <t>1740-PBL</t>
  </si>
  <si>
    <t>1740-PSU-1</t>
  </si>
  <si>
    <t>1745-B</t>
  </si>
  <si>
    <t>1745-LFT4</t>
  </si>
  <si>
    <t>1745-LOC-1</t>
  </si>
  <si>
    <t>1745-LOC-2</t>
  </si>
  <si>
    <t>1745-PBL1</t>
  </si>
  <si>
    <t>1755-PBL</t>
  </si>
  <si>
    <t>1780-EST</t>
  </si>
  <si>
    <t>1780-IO/D</t>
  </si>
  <si>
    <t>1780-IO/S</t>
  </si>
  <si>
    <t>1780-PBL1</t>
  </si>
  <si>
    <t>1780-PBL2</t>
  </si>
  <si>
    <t>1780-SC</t>
  </si>
  <si>
    <t>1785-PSU</t>
  </si>
  <si>
    <t>1800-PSU</t>
  </si>
  <si>
    <t>1805-01A-B</t>
  </si>
  <si>
    <t>1805-01A-PBL</t>
  </si>
  <si>
    <t>1805-03A-B</t>
  </si>
  <si>
    <t>1805-IO/D</t>
  </si>
  <si>
    <t>1830-B</t>
  </si>
  <si>
    <t>1830-SC</t>
  </si>
  <si>
    <t>1835-01A-B</t>
  </si>
  <si>
    <t>1835-03A-B</t>
  </si>
  <si>
    <t>1835-PSU</t>
  </si>
  <si>
    <t>1845-PSU</t>
  </si>
  <si>
    <t>1850-01A-B</t>
  </si>
  <si>
    <t>1850-03A-B</t>
  </si>
  <si>
    <t>1850-IO/D</t>
  </si>
  <si>
    <t>1850-PSU-1</t>
  </si>
  <si>
    <t>1850-PSU-2</t>
  </si>
  <si>
    <t>1860-PSU</t>
  </si>
  <si>
    <t>1865-02A-B</t>
  </si>
  <si>
    <t>1865-04A-B</t>
  </si>
  <si>
    <t>1865-PSU</t>
  </si>
  <si>
    <t>1875-02A-B</t>
  </si>
  <si>
    <t>1875-IO/D</t>
  </si>
  <si>
    <t>1875-PSU</t>
  </si>
  <si>
    <t>1880-PSU</t>
  </si>
  <si>
    <t>1885-01-B</t>
  </si>
  <si>
    <t>1900-PSU</t>
  </si>
  <si>
    <t>1905-01-B</t>
  </si>
  <si>
    <t>1905-02A-B</t>
  </si>
  <si>
    <t>STACK-LT</t>
  </si>
  <si>
    <t>1930-IO/D</t>
  </si>
  <si>
    <t>1930-PSU</t>
  </si>
  <si>
    <t>1965-01A-PBL</t>
  </si>
  <si>
    <t>1965-02A-B</t>
  </si>
  <si>
    <t>1965-04A-B</t>
  </si>
  <si>
    <t>1985-01A-B</t>
  </si>
  <si>
    <t>1985-03A-B</t>
  </si>
  <si>
    <t>2005-PSU</t>
  </si>
  <si>
    <t>2010-PSU</t>
  </si>
  <si>
    <t>2020-01A-B</t>
  </si>
  <si>
    <t>2020-PSU</t>
  </si>
  <si>
    <t>2025-PSU</t>
  </si>
  <si>
    <t>2030-04A-B</t>
  </si>
  <si>
    <t>2030-EPC</t>
  </si>
  <si>
    <t>2030-IO/D</t>
  </si>
  <si>
    <t>2030-IO/S</t>
  </si>
  <si>
    <t>2030-PBL</t>
  </si>
  <si>
    <t>2030-PSU</t>
  </si>
  <si>
    <t>2035-PBL</t>
  </si>
  <si>
    <t>2035-PSU</t>
  </si>
  <si>
    <t>2060-EST</t>
  </si>
  <si>
    <t>2060-IO/D</t>
  </si>
  <si>
    <t>2060-IO/S</t>
  </si>
  <si>
    <t>2060-PBL</t>
  </si>
  <si>
    <t>2060-PSU-1</t>
  </si>
  <si>
    <t>2060-PSU-2</t>
  </si>
  <si>
    <t>2065-B</t>
  </si>
  <si>
    <t>2065-B-2</t>
  </si>
  <si>
    <t>2065-LFT3</t>
  </si>
  <si>
    <t>2065-LOC-1</t>
  </si>
  <si>
    <t>2065-LOC-2</t>
  </si>
  <si>
    <t>2065-PBL1</t>
  </si>
  <si>
    <t>2065-PBL-2</t>
  </si>
  <si>
    <t>2075-IO/D</t>
  </si>
  <si>
    <t>2075-IO/S</t>
  </si>
  <si>
    <t>2075-PBL</t>
  </si>
  <si>
    <t>2075-PSU</t>
  </si>
  <si>
    <t>2075-SC</t>
  </si>
  <si>
    <t>2085-01A-B</t>
  </si>
  <si>
    <t>2085-01-PBL</t>
  </si>
  <si>
    <t>2085-PSU</t>
  </si>
  <si>
    <t>2100-01A-B</t>
  </si>
  <si>
    <t>2100-01A-EPC</t>
  </si>
  <si>
    <t>2100-01A-PBL</t>
  </si>
  <si>
    <t>2100-01-PBL</t>
  </si>
  <si>
    <t>2100-IO/D</t>
  </si>
  <si>
    <t>2100-IO/S</t>
  </si>
  <si>
    <t>2105-01A-B</t>
  </si>
  <si>
    <t>2105-01-PBL</t>
  </si>
  <si>
    <t>2120-01A-B</t>
  </si>
  <si>
    <t>2120-01A-PBL</t>
  </si>
  <si>
    <t>PBB</t>
  </si>
  <si>
    <t>2120-PBL</t>
  </si>
  <si>
    <t>2120-SC</t>
  </si>
  <si>
    <t>2130-01A-B</t>
  </si>
  <si>
    <t>2130-01-PBL</t>
  </si>
  <si>
    <t>2130-PSU</t>
  </si>
  <si>
    <t>2145-IO/D</t>
  </si>
  <si>
    <t>2145-IO/S</t>
  </si>
  <si>
    <t>2155-01A-B</t>
  </si>
  <si>
    <t>2155-01A-PBL</t>
  </si>
  <si>
    <t>2155-IO/D</t>
  </si>
  <si>
    <t>2155-IO/S</t>
  </si>
  <si>
    <t>2155-PSU-1</t>
  </si>
  <si>
    <t>2155-PSU-2</t>
  </si>
  <si>
    <t>2155-PSU-3</t>
  </si>
  <si>
    <t>2170-01A-B</t>
  </si>
  <si>
    <t>B/YL</t>
  </si>
  <si>
    <t>2170-01-PBL</t>
  </si>
  <si>
    <t>2170-IO/D</t>
  </si>
  <si>
    <t>2170-PSU</t>
  </si>
  <si>
    <t>2175-PBL</t>
  </si>
  <si>
    <t>2185-PSU-1</t>
  </si>
  <si>
    <t>2185-PSU-2</t>
  </si>
  <si>
    <t>2205-PSU</t>
  </si>
  <si>
    <t>2210-EPC</t>
  </si>
  <si>
    <t>2210-PBL</t>
  </si>
  <si>
    <t>2210-PSU</t>
  </si>
  <si>
    <t>2215-IO/D</t>
  </si>
  <si>
    <t>2215-IO/S</t>
  </si>
  <si>
    <t>2220-EPC</t>
  </si>
  <si>
    <t>2220-PBL</t>
  </si>
  <si>
    <t>2220-PSU</t>
  </si>
  <si>
    <t>2225-PSU-1</t>
  </si>
  <si>
    <t>2225-PSU-2</t>
  </si>
  <si>
    <t>3005-EPC1</t>
  </si>
  <si>
    <t>3005-EPC2</t>
  </si>
  <si>
    <t>3005-IO/D</t>
  </si>
  <si>
    <t>3005-IO/S</t>
  </si>
  <si>
    <t>3005-PBL2</t>
  </si>
  <si>
    <t>3005-PSU</t>
  </si>
  <si>
    <t>PSU</t>
  </si>
  <si>
    <t>3010-PSU</t>
  </si>
  <si>
    <t>3015-PSU</t>
  </si>
  <si>
    <t>3030-EPC1</t>
  </si>
  <si>
    <t>3030-EPC2</t>
  </si>
  <si>
    <t>3030-PBL1</t>
  </si>
  <si>
    <t>3030-PBL2</t>
  </si>
  <si>
    <t>3030-PSU</t>
  </si>
  <si>
    <t>3045-PSU-1</t>
  </si>
  <si>
    <t>3045-PSU-2</t>
  </si>
  <si>
    <t>3060-A-DSC</t>
  </si>
  <si>
    <t>3060-B-DSC</t>
  </si>
  <si>
    <t>3060-IO/D</t>
  </si>
  <si>
    <t>3060-IO/S</t>
  </si>
  <si>
    <t>3060-LOC</t>
  </si>
  <si>
    <t>3060-PBL</t>
  </si>
  <si>
    <t>3060-SC</t>
  </si>
  <si>
    <t>3070-PSU</t>
  </si>
  <si>
    <t>3075-EST</t>
  </si>
  <si>
    <t>3075-IO/D</t>
  </si>
  <si>
    <t>3075-IO/S</t>
  </si>
  <si>
    <t>3075-PBL</t>
  </si>
  <si>
    <t>3075-PSU</t>
  </si>
  <si>
    <t>3080-PBL</t>
  </si>
  <si>
    <t>3090-01A-B</t>
  </si>
  <si>
    <t>3090-01A-IO/D</t>
  </si>
  <si>
    <t>3090-01A-PBL</t>
  </si>
  <si>
    <t>3090-PSU-1</t>
  </si>
  <si>
    <t>3090-PSU-2</t>
  </si>
  <si>
    <t>3095-PBL</t>
  </si>
  <si>
    <t>3105-EPC1</t>
  </si>
  <si>
    <t>3105-EPC2</t>
  </si>
  <si>
    <t>3105-IO/D</t>
  </si>
  <si>
    <t>3105-IO/S</t>
  </si>
  <si>
    <t>3105-PBL1</t>
  </si>
  <si>
    <t>3105-PBL2</t>
  </si>
  <si>
    <t>3110-PSU-1</t>
  </si>
  <si>
    <t>3110-PSU-2</t>
  </si>
  <si>
    <t>3135-PSU</t>
  </si>
  <si>
    <t>3140-PSU</t>
  </si>
  <si>
    <t>3150-A-DSC</t>
  </si>
  <si>
    <t>3150-B-DSC</t>
  </si>
  <si>
    <t>3150-IO/D</t>
  </si>
  <si>
    <t>3150-IO/S</t>
  </si>
  <si>
    <t>3150-LOC</t>
  </si>
  <si>
    <t>3150-PBL</t>
  </si>
  <si>
    <t>3150-SC</t>
  </si>
  <si>
    <t>3155-PSU-1</t>
  </si>
  <si>
    <t>3155-PSU-2</t>
  </si>
  <si>
    <t>3165-EST</t>
  </si>
  <si>
    <t>3165-IO/D</t>
  </si>
  <si>
    <t>3165-IO/S</t>
  </si>
  <si>
    <t>3165-PBL</t>
  </si>
  <si>
    <t>3170-PBL</t>
  </si>
  <si>
    <t>3180-01A-B</t>
  </si>
  <si>
    <t>3180-01A-IO/D</t>
  </si>
  <si>
    <t>3180-01A-PBL</t>
  </si>
  <si>
    <t>3180-PSU</t>
  </si>
  <si>
    <t>3195-PBL</t>
  </si>
  <si>
    <t>3195-PSU</t>
  </si>
  <si>
    <t>3200-PSU</t>
  </si>
  <si>
    <t>3205-IO/D</t>
  </si>
  <si>
    <t>3225-IO/D</t>
  </si>
  <si>
    <t>3225-PBL</t>
  </si>
  <si>
    <t>3230-01-B</t>
  </si>
  <si>
    <t>3230-01-PBL</t>
  </si>
  <si>
    <t>3230-IO/D</t>
  </si>
  <si>
    <t>3230-IO/S</t>
  </si>
  <si>
    <t>3240-PSU</t>
  </si>
  <si>
    <t>3245-PSU</t>
  </si>
  <si>
    <t>3255-IO/D</t>
  </si>
  <si>
    <t>3255-IO/S</t>
  </si>
  <si>
    <t>3260-EPC1</t>
  </si>
  <si>
    <t>3260-EPC2</t>
  </si>
  <si>
    <t>3260-PBL1</t>
  </si>
  <si>
    <t>3260-PBL2</t>
  </si>
  <si>
    <t>3270-PSU</t>
  </si>
  <si>
    <t>3285-PSU</t>
  </si>
  <si>
    <t>3290-IO/D</t>
  </si>
  <si>
    <t>3290-IO/S</t>
  </si>
  <si>
    <t>3300-PSU</t>
  </si>
  <si>
    <t>3320-EPC1</t>
  </si>
  <si>
    <t>3320-EPC2</t>
  </si>
  <si>
    <t>3320-IO/D</t>
  </si>
  <si>
    <t>3320-IO/S</t>
  </si>
  <si>
    <t>3320-PBL1</t>
  </si>
  <si>
    <t>3320-PBL2</t>
  </si>
  <si>
    <t>3320-PSU-1</t>
  </si>
  <si>
    <t>3320-PSU-2</t>
  </si>
  <si>
    <t>3325-PSU-1</t>
  </si>
  <si>
    <t>3325-PSU-2</t>
  </si>
  <si>
    <t>3335-B</t>
  </si>
  <si>
    <t>3335-EST1</t>
  </si>
  <si>
    <t>3335-EST2</t>
  </si>
  <si>
    <t>3335-IO/D</t>
  </si>
  <si>
    <t>3335-IO/S</t>
  </si>
  <si>
    <t>3335-PBL1</t>
  </si>
  <si>
    <t>3335-PBL2</t>
  </si>
  <si>
    <t>3335-PBL3</t>
  </si>
  <si>
    <t>3335-PBL4</t>
  </si>
  <si>
    <t>3340-PSU-1</t>
  </si>
  <si>
    <t>3340-PSU-2</t>
  </si>
  <si>
    <t>3350-B</t>
  </si>
  <si>
    <t>3350-EST1</t>
  </si>
  <si>
    <t>3350-EST2</t>
  </si>
  <si>
    <t>3350-IO/D</t>
  </si>
  <si>
    <t>3350-IO/S</t>
  </si>
  <si>
    <t>3350-PBL1</t>
  </si>
  <si>
    <t>3350-PBL2</t>
  </si>
  <si>
    <t>3350-PBL3</t>
  </si>
  <si>
    <t>3350-PBL4</t>
  </si>
  <si>
    <t>3355-EPC1</t>
  </si>
  <si>
    <t>3355-EPC2</t>
  </si>
  <si>
    <t>3355-IO/D</t>
  </si>
  <si>
    <t>3355-IO/S</t>
  </si>
  <si>
    <t>3355-PBL1</t>
  </si>
  <si>
    <t>3355-PBL2</t>
  </si>
  <si>
    <t>3360-PSU</t>
  </si>
  <si>
    <t>3370-IO/D</t>
  </si>
  <si>
    <t>3370-IO/S</t>
  </si>
  <si>
    <t>3370-PSU-1</t>
  </si>
  <si>
    <t>3370-PSU-2</t>
  </si>
  <si>
    <t>3380-EST</t>
  </si>
  <si>
    <t>3380-IO/D</t>
  </si>
  <si>
    <t>3380-IO/S</t>
  </si>
  <si>
    <t>3380-PBL</t>
  </si>
  <si>
    <t>3390-01A-B</t>
  </si>
  <si>
    <t>3390-01A-PBL</t>
  </si>
  <si>
    <t>3390-PSU</t>
  </si>
  <si>
    <t>3395-PBL</t>
  </si>
  <si>
    <t>3395-PSU</t>
  </si>
  <si>
    <t>3395-SC</t>
  </si>
  <si>
    <t>3400-01A-B</t>
  </si>
  <si>
    <t>3400-01A-PBL</t>
  </si>
  <si>
    <t>3410-03A-B</t>
  </si>
  <si>
    <t>3410-03A-EST</t>
  </si>
  <si>
    <t>3410-03A-PBL-1</t>
  </si>
  <si>
    <t>3410-03A-PBL-2</t>
  </si>
  <si>
    <t>3415-PSU-2</t>
  </si>
  <si>
    <t>3420-IO/D</t>
  </si>
  <si>
    <t>3420-IO/S</t>
  </si>
  <si>
    <t>3425-PBL</t>
  </si>
  <si>
    <t>3430-03-B</t>
  </si>
  <si>
    <t>401-1080-VFD</t>
  </si>
  <si>
    <t>3430-03-PBL</t>
  </si>
  <si>
    <t>402-1080-VFD</t>
  </si>
  <si>
    <t>3440-PSU-2</t>
  </si>
  <si>
    <t>403-1080-VFD</t>
  </si>
  <si>
    <t>3445-03A-B</t>
  </si>
  <si>
    <t>404-1080-VFD</t>
  </si>
  <si>
    <t>3445-03A-EST</t>
  </si>
  <si>
    <t>405-1080-VFD</t>
  </si>
  <si>
    <t>3445-03A-PBL-1</t>
  </si>
  <si>
    <t>406-1080-VFD</t>
  </si>
  <si>
    <t>3445-03A-PBL-2</t>
  </si>
  <si>
    <t>3445-PSU-1</t>
  </si>
  <si>
    <t>3445-PSU-2</t>
  </si>
  <si>
    <t>3455-IO/D</t>
  </si>
  <si>
    <t>3455-IO/S</t>
  </si>
  <si>
    <t>3455-PBL</t>
  </si>
  <si>
    <t>3465-03A-B</t>
  </si>
  <si>
    <t>3465-03A-PBL</t>
  </si>
  <si>
    <t>3465-IO/D</t>
  </si>
  <si>
    <t>3465-IO/S</t>
  </si>
  <si>
    <t>3480-EPC</t>
  </si>
  <si>
    <t>3480-PBL</t>
  </si>
  <si>
    <t>3480-PSU</t>
  </si>
  <si>
    <t>3485-PSU-1</t>
  </si>
  <si>
    <t>3490-PSU</t>
  </si>
  <si>
    <t>3495-PSU-1</t>
  </si>
  <si>
    <t>3495-PSU-2</t>
  </si>
  <si>
    <t>3500-EPC</t>
  </si>
  <si>
    <t>3500-EPC1</t>
  </si>
  <si>
    <t>3500-IO/D</t>
  </si>
  <si>
    <t>3500-IO/S</t>
  </si>
  <si>
    <t>3500-PBL</t>
  </si>
  <si>
    <t>3500-PBL1</t>
  </si>
  <si>
    <t>code variant</t>
  </si>
  <si>
    <t>Manufacturer 7</t>
  </si>
  <si>
    <t>Part Number 7</t>
  </si>
  <si>
    <t>Manufacturer 8</t>
  </si>
  <si>
    <t>Part Number 8</t>
  </si>
  <si>
    <t>Manufacturer 9</t>
  </si>
  <si>
    <t>Part Number 9</t>
  </si>
  <si>
    <t>INPUT</t>
  </si>
  <si>
    <t>OUTPUT</t>
  </si>
  <si>
    <t>S_IN</t>
  </si>
  <si>
    <t>S_OUT</t>
  </si>
  <si>
    <t>B01</t>
  </si>
  <si>
    <t>VARIANT</t>
  </si>
  <si>
    <t>Conv.ID</t>
  </si>
  <si>
    <t>Items Type</t>
  </si>
  <si>
    <t>Part Number</t>
  </si>
  <si>
    <t>PLC Area</t>
  </si>
  <si>
    <t>Already Purch.</t>
  </si>
  <si>
    <t>Purchase By</t>
  </si>
  <si>
    <t>Ship to</t>
  </si>
  <si>
    <t>Delivery date</t>
  </si>
  <si>
    <t>Material Group</t>
  </si>
  <si>
    <t>Vendor Name</t>
  </si>
  <si>
    <t>Valuation Price</t>
  </si>
  <si>
    <t>Key</t>
  </si>
  <si>
    <t>Item #</t>
  </si>
  <si>
    <t>Item</t>
  </si>
  <si>
    <t>A</t>
  </si>
  <si>
    <t>I</t>
  </si>
  <si>
    <t>Material</t>
  </si>
  <si>
    <t>Short Text</t>
  </si>
  <si>
    <t>Quantity</t>
  </si>
  <si>
    <t>Unit</t>
  </si>
  <si>
    <t>Delivery Date</t>
  </si>
  <si>
    <t>C</t>
  </si>
  <si>
    <t>Valn Price</t>
  </si>
  <si>
    <t>Plant</t>
  </si>
  <si>
    <t>PGr</t>
  </si>
  <si>
    <t>Fixed vendor</t>
  </si>
  <si>
    <t>POrg</t>
  </si>
  <si>
    <t>info record</t>
  </si>
  <si>
    <t>P</t>
  </si>
  <si>
    <t>USD</t>
  </si>
  <si>
    <t>MMF31S01-D11-5D3-SFDI0-C/IV/M31/EBW/DSI10A-0055</t>
  </si>
  <si>
    <t>MMF31S01-D11-5D3-SFDI0-C/IV/M31/EBW/DSI10A-0070</t>
  </si>
  <si>
    <t>7000-23251-3981000</t>
  </si>
  <si>
    <t>MGBS-P-L1HEAR-U-R-SH-160520</t>
  </si>
  <si>
    <t>M23 female 0° with cable
PUR 16x0.34+3x0.75 gy drag ch. 10m</t>
  </si>
  <si>
    <t>MGBS-P-L1HE-AR-U-R-SH-160520 (Order no. 160520)
MGBS set AR, M23, emergency stop, 2 pushbuttons, with escape release, door hinge on right</t>
  </si>
  <si>
    <t>SAP Vendor Code</t>
  </si>
  <si>
    <t>Field Device Specification</t>
  </si>
  <si>
    <t>161 Enterprise Dr, Newport News, VA 23603</t>
  </si>
  <si>
    <t>Final Step</t>
  </si>
  <si>
    <t>Sick</t>
  </si>
  <si>
    <r>
      <t xml:space="preserve">&lt;----3 </t>
    </r>
    <r>
      <rPr>
        <b/>
        <sz val="11"/>
        <color rgb="FFFF0000"/>
        <rFont val="Aptos Narrow"/>
        <family val="2"/>
        <scheme val="minor"/>
      </rPr>
      <t>[ ONLY AS NEEDED]</t>
    </r>
  </si>
  <si>
    <t>Generate Manufacture Base specs BOM.</t>
  </si>
  <si>
    <t>Generate Vendor Base SAP POR.</t>
  </si>
  <si>
    <t>BWU5242</t>
  </si>
  <si>
    <t>CURRENCY</t>
  </si>
  <si>
    <t>EU</t>
  </si>
  <si>
    <t>EURO</t>
  </si>
  <si>
    <t>COUNTRY</t>
  </si>
  <si>
    <t>PURCHASE GROUP</t>
  </si>
  <si>
    <t>036</t>
  </si>
  <si>
    <t>037</t>
  </si>
  <si>
    <t>038</t>
  </si>
  <si>
    <t>219</t>
  </si>
  <si>
    <t>XXXXXXXXXX</t>
  </si>
  <si>
    <t>P-0XXXXX.02.02.03.01</t>
  </si>
  <si>
    <t>P-0XXXXX</t>
  </si>
  <si>
    <t>XXXXX</t>
  </si>
  <si>
    <t>Version History</t>
  </si>
  <si>
    <t>Rev  by</t>
  </si>
  <si>
    <t>Date</t>
  </si>
  <si>
    <t>A01</t>
  </si>
  <si>
    <t>A02</t>
  </si>
  <si>
    <t xml:space="preserve">Initial released:
- create a central location collect designed information
- add option to add priving data into a central location
- add option to create parts base a functional variant number
- Add Option to produce SAP part base on a SAP Procurement menu using their template
- Add Option to generate a SAP POR order base on Vendor
 </t>
  </si>
  <si>
    <t xml:space="preserve">Fixed bugs
- Add Option to automatically fill in Vendor Data Base on current SAP vendor list
- Export and Add most USA base Vendor List from SAP directly Export (10/5/25)
</t>
  </si>
  <si>
    <t xml:space="preserve">Fixed Bug Issues
 - Add Freaeture to Now Export SAP POR Order Sheet into a new Workbooked o be used by Supply Chain for their order
- Add export Radio Button for Macro
- BOM now fill in shipping and delivery data direct from the START-HERE worksheet
- Color Code in BOm Sheet what column has formula and what column fill in using the Macro button.
- Light = Fill in From Macro. Dark grey = Using Formula
- Add a DATA worksheet to house data validation and lookup tables
</t>
  </si>
  <si>
    <t>Purchase Order. Cost:</t>
  </si>
  <si>
    <t>7000-40021-6140200</t>
  </si>
  <si>
    <t>M12 male 0° / M12 female 0° A-cod.
PVC 4x0.34 bk UL/CSA 2m</t>
  </si>
  <si>
    <t>FUNCTION_CODE</t>
  </si>
  <si>
    <t>VARIANT_CODE</t>
  </si>
  <si>
    <t>COMPONENT_TYPE</t>
  </si>
  <si>
    <t>MASTER_REVISION</t>
  </si>
  <si>
    <t>MASTER_ACTIVE</t>
  </si>
  <si>
    <t>VAR-PB11</t>
  </si>
  <si>
    <t>YES</t>
  </si>
  <si>
    <t>VAR-PB12</t>
  </si>
  <si>
    <t>VAR-PBL121</t>
  </si>
  <si>
    <t>VAR-EPBL01</t>
  </si>
  <si>
    <t>CF-EPC-001</t>
  </si>
  <si>
    <t>VAR-EPC01</t>
  </si>
  <si>
    <t>CF-VFD-001</t>
  </si>
  <si>
    <t>VAR-VFD01</t>
  </si>
  <si>
    <t>VAR-B01</t>
  </si>
  <si>
    <t>CF-B-019</t>
  </si>
  <si>
    <t>VAR-B19</t>
  </si>
  <si>
    <t>CF-B-020</t>
  </si>
  <si>
    <t>VAR-B20</t>
  </si>
  <si>
    <t>CF-VFD-002</t>
  </si>
  <si>
    <t>VAR-VFD02</t>
  </si>
  <si>
    <t>CF-VFD-003</t>
  </si>
  <si>
    <t>VAR-VFD03</t>
  </si>
  <si>
    <t>CF-VFD-005</t>
  </si>
  <si>
    <t>VAR-VFD05</t>
  </si>
  <si>
    <t>CF-VFD-006</t>
  </si>
  <si>
    <t>VAR-VFD06</t>
  </si>
  <si>
    <t>CF-PSU-001</t>
  </si>
  <si>
    <t>VAR-PSU01</t>
  </si>
  <si>
    <t>VAR-DSC01</t>
  </si>
  <si>
    <t>CF-STD-001</t>
  </si>
  <si>
    <t>VAR-STD01</t>
  </si>
  <si>
    <t>CF-SAFE-001</t>
  </si>
  <si>
    <t>VAR-SAFE01</t>
  </si>
  <si>
    <t>CF-SCN-080</t>
  </si>
  <si>
    <t>VAR-SCN80</t>
  </si>
  <si>
    <t>CF-KS-085</t>
  </si>
  <si>
    <t>VAR-KS85</t>
  </si>
  <si>
    <t>CF-PBB-085</t>
  </si>
  <si>
    <t>VAR-PBB85</t>
  </si>
  <si>
    <t>VAR-PE01</t>
  </si>
  <si>
    <t>ONGEN FIELD DEVICES SPECIFICATION - WORKBOOK GUIDE</t>
  </si>
  <si>
    <t>Central Function Code Rule</t>
  </si>
  <si>
    <t>Master FUNCTION_CODE = PD CONTROL_FUNCTION_NUMBER = Specification code variant</t>
  </si>
  <si>
    <t>Mode 1</t>
  </si>
  <si>
    <t>Workbook open: checks whether the Master Library changed and offers synchronization.</t>
  </si>
  <si>
    <t>Mode 2</t>
  </si>
  <si>
    <t>SYNC MASTER LIBRARY: refreshes controlled function/BOM data from the central Master Part Library.</t>
  </si>
  <si>
    <t>Mode 3</t>
  </si>
  <si>
    <t>Normal engineering workflow uses the synchronized local worksheets.</t>
  </si>
  <si>
    <t>BUTTON / CONTROL</t>
  </si>
  <si>
    <t>MACRO</t>
  </si>
  <si>
    <t>WHAT IT DOES</t>
  </si>
  <si>
    <t>WHERE</t>
  </si>
  <si>
    <t>Re-Arrange EE data</t>
  </si>
  <si>
    <t>ONGEN Field Devices Specification -v2.1.1.xlsm'!RearrangeDesignedExport_Fast</t>
  </si>
  <si>
    <t>Opens, rebuilds, or updates specification-related engineering data.</t>
  </si>
  <si>
    <t>START-HERE</t>
  </si>
  <si>
    <t>Split System BOM per Manuf.</t>
  </si>
  <si>
    <t>ONGEN Field Devices Specification -v2.1.1.xlsm'!SplitManufacturerData</t>
  </si>
  <si>
    <t>CREATE SAP POR</t>
  </si>
  <si>
    <t>ONGEN Field Devices Specification -v2.1.1.xlsm'!CreateVendorSheets_FromBOM_Full</t>
  </si>
  <si>
    <t>Run Part Variant</t>
  </si>
  <si>
    <t>ONGEN Field Devices Specification -v2.1.1.xlsm'!MapVariantData</t>
  </si>
  <si>
    <t>EXPORT SAP POR ORDER LIST</t>
  </si>
  <si>
    <t>ONGEN Field Devices Specification -v2.1.1.xlsm'!Export_SAP_POR_Order_List_A_To_P_ONLY</t>
  </si>
  <si>
    <t>SYNC MASTER LIBRARY</t>
  </si>
  <si>
    <t>ONGEN Field Devices Specification -v2.1.1.xlsm'!ONGEN_SyncMasterLibrary</t>
  </si>
  <si>
    <t>Synchronizes the workbook from the portable Master Function / Part Library.</t>
  </si>
  <si>
    <t>MASTER LIBRARY STATUS</t>
  </si>
  <si>
    <t>ONGEN Field Devices Specification -v2.1.1.xlsm'!ONGEN_ShowMasterLibraryStatus</t>
  </si>
  <si>
    <t>Shows the resolved Master Library path, version, and synchronization status.</t>
  </si>
  <si>
    <t>VARIANT LIST</t>
  </si>
  <si>
    <t>Managed Specification view. code variant is the central Function Code. One row represents the complete function assembly BOM.</t>
  </si>
  <si>
    <t>EM Designed function</t>
  </si>
  <si>
    <t>PD design-detail destination. VARIANT receives the same central Function Code.</t>
  </si>
  <si>
    <t>FUNCTION_DESCRIPTION</t>
  </si>
  <si>
    <t>DEVICE_VARIANT_CODE</t>
  </si>
  <si>
    <t>COMPONENT_COUNT</t>
  </si>
  <si>
    <t>Part Qty 1</t>
  </si>
  <si>
    <t>Part Qty 2</t>
  </si>
  <si>
    <t>Part Qty 3</t>
  </si>
  <si>
    <t>Part Qty 4</t>
  </si>
  <si>
    <t>Part Qty 5</t>
  </si>
  <si>
    <t>Part Qty 6</t>
  </si>
  <si>
    <t>Part Qty 7</t>
  </si>
  <si>
    <t>Part Qty 8</t>
  </si>
  <si>
    <t>Part Qty 9</t>
  </si>
  <si>
    <t>Manufacturer 10</t>
  </si>
  <si>
    <t>Part Number 10</t>
  </si>
  <si>
    <t>Part Qty 10</t>
  </si>
  <si>
    <t>Manufacturer 11</t>
  </si>
  <si>
    <t>Part Number 11</t>
  </si>
  <si>
    <t>Part Qty 11</t>
  </si>
  <si>
    <t>Manufacturer 12</t>
  </si>
  <si>
    <t>Part Number 12</t>
  </si>
  <si>
    <t>Part Qty 12</t>
  </si>
  <si>
    <t>CF-B-010</t>
  </si>
  <si>
    <t>DIVER /MERGE</t>
  </si>
  <si>
    <t>DV-B-002 | DV-PBL-004 | DV-B-002 | DV-PBL-004</t>
  </si>
  <si>
    <t>CF-B-011</t>
  </si>
  <si>
    <t>TRANSFER</t>
  </si>
  <si>
    <t>DV-B-003 | DV-PBL-005</t>
  </si>
  <si>
    <t>CF-PBL-012</t>
  </si>
  <si>
    <t>WORKSTATION</t>
  </si>
  <si>
    <t>DV-PBL-006 | DV-EST-001</t>
  </si>
  <si>
    <t>DV-PSU-001</t>
  </si>
  <si>
    <t>CF-RCP-101</t>
  </si>
  <si>
    <t>SINGLE DOOR RCP*</t>
  </si>
  <si>
    <t>DV-RCP-001</t>
  </si>
  <si>
    <t>CF-RCP-102</t>
  </si>
  <si>
    <t>TWO DOOR RCP*</t>
  </si>
  <si>
    <t>DV-RCP-002</t>
  </si>
  <si>
    <t>CORD E-STOP</t>
  </si>
  <si>
    <t>DV-EPC-001 | DV-PBL-007</t>
  </si>
  <si>
    <t>NO SAFETY I/O BLOCK</t>
  </si>
  <si>
    <t>DV-IOD-001</t>
  </si>
  <si>
    <t>SAFETY IO BLOCK</t>
  </si>
  <si>
    <t>DV-IOS-001</t>
  </si>
  <si>
    <t>7000-23251-3982000</t>
  </si>
  <si>
    <t>CF-LFT-001</t>
  </si>
  <si>
    <t>SAFETY DOOR LOCK | CONTROL STATION</t>
  </si>
  <si>
    <t>DV-KS-002 | DV-PBB-002</t>
  </si>
  <si>
    <t>CF-B-015</t>
  </si>
  <si>
    <t>ANY OTHER COMBO BEACON</t>
  </si>
  <si>
    <t>DV-B-004</t>
  </si>
  <si>
    <t>CF-PBL-018</t>
  </si>
  <si>
    <t>RESET ANY COMBO</t>
  </si>
  <si>
    <t>DV-PBL-008</t>
  </si>
  <si>
    <t>CF-EST-016</t>
  </si>
  <si>
    <t>PUSH E-STOP</t>
  </si>
  <si>
    <t>DV-EST-002</t>
  </si>
  <si>
    <t>CF-B-017</t>
  </si>
  <si>
    <t>BLUE AMBER</t>
  </si>
  <si>
    <t>DV-B-005</t>
  </si>
  <si>
    <t>AMBER AND BLUE</t>
  </si>
  <si>
    <t>DV-B-001</t>
  </si>
  <si>
    <t>CF-B-021</t>
  </si>
  <si>
    <t>AMBER BEACON</t>
  </si>
  <si>
    <t>DV-B-006</t>
  </si>
  <si>
    <t>scanner</t>
  </si>
  <si>
    <t>DV-SCN-002 | DV-SCN-001</t>
  </si>
  <si>
    <t>CF-PC-280</t>
  </si>
  <si>
    <t>Power Class 2</t>
  </si>
  <si>
    <t>DV-PC2-001</t>
  </si>
  <si>
    <t>Door Switch Right Hand</t>
  </si>
  <si>
    <t>DV-KS-001</t>
  </si>
  <si>
    <t>Swisslog Control Station</t>
  </si>
  <si>
    <t>DV-PBB-001</t>
  </si>
  <si>
    <t>BLUE, AMBER GREEN</t>
  </si>
  <si>
    <t>DV-B-007</t>
  </si>
  <si>
    <t>2A</t>
  </si>
  <si>
    <t>DV-VFD-001</t>
  </si>
  <si>
    <t>9.5A</t>
  </si>
  <si>
    <t>DV-VFD-002</t>
  </si>
  <si>
    <t>4A</t>
  </si>
  <si>
    <t>DV-VFD-003</t>
  </si>
  <si>
    <t>5.5A</t>
  </si>
  <si>
    <t>DV-VFD-004</t>
  </si>
  <si>
    <t>7A</t>
  </si>
  <si>
    <t>DV-VFD-005</t>
  </si>
  <si>
    <t>MMF31S02-D11-5D3-SFCO0-C/IV/M31/EBW/DSI10A-0040</t>
  </si>
  <si>
    <t>28124332 /5.0</t>
  </si>
  <si>
    <t>CF-VFD-007</t>
  </si>
  <si>
    <t>DDI VFD 2HP WITH BRAKE</t>
  </si>
  <si>
    <t>DV-VFD-020</t>
  </si>
  <si>
    <t>MMF31S02-D11-5D3-SFCO0-C/IV/M31/EBW/DSI10A-0055</t>
  </si>
  <si>
    <t>CF-VFD-008</t>
  </si>
  <si>
    <t>DDI VFD 3HP WITH BRAKE</t>
  </si>
  <si>
    <t>DV-CBL-073</t>
  </si>
  <si>
    <t>MMF31S02-D11-5D3-SFCO0-C/IV/M31/EBW/DSI10A-0032</t>
  </si>
  <si>
    <t>CF-VFD-009</t>
  </si>
  <si>
    <t>DDI VFD 1.5HP WITH BRAKE</t>
  </si>
  <si>
    <t>DV-CBL-074</t>
  </si>
  <si>
    <t>MMF32S02-D11-5D3-SFCO0-C/IV/M32/EBW/DSI10A-0095</t>
  </si>
  <si>
    <t>CF-VFD-010</t>
  </si>
  <si>
    <t>DDI VFD 5HP WITH BRAKE</t>
  </si>
  <si>
    <t>DV-CBL-075</t>
  </si>
  <si>
    <t xml:space="preserve"> </t>
  </si>
  <si>
    <t>V2.1.6</t>
  </si>
  <si>
    <t xml:space="preserve">OPTIMIZED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</si>
</sst>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3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4" tint="0.3999755851924192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color theme="1"/>
      <name val="Segoe UI"/>
      <family val="2"/>
    </font>
    <font>
      <u/>
      <sz val="11"/>
      <color theme="10"/>
      <name val="Aptos Narrow"/>
      <family val="2"/>
      <scheme val="minor"/>
    </font>
    <font>
      <b/>
      <sz val="11"/>
      <name val="Arial"/>
      <family val="2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Times New Roman"/>
      <family val="1"/>
    </font>
    <font>
      <strike/>
      <sz val="12"/>
      <color theme="1"/>
      <name val="Aptos Narrow"/>
      <family val="2"/>
      <scheme val="minor"/>
    </font>
    <font>
      <sz val="10"/>
      <color rgb="FF000000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2"/>
      <color rgb="FF993366"/>
      <name val="Aptos Display"/>
      <family val="2"/>
    </font>
    <font>
      <sz val="11"/>
      <color rgb="FFFF00FF"/>
      <name val="Aptos Narrow"/>
      <family val="2"/>
    </font>
    <font>
      <b/>
      <sz val="14"/>
      <color rgb="FF008000"/>
      <name val="Aptos Narrow"/>
      <family val="2"/>
    </font>
    <font>
      <sz val="14"/>
      <color rgb="FF33CCCC"/>
      <name val="Aptos Narrow"/>
      <family val="2"/>
    </font>
    <font>
      <b/>
      <sz val="11"/>
      <color rgb="FFFF0000"/>
      <name val="Aptos Narrow"/>
      <family val="2"/>
      <scheme val="minor"/>
    </font>
    <font>
      <b/>
      <sz val="11"/>
      <color rgb="FFFF6600"/>
      <name val="Aptos Narrow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color indexed="17"/>
      <name val="Arial"/>
      <family val="2"/>
    </font>
    <font>
      <b/>
      <sz val="14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1" fillId="0" borderId="0"/>
  </cellStyleXfs>
  <cellXfs count="180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2" xfId="0" applyFill="1" applyBorder="1"/>
    <xf numFmtId="0" fontId="0" fillId="2" borderId="9" xfId="0" applyFill="1" applyBorder="1"/>
    <xf numFmtId="0" fontId="1" fillId="2" borderId="6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0" fillId="0" borderId="1" xfId="0" applyBorder="1"/>
    <xf numFmtId="0" fontId="2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44" fontId="2" fillId="12" borderId="1" xfId="1" applyFont="1" applyFill="1" applyBorder="1" applyAlignment="1">
      <alignment horizontal="center" vertical="center"/>
    </xf>
    <xf numFmtId="44" fontId="0" fillId="12" borderId="1" xfId="1" applyFont="1" applyFill="1" applyBorder="1" applyAlignment="1">
      <alignment horizontal="center" vertical="center"/>
    </xf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1" fillId="2" borderId="8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49" fontId="7" fillId="11" borderId="1" xfId="0" applyNumberFormat="1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top" wrapText="1"/>
    </xf>
    <xf numFmtId="44" fontId="0" fillId="14" borderId="1" xfId="1" applyFont="1" applyFill="1" applyBorder="1" applyAlignment="1">
      <alignment horizontal="center" vertical="center"/>
    </xf>
    <xf numFmtId="14" fontId="0" fillId="2" borderId="10" xfId="0" applyNumberFormat="1" applyFill="1" applyBorder="1" applyAlignment="1">
      <alignment horizontal="center" vertical="center"/>
    </xf>
    <xf numFmtId="14" fontId="0" fillId="15" borderId="1" xfId="0" applyNumberForma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right"/>
    </xf>
    <xf numFmtId="0" fontId="0" fillId="0" borderId="1" xfId="0" quotePrefix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quotePrefix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3" fillId="0" borderId="0" xfId="2" applyAlignment="1">
      <alignment wrapText="1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3" fillId="0" borderId="0" xfId="2" applyAlignment="1">
      <alignment vertical="center" wrapText="1"/>
    </xf>
    <xf numFmtId="0" fontId="13" fillId="0" borderId="0" xfId="2" applyAlignment="1">
      <alignment horizontal="left" vertical="center" wrapText="1"/>
    </xf>
    <xf numFmtId="6" fontId="15" fillId="0" borderId="0" xfId="0" applyNumberFormat="1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5" fillId="0" borderId="0" xfId="2" applyFont="1" applyAlignment="1">
      <alignment horizontal="left" vertical="center" wrapText="1"/>
    </xf>
    <xf numFmtId="0" fontId="15" fillId="0" borderId="0" xfId="0" quotePrefix="1" applyFont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vertical="center" wrapText="1"/>
    </xf>
    <xf numFmtId="0" fontId="1" fillId="9" borderId="1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 wrapText="1"/>
    </xf>
    <xf numFmtId="0" fontId="22" fillId="7" borderId="1" xfId="0" applyFon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left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16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/>
    </xf>
    <xf numFmtId="0" fontId="14" fillId="17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9" fillId="13" borderId="7" xfId="0" applyFont="1" applyFill="1" applyBorder="1" applyAlignment="1">
      <alignment horizontal="left"/>
    </xf>
    <xf numFmtId="0" fontId="1" fillId="1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2" fillId="6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1" fillId="0" borderId="0" xfId="0" applyFont="1" applyAlignment="1">
      <alignment horizontal="left"/>
    </xf>
    <xf numFmtId="0" fontId="0" fillId="2" borderId="13" xfId="0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9" fillId="13" borderId="0" xfId="0" applyFont="1" applyFill="1" applyAlignment="1">
      <alignment horizontal="left"/>
    </xf>
    <xf numFmtId="49" fontId="9" fillId="13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0" fillId="19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1" xfId="0" applyFont="1" applyBorder="1"/>
    <xf numFmtId="0" fontId="14" fillId="17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15" borderId="0" xfId="0" applyFill="1" applyAlignment="1">
      <alignment vertical="center"/>
    </xf>
    <xf numFmtId="0" fontId="29" fillId="2" borderId="16" xfId="0" applyFont="1" applyFill="1" applyBorder="1" applyAlignment="1">
      <alignment horizontal="center" vertical="center"/>
    </xf>
    <xf numFmtId="0" fontId="1" fillId="20" borderId="16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0" fillId="0" borderId="1" xfId="0" applyNumberFormat="1" applyBorder="1"/>
    <xf numFmtId="0" fontId="0" fillId="0" borderId="1" xfId="0" quotePrefix="1" applyBorder="1"/>
    <xf numFmtId="0" fontId="0" fillId="3" borderId="10" xfId="0" applyFill="1" applyBorder="1" applyAlignment="1">
      <alignment horizontal="center" vertical="center"/>
    </xf>
    <xf numFmtId="44" fontId="0" fillId="0" borderId="10" xfId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left" vertical="center"/>
    </xf>
    <xf numFmtId="0" fontId="5" fillId="21" borderId="1" xfId="0" applyFont="1" applyFill="1" applyBorder="1" applyAlignment="1">
      <alignment horizontal="center" vertical="center"/>
    </xf>
    <xf numFmtId="44" fontId="5" fillId="21" borderId="1" xfId="1" applyFont="1" applyFill="1" applyBorder="1" applyAlignment="1">
      <alignment horizontal="center" vertical="center"/>
    </xf>
    <xf numFmtId="14" fontId="5" fillId="21" borderId="1" xfId="0" applyNumberFormat="1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left" vertical="center" wrapText="1"/>
    </xf>
    <xf numFmtId="0" fontId="5" fillId="21" borderId="1" xfId="0" applyFont="1" applyFill="1" applyBorder="1" applyAlignment="1">
      <alignment horizontal="left" vertical="center"/>
    </xf>
    <xf numFmtId="49" fontId="5" fillId="21" borderId="1" xfId="0" applyNumberFormat="1" applyFont="1" applyFill="1" applyBorder="1" applyAlignment="1">
      <alignment horizontal="left" vertical="center"/>
    </xf>
    <xf numFmtId="0" fontId="2" fillId="22" borderId="1" xfId="0" applyFont="1" applyFill="1" applyBorder="1" applyAlignment="1">
      <alignment horizontal="center" vertical="center" wrapText="1"/>
    </xf>
    <xf numFmtId="0" fontId="5" fillId="22" borderId="1" xfId="0" applyFont="1" applyFill="1" applyBorder="1" applyAlignment="1">
      <alignment horizontal="center" vertical="center"/>
    </xf>
    <xf numFmtId="14" fontId="5" fillId="22" borderId="1" xfId="0" applyNumberFormat="1" applyFont="1" applyFill="1" applyBorder="1" applyAlignment="1">
      <alignment horizontal="center" vertical="center"/>
    </xf>
    <xf numFmtId="0" fontId="32" fillId="17" borderId="1" xfId="3" applyFont="1" applyFill="1" applyBorder="1" applyAlignment="1">
      <alignment horizontal="center" vertical="center"/>
    </xf>
    <xf numFmtId="0" fontId="32" fillId="17" borderId="1" xfId="3" applyFont="1" applyFill="1" applyBorder="1" applyAlignment="1">
      <alignment vertical="center" wrapText="1"/>
    </xf>
    <xf numFmtId="0" fontId="33" fillId="10" borderId="1" xfId="3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>
      <alignment vertical="center" wrapText="1"/>
    </xf>
    <xf numFmtId="14" fontId="33" fillId="10" borderId="1" xfId="3" applyNumberFormat="1" applyFont="1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1" fillId="24" borderId="0" xfId="0" applyFont="1" applyFill="1" applyAlignment="1">
      <alignment wrapText="1"/>
    </xf>
    <xf numFmtId="0" fontId="0" fillId="0" borderId="0" xfId="0" quotePrefix="1" applyAlignment="1">
      <alignment wrapText="1"/>
    </xf>
    <xf numFmtId="0" fontId="1" fillId="0" borderId="0" xfId="0" applyFont="1" applyAlignment="1">
      <alignment wrapText="1"/>
    </xf>
    <xf numFmtId="0" fontId="1" fillId="16" borderId="16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left" vertical="center"/>
    </xf>
    <xf numFmtId="44" fontId="34" fillId="18" borderId="25" xfId="0" applyNumberFormat="1" applyFont="1" applyFill="1" applyBorder="1" applyAlignment="1">
      <alignment horizontal="center"/>
    </xf>
    <xf numFmtId="44" fontId="34" fillId="18" borderId="23" xfId="0" applyNumberFormat="1" applyFont="1" applyFill="1" applyBorder="1" applyAlignment="1">
      <alignment horizontal="center"/>
    </xf>
    <xf numFmtId="0" fontId="1" fillId="9" borderId="15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9" borderId="16" xfId="0" applyFont="1" applyFill="1" applyBorder="1" applyAlignment="1">
      <alignment horizontal="center"/>
    </xf>
    <xf numFmtId="0" fontId="9" fillId="13" borderId="0" xfId="0" applyFont="1" applyFill="1" applyAlignment="1">
      <alignment horizontal="left"/>
    </xf>
    <xf numFmtId="0" fontId="9" fillId="13" borderId="7" xfId="0" applyFont="1" applyFill="1" applyBorder="1" applyAlignment="1">
      <alignment horizontal="left"/>
    </xf>
    <xf numFmtId="0" fontId="9" fillId="13" borderId="2" xfId="0" applyFont="1" applyFill="1" applyBorder="1" applyAlignment="1">
      <alignment horizontal="left"/>
    </xf>
    <xf numFmtId="0" fontId="9" fillId="13" borderId="9" xfId="0" applyFont="1" applyFill="1" applyBorder="1" applyAlignment="1">
      <alignment horizontal="left"/>
    </xf>
    <xf numFmtId="0" fontId="0" fillId="2" borderId="2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9" fillId="3" borderId="4" xfId="0" quotePrefix="1" applyFont="1" applyFill="1" applyBorder="1" applyAlignment="1">
      <alignment horizontal="left"/>
    </xf>
    <xf numFmtId="0" fontId="9" fillId="3" borderId="4" xfId="0" applyFont="1" applyFill="1" applyBorder="1" applyAlignment="1">
      <alignment horizontal="left"/>
    </xf>
    <xf numFmtId="0" fontId="9" fillId="3" borderId="5" xfId="0" applyFont="1" applyFill="1" applyBorder="1" applyAlignment="1">
      <alignment horizontal="left"/>
    </xf>
    <xf numFmtId="0" fontId="9" fillId="3" borderId="0" xfId="0" applyFont="1" applyFill="1" applyAlignment="1">
      <alignment horizontal="left"/>
    </xf>
    <xf numFmtId="0" fontId="9" fillId="3" borderId="7" xfId="0" applyFont="1" applyFill="1" applyBorder="1" applyAlignment="1">
      <alignment horizontal="left"/>
    </xf>
    <xf numFmtId="14" fontId="9" fillId="3" borderId="0" xfId="0" applyNumberFormat="1" applyFont="1" applyFill="1" applyAlignment="1">
      <alignment horizontal="left"/>
    </xf>
    <xf numFmtId="0" fontId="23" fillId="2" borderId="15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16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center" vertical="center"/>
    </xf>
    <xf numFmtId="0" fontId="24" fillId="2" borderId="18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35" fillId="23" borderId="0" xfId="0" applyFont="1" applyFill="1" applyAlignment="1">
      <alignment wrapText="1"/>
    </xf>
  </cellXfs>
  <cellStyles count="4">
    <cellStyle name="Currency" xfId="1" builtinId="4"/>
    <cellStyle name="Hyperlink" xfId="2" builtinId="8"/>
    <cellStyle name="Normal" xfId="0" builtinId="0"/>
    <cellStyle name="Normal 2 2" xfId="3" xr:uid="{C879B0E6-66B0-4457-91BF-8147AB047B06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7</xdr:row>
          <xdr:rowOff>104775</xdr:rowOff>
        </xdr:from>
        <xdr:to>
          <xdr:col>8</xdr:col>
          <xdr:colOff>180975</xdr:colOff>
          <xdr:row>9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993366"/>
                  </a:solidFill>
                  <a:latin typeface="Aptos Display"/>
                </a:rPr>
                <a:t>Re-Arrange EE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10</xdr:row>
          <xdr:rowOff>161925</xdr:rowOff>
        </xdr:from>
        <xdr:to>
          <xdr:col>8</xdr:col>
          <xdr:colOff>266700</xdr:colOff>
          <xdr:row>14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Aptos Narrow"/>
                </a:rPr>
                <a:t>Split System BOM per Manuf.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19</xdr:row>
          <xdr:rowOff>85725</xdr:rowOff>
        </xdr:from>
        <xdr:to>
          <xdr:col>8</xdr:col>
          <xdr:colOff>314325</xdr:colOff>
          <xdr:row>22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ptos Narrow"/>
                </a:rPr>
                <a:t>CREATE SAP POR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4</xdr:row>
          <xdr:rowOff>38100</xdr:rowOff>
        </xdr:from>
        <xdr:to>
          <xdr:col>7</xdr:col>
          <xdr:colOff>828675</xdr:colOff>
          <xdr:row>6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33CCCC"/>
                  </a:solidFill>
                  <a:latin typeface="Aptos Narrow"/>
                </a:rPr>
                <a:t>Run Part Variant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16</xdr:row>
          <xdr:rowOff>85725</xdr:rowOff>
        </xdr:from>
        <xdr:to>
          <xdr:col>8</xdr:col>
          <xdr:colOff>238125</xdr:colOff>
          <xdr:row>18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Aptos Narrow"/>
                </a:rPr>
                <a:t>EXPORT SAP POR ORDER 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485775</xdr:colOff>
      <xdr:row>0</xdr:row>
      <xdr:rowOff>7938</xdr:rowOff>
    </xdr:from>
    <xdr:to>
      <xdr:col>10</xdr:col>
      <xdr:colOff>293687</xdr:colOff>
      <xdr:row>1</xdr:row>
      <xdr:rowOff>155574</xdr:rowOff>
    </xdr:to>
    <xdr:sp macro="[0]!ONGEN_SPEC_SyncMaster_Optimized" textlink="">
      <xdr:nvSpPr>
        <xdr:cNvPr id="4" name="btnONGENSyncMasterLibrary">
          <a:extLst>
            <a:ext uri="{FF2B5EF4-FFF2-40B4-BE49-F238E27FC236}">
              <a16:creationId xmlns:a16="http://schemas.microsoft.com/office/drawing/2014/main" id="{51E4A0B9-6652-42B9-D542-D8785C0EFE38}"/>
            </a:ext>
          </a:extLst>
        </xdr:cNvPr>
        <xdr:cNvSpPr/>
      </xdr:nvSpPr>
      <xdr:spPr>
        <a:xfrm>
          <a:off x="9129713" y="7938"/>
          <a:ext cx="1363662" cy="393699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SYNC MASTER LIBRARY</a:t>
          </a:r>
        </a:p>
      </xdr:txBody>
    </xdr:sp>
    <xdr:clientData/>
  </xdr:twoCellAnchor>
  <xdr:twoCellAnchor>
    <xdr:from>
      <xdr:col>9</xdr:col>
      <xdr:colOff>485775</xdr:colOff>
      <xdr:row>2</xdr:row>
      <xdr:rowOff>1744</xdr:rowOff>
    </xdr:from>
    <xdr:to>
      <xdr:col>10</xdr:col>
      <xdr:colOff>293687</xdr:colOff>
      <xdr:row>4</xdr:row>
      <xdr:rowOff>22224</xdr:rowOff>
    </xdr:to>
    <xdr:sp macro="[0]!ONGEN_ShowMasterLibraryStatus" textlink="">
      <xdr:nvSpPr>
        <xdr:cNvPr id="5" name="btnONGENMasterLibraryStatus">
          <a:extLst>
            <a:ext uri="{FF2B5EF4-FFF2-40B4-BE49-F238E27FC236}">
              <a16:creationId xmlns:a16="http://schemas.microsoft.com/office/drawing/2014/main" id="{D485CAA2-3542-DE08-275B-716118F6CF08}"/>
            </a:ext>
          </a:extLst>
        </xdr:cNvPr>
        <xdr:cNvSpPr/>
      </xdr:nvSpPr>
      <xdr:spPr>
        <a:xfrm>
          <a:off x="9129713" y="438307"/>
          <a:ext cx="1363662" cy="40148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MASTER LIBRARY STATUS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e Pierre" id="{8E5D85AD-D094-477F-BF93-485E20C8BC19}" userId="S::lee.pierre@swisslog.com::259bbf9b-85fa-4719-8c62-ef6b78377e9a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625F6B-1305-4F6F-A364-EB2A0DCC1C6C}" name="Table810" displayName="Table810" ref="A1:I173" totalsRowShown="0" headerRowDxfId="13" dataDxfId="12">
  <tableColumns count="9">
    <tableColumn id="1" xr3:uid="{508D607E-BF93-4DCD-A87C-E50E30945F44}" name="Vendor" dataDxfId="11"/>
    <tableColumn id="2" xr3:uid="{AE3600DA-83B3-45ED-833B-5BD9105722F5}" name="SAP Vendor#" dataDxfId="10"/>
    <tableColumn id="8" xr3:uid="{FEE419EB-D86C-44A2-B172-5FDBA7571407}" name="CUT OFF TIME" dataDxfId="9"/>
    <tableColumn id="5" xr3:uid="{CAFA497C-A4BF-4147-8598-F191DCA43D03}" name="Minimum" dataDxfId="8"/>
    <tableColumn id="3" xr3:uid="{D6CCAD55-5E81-4B72-BA7A-28E1B12F02B0}" name="email" dataDxfId="7"/>
    <tableColumn id="4" xr3:uid="{2BC8CE0A-C03D-4295-8953-9514576941B2}" name="email2" dataDxfId="6"/>
    <tableColumn id="6" xr3:uid="{0A0CB4AB-4733-4465-9E99-E28A06CA4E91}" name="email3" dataDxfId="5"/>
    <tableColumn id="7" xr3:uid="{924C53FD-4E15-4E93-97E2-71E4C5D17D35}" name="email4" dataDxfId="4"/>
    <tableColumn id="9" xr3:uid="{2F38523C-23DF-4181-8FB5-8C239038708E}" name="Website login's" dataDxfId="3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9" dT="2025-10-06T19:47:32.90" personId="{8E5D85AD-D094-477F-BF93-485E20C8BC19}" id="{F52EFC13-E649-4B58-BD37-EF93FFF11D51}">
    <text>Require Field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BFA3D-D190-4C5C-9D47-D99CE98274A3}">
  <sheetPr codeName="Sheet1">
    <tabColor theme="1" tint="4.9989318521683403E-2"/>
  </sheetPr>
  <dimension ref="A1:K24"/>
  <sheetViews>
    <sheetView tabSelected="1" zoomScale="120" zoomScaleNormal="120" workbookViewId="0">
      <selection activeCell="K10" sqref="K10"/>
    </sheetView>
  </sheetViews>
  <sheetFormatPr defaultColWidth="0" defaultRowHeight="15" zeroHeight="1" x14ac:dyDescent="0.25"/>
  <cols>
    <col min="1" max="1" width="6.7109375" style="2" bestFit="1" customWidth="1"/>
    <col min="2" max="2" width="22" style="2" customWidth="1"/>
    <col min="3" max="3" width="14.140625" style="2" bestFit="1" customWidth="1"/>
    <col min="4" max="4" width="20.5703125" style="2" bestFit="1" customWidth="1"/>
    <col min="5" max="5" width="13.42578125" style="2" customWidth="1"/>
    <col min="6" max="6" width="12.140625" style="2" customWidth="1"/>
    <col min="7" max="7" width="21" style="2" bestFit="1" customWidth="1"/>
    <col min="8" max="8" width="13.140625" style="2" bestFit="1" customWidth="1"/>
    <col min="9" max="9" width="6.5703125" style="2" customWidth="1"/>
    <col min="10" max="10" width="23.28515625" style="107" customWidth="1"/>
    <col min="11" max="11" width="9.140625" style="2" customWidth="1"/>
    <col min="12" max="16384" width="9.140625" style="2" hidden="1"/>
  </cols>
  <sheetData>
    <row r="1" spans="1:10" ht="19.5" thickBot="1" x14ac:dyDescent="0.35">
      <c r="A1" s="144" t="str" cm="1">
        <f t="array" ref="A1">IFERROR(_xlfn.XLOOKUP(TRUE,Revisions!A2:$A80&lt;&gt;"",Revisions!$A$2:$A$80,,,-1),"")</f>
        <v>V2.1.6</v>
      </c>
      <c r="G1" s="56" t="s">
        <v>9662</v>
      </c>
      <c r="H1" s="150">
        <f>SUM('SAP POR Order List'!J2:J50000)</f>
        <v>0</v>
      </c>
      <c r="I1" s="151"/>
    </row>
    <row r="2" spans="1:10" x14ac:dyDescent="0.25">
      <c r="A2" s="43"/>
      <c r="B2" s="159" t="e" vm="1">
        <v>#VALUE!</v>
      </c>
      <c r="C2" s="160"/>
      <c r="D2" s="160"/>
      <c r="E2" s="161"/>
      <c r="F2" s="48"/>
      <c r="G2" s="43"/>
      <c r="H2" s="99"/>
      <c r="I2" s="44"/>
      <c r="J2" s="108"/>
    </row>
    <row r="3" spans="1:10" x14ac:dyDescent="0.25">
      <c r="A3" s="45"/>
      <c r="B3" s="162"/>
      <c r="C3" s="163"/>
      <c r="D3" s="163"/>
      <c r="E3" s="164"/>
      <c r="F3" s="100" t="s">
        <v>9843</v>
      </c>
      <c r="G3" s="152" t="s">
        <v>0</v>
      </c>
      <c r="H3" s="153"/>
      <c r="I3" s="154"/>
      <c r="J3" s="109"/>
    </row>
    <row r="4" spans="1:10" x14ac:dyDescent="0.25">
      <c r="A4" s="45"/>
      <c r="B4" s="162"/>
      <c r="C4" s="163"/>
      <c r="D4" s="163"/>
      <c r="E4" s="164"/>
      <c r="F4" s="100"/>
      <c r="G4" s="45"/>
      <c r="I4" s="46"/>
      <c r="J4" s="109"/>
    </row>
    <row r="5" spans="1:10" x14ac:dyDescent="0.25">
      <c r="A5" s="45"/>
      <c r="B5" s="3"/>
      <c r="C5" s="100"/>
      <c r="D5" s="100"/>
      <c r="E5" s="4"/>
      <c r="F5" s="100"/>
      <c r="G5" s="45"/>
      <c r="I5" s="46"/>
      <c r="J5" s="109"/>
    </row>
    <row r="6" spans="1:10" x14ac:dyDescent="0.25">
      <c r="A6" s="45"/>
      <c r="B6" s="17" t="s">
        <v>1</v>
      </c>
      <c r="C6" s="17" t="s">
        <v>2</v>
      </c>
      <c r="D6" s="17" t="s">
        <v>3</v>
      </c>
      <c r="E6" s="17" t="s">
        <v>4</v>
      </c>
      <c r="F6" s="101"/>
      <c r="G6" s="47"/>
      <c r="H6" s="111"/>
      <c r="I6" s="46"/>
      <c r="J6" s="148" t="s">
        <v>5</v>
      </c>
    </row>
    <row r="7" spans="1:10" x14ac:dyDescent="0.25">
      <c r="A7" s="45"/>
      <c r="B7" s="38" t="s">
        <v>9652</v>
      </c>
      <c r="C7" s="38" t="s">
        <v>6</v>
      </c>
      <c r="D7" s="38" t="s">
        <v>9651</v>
      </c>
      <c r="E7" s="55" t="s">
        <v>9653</v>
      </c>
      <c r="F7" s="102"/>
      <c r="G7" s="172" t="s">
        <v>7</v>
      </c>
      <c r="H7" s="173"/>
      <c r="I7" s="174"/>
      <c r="J7" s="149"/>
    </row>
    <row r="8" spans="1:10" ht="15.75" x14ac:dyDescent="0.25">
      <c r="A8" s="45"/>
      <c r="B8" s="9" t="s">
        <v>8</v>
      </c>
      <c r="C8" s="165" t="s">
        <v>9</v>
      </c>
      <c r="D8" s="165"/>
      <c r="E8" s="165"/>
      <c r="F8" s="103"/>
      <c r="G8" s="45"/>
      <c r="I8" s="46"/>
      <c r="J8" s="149"/>
    </row>
    <row r="9" spans="1:10" x14ac:dyDescent="0.25">
      <c r="A9" s="45"/>
      <c r="B9" s="50" t="s">
        <v>10</v>
      </c>
      <c r="C9" s="166" t="s">
        <v>9651</v>
      </c>
      <c r="D9" s="167"/>
      <c r="E9" s="168"/>
      <c r="F9" s="104" t="s">
        <v>11</v>
      </c>
      <c r="G9" s="45"/>
      <c r="I9" s="46"/>
      <c r="J9" s="148" t="s">
        <v>12</v>
      </c>
    </row>
    <row r="10" spans="1:10" x14ac:dyDescent="0.25">
      <c r="A10" s="45"/>
      <c r="B10" s="8" t="s">
        <v>13</v>
      </c>
      <c r="C10" s="169" t="s">
        <v>9633</v>
      </c>
      <c r="D10" s="169"/>
      <c r="E10" s="170"/>
      <c r="F10" s="104" t="s">
        <v>14</v>
      </c>
      <c r="G10" s="172" t="s">
        <v>15</v>
      </c>
      <c r="H10" s="173"/>
      <c r="I10" s="174"/>
      <c r="J10" s="149"/>
    </row>
    <row r="11" spans="1:10" x14ac:dyDescent="0.25">
      <c r="A11" s="45"/>
      <c r="B11" s="8" t="s">
        <v>16</v>
      </c>
      <c r="C11" s="169" t="s">
        <v>9650</v>
      </c>
      <c r="D11" s="169"/>
      <c r="E11" s="170"/>
      <c r="F11" s="104" t="s">
        <v>17</v>
      </c>
      <c r="G11" s="45"/>
      <c r="I11" s="46"/>
      <c r="J11" s="149"/>
    </row>
    <row r="12" spans="1:10" x14ac:dyDescent="0.25">
      <c r="A12" s="45"/>
      <c r="B12" s="8" t="s">
        <v>18</v>
      </c>
      <c r="C12" s="169" t="s">
        <v>9650</v>
      </c>
      <c r="D12" s="169"/>
      <c r="E12" s="170"/>
      <c r="F12" s="104" t="s">
        <v>17</v>
      </c>
      <c r="G12" s="45"/>
      <c r="I12" s="46"/>
      <c r="J12" s="149"/>
    </row>
    <row r="13" spans="1:10" x14ac:dyDescent="0.25">
      <c r="A13" s="45"/>
      <c r="B13" s="8" t="s">
        <v>19</v>
      </c>
      <c r="C13" s="169" t="s">
        <v>9650</v>
      </c>
      <c r="D13" s="169"/>
      <c r="E13" s="170"/>
      <c r="F13" s="104" t="s">
        <v>17</v>
      </c>
      <c r="G13" s="45"/>
      <c r="I13" s="46"/>
      <c r="J13" s="148" t="s">
        <v>9637</v>
      </c>
    </row>
    <row r="14" spans="1:10" x14ac:dyDescent="0.25">
      <c r="A14" s="45"/>
      <c r="B14" s="8" t="s">
        <v>20</v>
      </c>
      <c r="C14" s="169" t="s">
        <v>9650</v>
      </c>
      <c r="D14" s="169"/>
      <c r="E14" s="170"/>
      <c r="F14" s="104" t="s">
        <v>17</v>
      </c>
      <c r="G14" s="172"/>
      <c r="H14" s="173"/>
      <c r="I14" s="174"/>
      <c r="J14" s="116"/>
    </row>
    <row r="15" spans="1:10" x14ac:dyDescent="0.25">
      <c r="A15" s="45"/>
      <c r="B15" s="8" t="s">
        <v>21</v>
      </c>
      <c r="C15" s="169" t="s">
        <v>9634</v>
      </c>
      <c r="D15" s="169"/>
      <c r="E15" s="170"/>
      <c r="F15" s="104" t="s">
        <v>17</v>
      </c>
      <c r="G15" s="172" t="s">
        <v>9638</v>
      </c>
      <c r="H15" s="173"/>
      <c r="I15" s="174"/>
      <c r="J15" s="149"/>
    </row>
    <row r="16" spans="1:10" x14ac:dyDescent="0.25">
      <c r="A16" s="45"/>
      <c r="B16" s="8" t="s">
        <v>22</v>
      </c>
      <c r="C16" s="171" t="s">
        <v>9650</v>
      </c>
      <c r="D16" s="169"/>
      <c r="E16" s="170"/>
      <c r="F16" s="104" t="s">
        <v>17</v>
      </c>
      <c r="G16" s="45"/>
      <c r="I16" s="46"/>
      <c r="J16" s="149"/>
    </row>
    <row r="17" spans="2:10" x14ac:dyDescent="0.25">
      <c r="B17" s="8" t="s">
        <v>24</v>
      </c>
      <c r="C17" s="169" t="s">
        <v>25</v>
      </c>
      <c r="D17" s="169"/>
      <c r="E17" s="170"/>
      <c r="F17" s="104" t="s">
        <v>17</v>
      </c>
      <c r="G17" s="45"/>
      <c r="I17" s="46"/>
      <c r="J17" s="149"/>
    </row>
    <row r="18" spans="2:10" x14ac:dyDescent="0.25">
      <c r="B18" s="8" t="s">
        <v>26</v>
      </c>
      <c r="C18" s="155" t="s">
        <v>27</v>
      </c>
      <c r="D18" s="155"/>
      <c r="E18" s="156"/>
      <c r="F18" s="104" t="s">
        <v>17</v>
      </c>
      <c r="G18" s="172"/>
      <c r="H18" s="173"/>
      <c r="I18" s="174"/>
      <c r="J18" s="148" t="s">
        <v>23</v>
      </c>
    </row>
    <row r="19" spans="2:10" x14ac:dyDescent="0.25">
      <c r="B19" s="8" t="s">
        <v>28</v>
      </c>
      <c r="C19" s="105">
        <v>1110</v>
      </c>
      <c r="D19" s="105"/>
      <c r="E19" s="91"/>
      <c r="F19" s="104" t="s">
        <v>17</v>
      </c>
      <c r="G19" s="45"/>
      <c r="I19" s="46"/>
      <c r="J19" s="149"/>
    </row>
    <row r="20" spans="2:10" x14ac:dyDescent="0.25">
      <c r="B20" s="8" t="s">
        <v>29</v>
      </c>
      <c r="C20" s="118" t="s">
        <v>30</v>
      </c>
      <c r="D20" s="106" t="str" cm="1">
        <f t="array" ref="D20">IF(C20="US Spare","036",IF(C20="US Project","037",IF(C20=Mason,"038",IF(C20="ATC","219"," "))))</f>
        <v>037</v>
      </c>
      <c r="E20" s="91"/>
      <c r="F20" s="104" t="s">
        <v>17</v>
      </c>
      <c r="G20" s="45"/>
      <c r="I20" s="46"/>
      <c r="J20" s="149"/>
    </row>
    <row r="21" spans="2:10" x14ac:dyDescent="0.25">
      <c r="B21" s="8" t="s">
        <v>31</v>
      </c>
      <c r="C21" s="105">
        <v>1100</v>
      </c>
      <c r="D21" s="105"/>
      <c r="E21" s="91"/>
      <c r="F21" s="104"/>
      <c r="G21" s="45"/>
      <c r="I21" s="46"/>
      <c r="J21" s="148" t="s">
        <v>32</v>
      </c>
    </row>
    <row r="22" spans="2:10" x14ac:dyDescent="0.25">
      <c r="B22" s="8"/>
      <c r="C22" s="105"/>
      <c r="D22" s="105"/>
      <c r="E22" s="91"/>
      <c r="F22" s="104"/>
      <c r="G22" s="45"/>
      <c r="I22" s="46"/>
      <c r="J22" s="117" t="s">
        <v>9635</v>
      </c>
    </row>
    <row r="23" spans="2:10" x14ac:dyDescent="0.25">
      <c r="B23" s="49" t="s">
        <v>33</v>
      </c>
      <c r="C23" s="157"/>
      <c r="D23" s="157"/>
      <c r="E23" s="158"/>
      <c r="F23" s="104"/>
      <c r="G23" s="172" t="s">
        <v>9639</v>
      </c>
      <c r="H23" s="173"/>
      <c r="I23" s="174"/>
      <c r="J23" s="109"/>
    </row>
    <row r="24" spans="2:10" ht="15.75" thickBot="1" x14ac:dyDescent="0.3">
      <c r="B24" s="5"/>
      <c r="C24" s="6"/>
      <c r="D24" s="6"/>
      <c r="E24" s="7"/>
      <c r="G24" s="175" t="s">
        <v>34</v>
      </c>
      <c r="H24" s="176"/>
      <c r="I24" s="177"/>
      <c r="J24" s="109"/>
    </row>
  </sheetData>
  <mergeCells count="22">
    <mergeCell ref="G10:I10"/>
    <mergeCell ref="G7:I7"/>
    <mergeCell ref="G23:I23"/>
    <mergeCell ref="G18:I18"/>
    <mergeCell ref="G24:I24"/>
    <mergeCell ref="G15:I15"/>
    <mergeCell ref="H1:I1"/>
    <mergeCell ref="G3:I3"/>
    <mergeCell ref="C18:E18"/>
    <mergeCell ref="C23:E23"/>
    <mergeCell ref="B2:E4"/>
    <mergeCell ref="C8:E8"/>
    <mergeCell ref="C9:E9"/>
    <mergeCell ref="C10:E10"/>
    <mergeCell ref="C13:E13"/>
    <mergeCell ref="C15:E15"/>
    <mergeCell ref="C16:E16"/>
    <mergeCell ref="C17:E17"/>
    <mergeCell ref="C11:E11"/>
    <mergeCell ref="C12:E12"/>
    <mergeCell ref="C14:E14"/>
    <mergeCell ref="G14:I14"/>
  </mergeCells>
  <dataValidations count="2">
    <dataValidation type="list" allowBlank="1" showInputMessage="1" showErrorMessage="1" sqref="C17:E17" xr:uid="{0BDA1F74-FDFE-4BE9-BF8A-E28096D453D7}">
      <formula1>"USA,Other"</formula1>
    </dataValidation>
    <dataValidation type="list" allowBlank="1" showInputMessage="1" showErrorMessage="1" sqref="C20" xr:uid="{5267115E-CC20-40CE-BE22-AE1CB1BF5D56}">
      <formula1>"US Spare, US Project,Mason,ATC"</formula1>
    </dataValidation>
  </dataValidations>
  <pageMargins left="0.7" right="0.7" top="0.75" bottom="0.75" header="0.3" footer="0.3"/>
  <headerFooter>
    <oddFooter>&amp;C_x000D_&amp;1#&amp;"Calibri"&amp;10&amp;K676c71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NGEN_SPEC_ReArrangeEEData_Optimized">
                <anchor moveWithCells="1" sizeWithCells="1">
                  <from>
                    <xdr:col>6</xdr:col>
                    <xdr:colOff>304800</xdr:colOff>
                    <xdr:row>7</xdr:row>
                    <xdr:rowOff>104775</xdr:rowOff>
                  </from>
                  <to>
                    <xdr:col>8</xdr:col>
                    <xdr:colOff>180975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NGEN_SPEC_SplitManufacturer_Optimized">
                <anchor moveWithCells="1" sizeWithCells="1">
                  <from>
                    <xdr:col>6</xdr:col>
                    <xdr:colOff>247650</xdr:colOff>
                    <xdr:row>10</xdr:row>
                    <xdr:rowOff>161925</xdr:rowOff>
                  </from>
                  <to>
                    <xdr:col>8</xdr:col>
                    <xdr:colOff>266700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ONGEN_SPEC_CreateSAPPOR_Optimized">
                <anchor moveWithCells="1" sizeWithCells="1">
                  <from>
                    <xdr:col>6</xdr:col>
                    <xdr:colOff>161925</xdr:colOff>
                    <xdr:row>19</xdr:row>
                    <xdr:rowOff>85725</xdr:rowOff>
                  </from>
                  <to>
                    <xdr:col>8</xdr:col>
                    <xdr:colOff>314325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ONGEN_SPEC_RunPartVariant_Optimized">
                <anchor moveWithCells="1" sizeWithCells="1">
                  <from>
                    <xdr:col>6</xdr:col>
                    <xdr:colOff>447675</xdr:colOff>
                    <xdr:row>4</xdr:row>
                    <xdr:rowOff>38100</xdr:rowOff>
                  </from>
                  <to>
                    <xdr:col>7</xdr:col>
                    <xdr:colOff>828675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ONGEN_SPEC_ExportSAPPOR_Optimized">
                <anchor moveWithCells="1" sizeWithCells="1">
                  <from>
                    <xdr:col>6</xdr:col>
                    <xdr:colOff>276225</xdr:colOff>
                    <xdr:row>16</xdr:row>
                    <xdr:rowOff>85725</xdr:rowOff>
                  </from>
                  <to>
                    <xdr:col>8</xdr:col>
                    <xdr:colOff>238125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1F46-AE96-4B00-ADC6-4448C3FF672B}">
  <sheetPr codeName="Sheet5"/>
  <dimension ref="A1:D5"/>
  <sheetViews>
    <sheetView topLeftCell="A2" workbookViewId="0">
      <selection activeCell="D6" sqref="D6"/>
    </sheetView>
  </sheetViews>
  <sheetFormatPr defaultRowHeight="15" x14ac:dyDescent="0.25"/>
  <cols>
    <col min="1" max="2" width="15.140625" style="14" customWidth="1"/>
    <col min="3" max="3" width="118.7109375" style="29" customWidth="1"/>
    <col min="4" max="4" width="13.5703125" style="14" customWidth="1"/>
  </cols>
  <sheetData>
    <row r="1" spans="1:4" x14ac:dyDescent="0.25">
      <c r="A1" s="139" t="s">
        <v>9654</v>
      </c>
      <c r="B1" s="139" t="s">
        <v>9655</v>
      </c>
      <c r="C1" s="140" t="s">
        <v>13</v>
      </c>
      <c r="D1" s="139" t="s">
        <v>9656</v>
      </c>
    </row>
    <row r="2" spans="1:4" ht="105" x14ac:dyDescent="0.25">
      <c r="A2" s="141" t="s">
        <v>9657</v>
      </c>
      <c r="B2" s="141" t="s">
        <v>27</v>
      </c>
      <c r="C2" s="142" t="s">
        <v>9659</v>
      </c>
      <c r="D2" s="143">
        <v>45693</v>
      </c>
    </row>
    <row r="3" spans="1:4" ht="60" x14ac:dyDescent="0.25">
      <c r="A3" s="141" t="s">
        <v>9658</v>
      </c>
      <c r="B3" s="141" t="s">
        <v>27</v>
      </c>
      <c r="C3" s="142" t="s">
        <v>9660</v>
      </c>
      <c r="D3" s="143">
        <v>46115</v>
      </c>
    </row>
    <row r="4" spans="1:4" ht="120" x14ac:dyDescent="0.25">
      <c r="A4" s="141" t="s">
        <v>9594</v>
      </c>
      <c r="B4" s="141" t="s">
        <v>27</v>
      </c>
      <c r="C4" s="142" t="s">
        <v>9661</v>
      </c>
      <c r="D4" s="143">
        <v>46196</v>
      </c>
    </row>
    <row r="5" spans="1:4" x14ac:dyDescent="0.25">
      <c r="A5" s="141" t="s">
        <v>9844</v>
      </c>
      <c r="B5" s="141" t="s">
        <v>27</v>
      </c>
      <c r="C5" s="142" t="s">
        <v>9845</v>
      </c>
      <c r="D5" s="143">
        <v>46265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9BB57-89EE-4AE0-8423-11659CCCC0EC}">
  <sheetPr codeName="Sheet4"/>
  <dimension ref="A1:K173"/>
  <sheetViews>
    <sheetView zoomScale="70" zoomScaleNormal="70" workbookViewId="0">
      <selection activeCell="D32" sqref="D32"/>
    </sheetView>
  </sheetViews>
  <sheetFormatPr defaultColWidth="42" defaultRowHeight="15.75" x14ac:dyDescent="0.25"/>
  <cols>
    <col min="1" max="1" width="39" style="66" bestFit="1" customWidth="1"/>
    <col min="2" max="2" width="27.85546875" style="66" bestFit="1" customWidth="1"/>
    <col min="3" max="3" width="19.28515625" style="66" bestFit="1" customWidth="1"/>
    <col min="4" max="4" width="31" style="66" bestFit="1" customWidth="1"/>
    <col min="5" max="5" width="41.42578125" style="66" bestFit="1" customWidth="1"/>
    <col min="6" max="6" width="54.140625" style="66" bestFit="1" customWidth="1"/>
    <col min="7" max="7" width="37.7109375" style="66" bestFit="1" customWidth="1"/>
    <col min="8" max="8" width="63.140625" style="66" bestFit="1" customWidth="1"/>
    <col min="9" max="9" width="26.28515625" style="66" bestFit="1" customWidth="1"/>
    <col min="10" max="16384" width="42" style="66"/>
  </cols>
  <sheetData>
    <row r="1" spans="1:11" x14ac:dyDescent="0.25">
      <c r="A1" s="66" t="s">
        <v>35</v>
      </c>
      <c r="B1" s="66" t="s">
        <v>36</v>
      </c>
      <c r="C1" s="66" t="s">
        <v>37</v>
      </c>
      <c r="D1" s="66" t="s">
        <v>38</v>
      </c>
      <c r="E1" s="66" t="s">
        <v>39</v>
      </c>
      <c r="F1" s="66" t="s">
        <v>40</v>
      </c>
      <c r="G1" s="66" t="s">
        <v>41</v>
      </c>
      <c r="H1" s="66" t="s">
        <v>42</v>
      </c>
      <c r="I1" s="66" t="s">
        <v>43</v>
      </c>
    </row>
    <row r="2" spans="1:11" x14ac:dyDescent="0.25">
      <c r="A2" s="67" t="s">
        <v>44</v>
      </c>
      <c r="B2" s="67" t="s">
        <v>45</v>
      </c>
      <c r="C2" s="67"/>
      <c r="D2" s="67" t="s">
        <v>46</v>
      </c>
      <c r="E2" t="s">
        <v>47</v>
      </c>
      <c r="F2" t="s">
        <v>48</v>
      </c>
      <c r="G2" s="65"/>
    </row>
    <row r="3" spans="1:11" x14ac:dyDescent="0.25">
      <c r="A3" s="66" t="s">
        <v>49</v>
      </c>
      <c r="B3" s="66">
        <v>310684</v>
      </c>
      <c r="E3" t="s">
        <v>50</v>
      </c>
    </row>
    <row r="4" spans="1:11" x14ac:dyDescent="0.25">
      <c r="A4" s="66" t="s">
        <v>51</v>
      </c>
      <c r="B4" s="66">
        <v>307598</v>
      </c>
      <c r="D4" s="70">
        <v>50</v>
      </c>
      <c r="E4" t="s">
        <v>52</v>
      </c>
    </row>
    <row r="5" spans="1:11" x14ac:dyDescent="0.25">
      <c r="A5" s="66" t="s">
        <v>53</v>
      </c>
      <c r="B5" s="66">
        <v>306923</v>
      </c>
      <c r="E5" t="s">
        <v>54</v>
      </c>
      <c r="F5" s="65"/>
    </row>
    <row r="6" spans="1:11" x14ac:dyDescent="0.25">
      <c r="A6" s="66" t="s">
        <v>55</v>
      </c>
      <c r="B6" s="66">
        <v>315795</v>
      </c>
      <c r="E6" s="71" t="s">
        <v>56</v>
      </c>
      <c r="F6" s="72"/>
    </row>
    <row r="7" spans="1:11" x14ac:dyDescent="0.25">
      <c r="A7" s="66" t="s">
        <v>57</v>
      </c>
      <c r="B7" s="66">
        <v>307949</v>
      </c>
      <c r="E7" t="s">
        <v>58</v>
      </c>
    </row>
    <row r="8" spans="1:11" x14ac:dyDescent="0.25">
      <c r="A8" s="66" t="s">
        <v>59</v>
      </c>
      <c r="B8" s="66">
        <v>307392</v>
      </c>
      <c r="E8" t="s">
        <v>60</v>
      </c>
      <c r="F8" t="s">
        <v>61</v>
      </c>
      <c r="G8" s="71" t="s">
        <v>62</v>
      </c>
      <c r="H8" s="69"/>
    </row>
    <row r="9" spans="1:11" x14ac:dyDescent="0.25">
      <c r="A9" s="66" t="s">
        <v>63</v>
      </c>
      <c r="B9" s="66">
        <v>307391</v>
      </c>
      <c r="E9" t="s">
        <v>64</v>
      </c>
    </row>
    <row r="10" spans="1:11" x14ac:dyDescent="0.25">
      <c r="A10" s="66" t="s">
        <v>65</v>
      </c>
      <c r="B10" s="66">
        <v>313378</v>
      </c>
      <c r="D10" s="70">
        <v>100</v>
      </c>
      <c r="E10" t="s">
        <v>66</v>
      </c>
      <c r="F10" t="s">
        <v>67</v>
      </c>
    </row>
    <row r="11" spans="1:11" x14ac:dyDescent="0.25">
      <c r="A11" s="66" t="s">
        <v>68</v>
      </c>
      <c r="B11" s="66">
        <v>307420</v>
      </c>
      <c r="E11" t="s">
        <v>69</v>
      </c>
    </row>
    <row r="12" spans="1:11" x14ac:dyDescent="0.25">
      <c r="A12" s="66" t="s">
        <v>70</v>
      </c>
      <c r="B12" s="66">
        <v>312959</v>
      </c>
      <c r="E12" t="s">
        <v>71</v>
      </c>
      <c r="F12" t="s">
        <v>72</v>
      </c>
      <c r="G12" s="65"/>
    </row>
    <row r="13" spans="1:11" x14ac:dyDescent="0.25">
      <c r="A13" s="66" t="s">
        <v>73</v>
      </c>
      <c r="B13" s="66">
        <v>306982</v>
      </c>
      <c r="E13" t="s">
        <v>74</v>
      </c>
      <c r="K13" s="73"/>
    </row>
    <row r="14" spans="1:11" x14ac:dyDescent="0.25">
      <c r="A14" s="66" t="s">
        <v>75</v>
      </c>
      <c r="B14" s="66">
        <v>307848</v>
      </c>
      <c r="E14" t="s">
        <v>76</v>
      </c>
      <c r="F14" s="71" t="s">
        <v>77</v>
      </c>
    </row>
    <row r="15" spans="1:11" x14ac:dyDescent="0.25">
      <c r="A15" s="66" t="s">
        <v>78</v>
      </c>
      <c r="B15" s="66">
        <v>306915</v>
      </c>
      <c r="E15" t="s">
        <v>79</v>
      </c>
    </row>
    <row r="16" spans="1:11" x14ac:dyDescent="0.25">
      <c r="A16" s="66" t="s">
        <v>80</v>
      </c>
      <c r="B16" s="66">
        <v>314450</v>
      </c>
      <c r="E16" t="s">
        <v>81</v>
      </c>
      <c r="F16" t="s">
        <v>82</v>
      </c>
    </row>
    <row r="17" spans="1:9" x14ac:dyDescent="0.25">
      <c r="A17" s="66" t="s">
        <v>83</v>
      </c>
      <c r="B17" s="66">
        <v>314623</v>
      </c>
      <c r="E17" s="74" t="s">
        <v>84</v>
      </c>
      <c r="F17" t="s">
        <v>85</v>
      </c>
      <c r="G17" t="s">
        <v>86</v>
      </c>
      <c r="H17" t="s">
        <v>87</v>
      </c>
    </row>
    <row r="18" spans="1:9" x14ac:dyDescent="0.25">
      <c r="A18" s="66" t="s">
        <v>88</v>
      </c>
      <c r="B18" s="66">
        <v>307566</v>
      </c>
      <c r="E18" t="s">
        <v>89</v>
      </c>
    </row>
    <row r="19" spans="1:9" x14ac:dyDescent="0.25">
      <c r="A19" s="66" t="s">
        <v>90</v>
      </c>
      <c r="B19" s="66">
        <v>307408</v>
      </c>
      <c r="E19" t="s">
        <v>91</v>
      </c>
    </row>
    <row r="20" spans="1:9" x14ac:dyDescent="0.25">
      <c r="A20" s="66" t="s">
        <v>92</v>
      </c>
      <c r="B20" s="66">
        <v>307067</v>
      </c>
      <c r="E20" t="s">
        <v>93</v>
      </c>
      <c r="F20" s="69"/>
    </row>
    <row r="21" spans="1:9" x14ac:dyDescent="0.25">
      <c r="A21" s="66" t="s">
        <v>94</v>
      </c>
      <c r="B21" s="66">
        <v>312010</v>
      </c>
      <c r="E21" t="s">
        <v>95</v>
      </c>
      <c r="F21" t="s">
        <v>96</v>
      </c>
    </row>
    <row r="22" spans="1:9" x14ac:dyDescent="0.25">
      <c r="A22" s="66" t="s">
        <v>97</v>
      </c>
      <c r="B22" s="66">
        <v>307750</v>
      </c>
      <c r="E22" t="s">
        <v>98</v>
      </c>
    </row>
    <row r="23" spans="1:9" x14ac:dyDescent="0.25">
      <c r="A23" s="66" t="s">
        <v>99</v>
      </c>
      <c r="B23" s="66">
        <v>306974</v>
      </c>
      <c r="E23" t="s">
        <v>100</v>
      </c>
    </row>
    <row r="24" spans="1:9" x14ac:dyDescent="0.25">
      <c r="A24" s="66" t="s">
        <v>101</v>
      </c>
      <c r="B24" s="66">
        <v>307674</v>
      </c>
      <c r="E24" s="72" t="s">
        <v>102</v>
      </c>
      <c r="F24" s="32" t="s">
        <v>103</v>
      </c>
    </row>
    <row r="25" spans="1:9" x14ac:dyDescent="0.25">
      <c r="A25" s="66" t="s">
        <v>104</v>
      </c>
      <c r="B25" s="66">
        <v>307485</v>
      </c>
      <c r="E25" s="69" t="s">
        <v>105</v>
      </c>
    </row>
    <row r="26" spans="1:9" x14ac:dyDescent="0.25">
      <c r="A26" s="66" t="s">
        <v>106</v>
      </c>
      <c r="B26" s="66">
        <v>306971</v>
      </c>
      <c r="D26" s="70">
        <v>75</v>
      </c>
      <c r="E26" t="s">
        <v>107</v>
      </c>
    </row>
    <row r="27" spans="1:9" x14ac:dyDescent="0.25">
      <c r="A27" s="66" t="s">
        <v>108</v>
      </c>
      <c r="B27" s="66">
        <v>317032</v>
      </c>
      <c r="D27" s="70"/>
      <c r="E27" t="s">
        <v>109</v>
      </c>
    </row>
    <row r="28" spans="1:9" x14ac:dyDescent="0.25">
      <c r="A28" s="66" t="s">
        <v>110</v>
      </c>
      <c r="B28" s="66">
        <v>308836</v>
      </c>
      <c r="E28" t="s">
        <v>111</v>
      </c>
    </row>
    <row r="29" spans="1:9" x14ac:dyDescent="0.25">
      <c r="A29" s="66" t="s">
        <v>112</v>
      </c>
      <c r="B29" s="66">
        <v>307888</v>
      </c>
      <c r="E29" t="s">
        <v>113</v>
      </c>
    </row>
    <row r="30" spans="1:9" x14ac:dyDescent="0.25">
      <c r="A30" s="66" t="s">
        <v>114</v>
      </c>
      <c r="B30" s="66">
        <v>308042</v>
      </c>
      <c r="E30" s="72" t="s">
        <v>115</v>
      </c>
      <c r="F30" s="66" t="s">
        <v>116</v>
      </c>
      <c r="G30" s="66" t="s">
        <v>117</v>
      </c>
    </row>
    <row r="31" spans="1:9" x14ac:dyDescent="0.25">
      <c r="A31" s="66" t="s">
        <v>118</v>
      </c>
      <c r="B31" s="66">
        <v>307393</v>
      </c>
      <c r="E31" s="71" t="s">
        <v>119</v>
      </c>
      <c r="F31" s="71" t="s">
        <v>120</v>
      </c>
      <c r="G31" s="71" t="s">
        <v>121</v>
      </c>
      <c r="H31" s="71" t="s">
        <v>122</v>
      </c>
      <c r="I31" s="66" t="s">
        <v>123</v>
      </c>
    </row>
    <row r="32" spans="1:9" x14ac:dyDescent="0.25">
      <c r="A32" s="66" t="s">
        <v>124</v>
      </c>
      <c r="B32" s="66">
        <v>313755</v>
      </c>
      <c r="E32" s="66" t="s">
        <v>125</v>
      </c>
    </row>
    <row r="33" spans="1:7" x14ac:dyDescent="0.25">
      <c r="A33" s="66" t="s">
        <v>126</v>
      </c>
      <c r="B33" s="66">
        <v>308829</v>
      </c>
      <c r="E33" s="71" t="s">
        <v>127</v>
      </c>
      <c r="F33" t="s">
        <v>128</v>
      </c>
      <c r="G33" t="s">
        <v>129</v>
      </c>
    </row>
    <row r="34" spans="1:7" x14ac:dyDescent="0.25">
      <c r="A34" s="66" t="s">
        <v>130</v>
      </c>
      <c r="B34" s="66">
        <v>307400</v>
      </c>
      <c r="E34" s="66" t="s">
        <v>131</v>
      </c>
      <c r="F34" t="s">
        <v>132</v>
      </c>
    </row>
    <row r="35" spans="1:7" x14ac:dyDescent="0.25">
      <c r="A35" s="66" t="s">
        <v>133</v>
      </c>
      <c r="B35" s="66">
        <v>307656</v>
      </c>
      <c r="E35" t="s">
        <v>134</v>
      </c>
      <c r="F35" s="72"/>
    </row>
    <row r="36" spans="1:7" x14ac:dyDescent="0.25">
      <c r="A36" s="66" t="s">
        <v>135</v>
      </c>
      <c r="B36" s="66">
        <v>307541</v>
      </c>
      <c r="E36" s="66" t="s">
        <v>136</v>
      </c>
      <c r="F36" s="32" t="s">
        <v>137</v>
      </c>
    </row>
    <row r="37" spans="1:7" x14ac:dyDescent="0.25">
      <c r="A37" s="66" t="s">
        <v>138</v>
      </c>
      <c r="B37" s="66">
        <v>315521</v>
      </c>
      <c r="E37" t="s">
        <v>139</v>
      </c>
      <c r="F37" t="s">
        <v>140</v>
      </c>
    </row>
    <row r="38" spans="1:7" x14ac:dyDescent="0.25">
      <c r="A38" s="66" t="s">
        <v>141</v>
      </c>
      <c r="B38" s="66">
        <v>307528</v>
      </c>
      <c r="D38" s="70">
        <v>100</v>
      </c>
      <c r="E38" t="s">
        <v>142</v>
      </c>
    </row>
    <row r="39" spans="1:7" x14ac:dyDescent="0.25">
      <c r="A39" s="66" t="s">
        <v>143</v>
      </c>
      <c r="B39" s="66">
        <v>316737</v>
      </c>
      <c r="D39" s="70"/>
      <c r="E39" s="72" t="s">
        <v>144</v>
      </c>
    </row>
    <row r="40" spans="1:7" x14ac:dyDescent="0.25">
      <c r="A40" s="66" t="s">
        <v>145</v>
      </c>
      <c r="B40" s="66">
        <v>313752</v>
      </c>
      <c r="D40" s="70"/>
      <c r="E40" t="s">
        <v>146</v>
      </c>
    </row>
    <row r="41" spans="1:7" x14ac:dyDescent="0.25">
      <c r="A41" s="66" t="s">
        <v>147</v>
      </c>
      <c r="B41" s="66">
        <v>307678</v>
      </c>
      <c r="D41" s="70"/>
      <c r="E41" s="32" t="s">
        <v>148</v>
      </c>
      <c r="F41" s="66" t="s">
        <v>149</v>
      </c>
    </row>
    <row r="42" spans="1:7" x14ac:dyDescent="0.25">
      <c r="A42" s="66" t="s">
        <v>150</v>
      </c>
      <c r="B42" s="66">
        <v>312025</v>
      </c>
      <c r="D42" s="70"/>
      <c r="E42" s="66" t="s">
        <v>151</v>
      </c>
    </row>
    <row r="43" spans="1:7" x14ac:dyDescent="0.25">
      <c r="A43" s="66" t="s">
        <v>152</v>
      </c>
      <c r="B43" s="66">
        <v>313425</v>
      </c>
      <c r="D43" s="70"/>
      <c r="E43" t="s">
        <v>153</v>
      </c>
    </row>
    <row r="44" spans="1:7" x14ac:dyDescent="0.25">
      <c r="A44" s="66" t="s">
        <v>154</v>
      </c>
      <c r="B44" s="66">
        <v>307708</v>
      </c>
      <c r="E44" t="s">
        <v>155</v>
      </c>
    </row>
    <row r="45" spans="1:7" x14ac:dyDescent="0.25">
      <c r="A45" s="66" t="s">
        <v>156</v>
      </c>
      <c r="B45" s="66">
        <v>312520</v>
      </c>
      <c r="E45" s="71" t="s">
        <v>157</v>
      </c>
    </row>
    <row r="46" spans="1:7" x14ac:dyDescent="0.25">
      <c r="A46" s="66" t="s">
        <v>158</v>
      </c>
      <c r="B46" s="66">
        <v>307537</v>
      </c>
      <c r="E46" t="s">
        <v>159</v>
      </c>
      <c r="F46" s="66" t="s">
        <v>160</v>
      </c>
    </row>
    <row r="47" spans="1:7" x14ac:dyDescent="0.25">
      <c r="A47" s="66" t="s">
        <v>161</v>
      </c>
      <c r="B47" s="66">
        <v>307409</v>
      </c>
      <c r="E47" t="s">
        <v>162</v>
      </c>
    </row>
    <row r="48" spans="1:7" x14ac:dyDescent="0.25">
      <c r="A48" s="66" t="s">
        <v>163</v>
      </c>
      <c r="B48" s="66">
        <v>308787</v>
      </c>
      <c r="E48" s="69" t="s">
        <v>164</v>
      </c>
      <c r="F48" s="66" t="s">
        <v>165</v>
      </c>
    </row>
    <row r="49" spans="1:7" x14ac:dyDescent="0.25">
      <c r="A49" s="66" t="s">
        <v>166</v>
      </c>
      <c r="B49" s="66">
        <v>317582</v>
      </c>
      <c r="E49" t="s">
        <v>167</v>
      </c>
    </row>
    <row r="50" spans="1:7" x14ac:dyDescent="0.25">
      <c r="A50" s="66" t="s">
        <v>168</v>
      </c>
      <c r="B50" s="66">
        <v>315245</v>
      </c>
      <c r="E50" s="71" t="s">
        <v>169</v>
      </c>
    </row>
    <row r="51" spans="1:7" x14ac:dyDescent="0.25">
      <c r="A51" s="66" t="s">
        <v>170</v>
      </c>
      <c r="B51" s="66">
        <v>307082</v>
      </c>
      <c r="E51" s="72" t="s">
        <v>171</v>
      </c>
    </row>
    <row r="52" spans="1:7" x14ac:dyDescent="0.25">
      <c r="A52" s="66" t="s">
        <v>172</v>
      </c>
      <c r="B52" s="66">
        <v>307013</v>
      </c>
      <c r="E52" s="72"/>
    </row>
    <row r="53" spans="1:7" x14ac:dyDescent="0.25">
      <c r="A53" s="66" t="s">
        <v>173</v>
      </c>
      <c r="B53" s="66">
        <v>300073</v>
      </c>
      <c r="E53" s="71" t="s">
        <v>174</v>
      </c>
      <c r="F53" s="71" t="s">
        <v>175</v>
      </c>
    </row>
    <row r="54" spans="1:7" x14ac:dyDescent="0.25">
      <c r="A54" s="66" t="s">
        <v>176</v>
      </c>
      <c r="B54" s="66">
        <v>308827</v>
      </c>
      <c r="E54" t="s">
        <v>177</v>
      </c>
    </row>
    <row r="55" spans="1:7" x14ac:dyDescent="0.25">
      <c r="A55" s="66" t="s">
        <v>178</v>
      </c>
      <c r="B55" s="66">
        <v>314545</v>
      </c>
      <c r="E55" s="71" t="s">
        <v>179</v>
      </c>
    </row>
    <row r="56" spans="1:7" x14ac:dyDescent="0.25">
      <c r="A56" s="66" t="s">
        <v>180</v>
      </c>
      <c r="B56" s="66">
        <v>306922</v>
      </c>
      <c r="E56" t="s">
        <v>181</v>
      </c>
    </row>
    <row r="57" spans="1:7" x14ac:dyDescent="0.25">
      <c r="A57" s="66" t="s">
        <v>182</v>
      </c>
      <c r="B57" s="66">
        <v>313848</v>
      </c>
      <c r="D57" s="70">
        <v>100</v>
      </c>
      <c r="E57" t="s">
        <v>183</v>
      </c>
      <c r="F57" t="s">
        <v>184</v>
      </c>
      <c r="G57" t="s">
        <v>185</v>
      </c>
    </row>
    <row r="58" spans="1:7" x14ac:dyDescent="0.25">
      <c r="A58" s="66" t="s">
        <v>186</v>
      </c>
      <c r="B58" s="66">
        <v>312508</v>
      </c>
      <c r="E58" t="s">
        <v>187</v>
      </c>
    </row>
    <row r="59" spans="1:7" x14ac:dyDescent="0.25">
      <c r="A59" s="66" t="s">
        <v>188</v>
      </c>
      <c r="B59" s="66">
        <v>307889</v>
      </c>
      <c r="E59" t="s">
        <v>189</v>
      </c>
      <c r="F59" t="s">
        <v>190</v>
      </c>
    </row>
    <row r="60" spans="1:7" x14ac:dyDescent="0.25">
      <c r="A60" s="66" t="s">
        <v>191</v>
      </c>
      <c r="B60" s="66">
        <v>306939</v>
      </c>
      <c r="E60" t="s">
        <v>192</v>
      </c>
      <c r="F60" s="71"/>
    </row>
    <row r="61" spans="1:7" x14ac:dyDescent="0.25">
      <c r="A61" s="66" t="s">
        <v>193</v>
      </c>
      <c r="B61" s="66">
        <v>312130</v>
      </c>
      <c r="E61" t="s">
        <v>194</v>
      </c>
    </row>
    <row r="62" spans="1:7" x14ac:dyDescent="0.25">
      <c r="A62" s="66" t="s">
        <v>195</v>
      </c>
      <c r="B62" s="66">
        <v>307552</v>
      </c>
      <c r="E62" t="s">
        <v>196</v>
      </c>
      <c r="F62" s="69" t="s">
        <v>197</v>
      </c>
    </row>
    <row r="63" spans="1:7" x14ac:dyDescent="0.25">
      <c r="A63" s="66" t="s">
        <v>198</v>
      </c>
      <c r="B63" s="66">
        <v>303029</v>
      </c>
      <c r="E63" s="72" t="s">
        <v>199</v>
      </c>
      <c r="F63" s="72"/>
    </row>
    <row r="64" spans="1:7" x14ac:dyDescent="0.25">
      <c r="A64" s="66" t="s">
        <v>200</v>
      </c>
      <c r="B64" s="66">
        <v>306944</v>
      </c>
      <c r="E64" t="s">
        <v>201</v>
      </c>
      <c r="F64" s="72"/>
    </row>
    <row r="65" spans="1:8" x14ac:dyDescent="0.25">
      <c r="A65" s="66" t="s">
        <v>202</v>
      </c>
      <c r="B65" s="66">
        <v>313920</v>
      </c>
      <c r="E65" s="72" t="s">
        <v>203</v>
      </c>
      <c r="F65" s="72"/>
    </row>
    <row r="66" spans="1:8" x14ac:dyDescent="0.25">
      <c r="A66" s="66" t="s">
        <v>204</v>
      </c>
      <c r="B66" s="66">
        <v>307404</v>
      </c>
      <c r="E66" t="s">
        <v>205</v>
      </c>
      <c r="G66" s="68"/>
      <c r="H66" s="68"/>
    </row>
    <row r="67" spans="1:8" x14ac:dyDescent="0.25">
      <c r="A67" s="66" t="s">
        <v>206</v>
      </c>
      <c r="B67" s="66">
        <v>307506</v>
      </c>
      <c r="E67" t="s">
        <v>207</v>
      </c>
      <c r="F67" s="69" t="s">
        <v>208</v>
      </c>
    </row>
    <row r="68" spans="1:8" x14ac:dyDescent="0.25">
      <c r="A68" s="66" t="s">
        <v>209</v>
      </c>
      <c r="B68" s="66">
        <v>306995</v>
      </c>
      <c r="D68" s="70">
        <v>100</v>
      </c>
      <c r="E68" t="s">
        <v>210</v>
      </c>
      <c r="F68" s="72" t="s">
        <v>211</v>
      </c>
    </row>
    <row r="69" spans="1:8" x14ac:dyDescent="0.25">
      <c r="A69" s="66" t="s">
        <v>212</v>
      </c>
      <c r="B69" s="66">
        <v>315425</v>
      </c>
      <c r="D69" s="65"/>
      <c r="E69" s="72" t="s">
        <v>213</v>
      </c>
      <c r="F69" s="72" t="s">
        <v>214</v>
      </c>
    </row>
    <row r="70" spans="1:8" x14ac:dyDescent="0.25">
      <c r="A70" s="66" t="s">
        <v>215</v>
      </c>
      <c r="B70" s="66">
        <v>314912</v>
      </c>
      <c r="E70" t="s">
        <v>216</v>
      </c>
      <c r="F70" s="72"/>
    </row>
    <row r="71" spans="1:8" x14ac:dyDescent="0.25">
      <c r="A71" s="66" t="s">
        <v>217</v>
      </c>
      <c r="B71" s="66">
        <v>307846</v>
      </c>
      <c r="E71" t="s">
        <v>218</v>
      </c>
      <c r="F71" t="s">
        <v>219</v>
      </c>
      <c r="G71" t="s">
        <v>220</v>
      </c>
      <c r="H71" t="s">
        <v>221</v>
      </c>
    </row>
    <row r="72" spans="1:8" x14ac:dyDescent="0.25">
      <c r="A72" s="66" t="s">
        <v>222</v>
      </c>
      <c r="B72" s="66">
        <v>307605</v>
      </c>
      <c r="D72" s="70">
        <v>50</v>
      </c>
      <c r="E72" t="s">
        <v>223</v>
      </c>
      <c r="F72" t="s">
        <v>224</v>
      </c>
      <c r="G72" t="s">
        <v>225</v>
      </c>
    </row>
    <row r="73" spans="1:8" x14ac:dyDescent="0.25">
      <c r="A73" s="66" t="s">
        <v>226</v>
      </c>
      <c r="B73" s="66">
        <v>306912</v>
      </c>
      <c r="E73" t="s">
        <v>227</v>
      </c>
      <c r="F73" t="s">
        <v>228</v>
      </c>
      <c r="G73" t="s">
        <v>229</v>
      </c>
      <c r="H73" s="71" t="s">
        <v>230</v>
      </c>
    </row>
    <row r="74" spans="1:8" x14ac:dyDescent="0.25">
      <c r="A74" s="66" t="s">
        <v>231</v>
      </c>
      <c r="B74" s="66">
        <v>308837</v>
      </c>
      <c r="E74" s="72"/>
    </row>
    <row r="75" spans="1:8" x14ac:dyDescent="0.25">
      <c r="A75" s="66" t="s">
        <v>232</v>
      </c>
      <c r="B75" s="66">
        <v>306926</v>
      </c>
      <c r="D75" s="70">
        <v>75</v>
      </c>
      <c r="E75" t="s">
        <v>233</v>
      </c>
    </row>
    <row r="76" spans="1:8" x14ac:dyDescent="0.25">
      <c r="A76" s="66" t="s">
        <v>234</v>
      </c>
      <c r="B76" s="66">
        <v>316539</v>
      </c>
      <c r="D76" s="70"/>
      <c r="E76" t="s">
        <v>235</v>
      </c>
      <c r="F76" t="s">
        <v>236</v>
      </c>
      <c r="G76" s="72" t="s">
        <v>237</v>
      </c>
    </row>
    <row r="77" spans="1:8" x14ac:dyDescent="0.25">
      <c r="A77" s="66" t="s">
        <v>238</v>
      </c>
      <c r="B77" s="66">
        <v>307550</v>
      </c>
      <c r="D77" s="70"/>
      <c r="E77" s="71" t="s">
        <v>239</v>
      </c>
    </row>
    <row r="78" spans="1:8" x14ac:dyDescent="0.25">
      <c r="A78" s="66" t="s">
        <v>240</v>
      </c>
      <c r="B78" s="66">
        <v>306968</v>
      </c>
      <c r="D78" s="70"/>
      <c r="E78" s="72" t="s">
        <v>241</v>
      </c>
    </row>
    <row r="79" spans="1:8" x14ac:dyDescent="0.25">
      <c r="A79" s="66" t="s">
        <v>242</v>
      </c>
      <c r="B79" s="66">
        <v>312361</v>
      </c>
      <c r="D79" s="70"/>
      <c r="E79" t="s">
        <v>243</v>
      </c>
    </row>
    <row r="80" spans="1:8" x14ac:dyDescent="0.25">
      <c r="A80" s="66" t="s">
        <v>244</v>
      </c>
      <c r="B80" s="66">
        <v>308822</v>
      </c>
      <c r="D80" s="70"/>
      <c r="E80" s="72" t="s">
        <v>245</v>
      </c>
    </row>
    <row r="81" spans="1:9" x14ac:dyDescent="0.25">
      <c r="A81" s="66" t="s">
        <v>246</v>
      </c>
      <c r="B81" s="66">
        <v>307529</v>
      </c>
      <c r="E81" t="s">
        <v>247</v>
      </c>
      <c r="F81" s="71" t="s">
        <v>248</v>
      </c>
      <c r="G81" s="72"/>
    </row>
    <row r="82" spans="1:9" x14ac:dyDescent="0.25">
      <c r="A82" s="66" t="s">
        <v>249</v>
      </c>
      <c r="B82" s="66" t="s">
        <v>250</v>
      </c>
      <c r="E82" t="s">
        <v>251</v>
      </c>
      <c r="F82" t="s">
        <v>252</v>
      </c>
      <c r="G82" s="72"/>
    </row>
    <row r="83" spans="1:9" x14ac:dyDescent="0.25">
      <c r="A83" s="66" t="s">
        <v>253</v>
      </c>
      <c r="B83" s="66">
        <v>306909</v>
      </c>
      <c r="E83" s="72" t="s">
        <v>254</v>
      </c>
      <c r="F83" s="72"/>
      <c r="G83" s="72"/>
    </row>
    <row r="84" spans="1:9" x14ac:dyDescent="0.25">
      <c r="A84" s="66" t="s">
        <v>255</v>
      </c>
      <c r="B84" s="66">
        <v>307056</v>
      </c>
      <c r="E84" t="s">
        <v>256</v>
      </c>
    </row>
    <row r="85" spans="1:9" x14ac:dyDescent="0.25">
      <c r="A85" s="66" t="s">
        <v>257</v>
      </c>
      <c r="B85" s="66">
        <v>307454</v>
      </c>
      <c r="E85" t="s">
        <v>258</v>
      </c>
      <c r="H85" s="68"/>
    </row>
    <row r="86" spans="1:9" x14ac:dyDescent="0.25">
      <c r="A86" s="66" t="s">
        <v>259</v>
      </c>
      <c r="B86" s="66" t="s">
        <v>260</v>
      </c>
      <c r="D86" s="66" t="s">
        <v>261</v>
      </c>
      <c r="E86" s="72" t="s">
        <v>262</v>
      </c>
    </row>
    <row r="87" spans="1:9" x14ac:dyDescent="0.25">
      <c r="A87" s="66" t="s">
        <v>263</v>
      </c>
      <c r="B87" s="66" t="s">
        <v>264</v>
      </c>
      <c r="E87" t="s">
        <v>265</v>
      </c>
      <c r="F87" t="s">
        <v>266</v>
      </c>
      <c r="G87" t="s">
        <v>267</v>
      </c>
    </row>
    <row r="88" spans="1:9" x14ac:dyDescent="0.25">
      <c r="A88" s="66" t="s">
        <v>268</v>
      </c>
      <c r="B88" s="66" t="s">
        <v>269</v>
      </c>
      <c r="E88" s="71" t="s">
        <v>270</v>
      </c>
      <c r="F88" s="72"/>
      <c r="G88" s="72"/>
    </row>
    <row r="89" spans="1:9" x14ac:dyDescent="0.25">
      <c r="A89" s="66" t="s">
        <v>271</v>
      </c>
      <c r="B89" s="66" t="s">
        <v>272</v>
      </c>
      <c r="E89" s="69" t="s">
        <v>273</v>
      </c>
      <c r="F89" t="s">
        <v>274</v>
      </c>
    </row>
    <row r="90" spans="1:9" s="75" customFormat="1" x14ac:dyDescent="0.25">
      <c r="A90" s="66" t="s">
        <v>275</v>
      </c>
      <c r="B90" s="66" t="s">
        <v>276</v>
      </c>
      <c r="C90" s="66"/>
      <c r="D90" s="66"/>
      <c r="E90" t="s">
        <v>277</v>
      </c>
      <c r="F90" s="32" t="s">
        <v>278</v>
      </c>
      <c r="I90" s="66"/>
    </row>
    <row r="91" spans="1:9" x14ac:dyDescent="0.25">
      <c r="A91" s="66" t="s">
        <v>279</v>
      </c>
      <c r="B91" s="66">
        <v>306943</v>
      </c>
      <c r="E91" t="s">
        <v>280</v>
      </c>
    </row>
    <row r="92" spans="1:9" x14ac:dyDescent="0.25">
      <c r="A92" s="66" t="s">
        <v>281</v>
      </c>
      <c r="B92" s="66">
        <v>307812</v>
      </c>
      <c r="D92" s="70">
        <v>100</v>
      </c>
      <c r="E92" t="s">
        <v>282</v>
      </c>
      <c r="F92" s="71" t="s">
        <v>283</v>
      </c>
    </row>
    <row r="93" spans="1:9" x14ac:dyDescent="0.25">
      <c r="A93" s="66" t="s">
        <v>284</v>
      </c>
      <c r="B93" s="66">
        <v>307796</v>
      </c>
      <c r="C93" s="66" t="s">
        <v>285</v>
      </c>
      <c r="E93" t="s">
        <v>286</v>
      </c>
    </row>
    <row r="94" spans="1:9" x14ac:dyDescent="0.25">
      <c r="A94" s="66" t="s">
        <v>287</v>
      </c>
      <c r="B94" s="66">
        <v>307599</v>
      </c>
      <c r="E94" t="s">
        <v>288</v>
      </c>
    </row>
    <row r="95" spans="1:9" x14ac:dyDescent="0.25">
      <c r="A95" s="66" t="s">
        <v>289</v>
      </c>
      <c r="B95" s="66">
        <v>314329</v>
      </c>
      <c r="E95" t="s">
        <v>290</v>
      </c>
    </row>
    <row r="96" spans="1:9" x14ac:dyDescent="0.25">
      <c r="A96" s="66" t="s">
        <v>291</v>
      </c>
      <c r="B96" s="66">
        <v>308067</v>
      </c>
      <c r="D96" s="70">
        <v>200</v>
      </c>
      <c r="E96" s="32" t="s">
        <v>292</v>
      </c>
      <c r="G96" t="s">
        <v>293</v>
      </c>
    </row>
    <row r="97" spans="1:8" x14ac:dyDescent="0.25">
      <c r="A97" s="66" t="s">
        <v>294</v>
      </c>
      <c r="B97" s="66">
        <v>307915</v>
      </c>
      <c r="D97" s="70"/>
      <c r="E97" s="72"/>
    </row>
    <row r="98" spans="1:8" x14ac:dyDescent="0.25">
      <c r="A98" s="66" t="s">
        <v>295</v>
      </c>
      <c r="B98" s="66">
        <v>306935</v>
      </c>
      <c r="D98" s="70"/>
      <c r="E98" s="69" t="s">
        <v>296</v>
      </c>
      <c r="F98" s="66" t="s">
        <v>297</v>
      </c>
    </row>
    <row r="99" spans="1:8" x14ac:dyDescent="0.25">
      <c r="A99" s="66" t="s">
        <v>298</v>
      </c>
      <c r="B99" s="66">
        <v>307498</v>
      </c>
      <c r="E99" t="s">
        <v>299</v>
      </c>
    </row>
    <row r="100" spans="1:8" x14ac:dyDescent="0.25">
      <c r="A100" s="66" t="s">
        <v>300</v>
      </c>
      <c r="B100" s="66">
        <v>308001</v>
      </c>
      <c r="E100" s="72" t="s">
        <v>301</v>
      </c>
    </row>
    <row r="101" spans="1:8" x14ac:dyDescent="0.25">
      <c r="A101" s="66" t="s">
        <v>302</v>
      </c>
      <c r="B101" s="66">
        <v>307405</v>
      </c>
      <c r="D101" s="66" t="s">
        <v>303</v>
      </c>
      <c r="E101" t="s">
        <v>304</v>
      </c>
    </row>
    <row r="102" spans="1:8" x14ac:dyDescent="0.25">
      <c r="A102" s="66" t="s">
        <v>305</v>
      </c>
      <c r="B102" s="66">
        <v>313850</v>
      </c>
      <c r="D102" s="65"/>
      <c r="E102" s="66" t="s">
        <v>306</v>
      </c>
      <c r="G102" s="76"/>
      <c r="H102" s="77"/>
    </row>
    <row r="103" spans="1:8" x14ac:dyDescent="0.25">
      <c r="A103" s="66" t="s">
        <v>307</v>
      </c>
      <c r="B103" s="66">
        <v>307564</v>
      </c>
      <c r="E103" t="s">
        <v>308</v>
      </c>
    </row>
    <row r="104" spans="1:8" x14ac:dyDescent="0.25">
      <c r="A104" s="66" t="s">
        <v>309</v>
      </c>
      <c r="B104" s="66">
        <v>307763</v>
      </c>
      <c r="E104" t="s">
        <v>310</v>
      </c>
    </row>
    <row r="105" spans="1:8" x14ac:dyDescent="0.25">
      <c r="A105" s="66" t="s">
        <v>311</v>
      </c>
      <c r="B105" s="66">
        <v>312810</v>
      </c>
      <c r="E105" t="s">
        <v>312</v>
      </c>
      <c r="F105" s="66" t="s">
        <v>313</v>
      </c>
      <c r="G105" s="72" t="s">
        <v>314</v>
      </c>
    </row>
    <row r="106" spans="1:8" x14ac:dyDescent="0.25">
      <c r="A106" s="66" t="s">
        <v>315</v>
      </c>
      <c r="B106" s="66">
        <v>307719</v>
      </c>
      <c r="E106" t="s">
        <v>316</v>
      </c>
    </row>
    <row r="107" spans="1:8" x14ac:dyDescent="0.25">
      <c r="A107" s="66" t="s">
        <v>317</v>
      </c>
      <c r="B107" s="66">
        <v>307499</v>
      </c>
      <c r="E107" t="s">
        <v>318</v>
      </c>
      <c r="F107" t="s">
        <v>319</v>
      </c>
      <c r="G107" t="s">
        <v>320</v>
      </c>
      <c r="H107" s="65"/>
    </row>
    <row r="108" spans="1:8" x14ac:dyDescent="0.25">
      <c r="A108" s="66" t="s">
        <v>321</v>
      </c>
      <c r="B108" s="66">
        <v>307921</v>
      </c>
      <c r="E108" t="s">
        <v>322</v>
      </c>
      <c r="F108" s="72"/>
      <c r="G108" s="72"/>
      <c r="H108" s="72"/>
    </row>
    <row r="109" spans="1:8" x14ac:dyDescent="0.25">
      <c r="A109" s="66" t="s">
        <v>323</v>
      </c>
      <c r="B109" s="66">
        <v>307493</v>
      </c>
      <c r="E109" t="s">
        <v>324</v>
      </c>
      <c r="F109" t="s">
        <v>325</v>
      </c>
    </row>
    <row r="110" spans="1:8" x14ac:dyDescent="0.25">
      <c r="A110" s="66" t="s">
        <v>326</v>
      </c>
      <c r="B110" s="66">
        <v>307394</v>
      </c>
      <c r="E110" t="s">
        <v>327</v>
      </c>
      <c r="F110" t="s">
        <v>328</v>
      </c>
    </row>
    <row r="111" spans="1:8" x14ac:dyDescent="0.25">
      <c r="A111" s="66" t="s">
        <v>329</v>
      </c>
      <c r="B111" s="66">
        <v>313202</v>
      </c>
      <c r="E111" s="72" t="s">
        <v>330</v>
      </c>
    </row>
    <row r="112" spans="1:8" x14ac:dyDescent="0.25">
      <c r="A112" s="66" t="s">
        <v>331</v>
      </c>
      <c r="B112" s="66">
        <v>316623</v>
      </c>
      <c r="E112" s="72" t="s">
        <v>332</v>
      </c>
    </row>
    <row r="113" spans="1:8" x14ac:dyDescent="0.25">
      <c r="A113" s="66" t="s">
        <v>333</v>
      </c>
      <c r="B113" s="66">
        <v>313108</v>
      </c>
      <c r="D113" s="70">
        <v>100</v>
      </c>
      <c r="E113" t="s">
        <v>334</v>
      </c>
      <c r="F113" t="s">
        <v>335</v>
      </c>
    </row>
    <row r="114" spans="1:8" x14ac:dyDescent="0.25">
      <c r="A114" s="66" t="s">
        <v>336</v>
      </c>
      <c r="B114" s="66">
        <v>306988</v>
      </c>
      <c r="E114" t="s">
        <v>337</v>
      </c>
      <c r="F114" s="72"/>
    </row>
    <row r="115" spans="1:8" x14ac:dyDescent="0.25">
      <c r="A115" s="66" t="s">
        <v>338</v>
      </c>
      <c r="B115" s="66">
        <v>313875</v>
      </c>
      <c r="E115" s="71" t="s">
        <v>339</v>
      </c>
      <c r="F115" s="72"/>
    </row>
    <row r="116" spans="1:8" x14ac:dyDescent="0.25">
      <c r="A116" s="66" t="s">
        <v>340</v>
      </c>
      <c r="B116" s="66">
        <v>312337</v>
      </c>
      <c r="E116" s="72" t="s">
        <v>341</v>
      </c>
      <c r="F116" s="72"/>
    </row>
    <row r="117" spans="1:8" x14ac:dyDescent="0.25">
      <c r="A117" s="66" t="s">
        <v>342</v>
      </c>
      <c r="B117" s="66">
        <v>306936</v>
      </c>
      <c r="E117" t="s">
        <v>343</v>
      </c>
    </row>
    <row r="118" spans="1:8" x14ac:dyDescent="0.25">
      <c r="A118" s="66" t="s">
        <v>344</v>
      </c>
      <c r="B118" s="66">
        <v>307063</v>
      </c>
      <c r="E118" t="s">
        <v>345</v>
      </c>
      <c r="H118" s="71"/>
    </row>
    <row r="119" spans="1:8" x14ac:dyDescent="0.25">
      <c r="A119" s="66" t="s">
        <v>346</v>
      </c>
      <c r="B119" s="66">
        <v>308044</v>
      </c>
      <c r="D119" s="66" t="s">
        <v>347</v>
      </c>
      <c r="E119" t="s">
        <v>348</v>
      </c>
    </row>
    <row r="120" spans="1:8" x14ac:dyDescent="0.25">
      <c r="A120" s="66" t="s">
        <v>349</v>
      </c>
      <c r="B120" s="66">
        <v>307060</v>
      </c>
      <c r="D120" s="66" t="s">
        <v>350</v>
      </c>
      <c r="E120" t="s">
        <v>351</v>
      </c>
      <c r="F120" t="s">
        <v>352</v>
      </c>
      <c r="G120" s="69"/>
    </row>
    <row r="121" spans="1:8" x14ac:dyDescent="0.25">
      <c r="A121" s="66" t="s">
        <v>353</v>
      </c>
      <c r="B121" s="66">
        <v>313193</v>
      </c>
      <c r="E121" t="s">
        <v>354</v>
      </c>
    </row>
    <row r="122" spans="1:8" x14ac:dyDescent="0.25">
      <c r="A122" s="66" t="s">
        <v>355</v>
      </c>
      <c r="B122" s="66">
        <v>313058</v>
      </c>
      <c r="E122" t="s">
        <v>356</v>
      </c>
      <c r="F122" t="s">
        <v>357</v>
      </c>
      <c r="G122" t="s">
        <v>358</v>
      </c>
      <c r="H122" t="s">
        <v>359</v>
      </c>
    </row>
    <row r="123" spans="1:8" x14ac:dyDescent="0.25">
      <c r="A123" s="66" t="s">
        <v>360</v>
      </c>
      <c r="B123" s="66">
        <v>312485</v>
      </c>
      <c r="E123" t="s">
        <v>361</v>
      </c>
      <c r="F123" s="72"/>
      <c r="G123" s="72"/>
      <c r="H123" s="72"/>
    </row>
    <row r="124" spans="1:8" x14ac:dyDescent="0.25">
      <c r="A124" s="66" t="s">
        <v>362</v>
      </c>
      <c r="B124" s="66">
        <v>314824</v>
      </c>
      <c r="E124" t="s">
        <v>363</v>
      </c>
      <c r="F124" s="72"/>
      <c r="G124" s="72"/>
      <c r="H124" s="72"/>
    </row>
    <row r="125" spans="1:8" x14ac:dyDescent="0.25">
      <c r="A125" s="66" t="s">
        <v>364</v>
      </c>
      <c r="B125" s="66">
        <v>313107</v>
      </c>
      <c r="E125" t="s">
        <v>365</v>
      </c>
    </row>
    <row r="126" spans="1:8" x14ac:dyDescent="0.25">
      <c r="A126" s="66" t="s">
        <v>366</v>
      </c>
      <c r="B126" s="66">
        <v>315867</v>
      </c>
      <c r="E126" s="71" t="s">
        <v>367</v>
      </c>
      <c r="F126" s="71" t="s">
        <v>368</v>
      </c>
    </row>
    <row r="127" spans="1:8" x14ac:dyDescent="0.25">
      <c r="A127" s="66" t="s">
        <v>369</v>
      </c>
      <c r="B127" s="66">
        <v>312961</v>
      </c>
      <c r="E127" s="66" t="s">
        <v>370</v>
      </c>
    </row>
    <row r="128" spans="1:8" x14ac:dyDescent="0.25">
      <c r="A128" s="66" t="s">
        <v>371</v>
      </c>
      <c r="B128" s="66">
        <v>300230</v>
      </c>
      <c r="E128" t="s">
        <v>372</v>
      </c>
      <c r="F128" s="65"/>
      <c r="G128" s="69"/>
    </row>
    <row r="129" spans="1:8" x14ac:dyDescent="0.25">
      <c r="A129" s="66" t="s">
        <v>373</v>
      </c>
      <c r="B129" s="66">
        <v>307619</v>
      </c>
      <c r="E129" t="s">
        <v>374</v>
      </c>
      <c r="F129" s="72"/>
      <c r="G129" s="72"/>
    </row>
    <row r="130" spans="1:8" x14ac:dyDescent="0.25">
      <c r="A130" s="66" t="s">
        <v>375</v>
      </c>
      <c r="B130" s="66">
        <v>307629</v>
      </c>
      <c r="E130" t="s">
        <v>376</v>
      </c>
      <c r="F130" s="72"/>
    </row>
    <row r="131" spans="1:8" x14ac:dyDescent="0.25">
      <c r="A131" s="66" t="s">
        <v>377</v>
      </c>
      <c r="B131" s="66">
        <v>307879</v>
      </c>
      <c r="E131" s="72" t="s">
        <v>378</v>
      </c>
      <c r="F131" t="s">
        <v>379</v>
      </c>
    </row>
    <row r="132" spans="1:8" x14ac:dyDescent="0.25">
      <c r="A132" s="66" t="s">
        <v>380</v>
      </c>
      <c r="B132" s="66">
        <v>313731</v>
      </c>
      <c r="E132" s="71" t="s">
        <v>381</v>
      </c>
      <c r="F132" s="72"/>
    </row>
    <row r="133" spans="1:8" x14ac:dyDescent="0.25">
      <c r="A133" s="66" t="s">
        <v>382</v>
      </c>
      <c r="B133" s="66">
        <v>306980</v>
      </c>
      <c r="E133" t="s">
        <v>383</v>
      </c>
    </row>
    <row r="134" spans="1:8" x14ac:dyDescent="0.25">
      <c r="A134" s="66" t="s">
        <v>384</v>
      </c>
      <c r="B134" s="66">
        <v>318010</v>
      </c>
      <c r="E134" t="s">
        <v>385</v>
      </c>
    </row>
    <row r="135" spans="1:8" x14ac:dyDescent="0.25">
      <c r="A135" s="66" t="s">
        <v>386</v>
      </c>
      <c r="B135" s="66">
        <v>307716</v>
      </c>
      <c r="E135" t="s">
        <v>387</v>
      </c>
    </row>
    <row r="136" spans="1:8" x14ac:dyDescent="0.25">
      <c r="A136" s="66" t="s">
        <v>388</v>
      </c>
      <c r="B136" s="66">
        <v>307540</v>
      </c>
      <c r="E136" t="s">
        <v>389</v>
      </c>
    </row>
    <row r="137" spans="1:8" x14ac:dyDescent="0.25">
      <c r="A137" s="66" t="s">
        <v>390</v>
      </c>
      <c r="B137" s="66">
        <v>306913</v>
      </c>
      <c r="E137" t="s">
        <v>391</v>
      </c>
    </row>
    <row r="138" spans="1:8" x14ac:dyDescent="0.25">
      <c r="A138" s="66" t="s">
        <v>392</v>
      </c>
      <c r="B138" s="66">
        <v>307407</v>
      </c>
      <c r="E138" t="s">
        <v>393</v>
      </c>
      <c r="F138" t="s">
        <v>394</v>
      </c>
    </row>
    <row r="139" spans="1:8" x14ac:dyDescent="0.25">
      <c r="A139" s="66" t="s">
        <v>395</v>
      </c>
      <c r="B139" s="66">
        <v>313532</v>
      </c>
      <c r="E139" t="s">
        <v>396</v>
      </c>
    </row>
    <row r="140" spans="1:8" x14ac:dyDescent="0.25">
      <c r="A140" s="66" t="s">
        <v>397</v>
      </c>
      <c r="B140" s="66">
        <v>315573</v>
      </c>
      <c r="E140" s="71" t="s">
        <v>398</v>
      </c>
    </row>
    <row r="141" spans="1:8" x14ac:dyDescent="0.25">
      <c r="A141" s="66" t="s">
        <v>399</v>
      </c>
      <c r="B141" s="66">
        <v>307390</v>
      </c>
      <c r="D141" s="66" t="s">
        <v>400</v>
      </c>
      <c r="E141" t="s">
        <v>401</v>
      </c>
      <c r="F141" t="s">
        <v>402</v>
      </c>
      <c r="G141" s="66" t="s">
        <v>403</v>
      </c>
      <c r="H141" s="66" t="s">
        <v>404</v>
      </c>
    </row>
    <row r="142" spans="1:8" x14ac:dyDescent="0.25">
      <c r="A142" s="66" t="s">
        <v>405</v>
      </c>
      <c r="B142" s="66">
        <v>307709</v>
      </c>
      <c r="E142" s="66" t="s">
        <v>406</v>
      </c>
      <c r="F142" t="s">
        <v>407</v>
      </c>
      <c r="G142" t="s">
        <v>408</v>
      </c>
      <c r="H142" t="s">
        <v>409</v>
      </c>
    </row>
    <row r="143" spans="1:8" x14ac:dyDescent="0.25">
      <c r="A143" s="66" t="s">
        <v>410</v>
      </c>
      <c r="B143" s="66">
        <v>307011</v>
      </c>
      <c r="E143" t="s">
        <v>411</v>
      </c>
    </row>
    <row r="144" spans="1:8" x14ac:dyDescent="0.25">
      <c r="A144" s="66" t="s">
        <v>412</v>
      </c>
      <c r="B144" s="66">
        <v>313305</v>
      </c>
      <c r="E144" t="s">
        <v>413</v>
      </c>
      <c r="F144" t="s">
        <v>414</v>
      </c>
    </row>
    <row r="145" spans="1:8" x14ac:dyDescent="0.25">
      <c r="A145" s="66" t="s">
        <v>415</v>
      </c>
      <c r="B145" s="66">
        <v>307507</v>
      </c>
      <c r="C145" s="66" t="s">
        <v>416</v>
      </c>
      <c r="E145" t="s">
        <v>417</v>
      </c>
      <c r="F145" t="s">
        <v>418</v>
      </c>
      <c r="G145" t="s">
        <v>419</v>
      </c>
      <c r="H145" s="71" t="s">
        <v>420</v>
      </c>
    </row>
    <row r="146" spans="1:8" x14ac:dyDescent="0.25">
      <c r="A146" s="66" t="s">
        <v>421</v>
      </c>
      <c r="B146" s="66">
        <v>313874</v>
      </c>
      <c r="E146" s="72" t="s">
        <v>422</v>
      </c>
      <c r="F146" s="72"/>
    </row>
    <row r="147" spans="1:8" x14ac:dyDescent="0.25">
      <c r="A147" s="66" t="s">
        <v>423</v>
      </c>
      <c r="B147" s="66">
        <v>307526</v>
      </c>
      <c r="E147" t="s">
        <v>424</v>
      </c>
      <c r="F147" s="65"/>
    </row>
    <row r="148" spans="1:8" x14ac:dyDescent="0.25">
      <c r="A148" s="66" t="s">
        <v>425</v>
      </c>
      <c r="B148" s="66">
        <v>316754</v>
      </c>
      <c r="E148" s="71" t="s">
        <v>426</v>
      </c>
      <c r="F148" s="71" t="s">
        <v>427</v>
      </c>
    </row>
    <row r="149" spans="1:8" x14ac:dyDescent="0.25">
      <c r="A149" s="66" t="s">
        <v>428</v>
      </c>
      <c r="B149" s="66">
        <v>306962</v>
      </c>
      <c r="E149" t="s">
        <v>429</v>
      </c>
    </row>
    <row r="150" spans="1:8" x14ac:dyDescent="0.25">
      <c r="A150" s="66" t="s">
        <v>430</v>
      </c>
      <c r="B150" s="66">
        <v>307399</v>
      </c>
      <c r="E150" t="s">
        <v>431</v>
      </c>
      <c r="F150" s="66" t="s">
        <v>432</v>
      </c>
    </row>
    <row r="151" spans="1:8" x14ac:dyDescent="0.25">
      <c r="A151" s="66" t="s">
        <v>433</v>
      </c>
      <c r="B151" s="66">
        <v>307691</v>
      </c>
      <c r="E151" t="s">
        <v>434</v>
      </c>
      <c r="F151" s="72"/>
    </row>
    <row r="152" spans="1:8" x14ac:dyDescent="0.25">
      <c r="A152" s="66" t="s">
        <v>435</v>
      </c>
      <c r="B152" s="66" t="s">
        <v>436</v>
      </c>
      <c r="E152" s="66" t="s">
        <v>437</v>
      </c>
      <c r="F152" s="72" t="s">
        <v>438</v>
      </c>
    </row>
    <row r="153" spans="1:8" x14ac:dyDescent="0.25">
      <c r="A153" s="66" t="s">
        <v>439</v>
      </c>
      <c r="B153" s="66" t="s">
        <v>440</v>
      </c>
      <c r="F153" s="72"/>
    </row>
    <row r="154" spans="1:8" x14ac:dyDescent="0.25">
      <c r="A154" s="66" t="s">
        <v>441</v>
      </c>
      <c r="B154" s="66" t="s">
        <v>442</v>
      </c>
      <c r="E154" t="s">
        <v>443</v>
      </c>
      <c r="F154" s="72"/>
    </row>
    <row r="155" spans="1:8" x14ac:dyDescent="0.25">
      <c r="A155" s="66" t="s">
        <v>444</v>
      </c>
      <c r="B155" s="66" t="s">
        <v>445</v>
      </c>
      <c r="E155" t="s">
        <v>446</v>
      </c>
      <c r="F155" s="72"/>
    </row>
    <row r="156" spans="1:8" x14ac:dyDescent="0.25">
      <c r="A156" s="66" t="s">
        <v>447</v>
      </c>
      <c r="B156" s="66" t="s">
        <v>448</v>
      </c>
      <c r="D156" s="66" t="s">
        <v>449</v>
      </c>
      <c r="E156" t="s">
        <v>450</v>
      </c>
    </row>
    <row r="157" spans="1:8" x14ac:dyDescent="0.25">
      <c r="A157" s="66" t="s">
        <v>451</v>
      </c>
      <c r="B157" s="66">
        <v>314145</v>
      </c>
      <c r="D157" s="66" t="s">
        <v>452</v>
      </c>
      <c r="E157" t="s">
        <v>453</v>
      </c>
      <c r="F157" t="s">
        <v>454</v>
      </c>
    </row>
    <row r="158" spans="1:8" x14ac:dyDescent="0.25">
      <c r="A158" s="66" t="s">
        <v>455</v>
      </c>
      <c r="B158" s="66">
        <v>313549</v>
      </c>
      <c r="D158" s="70" t="s">
        <v>456</v>
      </c>
      <c r="E158" t="s">
        <v>457</v>
      </c>
      <c r="F158" t="s">
        <v>458</v>
      </c>
      <c r="G158" t="s">
        <v>459</v>
      </c>
      <c r="H158" t="s">
        <v>460</v>
      </c>
    </row>
    <row r="159" spans="1:8" x14ac:dyDescent="0.25">
      <c r="A159" s="66" t="s">
        <v>461</v>
      </c>
      <c r="B159" s="66">
        <v>307395</v>
      </c>
      <c r="D159" s="66" t="s">
        <v>462</v>
      </c>
      <c r="E159" s="66" t="s">
        <v>463</v>
      </c>
      <c r="F159" t="s">
        <v>464</v>
      </c>
      <c r="G159" t="s">
        <v>465</v>
      </c>
      <c r="H159" t="s">
        <v>466</v>
      </c>
    </row>
    <row r="160" spans="1:8" x14ac:dyDescent="0.25">
      <c r="A160" s="66" t="s">
        <v>467</v>
      </c>
      <c r="B160" s="66">
        <v>313654</v>
      </c>
      <c r="E160" t="s">
        <v>468</v>
      </c>
      <c r="F160" t="s">
        <v>469</v>
      </c>
      <c r="G160" s="72" t="s">
        <v>470</v>
      </c>
    </row>
    <row r="161" spans="1:9" x14ac:dyDescent="0.25">
      <c r="A161" s="66" t="s">
        <v>471</v>
      </c>
      <c r="B161" s="66">
        <v>307639</v>
      </c>
      <c r="E161" t="s">
        <v>472</v>
      </c>
    </row>
    <row r="162" spans="1:9" x14ac:dyDescent="0.25">
      <c r="A162" s="66" t="s">
        <v>473</v>
      </c>
      <c r="B162" s="66">
        <v>308790</v>
      </c>
      <c r="E162" s="71" t="s">
        <v>474</v>
      </c>
    </row>
    <row r="163" spans="1:9" x14ac:dyDescent="0.25">
      <c r="A163" s="66" t="s">
        <v>475</v>
      </c>
      <c r="B163" s="66">
        <v>307711</v>
      </c>
    </row>
    <row r="164" spans="1:9" x14ac:dyDescent="0.25">
      <c r="A164" s="66" t="s">
        <v>476</v>
      </c>
      <c r="B164" s="66">
        <v>307654</v>
      </c>
      <c r="E164" t="s">
        <v>477</v>
      </c>
    </row>
    <row r="165" spans="1:9" x14ac:dyDescent="0.25">
      <c r="A165" s="66" t="s">
        <v>478</v>
      </c>
      <c r="B165" s="66">
        <v>308808</v>
      </c>
      <c r="D165" s="70">
        <v>50</v>
      </c>
      <c r="E165" t="s">
        <v>479</v>
      </c>
    </row>
    <row r="166" spans="1:9" x14ac:dyDescent="0.25">
      <c r="A166" s="66" t="s">
        <v>480</v>
      </c>
      <c r="B166" s="66">
        <v>307739</v>
      </c>
      <c r="E166" t="s">
        <v>481</v>
      </c>
      <c r="F166" s="65"/>
    </row>
    <row r="167" spans="1:9" x14ac:dyDescent="0.25">
      <c r="A167" s="66" t="s">
        <v>482</v>
      </c>
      <c r="B167" s="66">
        <v>306984</v>
      </c>
      <c r="E167" t="s">
        <v>483</v>
      </c>
    </row>
    <row r="168" spans="1:9" x14ac:dyDescent="0.25">
      <c r="A168" s="66" t="s">
        <v>484</v>
      </c>
      <c r="B168" s="66">
        <v>322720</v>
      </c>
      <c r="E168" t="s">
        <v>485</v>
      </c>
    </row>
    <row r="169" spans="1:9" ht="15" customHeight="1" x14ac:dyDescent="0.25">
      <c r="A169" s="66" t="s">
        <v>486</v>
      </c>
      <c r="B169" s="66">
        <v>307549</v>
      </c>
      <c r="E169" t="s">
        <v>487</v>
      </c>
      <c r="F169" t="s">
        <v>488</v>
      </c>
      <c r="G169" t="s">
        <v>489</v>
      </c>
      <c r="H169" t="s">
        <v>490</v>
      </c>
      <c r="I169" s="72"/>
    </row>
    <row r="170" spans="1:9" x14ac:dyDescent="0.25">
      <c r="A170" s="66" t="s">
        <v>491</v>
      </c>
      <c r="B170" s="66">
        <v>307397</v>
      </c>
      <c r="E170" t="s">
        <v>492</v>
      </c>
    </row>
    <row r="171" spans="1:9" x14ac:dyDescent="0.25">
      <c r="A171" s="66" t="s">
        <v>493</v>
      </c>
      <c r="B171" s="66">
        <v>307055</v>
      </c>
      <c r="E171" t="s">
        <v>494</v>
      </c>
    </row>
    <row r="172" spans="1:9" x14ac:dyDescent="0.25">
      <c r="A172" s="66" t="s">
        <v>495</v>
      </c>
      <c r="B172" s="66">
        <v>313769</v>
      </c>
      <c r="E172" t="s">
        <v>496</v>
      </c>
    </row>
    <row r="173" spans="1:9" x14ac:dyDescent="0.25">
      <c r="A173" s="66" t="s">
        <v>497</v>
      </c>
      <c r="B173" s="66">
        <v>308820</v>
      </c>
      <c r="D173" s="74" t="s">
        <v>498</v>
      </c>
      <c r="E173" s="65" t="s">
        <v>499</v>
      </c>
      <c r="F173" t="s">
        <v>500</v>
      </c>
      <c r="G173" t="s">
        <v>501</v>
      </c>
      <c r="H173" s="66" t="s">
        <v>502</v>
      </c>
      <c r="I173" s="28"/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C2834-80CF-46B8-B023-1B5FC7FA1DAF}">
  <sheetPr codeName="Sheet8">
    <tabColor rgb="FFFFC000"/>
  </sheetPr>
  <dimension ref="A1:G3140"/>
  <sheetViews>
    <sheetView workbookViewId="0">
      <selection activeCell="C3158" sqref="C3158"/>
    </sheetView>
  </sheetViews>
  <sheetFormatPr defaultRowHeight="15" x14ac:dyDescent="0.25"/>
  <cols>
    <col min="1" max="1" width="24.85546875" style="114" bestFit="1" customWidth="1"/>
    <col min="2" max="2" width="36" style="90" bestFit="1" customWidth="1"/>
    <col min="3" max="3" width="6.5703125" style="90" bestFit="1" customWidth="1"/>
    <col min="4" max="4" width="15" style="90" bestFit="1" customWidth="1"/>
    <col min="5" max="5" width="27.42578125" style="90" bestFit="1" customWidth="1"/>
    <col min="6" max="6" width="30.7109375" style="90" bestFit="1" customWidth="1"/>
    <col min="7" max="7" width="2.140625" bestFit="1" customWidth="1"/>
  </cols>
  <sheetData>
    <row r="1" spans="1:7" x14ac:dyDescent="0.25">
      <c r="A1" s="113" t="s">
        <v>9632</v>
      </c>
      <c r="B1" s="89" t="s">
        <v>8587</v>
      </c>
      <c r="C1" s="89" t="s">
        <v>503</v>
      </c>
      <c r="D1" s="89" t="s">
        <v>504</v>
      </c>
      <c r="E1" s="89" t="s">
        <v>505</v>
      </c>
      <c r="F1" s="89" t="s">
        <v>506</v>
      </c>
    </row>
    <row r="2" spans="1:7" x14ac:dyDescent="0.25">
      <c r="A2" s="114">
        <v>300330</v>
      </c>
      <c r="B2" s="90" t="s">
        <v>507</v>
      </c>
      <c r="C2" s="90" t="s">
        <v>508</v>
      </c>
      <c r="D2" s="90" t="s">
        <v>509</v>
      </c>
      <c r="E2" s="90" t="s">
        <v>510</v>
      </c>
      <c r="F2" s="90" t="s">
        <v>511</v>
      </c>
      <c r="G2" t="s">
        <v>512</v>
      </c>
    </row>
    <row r="3" spans="1:7" x14ac:dyDescent="0.25">
      <c r="A3" s="114">
        <v>302507</v>
      </c>
      <c r="B3" s="90" t="s">
        <v>513</v>
      </c>
      <c r="C3" s="90" t="s">
        <v>508</v>
      </c>
      <c r="D3" s="90" t="s">
        <v>514</v>
      </c>
      <c r="E3" s="90" t="s">
        <v>515</v>
      </c>
      <c r="F3" s="90" t="s">
        <v>516</v>
      </c>
      <c r="G3" t="s">
        <v>512</v>
      </c>
    </row>
    <row r="4" spans="1:7" x14ac:dyDescent="0.25">
      <c r="A4" s="114">
        <v>304275</v>
      </c>
      <c r="B4" s="90" t="s">
        <v>517</v>
      </c>
      <c r="C4" s="90" t="s">
        <v>508</v>
      </c>
      <c r="D4" s="90" t="s">
        <v>518</v>
      </c>
      <c r="E4" s="90" t="s">
        <v>519</v>
      </c>
      <c r="F4" s="90" t="s">
        <v>520</v>
      </c>
      <c r="G4" t="s">
        <v>512</v>
      </c>
    </row>
    <row r="5" spans="1:7" x14ac:dyDescent="0.25">
      <c r="A5" s="114">
        <v>306692</v>
      </c>
      <c r="B5" s="90" t="s">
        <v>521</v>
      </c>
      <c r="C5" s="90" t="s">
        <v>508</v>
      </c>
      <c r="D5" s="90" t="s">
        <v>522</v>
      </c>
      <c r="E5" s="90" t="s">
        <v>523</v>
      </c>
      <c r="F5" s="90" t="s">
        <v>524</v>
      </c>
      <c r="G5" t="s">
        <v>512</v>
      </c>
    </row>
    <row r="6" spans="1:7" x14ac:dyDescent="0.25">
      <c r="A6" s="114">
        <v>306703</v>
      </c>
      <c r="B6" s="90" t="s">
        <v>525</v>
      </c>
      <c r="C6" s="90" t="s">
        <v>508</v>
      </c>
      <c r="D6" s="90" t="s">
        <v>526</v>
      </c>
      <c r="E6" s="90" t="s">
        <v>527</v>
      </c>
      <c r="F6" s="90" t="s">
        <v>528</v>
      </c>
      <c r="G6" t="s">
        <v>512</v>
      </c>
    </row>
    <row r="7" spans="1:7" x14ac:dyDescent="0.25">
      <c r="A7" s="114">
        <v>306715</v>
      </c>
      <c r="B7" s="90" t="s">
        <v>529</v>
      </c>
      <c r="C7" s="90" t="s">
        <v>508</v>
      </c>
      <c r="D7" s="90" t="s">
        <v>530</v>
      </c>
      <c r="E7" s="90" t="s">
        <v>531</v>
      </c>
      <c r="F7" s="90" t="s">
        <v>532</v>
      </c>
      <c r="G7" t="s">
        <v>512</v>
      </c>
    </row>
    <row r="8" spans="1:7" x14ac:dyDescent="0.25">
      <c r="A8" s="114">
        <v>306733</v>
      </c>
      <c r="B8" s="90" t="s">
        <v>533</v>
      </c>
      <c r="C8" s="90" t="s">
        <v>508</v>
      </c>
      <c r="D8" s="90" t="s">
        <v>534</v>
      </c>
      <c r="E8" s="90" t="s">
        <v>535</v>
      </c>
      <c r="F8" s="90" t="s">
        <v>536</v>
      </c>
      <c r="G8" t="s">
        <v>512</v>
      </c>
    </row>
    <row r="9" spans="1:7" x14ac:dyDescent="0.25">
      <c r="A9" s="114">
        <v>306748</v>
      </c>
      <c r="B9" s="90" t="s">
        <v>537</v>
      </c>
      <c r="C9" s="90" t="s">
        <v>508</v>
      </c>
      <c r="D9" s="90" t="s">
        <v>538</v>
      </c>
      <c r="E9" s="90" t="s">
        <v>539</v>
      </c>
      <c r="F9" s="90" t="s">
        <v>540</v>
      </c>
      <c r="G9" t="s">
        <v>512</v>
      </c>
    </row>
    <row r="10" spans="1:7" x14ac:dyDescent="0.25">
      <c r="A10" s="114">
        <v>306749</v>
      </c>
      <c r="B10" s="90" t="s">
        <v>541</v>
      </c>
      <c r="C10" s="90" t="s">
        <v>508</v>
      </c>
      <c r="D10" s="90" t="s">
        <v>542</v>
      </c>
      <c r="E10" s="90" t="s">
        <v>543</v>
      </c>
      <c r="F10" s="90" t="s">
        <v>544</v>
      </c>
      <c r="G10" t="s">
        <v>512</v>
      </c>
    </row>
    <row r="11" spans="1:7" x14ac:dyDescent="0.25">
      <c r="A11" s="114">
        <v>306753</v>
      </c>
      <c r="B11" s="90" t="s">
        <v>545</v>
      </c>
      <c r="C11" s="90" t="s">
        <v>508</v>
      </c>
      <c r="D11" s="90" t="s">
        <v>546</v>
      </c>
      <c r="E11" s="90" t="s">
        <v>547</v>
      </c>
      <c r="F11" s="90" t="s">
        <v>548</v>
      </c>
      <c r="G11" t="s">
        <v>512</v>
      </c>
    </row>
    <row r="12" spans="1:7" x14ac:dyDescent="0.25">
      <c r="A12" s="114">
        <v>306776</v>
      </c>
      <c r="B12" s="90" t="s">
        <v>549</v>
      </c>
      <c r="C12" s="90" t="s">
        <v>508</v>
      </c>
      <c r="D12" s="90" t="s">
        <v>550</v>
      </c>
      <c r="E12" s="90" t="s">
        <v>551</v>
      </c>
      <c r="F12" s="90" t="s">
        <v>552</v>
      </c>
      <c r="G12" t="s">
        <v>512</v>
      </c>
    </row>
    <row r="13" spans="1:7" x14ac:dyDescent="0.25">
      <c r="A13" s="114">
        <v>306780</v>
      </c>
      <c r="B13" s="90" t="s">
        <v>553</v>
      </c>
      <c r="C13" s="90" t="s">
        <v>508</v>
      </c>
      <c r="D13" s="90" t="s">
        <v>554</v>
      </c>
      <c r="E13" s="90" t="s">
        <v>555</v>
      </c>
      <c r="F13" s="90" t="s">
        <v>556</v>
      </c>
      <c r="G13" t="s">
        <v>512</v>
      </c>
    </row>
    <row r="14" spans="1:7" x14ac:dyDescent="0.25">
      <c r="A14" s="114">
        <v>306787</v>
      </c>
      <c r="B14" s="90" t="s">
        <v>557</v>
      </c>
      <c r="C14" s="90" t="s">
        <v>508</v>
      </c>
      <c r="D14" s="90" t="s">
        <v>558</v>
      </c>
      <c r="E14" s="90" t="s">
        <v>559</v>
      </c>
      <c r="F14" s="90" t="s">
        <v>560</v>
      </c>
      <c r="G14" t="s">
        <v>512</v>
      </c>
    </row>
    <row r="15" spans="1:7" x14ac:dyDescent="0.25">
      <c r="A15" s="114">
        <v>306802</v>
      </c>
      <c r="B15" s="90" t="s">
        <v>561</v>
      </c>
      <c r="C15" s="90" t="s">
        <v>508</v>
      </c>
      <c r="D15" s="90" t="s">
        <v>562</v>
      </c>
      <c r="E15" s="90" t="s">
        <v>563</v>
      </c>
      <c r="F15" s="90" t="s">
        <v>564</v>
      </c>
      <c r="G15" t="s">
        <v>512</v>
      </c>
    </row>
    <row r="16" spans="1:7" x14ac:dyDescent="0.25">
      <c r="A16" s="114">
        <v>306804</v>
      </c>
      <c r="B16" s="90" t="s">
        <v>565</v>
      </c>
      <c r="C16" s="90" t="s">
        <v>508</v>
      </c>
      <c r="D16" s="90" t="s">
        <v>566</v>
      </c>
      <c r="E16" s="90" t="s">
        <v>567</v>
      </c>
      <c r="F16" s="90" t="s">
        <v>568</v>
      </c>
      <c r="G16" t="s">
        <v>512</v>
      </c>
    </row>
    <row r="17" spans="1:7" x14ac:dyDescent="0.25">
      <c r="A17" s="114">
        <v>306806</v>
      </c>
      <c r="B17" s="90" t="s">
        <v>569</v>
      </c>
      <c r="C17" s="90" t="s">
        <v>508</v>
      </c>
      <c r="D17" s="90" t="s">
        <v>570</v>
      </c>
      <c r="E17" s="90" t="s">
        <v>571</v>
      </c>
      <c r="F17" s="90" t="s">
        <v>572</v>
      </c>
      <c r="G17" t="s">
        <v>512</v>
      </c>
    </row>
    <row r="18" spans="1:7" x14ac:dyDescent="0.25">
      <c r="A18" s="114">
        <v>306814</v>
      </c>
      <c r="B18" s="90" t="s">
        <v>573</v>
      </c>
      <c r="C18" s="90" t="s">
        <v>508</v>
      </c>
      <c r="D18" s="90" t="s">
        <v>574</v>
      </c>
      <c r="E18" s="90" t="s">
        <v>575</v>
      </c>
      <c r="F18" s="90" t="s">
        <v>576</v>
      </c>
      <c r="G18" t="s">
        <v>512</v>
      </c>
    </row>
    <row r="19" spans="1:7" x14ac:dyDescent="0.25">
      <c r="A19" s="114">
        <v>306861</v>
      </c>
      <c r="B19" s="90" t="s">
        <v>577</v>
      </c>
      <c r="C19" s="90" t="s">
        <v>508</v>
      </c>
      <c r="D19" s="90" t="s">
        <v>578</v>
      </c>
      <c r="E19" s="90" t="s">
        <v>579</v>
      </c>
      <c r="F19" s="90" t="s">
        <v>580</v>
      </c>
      <c r="G19" t="s">
        <v>512</v>
      </c>
    </row>
    <row r="20" spans="1:7" x14ac:dyDescent="0.25">
      <c r="A20" s="114">
        <v>306862</v>
      </c>
      <c r="B20" s="90" t="s">
        <v>581</v>
      </c>
      <c r="C20" s="90" t="s">
        <v>508</v>
      </c>
      <c r="D20" s="90" t="s">
        <v>582</v>
      </c>
      <c r="E20" s="90" t="s">
        <v>583</v>
      </c>
      <c r="F20" s="90" t="s">
        <v>584</v>
      </c>
      <c r="G20" t="s">
        <v>512</v>
      </c>
    </row>
    <row r="21" spans="1:7" x14ac:dyDescent="0.25">
      <c r="A21" s="114">
        <v>306863</v>
      </c>
      <c r="B21" s="90" t="s">
        <v>585</v>
      </c>
      <c r="C21" s="90" t="s">
        <v>508</v>
      </c>
      <c r="D21" s="90" t="s">
        <v>586</v>
      </c>
      <c r="E21" s="90" t="s">
        <v>587</v>
      </c>
      <c r="F21" s="90" t="s">
        <v>588</v>
      </c>
      <c r="G21" t="s">
        <v>512</v>
      </c>
    </row>
    <row r="22" spans="1:7" x14ac:dyDescent="0.25">
      <c r="A22" s="114">
        <v>306865</v>
      </c>
      <c r="B22" s="90" t="s">
        <v>589</v>
      </c>
      <c r="C22" s="90" t="s">
        <v>508</v>
      </c>
      <c r="D22" s="90" t="s">
        <v>590</v>
      </c>
      <c r="E22" s="90" t="s">
        <v>591</v>
      </c>
      <c r="F22" s="90" t="s">
        <v>592</v>
      </c>
      <c r="G22" t="s">
        <v>512</v>
      </c>
    </row>
    <row r="23" spans="1:7" x14ac:dyDescent="0.25">
      <c r="A23" s="114">
        <v>306867</v>
      </c>
      <c r="B23" s="90" t="s">
        <v>593</v>
      </c>
      <c r="C23" s="90" t="s">
        <v>508</v>
      </c>
      <c r="D23" s="90" t="s">
        <v>594</v>
      </c>
      <c r="E23" s="90" t="s">
        <v>587</v>
      </c>
      <c r="F23" s="90" t="s">
        <v>595</v>
      </c>
      <c r="G23" t="s">
        <v>512</v>
      </c>
    </row>
    <row r="24" spans="1:7" x14ac:dyDescent="0.25">
      <c r="A24" s="114">
        <v>306869</v>
      </c>
      <c r="B24" s="90" t="s">
        <v>596</v>
      </c>
      <c r="C24" s="90" t="s">
        <v>508</v>
      </c>
      <c r="D24" s="90" t="s">
        <v>597</v>
      </c>
      <c r="E24" s="90" t="s">
        <v>583</v>
      </c>
      <c r="F24" s="90" t="s">
        <v>598</v>
      </c>
      <c r="G24" t="s">
        <v>512</v>
      </c>
    </row>
    <row r="25" spans="1:7" x14ac:dyDescent="0.25">
      <c r="A25" s="114">
        <v>306870</v>
      </c>
      <c r="B25" s="90" t="s">
        <v>599</v>
      </c>
      <c r="C25" s="90" t="s">
        <v>508</v>
      </c>
      <c r="D25" s="90" t="s">
        <v>600</v>
      </c>
      <c r="E25" s="90" t="s">
        <v>551</v>
      </c>
      <c r="F25" s="90" t="s">
        <v>601</v>
      </c>
      <c r="G25" t="s">
        <v>512</v>
      </c>
    </row>
    <row r="26" spans="1:7" x14ac:dyDescent="0.25">
      <c r="A26" s="114">
        <v>306873</v>
      </c>
      <c r="B26" s="90" t="s">
        <v>602</v>
      </c>
      <c r="C26" s="90" t="s">
        <v>508</v>
      </c>
      <c r="D26" s="90" t="s">
        <v>603</v>
      </c>
      <c r="E26" s="90" t="s">
        <v>583</v>
      </c>
      <c r="F26" s="90" t="s">
        <v>604</v>
      </c>
      <c r="G26" t="s">
        <v>512</v>
      </c>
    </row>
    <row r="27" spans="1:7" x14ac:dyDescent="0.25">
      <c r="A27" s="114">
        <v>306885</v>
      </c>
      <c r="B27" s="90" t="s">
        <v>605</v>
      </c>
      <c r="C27" s="90" t="s">
        <v>508</v>
      </c>
      <c r="D27" s="90" t="s">
        <v>606</v>
      </c>
      <c r="E27" s="90" t="s">
        <v>563</v>
      </c>
      <c r="F27" s="90" t="s">
        <v>607</v>
      </c>
      <c r="G27" t="s">
        <v>512</v>
      </c>
    </row>
    <row r="28" spans="1:7" x14ac:dyDescent="0.25">
      <c r="A28" s="114">
        <v>306886</v>
      </c>
      <c r="B28" s="90" t="s">
        <v>608</v>
      </c>
      <c r="C28" s="90" t="s">
        <v>508</v>
      </c>
      <c r="D28" s="90" t="s">
        <v>609</v>
      </c>
      <c r="E28" s="90" t="s">
        <v>610</v>
      </c>
      <c r="F28" s="90" t="s">
        <v>611</v>
      </c>
      <c r="G28" t="s">
        <v>512</v>
      </c>
    </row>
    <row r="29" spans="1:7" x14ac:dyDescent="0.25">
      <c r="A29" s="114">
        <v>306891</v>
      </c>
      <c r="B29" s="90" t="s">
        <v>612</v>
      </c>
      <c r="C29" s="90" t="s">
        <v>508</v>
      </c>
      <c r="D29" s="90" t="s">
        <v>613</v>
      </c>
      <c r="E29" s="90" t="s">
        <v>614</v>
      </c>
      <c r="F29" s="90" t="s">
        <v>615</v>
      </c>
      <c r="G29" t="s">
        <v>512</v>
      </c>
    </row>
    <row r="30" spans="1:7" x14ac:dyDescent="0.25">
      <c r="A30" s="114">
        <v>306895</v>
      </c>
      <c r="B30" s="90" t="s">
        <v>616</v>
      </c>
      <c r="C30" s="90" t="s">
        <v>508</v>
      </c>
      <c r="D30" s="90" t="s">
        <v>617</v>
      </c>
      <c r="E30" s="90" t="s">
        <v>543</v>
      </c>
      <c r="F30" s="90" t="s">
        <v>618</v>
      </c>
      <c r="G30" t="s">
        <v>512</v>
      </c>
    </row>
    <row r="31" spans="1:7" x14ac:dyDescent="0.25">
      <c r="A31" s="114">
        <v>306912</v>
      </c>
      <c r="B31" s="90" t="s">
        <v>226</v>
      </c>
      <c r="C31" s="90" t="s">
        <v>508</v>
      </c>
      <c r="D31" s="90" t="s">
        <v>619</v>
      </c>
      <c r="E31" s="90" t="s">
        <v>620</v>
      </c>
      <c r="F31" s="90" t="s">
        <v>621</v>
      </c>
      <c r="G31" t="s">
        <v>512</v>
      </c>
    </row>
    <row r="32" spans="1:7" x14ac:dyDescent="0.25">
      <c r="A32" s="114">
        <v>306915</v>
      </c>
      <c r="B32" s="90" t="s">
        <v>622</v>
      </c>
      <c r="C32" s="90" t="s">
        <v>508</v>
      </c>
      <c r="D32" s="90" t="s">
        <v>623</v>
      </c>
      <c r="E32" s="90" t="s">
        <v>543</v>
      </c>
      <c r="F32" s="90" t="s">
        <v>624</v>
      </c>
      <c r="G32" t="s">
        <v>512</v>
      </c>
    </row>
    <row r="33" spans="1:7" x14ac:dyDescent="0.25">
      <c r="A33" s="114">
        <v>306922</v>
      </c>
      <c r="B33" s="90" t="s">
        <v>180</v>
      </c>
      <c r="C33" s="90" t="s">
        <v>508</v>
      </c>
      <c r="D33" s="90" t="s">
        <v>625</v>
      </c>
      <c r="E33" s="90" t="s">
        <v>626</v>
      </c>
      <c r="F33" s="90" t="s">
        <v>627</v>
      </c>
      <c r="G33" t="s">
        <v>512</v>
      </c>
    </row>
    <row r="34" spans="1:7" x14ac:dyDescent="0.25">
      <c r="A34" s="114">
        <v>306923</v>
      </c>
      <c r="B34" s="90" t="s">
        <v>628</v>
      </c>
      <c r="C34" s="90" t="s">
        <v>508</v>
      </c>
      <c r="D34" s="90" t="s">
        <v>629</v>
      </c>
      <c r="E34" s="90" t="s">
        <v>630</v>
      </c>
      <c r="F34" s="90" t="s">
        <v>631</v>
      </c>
      <c r="G34" t="s">
        <v>512</v>
      </c>
    </row>
    <row r="35" spans="1:7" x14ac:dyDescent="0.25">
      <c r="A35" s="114">
        <v>306926</v>
      </c>
      <c r="B35" s="90" t="s">
        <v>632</v>
      </c>
      <c r="C35" s="90" t="s">
        <v>508</v>
      </c>
      <c r="D35" s="90" t="s">
        <v>633</v>
      </c>
      <c r="E35" s="90" t="s">
        <v>634</v>
      </c>
      <c r="F35" s="90" t="s">
        <v>635</v>
      </c>
      <c r="G35" t="s">
        <v>512</v>
      </c>
    </row>
    <row r="36" spans="1:7" x14ac:dyDescent="0.25">
      <c r="A36" s="114">
        <v>306929</v>
      </c>
      <c r="B36" s="90" t="s">
        <v>636</v>
      </c>
      <c r="C36" s="90" t="s">
        <v>508</v>
      </c>
      <c r="D36" s="90" t="s">
        <v>637</v>
      </c>
      <c r="E36" s="90" t="s">
        <v>638</v>
      </c>
      <c r="F36" s="90" t="s">
        <v>639</v>
      </c>
      <c r="G36" t="s">
        <v>512</v>
      </c>
    </row>
    <row r="37" spans="1:7" x14ac:dyDescent="0.25">
      <c r="A37" s="114">
        <v>306935</v>
      </c>
      <c r="B37" s="90" t="s">
        <v>640</v>
      </c>
      <c r="C37" s="90" t="s">
        <v>508</v>
      </c>
      <c r="D37" s="90" t="s">
        <v>641</v>
      </c>
      <c r="E37" s="90" t="s">
        <v>642</v>
      </c>
      <c r="F37" s="90" t="s">
        <v>643</v>
      </c>
      <c r="G37" t="s">
        <v>512</v>
      </c>
    </row>
    <row r="38" spans="1:7" x14ac:dyDescent="0.25">
      <c r="A38" s="114">
        <v>306936</v>
      </c>
      <c r="B38" s="90" t="s">
        <v>644</v>
      </c>
      <c r="C38" s="90" t="s">
        <v>508</v>
      </c>
      <c r="D38" s="90" t="s">
        <v>645</v>
      </c>
      <c r="E38" s="90" t="s">
        <v>646</v>
      </c>
      <c r="F38" s="90" t="s">
        <v>647</v>
      </c>
      <c r="G38" t="s">
        <v>512</v>
      </c>
    </row>
    <row r="39" spans="1:7" x14ac:dyDescent="0.25">
      <c r="A39" s="114">
        <v>306939</v>
      </c>
      <c r="B39" s="90" t="s">
        <v>513</v>
      </c>
      <c r="C39" s="90" t="s">
        <v>508</v>
      </c>
      <c r="D39" s="90" t="s">
        <v>648</v>
      </c>
      <c r="E39" s="90" t="s">
        <v>515</v>
      </c>
      <c r="F39" s="90" t="s">
        <v>649</v>
      </c>
      <c r="G39" t="s">
        <v>512</v>
      </c>
    </row>
    <row r="40" spans="1:7" x14ac:dyDescent="0.25">
      <c r="A40" s="114">
        <v>306942</v>
      </c>
      <c r="B40" s="90" t="s">
        <v>650</v>
      </c>
      <c r="C40" s="90" t="s">
        <v>508</v>
      </c>
      <c r="D40" s="90" t="s">
        <v>651</v>
      </c>
      <c r="E40" s="90" t="s">
        <v>652</v>
      </c>
      <c r="F40" s="90" t="s">
        <v>653</v>
      </c>
      <c r="G40" t="s">
        <v>512</v>
      </c>
    </row>
    <row r="41" spans="1:7" x14ac:dyDescent="0.25">
      <c r="A41" s="114">
        <v>306944</v>
      </c>
      <c r="B41" s="90" t="s">
        <v>654</v>
      </c>
      <c r="C41" s="90" t="s">
        <v>508</v>
      </c>
      <c r="D41" s="90" t="s">
        <v>655</v>
      </c>
      <c r="E41" s="90" t="s">
        <v>656</v>
      </c>
      <c r="F41" s="90" t="s">
        <v>657</v>
      </c>
      <c r="G41" t="s">
        <v>512</v>
      </c>
    </row>
    <row r="42" spans="1:7" x14ac:dyDescent="0.25">
      <c r="A42" s="114">
        <v>306948</v>
      </c>
      <c r="B42" s="90" t="s">
        <v>658</v>
      </c>
      <c r="C42" s="90" t="s">
        <v>508</v>
      </c>
      <c r="D42" s="90" t="s">
        <v>659</v>
      </c>
      <c r="E42" s="90" t="s">
        <v>660</v>
      </c>
      <c r="F42" s="90" t="s">
        <v>661</v>
      </c>
      <c r="G42" t="s">
        <v>512</v>
      </c>
    </row>
    <row r="43" spans="1:7" x14ac:dyDescent="0.25">
      <c r="A43" s="114">
        <v>306949</v>
      </c>
      <c r="B43" s="90" t="s">
        <v>662</v>
      </c>
      <c r="C43" s="90" t="s">
        <v>508</v>
      </c>
      <c r="D43" s="90" t="s">
        <v>663</v>
      </c>
      <c r="E43" s="90" t="s">
        <v>664</v>
      </c>
      <c r="F43" s="90" t="s">
        <v>665</v>
      </c>
      <c r="G43" t="s">
        <v>512</v>
      </c>
    </row>
    <row r="44" spans="1:7" x14ac:dyDescent="0.25">
      <c r="A44" s="114">
        <v>306954</v>
      </c>
      <c r="B44" s="90" t="s">
        <v>666</v>
      </c>
      <c r="C44" s="90" t="s">
        <v>508</v>
      </c>
      <c r="D44" s="90" t="s">
        <v>667</v>
      </c>
      <c r="E44" s="90" t="s">
        <v>668</v>
      </c>
      <c r="F44" s="90" t="s">
        <v>669</v>
      </c>
      <c r="G44" t="s">
        <v>512</v>
      </c>
    </row>
    <row r="45" spans="1:7" x14ac:dyDescent="0.25">
      <c r="A45" s="114">
        <v>306961</v>
      </c>
      <c r="B45" s="90" t="s">
        <v>670</v>
      </c>
      <c r="C45" s="90" t="s">
        <v>508</v>
      </c>
      <c r="D45" s="90" t="s">
        <v>671</v>
      </c>
      <c r="E45" s="90" t="s">
        <v>672</v>
      </c>
      <c r="F45" s="90" t="s">
        <v>673</v>
      </c>
      <c r="G45" t="s">
        <v>512</v>
      </c>
    </row>
    <row r="46" spans="1:7" x14ac:dyDescent="0.25">
      <c r="A46" s="114">
        <v>306962</v>
      </c>
      <c r="B46" s="90" t="s">
        <v>428</v>
      </c>
      <c r="C46" s="90" t="s">
        <v>508</v>
      </c>
      <c r="D46" s="90" t="s">
        <v>674</v>
      </c>
      <c r="E46" s="90" t="s">
        <v>675</v>
      </c>
      <c r="F46" s="90" t="s">
        <v>676</v>
      </c>
      <c r="G46" t="s">
        <v>512</v>
      </c>
    </row>
    <row r="47" spans="1:7" x14ac:dyDescent="0.25">
      <c r="A47" s="114">
        <v>306967</v>
      </c>
      <c r="B47" s="90" t="s">
        <v>677</v>
      </c>
      <c r="C47" s="90" t="s">
        <v>508</v>
      </c>
      <c r="D47" s="90" t="s">
        <v>678</v>
      </c>
      <c r="E47" s="90" t="s">
        <v>679</v>
      </c>
      <c r="F47" s="90" t="s">
        <v>680</v>
      </c>
      <c r="G47" t="s">
        <v>512</v>
      </c>
    </row>
    <row r="48" spans="1:7" x14ac:dyDescent="0.25">
      <c r="A48" s="114">
        <v>306971</v>
      </c>
      <c r="B48" s="90" t="s">
        <v>681</v>
      </c>
      <c r="C48" s="90" t="s">
        <v>508</v>
      </c>
      <c r="D48" s="90" t="s">
        <v>682</v>
      </c>
      <c r="E48" s="90" t="s">
        <v>683</v>
      </c>
      <c r="F48" s="90" t="s">
        <v>684</v>
      </c>
      <c r="G48" t="s">
        <v>512</v>
      </c>
    </row>
    <row r="49" spans="1:7" x14ac:dyDescent="0.25">
      <c r="A49" s="114">
        <v>306974</v>
      </c>
      <c r="B49" s="90" t="s">
        <v>99</v>
      </c>
      <c r="C49" s="90" t="s">
        <v>508</v>
      </c>
      <c r="D49" s="90" t="s">
        <v>685</v>
      </c>
      <c r="E49" s="90" t="s">
        <v>686</v>
      </c>
      <c r="F49" s="90" t="s">
        <v>687</v>
      </c>
      <c r="G49" t="s">
        <v>512</v>
      </c>
    </row>
    <row r="50" spans="1:7" x14ac:dyDescent="0.25">
      <c r="A50" s="114">
        <v>306980</v>
      </c>
      <c r="B50" s="90" t="s">
        <v>382</v>
      </c>
      <c r="C50" s="90" t="s">
        <v>508</v>
      </c>
      <c r="D50" s="90" t="s">
        <v>688</v>
      </c>
      <c r="E50" s="90" t="s">
        <v>539</v>
      </c>
      <c r="F50" s="90" t="s">
        <v>689</v>
      </c>
      <c r="G50" t="s">
        <v>512</v>
      </c>
    </row>
    <row r="51" spans="1:7" x14ac:dyDescent="0.25">
      <c r="A51" s="114">
        <v>306982</v>
      </c>
      <c r="B51" s="90" t="s">
        <v>73</v>
      </c>
      <c r="C51" s="90" t="s">
        <v>508</v>
      </c>
      <c r="D51" s="90" t="s">
        <v>690</v>
      </c>
      <c r="E51" s="90" t="s">
        <v>691</v>
      </c>
      <c r="F51" s="90" t="s">
        <v>692</v>
      </c>
      <c r="G51" t="s">
        <v>512</v>
      </c>
    </row>
    <row r="52" spans="1:7" x14ac:dyDescent="0.25">
      <c r="A52" s="114">
        <v>306983</v>
      </c>
      <c r="B52" s="90" t="s">
        <v>693</v>
      </c>
      <c r="C52" s="90" t="s">
        <v>508</v>
      </c>
      <c r="D52" s="90" t="s">
        <v>694</v>
      </c>
      <c r="E52" s="90" t="s">
        <v>695</v>
      </c>
      <c r="F52" s="90" t="s">
        <v>696</v>
      </c>
      <c r="G52" t="s">
        <v>512</v>
      </c>
    </row>
    <row r="53" spans="1:7" x14ac:dyDescent="0.25">
      <c r="A53" s="114">
        <v>306984</v>
      </c>
      <c r="B53" s="90" t="s">
        <v>482</v>
      </c>
      <c r="C53" s="90" t="s">
        <v>508</v>
      </c>
      <c r="D53" s="90" t="s">
        <v>697</v>
      </c>
      <c r="E53" s="90" t="s">
        <v>698</v>
      </c>
      <c r="F53" s="90" t="s">
        <v>699</v>
      </c>
      <c r="G53" t="s">
        <v>512</v>
      </c>
    </row>
    <row r="54" spans="1:7" x14ac:dyDescent="0.25">
      <c r="A54" s="114">
        <v>306985</v>
      </c>
      <c r="B54" s="90" t="s">
        <v>700</v>
      </c>
      <c r="C54" s="90" t="s">
        <v>508</v>
      </c>
      <c r="D54" s="90" t="s">
        <v>701</v>
      </c>
      <c r="E54" s="90" t="s">
        <v>702</v>
      </c>
      <c r="F54" s="90" t="s">
        <v>703</v>
      </c>
      <c r="G54" t="s">
        <v>512</v>
      </c>
    </row>
    <row r="55" spans="1:7" x14ac:dyDescent="0.25">
      <c r="A55" s="114">
        <v>306986</v>
      </c>
      <c r="B55" s="90" t="s">
        <v>704</v>
      </c>
      <c r="C55" s="90" t="s">
        <v>508</v>
      </c>
      <c r="D55" s="90" t="s">
        <v>705</v>
      </c>
      <c r="E55" s="90" t="s">
        <v>706</v>
      </c>
      <c r="F55" s="90" t="s">
        <v>707</v>
      </c>
      <c r="G55" t="s">
        <v>512</v>
      </c>
    </row>
    <row r="56" spans="1:7" x14ac:dyDescent="0.25">
      <c r="A56" s="114">
        <v>306988</v>
      </c>
      <c r="B56" s="90" t="s">
        <v>708</v>
      </c>
      <c r="C56" s="90" t="s">
        <v>508</v>
      </c>
      <c r="D56" s="90" t="s">
        <v>709</v>
      </c>
      <c r="E56" s="90" t="s">
        <v>710</v>
      </c>
      <c r="F56" s="90" t="s">
        <v>711</v>
      </c>
      <c r="G56" t="s">
        <v>512</v>
      </c>
    </row>
    <row r="57" spans="1:7" x14ac:dyDescent="0.25">
      <c r="A57" s="114">
        <v>306995</v>
      </c>
      <c r="B57" s="90" t="s">
        <v>712</v>
      </c>
      <c r="C57" s="90" t="s">
        <v>508</v>
      </c>
      <c r="D57" s="90" t="s">
        <v>713</v>
      </c>
      <c r="E57" s="90" t="s">
        <v>714</v>
      </c>
      <c r="F57" s="90" t="s">
        <v>715</v>
      </c>
      <c r="G57" t="s">
        <v>512</v>
      </c>
    </row>
    <row r="58" spans="1:7" x14ac:dyDescent="0.25">
      <c r="A58" s="114">
        <v>306999</v>
      </c>
      <c r="B58" s="90" t="s">
        <v>716</v>
      </c>
      <c r="C58" s="90" t="s">
        <v>508</v>
      </c>
      <c r="D58" s="90" t="s">
        <v>717</v>
      </c>
      <c r="E58" s="90" t="s">
        <v>718</v>
      </c>
      <c r="F58" s="90" t="s">
        <v>719</v>
      </c>
      <c r="G58" t="s">
        <v>512</v>
      </c>
    </row>
    <row r="59" spans="1:7" x14ac:dyDescent="0.25">
      <c r="A59" s="114">
        <v>307000</v>
      </c>
      <c r="B59" s="90" t="s">
        <v>720</v>
      </c>
      <c r="C59" s="90" t="s">
        <v>508</v>
      </c>
      <c r="D59" s="90" t="s">
        <v>721</v>
      </c>
      <c r="E59" s="90" t="s">
        <v>722</v>
      </c>
      <c r="F59" s="90" t="s">
        <v>723</v>
      </c>
      <c r="G59" t="s">
        <v>512</v>
      </c>
    </row>
    <row r="60" spans="1:7" x14ac:dyDescent="0.25">
      <c r="A60" s="114">
        <v>307011</v>
      </c>
      <c r="B60" s="90" t="s">
        <v>724</v>
      </c>
      <c r="C60" s="90" t="s">
        <v>508</v>
      </c>
      <c r="D60" s="90" t="s">
        <v>725</v>
      </c>
      <c r="E60" s="90" t="s">
        <v>726</v>
      </c>
      <c r="F60" s="90" t="s">
        <v>727</v>
      </c>
      <c r="G60" t="s">
        <v>512</v>
      </c>
    </row>
    <row r="61" spans="1:7" x14ac:dyDescent="0.25">
      <c r="A61" s="114">
        <v>307013</v>
      </c>
      <c r="B61" s="90" t="s">
        <v>728</v>
      </c>
      <c r="C61" s="90" t="s">
        <v>508</v>
      </c>
      <c r="D61" s="90" t="s">
        <v>729</v>
      </c>
      <c r="E61" s="90" t="s">
        <v>730</v>
      </c>
      <c r="F61" s="90" t="s">
        <v>731</v>
      </c>
      <c r="G61" t="s">
        <v>512</v>
      </c>
    </row>
    <row r="62" spans="1:7" x14ac:dyDescent="0.25">
      <c r="A62" s="114">
        <v>307023</v>
      </c>
      <c r="B62" s="90" t="s">
        <v>732</v>
      </c>
      <c r="C62" s="90" t="s">
        <v>508</v>
      </c>
      <c r="D62" s="90" t="s">
        <v>733</v>
      </c>
      <c r="E62" s="90" t="s">
        <v>734</v>
      </c>
      <c r="F62" s="90" t="s">
        <v>735</v>
      </c>
      <c r="G62" t="s">
        <v>512</v>
      </c>
    </row>
    <row r="63" spans="1:7" x14ac:dyDescent="0.25">
      <c r="A63" s="114">
        <v>307025</v>
      </c>
      <c r="B63" s="90" t="s">
        <v>736</v>
      </c>
      <c r="C63" s="90" t="s">
        <v>508</v>
      </c>
      <c r="D63" s="90" t="s">
        <v>737</v>
      </c>
      <c r="E63" s="90" t="s">
        <v>738</v>
      </c>
      <c r="F63" s="90" t="s">
        <v>739</v>
      </c>
      <c r="G63" t="s">
        <v>512</v>
      </c>
    </row>
    <row r="64" spans="1:7" x14ac:dyDescent="0.25">
      <c r="A64" s="114">
        <v>307028</v>
      </c>
      <c r="B64" s="90" t="s">
        <v>740</v>
      </c>
      <c r="C64" s="90" t="s">
        <v>508</v>
      </c>
      <c r="D64" s="90" t="s">
        <v>741</v>
      </c>
      <c r="E64" s="90" t="s">
        <v>742</v>
      </c>
      <c r="F64" s="90" t="s">
        <v>743</v>
      </c>
      <c r="G64" t="s">
        <v>512</v>
      </c>
    </row>
    <row r="65" spans="1:7" x14ac:dyDescent="0.25">
      <c r="A65" s="114">
        <v>307031</v>
      </c>
      <c r="B65" s="90" t="s">
        <v>744</v>
      </c>
      <c r="C65" s="90" t="s">
        <v>508</v>
      </c>
      <c r="D65" s="90" t="s">
        <v>745</v>
      </c>
      <c r="E65" s="90" t="s">
        <v>746</v>
      </c>
      <c r="F65" s="90" t="s">
        <v>747</v>
      </c>
      <c r="G65" t="s">
        <v>512</v>
      </c>
    </row>
    <row r="66" spans="1:7" x14ac:dyDescent="0.25">
      <c r="A66" s="114">
        <v>307033</v>
      </c>
      <c r="B66" s="90" t="s">
        <v>748</v>
      </c>
      <c r="C66" s="90" t="s">
        <v>508</v>
      </c>
      <c r="D66" s="90" t="s">
        <v>749</v>
      </c>
      <c r="E66" s="90" t="s">
        <v>563</v>
      </c>
      <c r="F66" s="90" t="s">
        <v>750</v>
      </c>
      <c r="G66" t="s">
        <v>512</v>
      </c>
    </row>
    <row r="67" spans="1:7" x14ac:dyDescent="0.25">
      <c r="A67" s="114">
        <v>307034</v>
      </c>
      <c r="B67" s="90" t="s">
        <v>751</v>
      </c>
      <c r="C67" s="90" t="s">
        <v>508</v>
      </c>
      <c r="D67" s="90" t="s">
        <v>752</v>
      </c>
      <c r="E67" s="90" t="s">
        <v>753</v>
      </c>
      <c r="F67" s="90" t="s">
        <v>754</v>
      </c>
      <c r="G67" t="s">
        <v>512</v>
      </c>
    </row>
    <row r="68" spans="1:7" x14ac:dyDescent="0.25">
      <c r="A68" s="114">
        <v>307043</v>
      </c>
      <c r="B68" s="90" t="s">
        <v>755</v>
      </c>
      <c r="C68" s="90" t="s">
        <v>508</v>
      </c>
      <c r="D68" s="90" t="s">
        <v>756</v>
      </c>
      <c r="E68" s="90" t="s">
        <v>610</v>
      </c>
      <c r="F68" s="90" t="s">
        <v>757</v>
      </c>
      <c r="G68" t="s">
        <v>512</v>
      </c>
    </row>
    <row r="69" spans="1:7" x14ac:dyDescent="0.25">
      <c r="A69" s="114">
        <v>307048</v>
      </c>
      <c r="B69" s="90" t="s">
        <v>758</v>
      </c>
      <c r="C69" s="90" t="s">
        <v>508</v>
      </c>
      <c r="D69" s="90" t="s">
        <v>759</v>
      </c>
      <c r="E69" s="90" t="s">
        <v>591</v>
      </c>
      <c r="F69" s="90" t="s">
        <v>760</v>
      </c>
      <c r="G69" t="s">
        <v>512</v>
      </c>
    </row>
    <row r="70" spans="1:7" x14ac:dyDescent="0.25">
      <c r="A70" s="114">
        <v>307055</v>
      </c>
      <c r="B70" s="90" t="s">
        <v>761</v>
      </c>
      <c r="C70" s="90" t="s">
        <v>508</v>
      </c>
      <c r="D70" s="90" t="s">
        <v>762</v>
      </c>
      <c r="E70" s="90" t="s">
        <v>539</v>
      </c>
      <c r="F70" s="90" t="s">
        <v>763</v>
      </c>
      <c r="G70" t="s">
        <v>512</v>
      </c>
    </row>
    <row r="71" spans="1:7" x14ac:dyDescent="0.25">
      <c r="A71" s="114">
        <v>307056</v>
      </c>
      <c r="B71" s="90" t="s">
        <v>764</v>
      </c>
      <c r="C71" s="90" t="s">
        <v>508</v>
      </c>
      <c r="D71" s="90" t="s">
        <v>765</v>
      </c>
      <c r="E71" s="90" t="s">
        <v>766</v>
      </c>
      <c r="F71" s="90" t="s">
        <v>767</v>
      </c>
      <c r="G71" t="s">
        <v>512</v>
      </c>
    </row>
    <row r="72" spans="1:7" x14ac:dyDescent="0.25">
      <c r="A72" s="114">
        <v>307059</v>
      </c>
      <c r="B72" s="90" t="s">
        <v>768</v>
      </c>
      <c r="C72" s="90" t="s">
        <v>508</v>
      </c>
      <c r="D72" s="90" t="s">
        <v>769</v>
      </c>
      <c r="E72" s="90" t="s">
        <v>770</v>
      </c>
      <c r="F72" s="90" t="s">
        <v>771</v>
      </c>
      <c r="G72" t="s">
        <v>512</v>
      </c>
    </row>
    <row r="73" spans="1:7" x14ac:dyDescent="0.25">
      <c r="A73" s="114">
        <v>307060</v>
      </c>
      <c r="B73" s="90" t="s">
        <v>772</v>
      </c>
      <c r="C73" s="90" t="s">
        <v>508</v>
      </c>
      <c r="D73" s="90" t="s">
        <v>773</v>
      </c>
      <c r="E73" s="90" t="s">
        <v>527</v>
      </c>
      <c r="F73" s="90" t="s">
        <v>774</v>
      </c>
      <c r="G73" t="s">
        <v>512</v>
      </c>
    </row>
    <row r="74" spans="1:7" x14ac:dyDescent="0.25">
      <c r="A74" s="114">
        <v>307061</v>
      </c>
      <c r="B74" s="90" t="s">
        <v>775</v>
      </c>
      <c r="C74" s="90" t="s">
        <v>508</v>
      </c>
      <c r="D74" s="90" t="s">
        <v>776</v>
      </c>
      <c r="E74" s="90" t="s">
        <v>777</v>
      </c>
      <c r="F74" s="90" t="s">
        <v>778</v>
      </c>
      <c r="G74" t="s">
        <v>512</v>
      </c>
    </row>
    <row r="75" spans="1:7" x14ac:dyDescent="0.25">
      <c r="A75" s="114">
        <v>307063</v>
      </c>
      <c r="B75" s="90" t="s">
        <v>779</v>
      </c>
      <c r="C75" s="90" t="s">
        <v>508</v>
      </c>
      <c r="D75" s="90" t="s">
        <v>780</v>
      </c>
      <c r="E75" s="90" t="s">
        <v>781</v>
      </c>
      <c r="F75" s="90" t="s">
        <v>782</v>
      </c>
      <c r="G75" t="s">
        <v>512</v>
      </c>
    </row>
    <row r="76" spans="1:7" x14ac:dyDescent="0.25">
      <c r="A76" s="114">
        <v>307076</v>
      </c>
      <c r="B76" s="90" t="s">
        <v>783</v>
      </c>
      <c r="C76" s="90" t="s">
        <v>508</v>
      </c>
      <c r="D76" s="90" t="s">
        <v>784</v>
      </c>
      <c r="E76" s="90" t="s">
        <v>675</v>
      </c>
      <c r="F76" s="90" t="s">
        <v>785</v>
      </c>
      <c r="G76" t="s">
        <v>512</v>
      </c>
    </row>
    <row r="77" spans="1:7" x14ac:dyDescent="0.25">
      <c r="A77" s="114">
        <v>307078</v>
      </c>
      <c r="B77" s="90" t="s">
        <v>786</v>
      </c>
      <c r="C77" s="90" t="s">
        <v>508</v>
      </c>
      <c r="D77" s="90" t="s">
        <v>787</v>
      </c>
      <c r="E77" s="90" t="s">
        <v>788</v>
      </c>
      <c r="F77" s="90" t="s">
        <v>789</v>
      </c>
      <c r="G77" t="s">
        <v>512</v>
      </c>
    </row>
    <row r="78" spans="1:7" x14ac:dyDescent="0.25">
      <c r="A78" s="114">
        <v>307082</v>
      </c>
      <c r="B78" s="90" t="s">
        <v>790</v>
      </c>
      <c r="C78" s="90" t="s">
        <v>508</v>
      </c>
      <c r="D78" s="90" t="s">
        <v>791</v>
      </c>
      <c r="E78" s="90" t="s">
        <v>792</v>
      </c>
      <c r="F78" s="90" t="s">
        <v>793</v>
      </c>
      <c r="G78" t="s">
        <v>512</v>
      </c>
    </row>
    <row r="79" spans="1:7" x14ac:dyDescent="0.25">
      <c r="A79" s="114">
        <v>307090</v>
      </c>
      <c r="B79" s="90" t="s">
        <v>794</v>
      </c>
      <c r="C79" s="90" t="s">
        <v>508</v>
      </c>
      <c r="D79" s="90" t="s">
        <v>795</v>
      </c>
      <c r="E79" s="90" t="s">
        <v>539</v>
      </c>
      <c r="F79" s="90" t="s">
        <v>796</v>
      </c>
      <c r="G79" t="s">
        <v>512</v>
      </c>
    </row>
    <row r="80" spans="1:7" x14ac:dyDescent="0.25">
      <c r="A80" s="114">
        <v>307098</v>
      </c>
      <c r="B80" s="90" t="s">
        <v>577</v>
      </c>
      <c r="C80" s="90" t="s">
        <v>508</v>
      </c>
      <c r="D80" s="90" t="s">
        <v>797</v>
      </c>
      <c r="E80" s="90" t="s">
        <v>798</v>
      </c>
      <c r="F80" s="90" t="s">
        <v>577</v>
      </c>
      <c r="G80" t="s">
        <v>512</v>
      </c>
    </row>
    <row r="81" spans="1:7" x14ac:dyDescent="0.25">
      <c r="A81" s="114">
        <v>307102</v>
      </c>
      <c r="B81" s="90" t="s">
        <v>799</v>
      </c>
      <c r="C81" s="90" t="s">
        <v>508</v>
      </c>
      <c r="D81" s="90" t="s">
        <v>800</v>
      </c>
      <c r="E81" s="90" t="s">
        <v>770</v>
      </c>
      <c r="F81" s="90" t="s">
        <v>801</v>
      </c>
      <c r="G81" t="s">
        <v>512</v>
      </c>
    </row>
    <row r="82" spans="1:7" x14ac:dyDescent="0.25">
      <c r="A82" s="114">
        <v>307106</v>
      </c>
      <c r="B82" s="90" t="s">
        <v>802</v>
      </c>
      <c r="C82" s="90" t="s">
        <v>508</v>
      </c>
      <c r="D82" s="90" t="s">
        <v>803</v>
      </c>
      <c r="E82" s="90" t="s">
        <v>571</v>
      </c>
      <c r="F82" s="90" t="s">
        <v>804</v>
      </c>
      <c r="G82" t="s">
        <v>512</v>
      </c>
    </row>
    <row r="83" spans="1:7" x14ac:dyDescent="0.25">
      <c r="A83" s="114">
        <v>307107</v>
      </c>
      <c r="B83" s="90" t="s">
        <v>805</v>
      </c>
      <c r="C83" s="90" t="s">
        <v>508</v>
      </c>
      <c r="D83" s="90" t="s">
        <v>806</v>
      </c>
      <c r="E83" s="90" t="s">
        <v>807</v>
      </c>
      <c r="F83" s="90" t="s">
        <v>808</v>
      </c>
      <c r="G83" t="s">
        <v>512</v>
      </c>
    </row>
    <row r="84" spans="1:7" x14ac:dyDescent="0.25">
      <c r="A84" s="114">
        <v>307108</v>
      </c>
      <c r="B84" s="90" t="s">
        <v>809</v>
      </c>
      <c r="C84" s="90" t="s">
        <v>508</v>
      </c>
      <c r="D84" s="90" t="s">
        <v>810</v>
      </c>
      <c r="E84" s="90" t="s">
        <v>811</v>
      </c>
      <c r="F84" s="90" t="s">
        <v>812</v>
      </c>
      <c r="G84" t="s">
        <v>512</v>
      </c>
    </row>
    <row r="85" spans="1:7" x14ac:dyDescent="0.25">
      <c r="A85" s="114">
        <v>307109</v>
      </c>
      <c r="B85" s="90" t="s">
        <v>813</v>
      </c>
      <c r="C85" s="90" t="s">
        <v>508</v>
      </c>
      <c r="D85" s="90" t="s">
        <v>814</v>
      </c>
      <c r="E85" s="90" t="s">
        <v>563</v>
      </c>
      <c r="F85" s="90" t="s">
        <v>815</v>
      </c>
      <c r="G85" t="s">
        <v>512</v>
      </c>
    </row>
    <row r="86" spans="1:7" x14ac:dyDescent="0.25">
      <c r="A86" s="114">
        <v>307110</v>
      </c>
      <c r="B86" s="90" t="s">
        <v>816</v>
      </c>
      <c r="C86" s="90" t="s">
        <v>508</v>
      </c>
      <c r="D86" s="90" t="s">
        <v>817</v>
      </c>
      <c r="E86" s="90" t="s">
        <v>818</v>
      </c>
      <c r="F86" s="90" t="s">
        <v>819</v>
      </c>
      <c r="G86" t="s">
        <v>512</v>
      </c>
    </row>
    <row r="87" spans="1:7" x14ac:dyDescent="0.25">
      <c r="A87" s="114">
        <v>307112</v>
      </c>
      <c r="B87" s="90" t="s">
        <v>820</v>
      </c>
      <c r="C87" s="90" t="s">
        <v>508</v>
      </c>
      <c r="D87" s="90" t="s">
        <v>821</v>
      </c>
      <c r="E87" s="90" t="s">
        <v>822</v>
      </c>
      <c r="F87" s="90" t="s">
        <v>823</v>
      </c>
      <c r="G87" t="s">
        <v>512</v>
      </c>
    </row>
    <row r="88" spans="1:7" x14ac:dyDescent="0.25">
      <c r="A88" s="114">
        <v>307116</v>
      </c>
      <c r="B88" s="90" t="s">
        <v>824</v>
      </c>
      <c r="C88" s="90" t="s">
        <v>508</v>
      </c>
      <c r="D88" s="90" t="s">
        <v>825</v>
      </c>
      <c r="E88" s="90" t="s">
        <v>539</v>
      </c>
      <c r="F88" s="90" t="s">
        <v>826</v>
      </c>
      <c r="G88" t="s">
        <v>512</v>
      </c>
    </row>
    <row r="89" spans="1:7" x14ac:dyDescent="0.25">
      <c r="A89" s="114">
        <v>307117</v>
      </c>
      <c r="B89" s="90" t="s">
        <v>827</v>
      </c>
      <c r="C89" s="90" t="s">
        <v>508</v>
      </c>
      <c r="D89" s="90" t="s">
        <v>828</v>
      </c>
      <c r="E89" s="90" t="s">
        <v>539</v>
      </c>
      <c r="F89" s="90" t="s">
        <v>829</v>
      </c>
      <c r="G89" t="s">
        <v>512</v>
      </c>
    </row>
    <row r="90" spans="1:7" x14ac:dyDescent="0.25">
      <c r="A90" s="114">
        <v>307131</v>
      </c>
      <c r="B90" s="90" t="s">
        <v>830</v>
      </c>
      <c r="C90" s="90" t="s">
        <v>508</v>
      </c>
      <c r="D90" s="90" t="s">
        <v>831</v>
      </c>
      <c r="E90" s="90" t="s">
        <v>832</v>
      </c>
      <c r="F90" s="90" t="s">
        <v>833</v>
      </c>
      <c r="G90" t="s">
        <v>512</v>
      </c>
    </row>
    <row r="91" spans="1:7" x14ac:dyDescent="0.25">
      <c r="A91" s="114">
        <v>307134</v>
      </c>
      <c r="B91" s="90" t="s">
        <v>834</v>
      </c>
      <c r="C91" s="90" t="s">
        <v>508</v>
      </c>
      <c r="D91" s="90" t="s">
        <v>835</v>
      </c>
      <c r="E91" s="90" t="s">
        <v>742</v>
      </c>
      <c r="F91" s="90" t="s">
        <v>836</v>
      </c>
      <c r="G91" t="s">
        <v>512</v>
      </c>
    </row>
    <row r="92" spans="1:7" x14ac:dyDescent="0.25">
      <c r="A92" s="114">
        <v>307163</v>
      </c>
      <c r="B92" s="90" t="s">
        <v>837</v>
      </c>
      <c r="C92" s="90" t="s">
        <v>508</v>
      </c>
      <c r="D92" s="90" t="s">
        <v>838</v>
      </c>
      <c r="E92" s="90" t="s">
        <v>839</v>
      </c>
      <c r="F92" s="90" t="s">
        <v>840</v>
      </c>
      <c r="G92" t="s">
        <v>512</v>
      </c>
    </row>
    <row r="93" spans="1:7" x14ac:dyDescent="0.25">
      <c r="A93" s="114">
        <v>307168</v>
      </c>
      <c r="B93" s="90" t="s">
        <v>841</v>
      </c>
      <c r="C93" s="90" t="s">
        <v>508</v>
      </c>
      <c r="D93" s="90" t="s">
        <v>842</v>
      </c>
      <c r="E93" s="90" t="s">
        <v>843</v>
      </c>
      <c r="F93" s="90" t="s">
        <v>844</v>
      </c>
      <c r="G93" t="s">
        <v>512</v>
      </c>
    </row>
    <row r="94" spans="1:7" x14ac:dyDescent="0.25">
      <c r="A94" s="114">
        <v>307187</v>
      </c>
      <c r="B94" s="90" t="s">
        <v>845</v>
      </c>
      <c r="C94" s="90" t="s">
        <v>508</v>
      </c>
      <c r="D94" s="90" t="s">
        <v>846</v>
      </c>
      <c r="E94" s="90" t="s">
        <v>847</v>
      </c>
      <c r="F94" s="90" t="s">
        <v>848</v>
      </c>
      <c r="G94" t="s">
        <v>512</v>
      </c>
    </row>
    <row r="95" spans="1:7" x14ac:dyDescent="0.25">
      <c r="A95" s="114">
        <v>307191</v>
      </c>
      <c r="B95" s="90" t="s">
        <v>849</v>
      </c>
      <c r="C95" s="90" t="s">
        <v>508</v>
      </c>
      <c r="D95" s="90" t="s">
        <v>850</v>
      </c>
      <c r="E95" s="90" t="s">
        <v>851</v>
      </c>
      <c r="F95" s="90" t="s">
        <v>852</v>
      </c>
      <c r="G95" t="s">
        <v>512</v>
      </c>
    </row>
    <row r="96" spans="1:7" x14ac:dyDescent="0.25">
      <c r="A96" s="114">
        <v>307192</v>
      </c>
      <c r="B96" s="90" t="s">
        <v>853</v>
      </c>
      <c r="C96" s="90" t="s">
        <v>508</v>
      </c>
      <c r="D96" s="90" t="s">
        <v>854</v>
      </c>
      <c r="E96" s="90" t="s">
        <v>583</v>
      </c>
      <c r="F96" s="90" t="s">
        <v>855</v>
      </c>
      <c r="G96" t="s">
        <v>512</v>
      </c>
    </row>
    <row r="97" spans="1:7" x14ac:dyDescent="0.25">
      <c r="A97" s="114">
        <v>307194</v>
      </c>
      <c r="B97" s="90" t="s">
        <v>856</v>
      </c>
      <c r="C97" s="90" t="s">
        <v>508</v>
      </c>
      <c r="D97" s="90" t="s">
        <v>857</v>
      </c>
      <c r="E97" s="90" t="s">
        <v>742</v>
      </c>
      <c r="F97" s="90" t="s">
        <v>858</v>
      </c>
      <c r="G97" t="s">
        <v>859</v>
      </c>
    </row>
    <row r="98" spans="1:7" x14ac:dyDescent="0.25">
      <c r="A98" s="114">
        <v>307199</v>
      </c>
      <c r="B98" s="90" t="s">
        <v>860</v>
      </c>
      <c r="C98" s="90" t="s">
        <v>508</v>
      </c>
      <c r="D98" s="90" t="s">
        <v>861</v>
      </c>
      <c r="E98" s="90" t="s">
        <v>807</v>
      </c>
      <c r="F98" s="90" t="s">
        <v>862</v>
      </c>
      <c r="G98" t="s">
        <v>512</v>
      </c>
    </row>
    <row r="99" spans="1:7" x14ac:dyDescent="0.25">
      <c r="A99" s="114">
        <v>307201</v>
      </c>
      <c r="B99" s="90" t="s">
        <v>863</v>
      </c>
      <c r="C99" s="90" t="s">
        <v>508</v>
      </c>
      <c r="D99" s="90" t="s">
        <v>864</v>
      </c>
      <c r="E99" s="90" t="s">
        <v>865</v>
      </c>
      <c r="F99" s="90" t="s">
        <v>866</v>
      </c>
      <c r="G99" t="s">
        <v>512</v>
      </c>
    </row>
    <row r="100" spans="1:7" x14ac:dyDescent="0.25">
      <c r="A100" s="114">
        <v>307210</v>
      </c>
      <c r="B100" s="90" t="s">
        <v>867</v>
      </c>
      <c r="C100" s="90" t="s">
        <v>508</v>
      </c>
      <c r="D100" s="90" t="s">
        <v>868</v>
      </c>
      <c r="E100" s="90" t="s">
        <v>563</v>
      </c>
      <c r="F100" s="90" t="s">
        <v>869</v>
      </c>
      <c r="G100" t="s">
        <v>512</v>
      </c>
    </row>
    <row r="101" spans="1:7" x14ac:dyDescent="0.25">
      <c r="A101" s="114">
        <v>307222</v>
      </c>
      <c r="B101" s="90" t="s">
        <v>870</v>
      </c>
      <c r="C101" s="90" t="s">
        <v>508</v>
      </c>
      <c r="D101" s="90" t="s">
        <v>871</v>
      </c>
      <c r="E101" s="90" t="s">
        <v>583</v>
      </c>
      <c r="F101" s="90" t="s">
        <v>872</v>
      </c>
      <c r="G101" t="s">
        <v>512</v>
      </c>
    </row>
    <row r="102" spans="1:7" x14ac:dyDescent="0.25">
      <c r="A102" s="114">
        <v>307227</v>
      </c>
      <c r="B102" s="90" t="s">
        <v>873</v>
      </c>
      <c r="C102" s="90" t="s">
        <v>508</v>
      </c>
      <c r="D102" s="90" t="s">
        <v>874</v>
      </c>
      <c r="E102" s="90" t="s">
        <v>875</v>
      </c>
      <c r="F102" s="90" t="s">
        <v>876</v>
      </c>
      <c r="G102" t="s">
        <v>512</v>
      </c>
    </row>
    <row r="103" spans="1:7" x14ac:dyDescent="0.25">
      <c r="A103" s="114">
        <v>307258</v>
      </c>
      <c r="B103" s="90" t="s">
        <v>877</v>
      </c>
      <c r="C103" s="90" t="s">
        <v>508</v>
      </c>
      <c r="D103" s="90" t="s">
        <v>878</v>
      </c>
      <c r="E103" s="90" t="s">
        <v>879</v>
      </c>
      <c r="F103" s="90" t="s">
        <v>880</v>
      </c>
      <c r="G103" t="s">
        <v>512</v>
      </c>
    </row>
    <row r="104" spans="1:7" x14ac:dyDescent="0.25">
      <c r="A104" s="114">
        <v>307259</v>
      </c>
      <c r="B104" s="90" t="s">
        <v>881</v>
      </c>
      <c r="C104" s="90" t="s">
        <v>508</v>
      </c>
      <c r="D104" s="90" t="s">
        <v>882</v>
      </c>
      <c r="E104" s="90" t="s">
        <v>883</v>
      </c>
      <c r="F104" s="90" t="s">
        <v>884</v>
      </c>
      <c r="G104" t="s">
        <v>512</v>
      </c>
    </row>
    <row r="105" spans="1:7" x14ac:dyDescent="0.25">
      <c r="A105" s="114">
        <v>307261</v>
      </c>
      <c r="B105" s="90" t="s">
        <v>885</v>
      </c>
      <c r="C105" s="90" t="s">
        <v>508</v>
      </c>
      <c r="D105" s="90" t="s">
        <v>886</v>
      </c>
      <c r="E105" s="90" t="s">
        <v>887</v>
      </c>
      <c r="F105" s="90" t="s">
        <v>888</v>
      </c>
      <c r="G105" t="s">
        <v>512</v>
      </c>
    </row>
    <row r="106" spans="1:7" x14ac:dyDescent="0.25">
      <c r="A106" s="114">
        <v>307263</v>
      </c>
      <c r="B106" s="90" t="s">
        <v>881</v>
      </c>
      <c r="C106" s="90" t="s">
        <v>508</v>
      </c>
      <c r="D106" s="90" t="s">
        <v>889</v>
      </c>
      <c r="E106" s="90" t="s">
        <v>890</v>
      </c>
      <c r="F106" s="90" t="s">
        <v>891</v>
      </c>
      <c r="G106" t="s">
        <v>512</v>
      </c>
    </row>
    <row r="107" spans="1:7" x14ac:dyDescent="0.25">
      <c r="A107" s="114">
        <v>307275</v>
      </c>
      <c r="B107" s="90" t="s">
        <v>892</v>
      </c>
      <c r="C107" s="90" t="s">
        <v>508</v>
      </c>
      <c r="D107" s="90" t="s">
        <v>893</v>
      </c>
      <c r="E107" s="90" t="s">
        <v>894</v>
      </c>
      <c r="F107" s="90" t="s">
        <v>895</v>
      </c>
      <c r="G107" t="s">
        <v>512</v>
      </c>
    </row>
    <row r="108" spans="1:7" x14ac:dyDescent="0.25">
      <c r="A108" s="114">
        <v>307277</v>
      </c>
      <c r="B108" s="90" t="s">
        <v>896</v>
      </c>
      <c r="C108" s="90" t="s">
        <v>508</v>
      </c>
      <c r="D108" s="90" t="s">
        <v>897</v>
      </c>
      <c r="E108" s="90" t="s">
        <v>898</v>
      </c>
      <c r="F108" s="90" t="s">
        <v>899</v>
      </c>
      <c r="G108" t="s">
        <v>512</v>
      </c>
    </row>
    <row r="109" spans="1:7" x14ac:dyDescent="0.25">
      <c r="A109" s="114">
        <v>307284</v>
      </c>
      <c r="B109" s="90" t="s">
        <v>553</v>
      </c>
      <c r="C109" s="90" t="s">
        <v>508</v>
      </c>
      <c r="D109" s="90" t="s">
        <v>900</v>
      </c>
      <c r="E109" s="90" t="s">
        <v>901</v>
      </c>
      <c r="F109" s="90" t="s">
        <v>902</v>
      </c>
      <c r="G109" t="s">
        <v>512</v>
      </c>
    </row>
    <row r="110" spans="1:7" x14ac:dyDescent="0.25">
      <c r="A110" s="114">
        <v>307285</v>
      </c>
      <c r="B110" s="90" t="s">
        <v>903</v>
      </c>
      <c r="C110" s="90" t="s">
        <v>508</v>
      </c>
      <c r="D110" s="90" t="s">
        <v>904</v>
      </c>
      <c r="E110" s="90" t="s">
        <v>887</v>
      </c>
      <c r="F110" s="90" t="s">
        <v>888</v>
      </c>
      <c r="G110" t="s">
        <v>512</v>
      </c>
    </row>
    <row r="111" spans="1:7" x14ac:dyDescent="0.25">
      <c r="A111" s="114">
        <v>307287</v>
      </c>
      <c r="B111" s="90" t="s">
        <v>905</v>
      </c>
      <c r="C111" s="90" t="s">
        <v>508</v>
      </c>
      <c r="D111" s="90" t="s">
        <v>906</v>
      </c>
      <c r="E111" s="90" t="s">
        <v>907</v>
      </c>
      <c r="F111" s="90" t="s">
        <v>908</v>
      </c>
      <c r="G111" t="s">
        <v>512</v>
      </c>
    </row>
    <row r="112" spans="1:7" x14ac:dyDescent="0.25">
      <c r="A112" s="114">
        <v>307288</v>
      </c>
      <c r="B112" s="90" t="s">
        <v>892</v>
      </c>
      <c r="C112" s="90" t="s">
        <v>508</v>
      </c>
      <c r="D112" s="90" t="s">
        <v>909</v>
      </c>
      <c r="E112" s="90" t="s">
        <v>910</v>
      </c>
      <c r="F112" s="90" t="s">
        <v>911</v>
      </c>
      <c r="G112" t="s">
        <v>512</v>
      </c>
    </row>
    <row r="113" spans="1:7" x14ac:dyDescent="0.25">
      <c r="A113" s="114">
        <v>307292</v>
      </c>
      <c r="B113" s="90" t="s">
        <v>912</v>
      </c>
      <c r="C113" s="90" t="s">
        <v>508</v>
      </c>
      <c r="D113" s="90" t="s">
        <v>913</v>
      </c>
      <c r="E113" s="90" t="s">
        <v>914</v>
      </c>
      <c r="F113" s="90" t="s">
        <v>915</v>
      </c>
      <c r="G113" t="s">
        <v>512</v>
      </c>
    </row>
    <row r="114" spans="1:7" x14ac:dyDescent="0.25">
      <c r="A114" s="114">
        <v>307296</v>
      </c>
      <c r="B114" s="90" t="s">
        <v>892</v>
      </c>
      <c r="C114" s="90" t="s">
        <v>508</v>
      </c>
      <c r="D114" s="90" t="s">
        <v>916</v>
      </c>
      <c r="E114" s="90" t="s">
        <v>907</v>
      </c>
      <c r="F114" s="90" t="s">
        <v>917</v>
      </c>
      <c r="G114" t="s">
        <v>512</v>
      </c>
    </row>
    <row r="115" spans="1:7" x14ac:dyDescent="0.25">
      <c r="A115" s="114">
        <v>307301</v>
      </c>
      <c r="B115" s="90" t="s">
        <v>918</v>
      </c>
      <c r="C115" s="90" t="s">
        <v>508</v>
      </c>
      <c r="D115" s="90" t="s">
        <v>919</v>
      </c>
      <c r="E115" s="90" t="s">
        <v>920</v>
      </c>
      <c r="F115" s="90" t="s">
        <v>592</v>
      </c>
      <c r="G115" t="s">
        <v>512</v>
      </c>
    </row>
    <row r="116" spans="1:7" x14ac:dyDescent="0.25">
      <c r="A116" s="114">
        <v>307302</v>
      </c>
      <c r="B116" s="90" t="s">
        <v>921</v>
      </c>
      <c r="C116" s="90" t="s">
        <v>508</v>
      </c>
      <c r="D116" s="90" t="s">
        <v>922</v>
      </c>
      <c r="E116" s="90" t="s">
        <v>923</v>
      </c>
      <c r="F116" s="90" t="s">
        <v>924</v>
      </c>
      <c r="G116" t="s">
        <v>512</v>
      </c>
    </row>
    <row r="117" spans="1:7" x14ac:dyDescent="0.25">
      <c r="A117" s="114">
        <v>307326</v>
      </c>
      <c r="B117" s="90" t="s">
        <v>881</v>
      </c>
      <c r="C117" s="90" t="s">
        <v>508</v>
      </c>
      <c r="D117" s="90" t="s">
        <v>925</v>
      </c>
      <c r="E117" s="90" t="s">
        <v>926</v>
      </c>
      <c r="F117" s="90" t="s">
        <v>927</v>
      </c>
      <c r="G117" t="s">
        <v>512</v>
      </c>
    </row>
    <row r="118" spans="1:7" x14ac:dyDescent="0.25">
      <c r="A118" s="114">
        <v>307329</v>
      </c>
      <c r="B118" s="90" t="s">
        <v>928</v>
      </c>
      <c r="C118" s="90" t="s">
        <v>508</v>
      </c>
      <c r="D118" s="90" t="s">
        <v>929</v>
      </c>
      <c r="E118" s="90" t="s">
        <v>930</v>
      </c>
      <c r="F118" s="90" t="s">
        <v>931</v>
      </c>
      <c r="G118" t="s">
        <v>512</v>
      </c>
    </row>
    <row r="119" spans="1:7" x14ac:dyDescent="0.25">
      <c r="A119" s="114">
        <v>307345</v>
      </c>
      <c r="B119" s="90" t="s">
        <v>932</v>
      </c>
      <c r="C119" s="90" t="s">
        <v>508</v>
      </c>
      <c r="D119" s="90" t="s">
        <v>933</v>
      </c>
      <c r="E119" s="90" t="s">
        <v>777</v>
      </c>
      <c r="F119" s="90" t="s">
        <v>934</v>
      </c>
      <c r="G119" t="s">
        <v>512</v>
      </c>
    </row>
    <row r="120" spans="1:7" x14ac:dyDescent="0.25">
      <c r="A120" s="114">
        <v>307351</v>
      </c>
      <c r="B120" s="90" t="s">
        <v>553</v>
      </c>
      <c r="C120" s="90" t="s">
        <v>508</v>
      </c>
      <c r="D120" s="90" t="s">
        <v>562</v>
      </c>
      <c r="E120" s="90" t="s">
        <v>563</v>
      </c>
      <c r="F120" s="90" t="s">
        <v>564</v>
      </c>
      <c r="G120" t="s">
        <v>512</v>
      </c>
    </row>
    <row r="121" spans="1:7" x14ac:dyDescent="0.25">
      <c r="A121" s="114">
        <v>307361</v>
      </c>
      <c r="B121" s="90" t="s">
        <v>935</v>
      </c>
      <c r="C121" s="90" t="s">
        <v>508</v>
      </c>
      <c r="D121" s="90" t="s">
        <v>936</v>
      </c>
      <c r="E121" s="90" t="s">
        <v>937</v>
      </c>
      <c r="F121" s="90" t="s">
        <v>938</v>
      </c>
      <c r="G121" t="s">
        <v>512</v>
      </c>
    </row>
    <row r="122" spans="1:7" x14ac:dyDescent="0.25">
      <c r="A122" s="114">
        <v>307420</v>
      </c>
      <c r="B122" s="90" t="s">
        <v>939</v>
      </c>
      <c r="C122" s="90" t="s">
        <v>508</v>
      </c>
      <c r="D122" s="90" t="s">
        <v>940</v>
      </c>
      <c r="E122" s="90" t="s">
        <v>941</v>
      </c>
      <c r="F122" s="90" t="s">
        <v>942</v>
      </c>
      <c r="G122" t="s">
        <v>512</v>
      </c>
    </row>
    <row r="123" spans="1:7" x14ac:dyDescent="0.25">
      <c r="A123" s="114">
        <v>307424</v>
      </c>
      <c r="B123" s="90" t="s">
        <v>943</v>
      </c>
      <c r="C123" s="90" t="s">
        <v>508</v>
      </c>
      <c r="D123" s="90" t="s">
        <v>944</v>
      </c>
      <c r="E123" s="90" t="s">
        <v>945</v>
      </c>
      <c r="F123" s="90" t="s">
        <v>946</v>
      </c>
      <c r="G123" t="s">
        <v>512</v>
      </c>
    </row>
    <row r="124" spans="1:7" x14ac:dyDescent="0.25">
      <c r="A124" s="114">
        <v>307428</v>
      </c>
      <c r="B124" s="90" t="s">
        <v>947</v>
      </c>
      <c r="C124" s="90" t="s">
        <v>508</v>
      </c>
      <c r="D124" s="90" t="s">
        <v>948</v>
      </c>
      <c r="E124" s="90" t="s">
        <v>847</v>
      </c>
      <c r="F124" s="90" t="s">
        <v>949</v>
      </c>
      <c r="G124" t="s">
        <v>512</v>
      </c>
    </row>
    <row r="125" spans="1:7" x14ac:dyDescent="0.25">
      <c r="A125" s="114">
        <v>307455</v>
      </c>
      <c r="B125" s="90" t="s">
        <v>950</v>
      </c>
      <c r="C125" s="90" t="s">
        <v>508</v>
      </c>
      <c r="D125" s="90" t="s">
        <v>951</v>
      </c>
      <c r="E125" s="90" t="s">
        <v>950</v>
      </c>
      <c r="F125" s="90" t="s">
        <v>952</v>
      </c>
      <c r="G125" t="s">
        <v>512</v>
      </c>
    </row>
    <row r="126" spans="1:7" x14ac:dyDescent="0.25">
      <c r="A126" s="114">
        <v>307463</v>
      </c>
      <c r="B126" s="90" t="s">
        <v>953</v>
      </c>
      <c r="C126" s="90" t="s">
        <v>508</v>
      </c>
      <c r="D126" s="90" t="s">
        <v>954</v>
      </c>
      <c r="E126" s="90" t="s">
        <v>955</v>
      </c>
      <c r="F126" s="90" t="s">
        <v>956</v>
      </c>
      <c r="G126" t="s">
        <v>512</v>
      </c>
    </row>
    <row r="127" spans="1:7" x14ac:dyDescent="0.25">
      <c r="A127" s="114">
        <v>307485</v>
      </c>
      <c r="B127" s="90" t="s">
        <v>957</v>
      </c>
      <c r="C127" s="90" t="s">
        <v>508</v>
      </c>
      <c r="D127" s="90" t="s">
        <v>958</v>
      </c>
      <c r="E127" s="90" t="s">
        <v>959</v>
      </c>
      <c r="F127" s="90" t="s">
        <v>960</v>
      </c>
      <c r="G127" t="s">
        <v>512</v>
      </c>
    </row>
    <row r="128" spans="1:7" x14ac:dyDescent="0.25">
      <c r="A128" s="114">
        <v>307493</v>
      </c>
      <c r="B128" s="90" t="s">
        <v>955</v>
      </c>
      <c r="C128" s="90" t="s">
        <v>508</v>
      </c>
      <c r="D128" s="90" t="s">
        <v>961</v>
      </c>
      <c r="E128" s="90" t="s">
        <v>955</v>
      </c>
      <c r="F128" s="90" t="s">
        <v>962</v>
      </c>
      <c r="G128" t="s">
        <v>512</v>
      </c>
    </row>
    <row r="129" spans="1:7" x14ac:dyDescent="0.25">
      <c r="A129" s="114">
        <v>307498</v>
      </c>
      <c r="B129" s="90" t="s">
        <v>963</v>
      </c>
      <c r="C129" s="90" t="s">
        <v>508</v>
      </c>
      <c r="D129" s="90" t="s">
        <v>964</v>
      </c>
      <c r="E129" s="90" t="s">
        <v>675</v>
      </c>
      <c r="F129" s="90" t="s">
        <v>965</v>
      </c>
      <c r="G129" t="s">
        <v>512</v>
      </c>
    </row>
    <row r="130" spans="1:7" x14ac:dyDescent="0.25">
      <c r="A130" s="114">
        <v>307499</v>
      </c>
      <c r="B130" s="90" t="s">
        <v>966</v>
      </c>
      <c r="C130" s="90" t="s">
        <v>508</v>
      </c>
      <c r="D130" s="90" t="s">
        <v>967</v>
      </c>
      <c r="E130" s="90" t="s">
        <v>675</v>
      </c>
      <c r="F130" s="90" t="s">
        <v>968</v>
      </c>
      <c r="G130" t="s">
        <v>512</v>
      </c>
    </row>
    <row r="131" spans="1:7" x14ac:dyDescent="0.25">
      <c r="A131" s="114">
        <v>307506</v>
      </c>
      <c r="B131" s="90" t="s">
        <v>206</v>
      </c>
      <c r="C131" s="90" t="s">
        <v>508</v>
      </c>
      <c r="D131" s="90" t="s">
        <v>969</v>
      </c>
      <c r="E131" s="90" t="s">
        <v>656</v>
      </c>
      <c r="F131" s="90" t="s">
        <v>970</v>
      </c>
      <c r="G131" t="s">
        <v>512</v>
      </c>
    </row>
    <row r="132" spans="1:7" x14ac:dyDescent="0.25">
      <c r="A132" s="114">
        <v>307507</v>
      </c>
      <c r="B132" s="90" t="s">
        <v>415</v>
      </c>
      <c r="C132" s="90" t="s">
        <v>508</v>
      </c>
      <c r="D132" s="90" t="s">
        <v>971</v>
      </c>
      <c r="E132" s="90" t="s">
        <v>972</v>
      </c>
      <c r="F132" s="90" t="s">
        <v>973</v>
      </c>
      <c r="G132" t="s">
        <v>512</v>
      </c>
    </row>
    <row r="133" spans="1:7" x14ac:dyDescent="0.25">
      <c r="A133" s="114">
        <v>307528</v>
      </c>
      <c r="B133" s="90" t="s">
        <v>974</v>
      </c>
      <c r="C133" s="90" t="s">
        <v>508</v>
      </c>
      <c r="D133" s="90" t="s">
        <v>975</v>
      </c>
      <c r="E133" s="90" t="s">
        <v>563</v>
      </c>
      <c r="F133" s="90" t="s">
        <v>976</v>
      </c>
      <c r="G133" t="s">
        <v>512</v>
      </c>
    </row>
    <row r="134" spans="1:7" x14ac:dyDescent="0.25">
      <c r="A134" s="114">
        <v>307529</v>
      </c>
      <c r="B134" s="90" t="s">
        <v>977</v>
      </c>
      <c r="C134" s="90" t="s">
        <v>508</v>
      </c>
      <c r="D134" s="90" t="s">
        <v>978</v>
      </c>
      <c r="E134" s="90" t="s">
        <v>811</v>
      </c>
      <c r="F134" s="90" t="s">
        <v>979</v>
      </c>
      <c r="G134" t="s">
        <v>512</v>
      </c>
    </row>
    <row r="135" spans="1:7" x14ac:dyDescent="0.25">
      <c r="A135" s="114">
        <v>307537</v>
      </c>
      <c r="B135" s="90" t="s">
        <v>980</v>
      </c>
      <c r="C135" s="90" t="s">
        <v>508</v>
      </c>
      <c r="D135" s="90" t="s">
        <v>981</v>
      </c>
      <c r="E135" s="90" t="s">
        <v>982</v>
      </c>
      <c r="F135" s="90" t="s">
        <v>983</v>
      </c>
      <c r="G135" t="s">
        <v>512</v>
      </c>
    </row>
    <row r="136" spans="1:7" x14ac:dyDescent="0.25">
      <c r="A136" s="114">
        <v>307539</v>
      </c>
      <c r="B136" s="90" t="s">
        <v>984</v>
      </c>
      <c r="C136" s="90" t="s">
        <v>508</v>
      </c>
      <c r="D136" s="90" t="s">
        <v>985</v>
      </c>
      <c r="E136" s="90" t="s">
        <v>986</v>
      </c>
      <c r="F136" s="90" t="s">
        <v>984</v>
      </c>
      <c r="G136" t="s">
        <v>512</v>
      </c>
    </row>
    <row r="137" spans="1:7" x14ac:dyDescent="0.25">
      <c r="A137" s="114">
        <v>307540</v>
      </c>
      <c r="B137" s="90" t="s">
        <v>987</v>
      </c>
      <c r="C137" s="90" t="s">
        <v>508</v>
      </c>
      <c r="D137" s="90" t="s">
        <v>988</v>
      </c>
      <c r="E137" s="90" t="s">
        <v>675</v>
      </c>
      <c r="F137" s="90" t="s">
        <v>989</v>
      </c>
      <c r="G137" t="s">
        <v>512</v>
      </c>
    </row>
    <row r="138" spans="1:7" x14ac:dyDescent="0.25">
      <c r="A138" s="114">
        <v>307541</v>
      </c>
      <c r="B138" s="90" t="s">
        <v>135</v>
      </c>
      <c r="C138" s="90" t="s">
        <v>508</v>
      </c>
      <c r="D138" s="90" t="s">
        <v>990</v>
      </c>
      <c r="E138" s="90" t="s">
        <v>991</v>
      </c>
      <c r="F138" s="90" t="s">
        <v>992</v>
      </c>
      <c r="G138" t="s">
        <v>512</v>
      </c>
    </row>
    <row r="139" spans="1:7" x14ac:dyDescent="0.25">
      <c r="A139" s="114">
        <v>307547</v>
      </c>
      <c r="B139" s="90" t="s">
        <v>993</v>
      </c>
      <c r="C139" s="90" t="s">
        <v>508</v>
      </c>
      <c r="D139" s="90" t="s">
        <v>994</v>
      </c>
      <c r="E139" s="90" t="s">
        <v>995</v>
      </c>
      <c r="F139" s="90" t="s">
        <v>996</v>
      </c>
      <c r="G139" t="s">
        <v>512</v>
      </c>
    </row>
    <row r="140" spans="1:7" x14ac:dyDescent="0.25">
      <c r="A140" s="114">
        <v>307549</v>
      </c>
      <c r="B140" s="90" t="s">
        <v>486</v>
      </c>
      <c r="C140" s="90" t="s">
        <v>508</v>
      </c>
      <c r="D140" s="90" t="s">
        <v>997</v>
      </c>
      <c r="E140" s="90" t="s">
        <v>798</v>
      </c>
      <c r="F140" s="90" t="s">
        <v>998</v>
      </c>
      <c r="G140" t="s">
        <v>512</v>
      </c>
    </row>
    <row r="141" spans="1:7" x14ac:dyDescent="0.25">
      <c r="A141" s="114">
        <v>307553</v>
      </c>
      <c r="B141" s="90" t="s">
        <v>999</v>
      </c>
      <c r="C141" s="90" t="s">
        <v>508</v>
      </c>
      <c r="D141" s="90" t="s">
        <v>1000</v>
      </c>
      <c r="E141" s="90" t="s">
        <v>1001</v>
      </c>
      <c r="F141" s="90" t="s">
        <v>1002</v>
      </c>
      <c r="G141" t="s">
        <v>512</v>
      </c>
    </row>
    <row r="142" spans="1:7" x14ac:dyDescent="0.25">
      <c r="A142" s="114">
        <v>307554</v>
      </c>
      <c r="B142" s="90" t="s">
        <v>1003</v>
      </c>
      <c r="C142" s="90" t="s">
        <v>508</v>
      </c>
      <c r="D142" s="90" t="s">
        <v>1004</v>
      </c>
      <c r="E142" s="90" t="s">
        <v>1005</v>
      </c>
      <c r="F142" s="90" t="s">
        <v>1006</v>
      </c>
      <c r="G142" t="s">
        <v>512</v>
      </c>
    </row>
    <row r="143" spans="1:7" x14ac:dyDescent="0.25">
      <c r="A143" s="114">
        <v>307558</v>
      </c>
      <c r="B143" s="90" t="s">
        <v>1007</v>
      </c>
      <c r="C143" s="90" t="s">
        <v>508</v>
      </c>
      <c r="D143" s="90" t="s">
        <v>1008</v>
      </c>
      <c r="E143" s="90" t="s">
        <v>1009</v>
      </c>
      <c r="F143" s="90" t="s">
        <v>1010</v>
      </c>
      <c r="G143" t="s">
        <v>512</v>
      </c>
    </row>
    <row r="144" spans="1:7" x14ac:dyDescent="0.25">
      <c r="A144" s="114">
        <v>307559</v>
      </c>
      <c r="B144" s="90" t="s">
        <v>1011</v>
      </c>
      <c r="C144" s="90" t="s">
        <v>508</v>
      </c>
      <c r="D144" s="90" t="s">
        <v>1012</v>
      </c>
      <c r="E144" s="90" t="s">
        <v>695</v>
      </c>
      <c r="F144" s="90" t="s">
        <v>1013</v>
      </c>
      <c r="G144" t="s">
        <v>512</v>
      </c>
    </row>
    <row r="145" spans="1:7" x14ac:dyDescent="0.25">
      <c r="A145" s="114">
        <v>307564</v>
      </c>
      <c r="B145" s="90" t="s">
        <v>307</v>
      </c>
      <c r="C145" s="90" t="s">
        <v>508</v>
      </c>
      <c r="D145" s="90" t="s">
        <v>1014</v>
      </c>
      <c r="E145" s="90" t="s">
        <v>1015</v>
      </c>
      <c r="F145" s="90" t="s">
        <v>1016</v>
      </c>
      <c r="G145" t="s">
        <v>512</v>
      </c>
    </row>
    <row r="146" spans="1:7" x14ac:dyDescent="0.25">
      <c r="A146" s="114">
        <v>307566</v>
      </c>
      <c r="B146" s="90" t="s">
        <v>88</v>
      </c>
      <c r="C146" s="90" t="s">
        <v>508</v>
      </c>
      <c r="D146" s="90" t="s">
        <v>1017</v>
      </c>
      <c r="E146" s="90" t="s">
        <v>527</v>
      </c>
      <c r="F146" s="90" t="s">
        <v>1018</v>
      </c>
      <c r="G146" t="s">
        <v>512</v>
      </c>
    </row>
    <row r="147" spans="1:7" x14ac:dyDescent="0.25">
      <c r="A147" s="114">
        <v>307593</v>
      </c>
      <c r="B147" s="90" t="s">
        <v>1019</v>
      </c>
      <c r="C147" s="90" t="s">
        <v>508</v>
      </c>
      <c r="D147" s="90" t="s">
        <v>1020</v>
      </c>
      <c r="E147" s="90" t="s">
        <v>945</v>
      </c>
      <c r="F147" s="90" t="s">
        <v>1021</v>
      </c>
      <c r="G147" t="s">
        <v>512</v>
      </c>
    </row>
    <row r="148" spans="1:7" x14ac:dyDescent="0.25">
      <c r="A148" s="114">
        <v>307598</v>
      </c>
      <c r="B148" s="90" t="s">
        <v>51</v>
      </c>
      <c r="C148" s="90" t="s">
        <v>508</v>
      </c>
      <c r="D148" s="90" t="s">
        <v>1022</v>
      </c>
      <c r="E148" s="90" t="s">
        <v>1023</v>
      </c>
      <c r="F148" s="90" t="s">
        <v>1024</v>
      </c>
      <c r="G148" t="s">
        <v>512</v>
      </c>
    </row>
    <row r="149" spans="1:7" x14ac:dyDescent="0.25">
      <c r="A149" s="114">
        <v>307605</v>
      </c>
      <c r="B149" s="90" t="s">
        <v>1025</v>
      </c>
      <c r="C149" s="90" t="s">
        <v>508</v>
      </c>
      <c r="D149" s="90" t="s">
        <v>1026</v>
      </c>
      <c r="E149" s="90" t="s">
        <v>1027</v>
      </c>
      <c r="F149" s="90" t="s">
        <v>1028</v>
      </c>
      <c r="G149" t="s">
        <v>512</v>
      </c>
    </row>
    <row r="150" spans="1:7" x14ac:dyDescent="0.25">
      <c r="A150" s="114">
        <v>307611</v>
      </c>
      <c r="B150" s="90" t="s">
        <v>1029</v>
      </c>
      <c r="C150" s="90" t="s">
        <v>508</v>
      </c>
      <c r="D150" s="90" t="s">
        <v>1030</v>
      </c>
      <c r="E150" s="90" t="s">
        <v>1031</v>
      </c>
      <c r="F150" s="90" t="s">
        <v>1032</v>
      </c>
      <c r="G150" t="s">
        <v>512</v>
      </c>
    </row>
    <row r="151" spans="1:7" x14ac:dyDescent="0.25">
      <c r="A151" s="114">
        <v>307619</v>
      </c>
      <c r="B151" s="90" t="s">
        <v>1033</v>
      </c>
      <c r="C151" s="90" t="s">
        <v>508</v>
      </c>
      <c r="D151" s="90" t="s">
        <v>1034</v>
      </c>
      <c r="E151" s="90" t="s">
        <v>1035</v>
      </c>
      <c r="F151" s="90" t="s">
        <v>1036</v>
      </c>
      <c r="G151" t="s">
        <v>512</v>
      </c>
    </row>
    <row r="152" spans="1:7" x14ac:dyDescent="0.25">
      <c r="A152" s="114">
        <v>307626</v>
      </c>
      <c r="B152" s="90" t="s">
        <v>1037</v>
      </c>
      <c r="C152" s="90" t="s">
        <v>508</v>
      </c>
      <c r="D152" s="90" t="s">
        <v>1038</v>
      </c>
      <c r="E152" s="90" t="s">
        <v>1039</v>
      </c>
      <c r="F152" s="90" t="s">
        <v>1040</v>
      </c>
      <c r="G152" t="s">
        <v>512</v>
      </c>
    </row>
    <row r="153" spans="1:7" x14ac:dyDescent="0.25">
      <c r="A153" s="114">
        <v>307629</v>
      </c>
      <c r="B153" s="90" t="s">
        <v>375</v>
      </c>
      <c r="C153" s="90" t="s">
        <v>508</v>
      </c>
      <c r="D153" s="90" t="s">
        <v>1041</v>
      </c>
      <c r="E153" s="90" t="s">
        <v>610</v>
      </c>
      <c r="F153" s="90" t="s">
        <v>1042</v>
      </c>
      <c r="G153" t="s">
        <v>512</v>
      </c>
    </row>
    <row r="154" spans="1:7" x14ac:dyDescent="0.25">
      <c r="A154" s="114">
        <v>307632</v>
      </c>
      <c r="B154" s="90" t="s">
        <v>1043</v>
      </c>
      <c r="C154" s="90" t="s">
        <v>508</v>
      </c>
      <c r="D154" s="90" t="s">
        <v>1044</v>
      </c>
      <c r="E154" s="90" t="s">
        <v>1045</v>
      </c>
      <c r="F154" s="90" t="s">
        <v>1046</v>
      </c>
      <c r="G154" t="s">
        <v>512</v>
      </c>
    </row>
    <row r="155" spans="1:7" x14ac:dyDescent="0.25">
      <c r="A155" s="114">
        <v>307639</v>
      </c>
      <c r="B155" s="90" t="s">
        <v>1047</v>
      </c>
      <c r="C155" s="90" t="s">
        <v>508</v>
      </c>
      <c r="D155" s="90" t="s">
        <v>1048</v>
      </c>
      <c r="E155" s="90" t="s">
        <v>1049</v>
      </c>
      <c r="F155" s="90" t="s">
        <v>1050</v>
      </c>
      <c r="G155" t="s">
        <v>512</v>
      </c>
    </row>
    <row r="156" spans="1:7" x14ac:dyDescent="0.25">
      <c r="A156" s="114">
        <v>307646</v>
      </c>
      <c r="B156" s="90" t="s">
        <v>1051</v>
      </c>
      <c r="C156" s="90" t="s">
        <v>508</v>
      </c>
      <c r="D156" s="90" t="s">
        <v>1052</v>
      </c>
      <c r="E156" s="90" t="s">
        <v>1053</v>
      </c>
      <c r="F156" s="90" t="s">
        <v>1054</v>
      </c>
      <c r="G156" t="s">
        <v>512</v>
      </c>
    </row>
    <row r="157" spans="1:7" x14ac:dyDescent="0.25">
      <c r="A157" s="114">
        <v>307647</v>
      </c>
      <c r="B157" s="90" t="s">
        <v>1055</v>
      </c>
      <c r="C157" s="90" t="s">
        <v>508</v>
      </c>
      <c r="D157" s="90" t="s">
        <v>1056</v>
      </c>
      <c r="E157" s="90" t="s">
        <v>1057</v>
      </c>
      <c r="F157" s="90" t="s">
        <v>1058</v>
      </c>
      <c r="G157" t="s">
        <v>512</v>
      </c>
    </row>
    <row r="158" spans="1:7" x14ac:dyDescent="0.25">
      <c r="A158" s="114">
        <v>307649</v>
      </c>
      <c r="B158" s="90" t="s">
        <v>1059</v>
      </c>
      <c r="C158" s="90" t="s">
        <v>508</v>
      </c>
      <c r="D158" s="90" t="s">
        <v>1060</v>
      </c>
      <c r="E158" s="90" t="s">
        <v>1061</v>
      </c>
      <c r="F158" s="90" t="s">
        <v>1062</v>
      </c>
      <c r="G158" t="s">
        <v>512</v>
      </c>
    </row>
    <row r="159" spans="1:7" x14ac:dyDescent="0.25">
      <c r="A159" s="114">
        <v>307651</v>
      </c>
      <c r="B159" s="90" t="s">
        <v>1063</v>
      </c>
      <c r="C159" s="90" t="s">
        <v>508</v>
      </c>
      <c r="D159" s="90" t="s">
        <v>1064</v>
      </c>
      <c r="E159" s="90" t="s">
        <v>656</v>
      </c>
      <c r="F159" s="90" t="s">
        <v>1065</v>
      </c>
      <c r="G159" t="s">
        <v>512</v>
      </c>
    </row>
    <row r="160" spans="1:7" x14ac:dyDescent="0.25">
      <c r="A160" s="114">
        <v>307654</v>
      </c>
      <c r="B160" s="90" t="s">
        <v>476</v>
      </c>
      <c r="C160" s="90" t="s">
        <v>508</v>
      </c>
      <c r="D160" s="90" t="s">
        <v>1066</v>
      </c>
      <c r="E160" s="90" t="s">
        <v>1067</v>
      </c>
      <c r="F160" s="90" t="s">
        <v>1068</v>
      </c>
      <c r="G160" t="s">
        <v>512</v>
      </c>
    </row>
    <row r="161" spans="1:7" x14ac:dyDescent="0.25">
      <c r="A161" s="114">
        <v>307656</v>
      </c>
      <c r="B161" s="90" t="s">
        <v>133</v>
      </c>
      <c r="C161" s="90" t="s">
        <v>508</v>
      </c>
      <c r="D161" s="90" t="s">
        <v>1069</v>
      </c>
      <c r="E161" s="90" t="s">
        <v>1070</v>
      </c>
      <c r="F161" s="90" t="s">
        <v>1071</v>
      </c>
      <c r="G161" t="s">
        <v>512</v>
      </c>
    </row>
    <row r="162" spans="1:7" x14ac:dyDescent="0.25">
      <c r="A162" s="114">
        <v>307660</v>
      </c>
      <c r="B162" s="90" t="s">
        <v>1072</v>
      </c>
      <c r="C162" s="90" t="s">
        <v>508</v>
      </c>
      <c r="D162" s="90" t="s">
        <v>1073</v>
      </c>
      <c r="E162" s="90" t="s">
        <v>1074</v>
      </c>
      <c r="F162" s="90" t="s">
        <v>1075</v>
      </c>
      <c r="G162" t="s">
        <v>512</v>
      </c>
    </row>
    <row r="163" spans="1:7" x14ac:dyDescent="0.25">
      <c r="A163" s="114">
        <v>307667</v>
      </c>
      <c r="B163" s="90" t="s">
        <v>1076</v>
      </c>
      <c r="C163" s="90" t="s">
        <v>508</v>
      </c>
      <c r="D163" s="90" t="s">
        <v>1077</v>
      </c>
      <c r="E163" s="90" t="s">
        <v>1078</v>
      </c>
      <c r="F163" s="90" t="s">
        <v>1079</v>
      </c>
      <c r="G163" t="s">
        <v>512</v>
      </c>
    </row>
    <row r="164" spans="1:7" x14ac:dyDescent="0.25">
      <c r="A164" s="114">
        <v>307674</v>
      </c>
      <c r="B164" s="90" t="s">
        <v>1080</v>
      </c>
      <c r="C164" s="90" t="s">
        <v>508</v>
      </c>
      <c r="D164" s="90" t="s">
        <v>1081</v>
      </c>
      <c r="E164" s="90" t="s">
        <v>656</v>
      </c>
      <c r="F164" s="90" t="s">
        <v>1082</v>
      </c>
      <c r="G164" t="s">
        <v>512</v>
      </c>
    </row>
    <row r="165" spans="1:7" x14ac:dyDescent="0.25">
      <c r="A165" s="114">
        <v>307678</v>
      </c>
      <c r="B165" s="90" t="s">
        <v>1083</v>
      </c>
      <c r="C165" s="90" t="s">
        <v>508</v>
      </c>
      <c r="D165" s="90" t="s">
        <v>1084</v>
      </c>
      <c r="E165" s="90" t="s">
        <v>1085</v>
      </c>
      <c r="F165" s="90" t="s">
        <v>1086</v>
      </c>
      <c r="G165" t="s">
        <v>512</v>
      </c>
    </row>
    <row r="166" spans="1:7" x14ac:dyDescent="0.25">
      <c r="A166" s="114">
        <v>307685</v>
      </c>
      <c r="B166" s="90" t="s">
        <v>1087</v>
      </c>
      <c r="C166" s="90" t="s">
        <v>508</v>
      </c>
      <c r="D166" s="90" t="s">
        <v>1088</v>
      </c>
      <c r="E166" s="90" t="s">
        <v>1089</v>
      </c>
      <c r="F166" s="90" t="s">
        <v>1090</v>
      </c>
      <c r="G166" t="s">
        <v>512</v>
      </c>
    </row>
    <row r="167" spans="1:7" x14ac:dyDescent="0.25">
      <c r="A167" s="114">
        <v>307688</v>
      </c>
      <c r="B167" s="90" t="s">
        <v>1091</v>
      </c>
      <c r="C167" s="90" t="s">
        <v>508</v>
      </c>
      <c r="D167" s="90" t="s">
        <v>1092</v>
      </c>
      <c r="E167" s="90" t="s">
        <v>1093</v>
      </c>
      <c r="F167" s="90" t="s">
        <v>1094</v>
      </c>
      <c r="G167" t="s">
        <v>512</v>
      </c>
    </row>
    <row r="168" spans="1:7" x14ac:dyDescent="0.25">
      <c r="A168" s="114">
        <v>307691</v>
      </c>
      <c r="B168" s="90" t="s">
        <v>1095</v>
      </c>
      <c r="C168" s="90" t="s">
        <v>508</v>
      </c>
      <c r="D168" s="90" t="s">
        <v>1096</v>
      </c>
      <c r="E168" s="90" t="s">
        <v>1097</v>
      </c>
      <c r="F168" s="90" t="s">
        <v>1098</v>
      </c>
      <c r="G168" t="s">
        <v>512</v>
      </c>
    </row>
    <row r="169" spans="1:7" x14ac:dyDescent="0.25">
      <c r="A169" s="114">
        <v>307697</v>
      </c>
      <c r="B169" s="90" t="s">
        <v>1099</v>
      </c>
      <c r="C169" s="90" t="s">
        <v>508</v>
      </c>
      <c r="D169" s="90" t="s">
        <v>1100</v>
      </c>
      <c r="E169" s="90" t="s">
        <v>510</v>
      </c>
      <c r="F169" s="90" t="s">
        <v>1101</v>
      </c>
      <c r="G169" t="s">
        <v>512</v>
      </c>
    </row>
    <row r="170" spans="1:7" x14ac:dyDescent="0.25">
      <c r="A170" s="114">
        <v>307699</v>
      </c>
      <c r="B170" s="90" t="s">
        <v>1102</v>
      </c>
      <c r="C170" s="90" t="s">
        <v>508</v>
      </c>
      <c r="D170" s="90" t="s">
        <v>1103</v>
      </c>
      <c r="E170" s="90" t="s">
        <v>945</v>
      </c>
      <c r="F170" s="90" t="s">
        <v>1104</v>
      </c>
      <c r="G170" t="s">
        <v>512</v>
      </c>
    </row>
    <row r="171" spans="1:7" x14ac:dyDescent="0.25">
      <c r="A171" s="114">
        <v>307700</v>
      </c>
      <c r="B171" s="90" t="s">
        <v>1105</v>
      </c>
      <c r="C171" s="90" t="s">
        <v>508</v>
      </c>
      <c r="D171" s="90" t="s">
        <v>1106</v>
      </c>
      <c r="E171" s="90" t="s">
        <v>1107</v>
      </c>
      <c r="F171" s="90" t="s">
        <v>1108</v>
      </c>
      <c r="G171" t="s">
        <v>512</v>
      </c>
    </row>
    <row r="172" spans="1:7" x14ac:dyDescent="0.25">
      <c r="A172" s="114">
        <v>307708</v>
      </c>
      <c r="B172" s="90" t="s">
        <v>1109</v>
      </c>
      <c r="C172" s="90" t="s">
        <v>508</v>
      </c>
      <c r="D172" s="90" t="s">
        <v>1110</v>
      </c>
      <c r="E172" s="90" t="s">
        <v>1111</v>
      </c>
      <c r="F172" s="90" t="s">
        <v>1112</v>
      </c>
      <c r="G172" t="s">
        <v>512</v>
      </c>
    </row>
    <row r="173" spans="1:7" x14ac:dyDescent="0.25">
      <c r="A173" s="114">
        <v>307709</v>
      </c>
      <c r="B173" s="90" t="s">
        <v>405</v>
      </c>
      <c r="C173" s="90" t="s">
        <v>508</v>
      </c>
      <c r="D173" s="90" t="s">
        <v>1113</v>
      </c>
      <c r="E173" s="90" t="s">
        <v>695</v>
      </c>
      <c r="F173" s="90" t="s">
        <v>1114</v>
      </c>
      <c r="G173" t="s">
        <v>512</v>
      </c>
    </row>
    <row r="174" spans="1:7" x14ac:dyDescent="0.25">
      <c r="A174" s="114">
        <v>307710</v>
      </c>
      <c r="B174" s="90" t="s">
        <v>1115</v>
      </c>
      <c r="C174" s="90" t="s">
        <v>508</v>
      </c>
      <c r="D174" s="90" t="s">
        <v>1116</v>
      </c>
      <c r="E174" s="90" t="s">
        <v>1117</v>
      </c>
      <c r="F174" s="90" t="s">
        <v>1118</v>
      </c>
      <c r="G174" t="s">
        <v>512</v>
      </c>
    </row>
    <row r="175" spans="1:7" x14ac:dyDescent="0.25">
      <c r="A175" s="114">
        <v>307711</v>
      </c>
      <c r="B175" s="90" t="s">
        <v>1119</v>
      </c>
      <c r="C175" s="90" t="s">
        <v>508</v>
      </c>
      <c r="D175" s="90" t="s">
        <v>1120</v>
      </c>
      <c r="E175" s="90" t="s">
        <v>695</v>
      </c>
      <c r="F175" s="90" t="s">
        <v>1121</v>
      </c>
      <c r="G175" t="s">
        <v>512</v>
      </c>
    </row>
    <row r="176" spans="1:7" x14ac:dyDescent="0.25">
      <c r="A176" s="114">
        <v>307716</v>
      </c>
      <c r="B176" s="90" t="s">
        <v>1122</v>
      </c>
      <c r="C176" s="90" t="s">
        <v>508</v>
      </c>
      <c r="D176" s="90" t="s">
        <v>1123</v>
      </c>
      <c r="E176" s="90" t="s">
        <v>1124</v>
      </c>
      <c r="F176" s="90" t="s">
        <v>1125</v>
      </c>
      <c r="G176" t="s">
        <v>512</v>
      </c>
    </row>
    <row r="177" spans="1:7" x14ac:dyDescent="0.25">
      <c r="A177" s="114">
        <v>307718</v>
      </c>
      <c r="B177" s="90" t="s">
        <v>1126</v>
      </c>
      <c r="C177" s="90" t="s">
        <v>508</v>
      </c>
      <c r="D177" s="90" t="s">
        <v>1127</v>
      </c>
      <c r="E177" s="90" t="s">
        <v>527</v>
      </c>
      <c r="F177" s="90" t="s">
        <v>1128</v>
      </c>
      <c r="G177" t="s">
        <v>512</v>
      </c>
    </row>
    <row r="178" spans="1:7" x14ac:dyDescent="0.25">
      <c r="A178" s="114">
        <v>307719</v>
      </c>
      <c r="B178" s="90" t="s">
        <v>315</v>
      </c>
      <c r="C178" s="90" t="s">
        <v>508</v>
      </c>
      <c r="D178" s="90" t="s">
        <v>1129</v>
      </c>
      <c r="E178" s="90" t="s">
        <v>579</v>
      </c>
      <c r="F178" s="90" t="s">
        <v>1130</v>
      </c>
      <c r="G178" t="s">
        <v>512</v>
      </c>
    </row>
    <row r="179" spans="1:7" x14ac:dyDescent="0.25">
      <c r="A179" s="114">
        <v>307726</v>
      </c>
      <c r="B179" s="90" t="s">
        <v>1131</v>
      </c>
      <c r="C179" s="90" t="s">
        <v>508</v>
      </c>
      <c r="D179" s="90" t="s">
        <v>1132</v>
      </c>
      <c r="E179" s="90" t="s">
        <v>1133</v>
      </c>
      <c r="F179" s="90" t="s">
        <v>1134</v>
      </c>
      <c r="G179" t="s">
        <v>512</v>
      </c>
    </row>
    <row r="180" spans="1:7" x14ac:dyDescent="0.25">
      <c r="A180" s="114">
        <v>307739</v>
      </c>
      <c r="B180" s="90" t="s">
        <v>632</v>
      </c>
      <c r="C180" s="90" t="s">
        <v>508</v>
      </c>
      <c r="D180" s="90" t="s">
        <v>1135</v>
      </c>
      <c r="E180" s="90" t="s">
        <v>1136</v>
      </c>
      <c r="F180" s="90" t="s">
        <v>1137</v>
      </c>
      <c r="G180" t="s">
        <v>512</v>
      </c>
    </row>
    <row r="181" spans="1:7" x14ac:dyDescent="0.25">
      <c r="A181" s="114">
        <v>307750</v>
      </c>
      <c r="B181" s="90" t="s">
        <v>1138</v>
      </c>
      <c r="C181" s="90" t="s">
        <v>508</v>
      </c>
      <c r="D181" s="90" t="s">
        <v>1139</v>
      </c>
      <c r="E181" s="90" t="s">
        <v>1140</v>
      </c>
      <c r="F181" s="90" t="s">
        <v>1141</v>
      </c>
      <c r="G181" t="s">
        <v>512</v>
      </c>
    </row>
    <row r="182" spans="1:7" x14ac:dyDescent="0.25">
      <c r="A182" s="114">
        <v>307796</v>
      </c>
      <c r="B182" s="90" t="s">
        <v>284</v>
      </c>
      <c r="C182" s="90" t="s">
        <v>508</v>
      </c>
      <c r="D182" s="90" t="s">
        <v>1142</v>
      </c>
      <c r="E182" s="90" t="s">
        <v>1143</v>
      </c>
      <c r="F182" s="90" t="s">
        <v>1144</v>
      </c>
      <c r="G182" t="s">
        <v>512</v>
      </c>
    </row>
    <row r="183" spans="1:7" x14ac:dyDescent="0.25">
      <c r="A183" s="114">
        <v>307812</v>
      </c>
      <c r="B183" s="90" t="s">
        <v>281</v>
      </c>
      <c r="C183" s="90" t="s">
        <v>508</v>
      </c>
      <c r="D183" s="90" t="s">
        <v>1145</v>
      </c>
      <c r="E183" s="90" t="s">
        <v>1146</v>
      </c>
      <c r="F183" s="90" t="s">
        <v>1147</v>
      </c>
      <c r="G183" t="s">
        <v>512</v>
      </c>
    </row>
    <row r="184" spans="1:7" x14ac:dyDescent="0.25">
      <c r="A184" s="114">
        <v>307848</v>
      </c>
      <c r="B184" s="90" t="s">
        <v>1148</v>
      </c>
      <c r="C184" s="90" t="s">
        <v>508</v>
      </c>
      <c r="D184" s="90" t="s">
        <v>1149</v>
      </c>
      <c r="E184" s="90" t="s">
        <v>583</v>
      </c>
      <c r="F184" s="90" t="s">
        <v>1150</v>
      </c>
      <c r="G184" t="s">
        <v>512</v>
      </c>
    </row>
    <row r="185" spans="1:7" x14ac:dyDescent="0.25">
      <c r="A185" s="114">
        <v>307874</v>
      </c>
      <c r="B185" s="90" t="s">
        <v>1151</v>
      </c>
      <c r="C185" s="90" t="s">
        <v>508</v>
      </c>
      <c r="D185" s="90" t="s">
        <v>1152</v>
      </c>
      <c r="E185" s="90" t="s">
        <v>1153</v>
      </c>
      <c r="F185" s="90" t="s">
        <v>1154</v>
      </c>
      <c r="G185" t="s">
        <v>512</v>
      </c>
    </row>
    <row r="186" spans="1:7" x14ac:dyDescent="0.25">
      <c r="A186" s="114">
        <v>307879</v>
      </c>
      <c r="B186" s="90" t="s">
        <v>1155</v>
      </c>
      <c r="C186" s="90" t="s">
        <v>508</v>
      </c>
      <c r="D186" s="90" t="s">
        <v>1156</v>
      </c>
      <c r="E186" s="90" t="s">
        <v>583</v>
      </c>
      <c r="F186" s="90" t="s">
        <v>1157</v>
      </c>
      <c r="G186" t="s">
        <v>512</v>
      </c>
    </row>
    <row r="187" spans="1:7" x14ac:dyDescent="0.25">
      <c r="A187" s="114">
        <v>307888</v>
      </c>
      <c r="B187" s="90" t="s">
        <v>1158</v>
      </c>
      <c r="C187" s="90" t="s">
        <v>508</v>
      </c>
      <c r="D187" s="90" t="s">
        <v>1159</v>
      </c>
      <c r="E187" s="90" t="s">
        <v>1160</v>
      </c>
      <c r="F187" s="90" t="s">
        <v>1161</v>
      </c>
      <c r="G187" t="s">
        <v>512</v>
      </c>
    </row>
    <row r="188" spans="1:7" x14ac:dyDescent="0.25">
      <c r="A188" s="114">
        <v>307889</v>
      </c>
      <c r="B188" s="90" t="s">
        <v>188</v>
      </c>
      <c r="C188" s="90" t="s">
        <v>508</v>
      </c>
      <c r="D188" s="90" t="s">
        <v>1162</v>
      </c>
      <c r="E188" s="90" t="s">
        <v>527</v>
      </c>
      <c r="F188" s="90" t="s">
        <v>1163</v>
      </c>
      <c r="G188" t="s">
        <v>512</v>
      </c>
    </row>
    <row r="189" spans="1:7" x14ac:dyDescent="0.25">
      <c r="A189" s="114">
        <v>307899</v>
      </c>
      <c r="B189" s="90" t="s">
        <v>1164</v>
      </c>
      <c r="C189" s="90" t="s">
        <v>508</v>
      </c>
      <c r="D189" s="90" t="s">
        <v>1165</v>
      </c>
      <c r="E189" s="90" t="s">
        <v>539</v>
      </c>
      <c r="F189" s="90" t="s">
        <v>1166</v>
      </c>
      <c r="G189" t="s">
        <v>512</v>
      </c>
    </row>
    <row r="190" spans="1:7" x14ac:dyDescent="0.25">
      <c r="A190" s="114">
        <v>307913</v>
      </c>
      <c r="B190" s="90" t="s">
        <v>1167</v>
      </c>
      <c r="C190" s="90" t="s">
        <v>508</v>
      </c>
      <c r="D190" s="90" t="s">
        <v>1168</v>
      </c>
      <c r="E190" s="90" t="s">
        <v>1169</v>
      </c>
      <c r="F190" s="90" t="s">
        <v>1170</v>
      </c>
      <c r="G190" t="s">
        <v>512</v>
      </c>
    </row>
    <row r="191" spans="1:7" x14ac:dyDescent="0.25">
      <c r="A191" s="114">
        <v>307916</v>
      </c>
      <c r="B191" s="90" t="s">
        <v>1171</v>
      </c>
      <c r="C191" s="90" t="s">
        <v>508</v>
      </c>
      <c r="D191" s="90" t="s">
        <v>1172</v>
      </c>
      <c r="E191" s="90" t="s">
        <v>1173</v>
      </c>
      <c r="F191" s="90" t="s">
        <v>1174</v>
      </c>
      <c r="G191" t="s">
        <v>512</v>
      </c>
    </row>
    <row r="192" spans="1:7" x14ac:dyDescent="0.25">
      <c r="A192" s="114">
        <v>307922</v>
      </c>
      <c r="B192" s="90" t="s">
        <v>1175</v>
      </c>
      <c r="C192" s="90" t="s">
        <v>508</v>
      </c>
      <c r="D192" s="90" t="s">
        <v>1176</v>
      </c>
      <c r="E192" s="90" t="s">
        <v>1177</v>
      </c>
      <c r="F192" s="90" t="s">
        <v>1178</v>
      </c>
      <c r="G192" t="s">
        <v>512</v>
      </c>
    </row>
    <row r="193" spans="1:7" x14ac:dyDescent="0.25">
      <c r="A193" s="114">
        <v>307949</v>
      </c>
      <c r="B193" s="90" t="s">
        <v>1179</v>
      </c>
      <c r="C193" s="90" t="s">
        <v>508</v>
      </c>
      <c r="D193" s="90" t="s">
        <v>1180</v>
      </c>
      <c r="E193" s="90" t="s">
        <v>1181</v>
      </c>
      <c r="F193" s="90" t="s">
        <v>1182</v>
      </c>
      <c r="G193" t="s">
        <v>512</v>
      </c>
    </row>
    <row r="194" spans="1:7" x14ac:dyDescent="0.25">
      <c r="A194" s="114">
        <v>308001</v>
      </c>
      <c r="B194" s="90" t="s">
        <v>300</v>
      </c>
      <c r="C194" s="90" t="s">
        <v>508</v>
      </c>
      <c r="D194" s="90" t="s">
        <v>1183</v>
      </c>
      <c r="E194" s="90" t="s">
        <v>695</v>
      </c>
      <c r="F194" s="90" t="s">
        <v>1184</v>
      </c>
      <c r="G194" t="s">
        <v>512</v>
      </c>
    </row>
    <row r="195" spans="1:7" x14ac:dyDescent="0.25">
      <c r="A195" s="114">
        <v>308003</v>
      </c>
      <c r="B195" s="90" t="s">
        <v>1185</v>
      </c>
      <c r="C195" s="90" t="s">
        <v>508</v>
      </c>
      <c r="D195" s="90" t="s">
        <v>1186</v>
      </c>
      <c r="E195" s="90" t="s">
        <v>610</v>
      </c>
      <c r="F195" s="90" t="s">
        <v>1187</v>
      </c>
      <c r="G195" t="s">
        <v>512</v>
      </c>
    </row>
    <row r="196" spans="1:7" x14ac:dyDescent="0.25">
      <c r="A196" s="114">
        <v>308006</v>
      </c>
      <c r="B196" s="90" t="s">
        <v>1188</v>
      </c>
      <c r="C196" s="90" t="s">
        <v>508</v>
      </c>
      <c r="D196" s="90" t="s">
        <v>1189</v>
      </c>
      <c r="E196" s="90" t="s">
        <v>1190</v>
      </c>
      <c r="F196" s="90" t="s">
        <v>1191</v>
      </c>
      <c r="G196" t="s">
        <v>512</v>
      </c>
    </row>
    <row r="197" spans="1:7" x14ac:dyDescent="0.25">
      <c r="A197" s="114">
        <v>308025</v>
      </c>
      <c r="B197" s="90" t="s">
        <v>1192</v>
      </c>
      <c r="C197" s="90" t="s">
        <v>508</v>
      </c>
      <c r="D197" s="90" t="s">
        <v>1193</v>
      </c>
      <c r="E197" s="90" t="s">
        <v>1194</v>
      </c>
      <c r="F197" s="90" t="s">
        <v>1195</v>
      </c>
      <c r="G197" t="s">
        <v>512</v>
      </c>
    </row>
    <row r="198" spans="1:7" x14ac:dyDescent="0.25">
      <c r="A198" s="114">
        <v>308042</v>
      </c>
      <c r="B198" s="90" t="s">
        <v>1196</v>
      </c>
      <c r="C198" s="90" t="s">
        <v>508</v>
      </c>
      <c r="D198" s="90" t="s">
        <v>1197</v>
      </c>
      <c r="E198" s="90" t="s">
        <v>1198</v>
      </c>
      <c r="F198" s="90" t="s">
        <v>1199</v>
      </c>
      <c r="G198" t="s">
        <v>512</v>
      </c>
    </row>
    <row r="199" spans="1:7" x14ac:dyDescent="0.25">
      <c r="A199" s="114">
        <v>308044</v>
      </c>
      <c r="B199" s="90" t="s">
        <v>1200</v>
      </c>
      <c r="C199" s="90" t="s">
        <v>508</v>
      </c>
      <c r="D199" s="90" t="s">
        <v>1201</v>
      </c>
      <c r="E199" s="90" t="s">
        <v>1061</v>
      </c>
      <c r="F199" s="90" t="s">
        <v>1202</v>
      </c>
      <c r="G199" t="s">
        <v>512</v>
      </c>
    </row>
    <row r="200" spans="1:7" x14ac:dyDescent="0.25">
      <c r="A200" s="114">
        <v>308073</v>
      </c>
      <c r="B200" s="90" t="s">
        <v>1203</v>
      </c>
      <c r="C200" s="90" t="s">
        <v>508</v>
      </c>
      <c r="D200" s="90" t="s">
        <v>1204</v>
      </c>
      <c r="E200" s="90" t="s">
        <v>1205</v>
      </c>
      <c r="F200" s="90" t="s">
        <v>1206</v>
      </c>
      <c r="G200" t="s">
        <v>512</v>
      </c>
    </row>
    <row r="201" spans="1:7" x14ac:dyDescent="0.25">
      <c r="A201" s="114">
        <v>308227</v>
      </c>
      <c r="B201" s="90" t="s">
        <v>616</v>
      </c>
      <c r="C201" s="90" t="s">
        <v>508</v>
      </c>
      <c r="D201" s="90" t="s">
        <v>1207</v>
      </c>
      <c r="E201" s="90" t="s">
        <v>583</v>
      </c>
      <c r="F201" s="90" t="s">
        <v>1208</v>
      </c>
      <c r="G201" t="s">
        <v>512</v>
      </c>
    </row>
    <row r="202" spans="1:7" x14ac:dyDescent="0.25">
      <c r="A202" s="114">
        <v>308338</v>
      </c>
      <c r="B202" s="90" t="s">
        <v>1209</v>
      </c>
      <c r="C202" s="90" t="s">
        <v>508</v>
      </c>
      <c r="D202" s="90" t="s">
        <v>1210</v>
      </c>
      <c r="E202" s="90" t="s">
        <v>811</v>
      </c>
      <c r="F202" s="90" t="s">
        <v>1211</v>
      </c>
      <c r="G202" t="s">
        <v>512</v>
      </c>
    </row>
    <row r="203" spans="1:7" x14ac:dyDescent="0.25">
      <c r="A203" s="114">
        <v>308339</v>
      </c>
      <c r="B203" s="90" t="s">
        <v>1212</v>
      </c>
      <c r="C203" s="90" t="s">
        <v>508</v>
      </c>
      <c r="D203" s="90" t="s">
        <v>1213</v>
      </c>
      <c r="E203" s="90" t="s">
        <v>1214</v>
      </c>
      <c r="F203" s="90" t="s">
        <v>1215</v>
      </c>
      <c r="G203" t="s">
        <v>512</v>
      </c>
    </row>
    <row r="204" spans="1:7" x14ac:dyDescent="0.25">
      <c r="A204" s="114">
        <v>308347</v>
      </c>
      <c r="B204" s="90" t="s">
        <v>1216</v>
      </c>
      <c r="C204" s="90" t="s">
        <v>508</v>
      </c>
      <c r="D204" s="90" t="s">
        <v>1217</v>
      </c>
      <c r="E204" s="90" t="s">
        <v>695</v>
      </c>
      <c r="F204" s="90" t="s">
        <v>1218</v>
      </c>
      <c r="G204" t="s">
        <v>512</v>
      </c>
    </row>
    <row r="205" spans="1:7" x14ac:dyDescent="0.25">
      <c r="A205" s="114">
        <v>308394</v>
      </c>
      <c r="B205" s="90" t="s">
        <v>1219</v>
      </c>
      <c r="C205" s="90" t="s">
        <v>508</v>
      </c>
      <c r="D205" s="90" t="s">
        <v>1220</v>
      </c>
      <c r="E205" s="90" t="s">
        <v>1221</v>
      </c>
      <c r="F205" s="90" t="s">
        <v>1222</v>
      </c>
      <c r="G205" t="s">
        <v>512</v>
      </c>
    </row>
    <row r="206" spans="1:7" x14ac:dyDescent="0.25">
      <c r="A206" s="114">
        <v>308411</v>
      </c>
      <c r="B206" s="90" t="s">
        <v>1223</v>
      </c>
      <c r="C206" s="90" t="s">
        <v>508</v>
      </c>
      <c r="D206" s="90" t="s">
        <v>1224</v>
      </c>
      <c r="E206" s="90" t="s">
        <v>563</v>
      </c>
      <c r="F206" s="90" t="s">
        <v>1225</v>
      </c>
      <c r="G206" t="s">
        <v>512</v>
      </c>
    </row>
    <row r="207" spans="1:7" x14ac:dyDescent="0.25">
      <c r="A207" s="114">
        <v>308422</v>
      </c>
      <c r="B207" s="90" t="s">
        <v>813</v>
      </c>
      <c r="C207" s="90" t="s">
        <v>508</v>
      </c>
      <c r="D207" s="90" t="s">
        <v>1226</v>
      </c>
      <c r="E207" s="90" t="s">
        <v>1227</v>
      </c>
      <c r="F207" s="90" t="s">
        <v>1228</v>
      </c>
      <c r="G207" t="s">
        <v>512</v>
      </c>
    </row>
    <row r="208" spans="1:7" x14ac:dyDescent="0.25">
      <c r="A208" s="114">
        <v>308450</v>
      </c>
      <c r="B208" s="90" t="s">
        <v>1229</v>
      </c>
      <c r="C208" s="90" t="s">
        <v>508</v>
      </c>
      <c r="D208" s="90" t="s">
        <v>1230</v>
      </c>
      <c r="E208" s="90" t="s">
        <v>714</v>
      </c>
      <c r="F208" s="90" t="s">
        <v>1231</v>
      </c>
      <c r="G208" t="s">
        <v>512</v>
      </c>
    </row>
    <row r="209" spans="1:7" x14ac:dyDescent="0.25">
      <c r="A209" s="114">
        <v>308473</v>
      </c>
      <c r="B209" s="90" t="s">
        <v>1232</v>
      </c>
      <c r="C209" s="90" t="s">
        <v>508</v>
      </c>
      <c r="D209" s="90" t="s">
        <v>1233</v>
      </c>
      <c r="E209" s="90" t="s">
        <v>1234</v>
      </c>
      <c r="F209" s="90" t="s">
        <v>1235</v>
      </c>
      <c r="G209" t="s">
        <v>512</v>
      </c>
    </row>
    <row r="210" spans="1:7" x14ac:dyDescent="0.25">
      <c r="A210" s="114">
        <v>308488</v>
      </c>
      <c r="B210" s="90" t="s">
        <v>577</v>
      </c>
      <c r="C210" s="90" t="s">
        <v>508</v>
      </c>
      <c r="D210" s="90" t="s">
        <v>1236</v>
      </c>
      <c r="E210" s="90" t="s">
        <v>1237</v>
      </c>
      <c r="F210" s="90" t="s">
        <v>577</v>
      </c>
      <c r="G210" t="s">
        <v>512</v>
      </c>
    </row>
    <row r="211" spans="1:7" x14ac:dyDescent="0.25">
      <c r="A211" s="114">
        <v>308518</v>
      </c>
      <c r="B211" s="90" t="s">
        <v>1238</v>
      </c>
      <c r="C211" s="90" t="s">
        <v>508</v>
      </c>
      <c r="D211" s="90" t="s">
        <v>1239</v>
      </c>
      <c r="E211" s="90" t="s">
        <v>1240</v>
      </c>
      <c r="F211" s="90" t="s">
        <v>1241</v>
      </c>
      <c r="G211" t="s">
        <v>512</v>
      </c>
    </row>
    <row r="212" spans="1:7" x14ac:dyDescent="0.25">
      <c r="A212" s="114">
        <v>308551</v>
      </c>
      <c r="B212" s="90" t="s">
        <v>1242</v>
      </c>
      <c r="C212" s="90" t="s">
        <v>508</v>
      </c>
      <c r="D212" s="90" t="s">
        <v>1243</v>
      </c>
      <c r="E212" s="90" t="s">
        <v>539</v>
      </c>
      <c r="F212" s="90" t="s">
        <v>1244</v>
      </c>
      <c r="G212" t="s">
        <v>512</v>
      </c>
    </row>
    <row r="213" spans="1:7" x14ac:dyDescent="0.25">
      <c r="A213" s="114">
        <v>308570</v>
      </c>
      <c r="B213" s="90" t="s">
        <v>1245</v>
      </c>
      <c r="C213" s="90" t="s">
        <v>508</v>
      </c>
      <c r="D213" s="90" t="s">
        <v>1246</v>
      </c>
      <c r="E213" s="90" t="s">
        <v>1247</v>
      </c>
      <c r="F213" s="90" t="s">
        <v>1248</v>
      </c>
      <c r="G213" t="s">
        <v>512</v>
      </c>
    </row>
    <row r="214" spans="1:7" x14ac:dyDescent="0.25">
      <c r="A214" s="114">
        <v>308622</v>
      </c>
      <c r="B214" s="90" t="s">
        <v>1249</v>
      </c>
      <c r="C214" s="90" t="s">
        <v>508</v>
      </c>
      <c r="D214" s="90" t="s">
        <v>1250</v>
      </c>
      <c r="E214" s="90" t="s">
        <v>955</v>
      </c>
      <c r="F214" s="90" t="s">
        <v>1249</v>
      </c>
      <c r="G214" t="s">
        <v>512</v>
      </c>
    </row>
    <row r="215" spans="1:7" x14ac:dyDescent="0.25">
      <c r="A215" s="114">
        <v>308626</v>
      </c>
      <c r="B215" s="90" t="s">
        <v>1251</v>
      </c>
      <c r="C215" s="90" t="s">
        <v>508</v>
      </c>
      <c r="D215" s="90" t="s">
        <v>1252</v>
      </c>
      <c r="E215" s="90" t="s">
        <v>614</v>
      </c>
      <c r="F215" s="90" t="s">
        <v>1253</v>
      </c>
      <c r="G215" t="s">
        <v>512</v>
      </c>
    </row>
    <row r="216" spans="1:7" x14ac:dyDescent="0.25">
      <c r="A216" s="114">
        <v>308655</v>
      </c>
      <c r="B216" s="90" t="s">
        <v>1254</v>
      </c>
      <c r="C216" s="90" t="s">
        <v>508</v>
      </c>
      <c r="D216" s="90" t="s">
        <v>1255</v>
      </c>
      <c r="E216" s="90" t="s">
        <v>1256</v>
      </c>
      <c r="F216" s="90" t="s">
        <v>1257</v>
      </c>
      <c r="G216" t="s">
        <v>512</v>
      </c>
    </row>
    <row r="217" spans="1:7" x14ac:dyDescent="0.25">
      <c r="A217" s="114">
        <v>308660</v>
      </c>
      <c r="B217" s="90" t="s">
        <v>596</v>
      </c>
      <c r="C217" s="90" t="s">
        <v>508</v>
      </c>
      <c r="D217" s="90" t="s">
        <v>1258</v>
      </c>
      <c r="E217" s="90" t="s">
        <v>583</v>
      </c>
      <c r="F217" s="90" t="s">
        <v>1259</v>
      </c>
      <c r="G217" t="s">
        <v>512</v>
      </c>
    </row>
    <row r="218" spans="1:7" x14ac:dyDescent="0.25">
      <c r="A218" s="114">
        <v>308663</v>
      </c>
      <c r="B218" s="90" t="s">
        <v>616</v>
      </c>
      <c r="C218" s="90" t="s">
        <v>508</v>
      </c>
      <c r="D218" s="90" t="s">
        <v>1260</v>
      </c>
      <c r="E218" s="90" t="s">
        <v>626</v>
      </c>
      <c r="F218" s="90" t="s">
        <v>1261</v>
      </c>
      <c r="G218" t="s">
        <v>512</v>
      </c>
    </row>
    <row r="219" spans="1:7" x14ac:dyDescent="0.25">
      <c r="A219" s="114">
        <v>308665</v>
      </c>
      <c r="B219" s="90" t="s">
        <v>1262</v>
      </c>
      <c r="C219" s="90" t="s">
        <v>508</v>
      </c>
      <c r="D219" s="90" t="s">
        <v>1263</v>
      </c>
      <c r="E219" s="90" t="s">
        <v>1264</v>
      </c>
      <c r="F219" s="90" t="s">
        <v>1265</v>
      </c>
      <c r="G219" t="s">
        <v>512</v>
      </c>
    </row>
    <row r="220" spans="1:7" x14ac:dyDescent="0.25">
      <c r="A220" s="114">
        <v>308695</v>
      </c>
      <c r="B220" s="90" t="s">
        <v>1266</v>
      </c>
      <c r="C220" s="90" t="s">
        <v>508</v>
      </c>
      <c r="D220" s="90" t="s">
        <v>1267</v>
      </c>
      <c r="E220" s="90" t="s">
        <v>1268</v>
      </c>
      <c r="F220" s="90" t="s">
        <v>1269</v>
      </c>
      <c r="G220" t="s">
        <v>512</v>
      </c>
    </row>
    <row r="221" spans="1:7" x14ac:dyDescent="0.25">
      <c r="A221" s="114">
        <v>308720</v>
      </c>
      <c r="B221" s="90" t="s">
        <v>1270</v>
      </c>
      <c r="C221" s="90" t="s">
        <v>508</v>
      </c>
      <c r="D221" s="90" t="s">
        <v>1271</v>
      </c>
      <c r="E221" s="90" t="s">
        <v>1272</v>
      </c>
      <c r="F221" s="90" t="s">
        <v>1273</v>
      </c>
      <c r="G221" t="s">
        <v>512</v>
      </c>
    </row>
    <row r="222" spans="1:7" x14ac:dyDescent="0.25">
      <c r="A222" s="114">
        <v>308733</v>
      </c>
      <c r="B222" s="90" t="s">
        <v>1274</v>
      </c>
      <c r="C222" s="90" t="s">
        <v>508</v>
      </c>
      <c r="D222" s="90" t="s">
        <v>1275</v>
      </c>
      <c r="E222" s="90" t="s">
        <v>539</v>
      </c>
      <c r="F222" s="90" t="s">
        <v>1276</v>
      </c>
      <c r="G222" t="s">
        <v>512</v>
      </c>
    </row>
    <row r="223" spans="1:7" x14ac:dyDescent="0.25">
      <c r="A223" s="114">
        <v>308734</v>
      </c>
      <c r="B223" s="90" t="s">
        <v>1277</v>
      </c>
      <c r="C223" s="90" t="s">
        <v>508</v>
      </c>
      <c r="D223" s="90" t="s">
        <v>1278</v>
      </c>
      <c r="E223" s="90" t="s">
        <v>1279</v>
      </c>
      <c r="F223" s="90" t="s">
        <v>1280</v>
      </c>
      <c r="G223" t="s">
        <v>512</v>
      </c>
    </row>
    <row r="224" spans="1:7" x14ac:dyDescent="0.25">
      <c r="A224" s="114">
        <v>308737</v>
      </c>
      <c r="B224" s="90" t="s">
        <v>1281</v>
      </c>
      <c r="C224" s="90" t="s">
        <v>508</v>
      </c>
      <c r="D224" s="90" t="s">
        <v>1282</v>
      </c>
      <c r="E224" s="90" t="s">
        <v>1283</v>
      </c>
      <c r="F224" s="90" t="s">
        <v>1284</v>
      </c>
      <c r="G224" t="s">
        <v>512</v>
      </c>
    </row>
    <row r="225" spans="1:7" x14ac:dyDescent="0.25">
      <c r="A225" s="114">
        <v>308743</v>
      </c>
      <c r="B225" s="90" t="s">
        <v>1285</v>
      </c>
      <c r="C225" s="90" t="s">
        <v>508</v>
      </c>
      <c r="D225" s="90" t="s">
        <v>1286</v>
      </c>
      <c r="E225" s="90" t="s">
        <v>972</v>
      </c>
      <c r="F225" s="90" t="s">
        <v>1287</v>
      </c>
      <c r="G225" t="s">
        <v>512</v>
      </c>
    </row>
    <row r="226" spans="1:7" x14ac:dyDescent="0.25">
      <c r="A226" s="114">
        <v>308750</v>
      </c>
      <c r="B226" s="90" t="s">
        <v>1288</v>
      </c>
      <c r="C226" s="90" t="s">
        <v>508</v>
      </c>
      <c r="D226" s="90" t="s">
        <v>1289</v>
      </c>
      <c r="E226" s="90" t="s">
        <v>1290</v>
      </c>
      <c r="F226" s="90" t="s">
        <v>1291</v>
      </c>
      <c r="G226" t="s">
        <v>512</v>
      </c>
    </row>
    <row r="227" spans="1:7" x14ac:dyDescent="0.25">
      <c r="A227" s="114">
        <v>308756</v>
      </c>
      <c r="B227" s="90" t="s">
        <v>1292</v>
      </c>
      <c r="C227" s="90" t="s">
        <v>508</v>
      </c>
      <c r="D227" s="90" t="s">
        <v>1293</v>
      </c>
      <c r="E227" s="90" t="s">
        <v>1294</v>
      </c>
      <c r="F227" s="90" t="s">
        <v>1295</v>
      </c>
      <c r="G227" t="s">
        <v>512</v>
      </c>
    </row>
    <row r="228" spans="1:7" x14ac:dyDescent="0.25">
      <c r="A228" s="114">
        <v>308758</v>
      </c>
      <c r="B228" s="90" t="s">
        <v>1296</v>
      </c>
      <c r="C228" s="90" t="s">
        <v>508</v>
      </c>
      <c r="D228" s="90" t="s">
        <v>1297</v>
      </c>
      <c r="E228" s="90" t="s">
        <v>1089</v>
      </c>
      <c r="F228" s="90" t="s">
        <v>1298</v>
      </c>
      <c r="G228" t="s">
        <v>512</v>
      </c>
    </row>
    <row r="229" spans="1:7" x14ac:dyDescent="0.25">
      <c r="A229" s="114">
        <v>308771</v>
      </c>
      <c r="B229" s="90" t="s">
        <v>1299</v>
      </c>
      <c r="C229" s="90" t="s">
        <v>508</v>
      </c>
      <c r="D229" s="90" t="s">
        <v>1300</v>
      </c>
      <c r="E229" s="90" t="s">
        <v>1301</v>
      </c>
      <c r="F229" s="90" t="s">
        <v>1302</v>
      </c>
      <c r="G229" t="s">
        <v>512</v>
      </c>
    </row>
    <row r="230" spans="1:7" x14ac:dyDescent="0.25">
      <c r="A230" s="114">
        <v>308782</v>
      </c>
      <c r="B230" s="90" t="s">
        <v>1303</v>
      </c>
      <c r="C230" s="90" t="s">
        <v>508</v>
      </c>
      <c r="D230" s="90" t="s">
        <v>1304</v>
      </c>
      <c r="E230" s="90" t="s">
        <v>811</v>
      </c>
      <c r="F230" s="90" t="s">
        <v>1305</v>
      </c>
      <c r="G230" t="s">
        <v>512</v>
      </c>
    </row>
    <row r="231" spans="1:7" x14ac:dyDescent="0.25">
      <c r="A231" s="114">
        <v>308787</v>
      </c>
      <c r="B231" s="90" t="s">
        <v>1306</v>
      </c>
      <c r="C231" s="90" t="s">
        <v>508</v>
      </c>
      <c r="D231" s="90" t="s">
        <v>1307</v>
      </c>
      <c r="E231" s="90" t="s">
        <v>910</v>
      </c>
      <c r="F231" s="90" t="s">
        <v>1308</v>
      </c>
      <c r="G231" t="s">
        <v>512</v>
      </c>
    </row>
    <row r="232" spans="1:7" x14ac:dyDescent="0.25">
      <c r="A232" s="114">
        <v>308794</v>
      </c>
      <c r="B232" s="90" t="s">
        <v>1309</v>
      </c>
      <c r="C232" s="90" t="s">
        <v>508</v>
      </c>
      <c r="D232" s="90" t="s">
        <v>1310</v>
      </c>
      <c r="E232" s="90" t="s">
        <v>1311</v>
      </c>
      <c r="F232" s="90" t="s">
        <v>1312</v>
      </c>
      <c r="G232" t="s">
        <v>512</v>
      </c>
    </row>
    <row r="233" spans="1:7" x14ac:dyDescent="0.25">
      <c r="A233" s="114">
        <v>308808</v>
      </c>
      <c r="B233" s="90" t="s">
        <v>478</v>
      </c>
      <c r="C233" s="90" t="s">
        <v>508</v>
      </c>
      <c r="D233" s="90" t="s">
        <v>1313</v>
      </c>
      <c r="E233" s="90" t="s">
        <v>1314</v>
      </c>
      <c r="F233" s="90" t="s">
        <v>1315</v>
      </c>
      <c r="G233" t="s">
        <v>512</v>
      </c>
    </row>
    <row r="234" spans="1:7" x14ac:dyDescent="0.25">
      <c r="A234" s="114">
        <v>308820</v>
      </c>
      <c r="B234" s="90" t="s">
        <v>1316</v>
      </c>
      <c r="C234" s="90" t="s">
        <v>508</v>
      </c>
      <c r="D234" s="90" t="s">
        <v>1317</v>
      </c>
      <c r="E234" s="90" t="s">
        <v>1318</v>
      </c>
      <c r="F234" s="90" t="s">
        <v>1319</v>
      </c>
      <c r="G234" t="s">
        <v>512</v>
      </c>
    </row>
    <row r="235" spans="1:7" x14ac:dyDescent="0.25">
      <c r="A235" s="114">
        <v>308827</v>
      </c>
      <c r="B235" s="90" t="s">
        <v>176</v>
      </c>
      <c r="C235" s="90" t="s">
        <v>508</v>
      </c>
      <c r="D235" s="90" t="s">
        <v>1320</v>
      </c>
      <c r="E235" s="90" t="s">
        <v>1321</v>
      </c>
      <c r="F235" s="90" t="s">
        <v>1322</v>
      </c>
      <c r="G235" t="s">
        <v>512</v>
      </c>
    </row>
    <row r="236" spans="1:7" x14ac:dyDescent="0.25">
      <c r="A236" s="114">
        <v>308828</v>
      </c>
      <c r="B236" s="90" t="s">
        <v>92</v>
      </c>
      <c r="C236" s="90" t="s">
        <v>508</v>
      </c>
      <c r="D236" s="90" t="s">
        <v>1323</v>
      </c>
      <c r="E236" s="90" t="s">
        <v>1324</v>
      </c>
      <c r="F236" s="90" t="s">
        <v>1325</v>
      </c>
      <c r="G236" t="s">
        <v>512</v>
      </c>
    </row>
    <row r="237" spans="1:7" x14ac:dyDescent="0.25">
      <c r="A237" s="114">
        <v>308829</v>
      </c>
      <c r="B237" s="90" t="s">
        <v>1326</v>
      </c>
      <c r="C237" s="90" t="s">
        <v>508</v>
      </c>
      <c r="D237" s="90" t="s">
        <v>1327</v>
      </c>
      <c r="E237" s="90" t="s">
        <v>1328</v>
      </c>
      <c r="F237" s="90" t="s">
        <v>1329</v>
      </c>
      <c r="G237" t="s">
        <v>512</v>
      </c>
    </row>
    <row r="238" spans="1:7" x14ac:dyDescent="0.25">
      <c r="A238" s="114">
        <v>308833</v>
      </c>
      <c r="B238" s="90" t="s">
        <v>1330</v>
      </c>
      <c r="C238" s="90" t="s">
        <v>508</v>
      </c>
      <c r="D238" s="90" t="s">
        <v>1331</v>
      </c>
      <c r="E238" s="90" t="s">
        <v>941</v>
      </c>
      <c r="F238" s="90" t="s">
        <v>1332</v>
      </c>
      <c r="G238" t="s">
        <v>512</v>
      </c>
    </row>
    <row r="239" spans="1:7" x14ac:dyDescent="0.25">
      <c r="A239" s="114">
        <v>308839</v>
      </c>
      <c r="B239" s="90" t="s">
        <v>1333</v>
      </c>
      <c r="C239" s="90" t="s">
        <v>508</v>
      </c>
      <c r="D239" s="90" t="s">
        <v>1334</v>
      </c>
      <c r="E239" s="90" t="s">
        <v>1335</v>
      </c>
      <c r="F239" s="90" t="s">
        <v>1336</v>
      </c>
      <c r="G239" t="s">
        <v>512</v>
      </c>
    </row>
    <row r="240" spans="1:7" x14ac:dyDescent="0.25">
      <c r="A240" s="114">
        <v>308841</v>
      </c>
      <c r="B240" s="90" t="s">
        <v>1337</v>
      </c>
      <c r="C240" s="90" t="s">
        <v>508</v>
      </c>
      <c r="D240" s="90" t="s">
        <v>1338</v>
      </c>
      <c r="E240" s="90" t="s">
        <v>1339</v>
      </c>
      <c r="F240" s="90" t="s">
        <v>1340</v>
      </c>
      <c r="G240" t="s">
        <v>512</v>
      </c>
    </row>
    <row r="241" spans="1:7" x14ac:dyDescent="0.25">
      <c r="A241" s="114">
        <v>308937</v>
      </c>
      <c r="B241" s="90" t="s">
        <v>1341</v>
      </c>
      <c r="C241" s="90" t="s">
        <v>508</v>
      </c>
      <c r="D241" s="90" t="s">
        <v>1342</v>
      </c>
      <c r="E241" s="90" t="s">
        <v>1343</v>
      </c>
      <c r="F241" s="90" t="s">
        <v>1344</v>
      </c>
      <c r="G241" t="s">
        <v>512</v>
      </c>
    </row>
    <row r="242" spans="1:7" x14ac:dyDescent="0.25">
      <c r="A242" s="114">
        <v>310248</v>
      </c>
      <c r="B242" s="90" t="s">
        <v>1345</v>
      </c>
      <c r="C242" s="90" t="s">
        <v>508</v>
      </c>
      <c r="D242" s="90" t="s">
        <v>1346</v>
      </c>
      <c r="E242" s="90" t="s">
        <v>1347</v>
      </c>
      <c r="F242" s="90" t="s">
        <v>1348</v>
      </c>
      <c r="G242" t="s">
        <v>512</v>
      </c>
    </row>
    <row r="243" spans="1:7" x14ac:dyDescent="0.25">
      <c r="A243" s="114">
        <v>310309</v>
      </c>
      <c r="B243" s="90" t="s">
        <v>1349</v>
      </c>
      <c r="C243" s="90" t="s">
        <v>508</v>
      </c>
      <c r="D243" s="90" t="s">
        <v>1350</v>
      </c>
      <c r="E243" s="90" t="s">
        <v>1351</v>
      </c>
      <c r="F243" s="90" t="s">
        <v>1352</v>
      </c>
      <c r="G243" t="s">
        <v>512</v>
      </c>
    </row>
    <row r="244" spans="1:7" x14ac:dyDescent="0.25">
      <c r="A244" s="114">
        <v>310406</v>
      </c>
      <c r="B244" s="90" t="s">
        <v>1353</v>
      </c>
      <c r="C244" s="90" t="s">
        <v>508</v>
      </c>
      <c r="D244" s="90" t="s">
        <v>1354</v>
      </c>
      <c r="E244" s="90" t="s">
        <v>1355</v>
      </c>
      <c r="F244" s="90" t="s">
        <v>1356</v>
      </c>
      <c r="G244" t="s">
        <v>512</v>
      </c>
    </row>
    <row r="245" spans="1:7" x14ac:dyDescent="0.25">
      <c r="A245" s="114">
        <v>310423</v>
      </c>
      <c r="B245" s="90" t="s">
        <v>1357</v>
      </c>
      <c r="C245" s="90" t="s">
        <v>508</v>
      </c>
      <c r="D245" s="90" t="s">
        <v>1358</v>
      </c>
      <c r="E245" s="90" t="s">
        <v>1359</v>
      </c>
      <c r="F245" s="90" t="s">
        <v>1360</v>
      </c>
      <c r="G245" t="s">
        <v>512</v>
      </c>
    </row>
    <row r="246" spans="1:7" x14ac:dyDescent="0.25">
      <c r="A246" s="114">
        <v>310611</v>
      </c>
      <c r="B246" s="90" t="s">
        <v>1361</v>
      </c>
      <c r="C246" s="90" t="s">
        <v>508</v>
      </c>
      <c r="D246" s="90" t="s">
        <v>1362</v>
      </c>
      <c r="E246" s="90" t="s">
        <v>1363</v>
      </c>
      <c r="F246" s="90" t="s">
        <v>1364</v>
      </c>
      <c r="G246" t="s">
        <v>512</v>
      </c>
    </row>
    <row r="247" spans="1:7" x14ac:dyDescent="0.25">
      <c r="A247" s="114">
        <v>310670</v>
      </c>
      <c r="B247" s="90" t="s">
        <v>1365</v>
      </c>
      <c r="C247" s="90" t="s">
        <v>508</v>
      </c>
      <c r="D247" s="90" t="s">
        <v>1366</v>
      </c>
      <c r="E247" s="90" t="s">
        <v>1294</v>
      </c>
      <c r="F247" s="90" t="s">
        <v>1367</v>
      </c>
      <c r="G247" t="s">
        <v>512</v>
      </c>
    </row>
    <row r="248" spans="1:7" x14ac:dyDescent="0.25">
      <c r="A248" s="114">
        <v>310684</v>
      </c>
      <c r="B248" s="90" t="s">
        <v>1368</v>
      </c>
      <c r="C248" s="90" t="s">
        <v>508</v>
      </c>
      <c r="D248" s="90" t="s">
        <v>733</v>
      </c>
      <c r="E248" s="90" t="s">
        <v>734</v>
      </c>
      <c r="F248" s="90" t="s">
        <v>1369</v>
      </c>
      <c r="G248" t="s">
        <v>512</v>
      </c>
    </row>
    <row r="249" spans="1:7" x14ac:dyDescent="0.25">
      <c r="A249" s="114">
        <v>310756</v>
      </c>
      <c r="B249" s="90" t="s">
        <v>1370</v>
      </c>
      <c r="C249" s="90" t="s">
        <v>508</v>
      </c>
      <c r="D249" s="90" t="s">
        <v>1371</v>
      </c>
      <c r="E249" s="90" t="s">
        <v>539</v>
      </c>
      <c r="F249" s="90" t="s">
        <v>1372</v>
      </c>
      <c r="G249" t="s">
        <v>512</v>
      </c>
    </row>
    <row r="250" spans="1:7" x14ac:dyDescent="0.25">
      <c r="A250" s="114">
        <v>310814</v>
      </c>
      <c r="B250" s="90" t="s">
        <v>1373</v>
      </c>
      <c r="C250" s="90" t="s">
        <v>508</v>
      </c>
      <c r="D250" s="90" t="s">
        <v>842</v>
      </c>
      <c r="E250" s="90" t="s">
        <v>843</v>
      </c>
      <c r="F250" s="90" t="s">
        <v>1374</v>
      </c>
      <c r="G250" t="s">
        <v>512</v>
      </c>
    </row>
    <row r="251" spans="1:7" x14ac:dyDescent="0.25">
      <c r="A251" s="114">
        <v>311099</v>
      </c>
      <c r="B251" s="90" t="s">
        <v>1375</v>
      </c>
      <c r="C251" s="90" t="s">
        <v>508</v>
      </c>
      <c r="D251" s="90" t="s">
        <v>1376</v>
      </c>
      <c r="E251" s="90" t="s">
        <v>955</v>
      </c>
      <c r="F251" s="90" t="s">
        <v>1377</v>
      </c>
      <c r="G251" t="s">
        <v>512</v>
      </c>
    </row>
    <row r="252" spans="1:7" x14ac:dyDescent="0.25">
      <c r="A252" s="114">
        <v>311109</v>
      </c>
      <c r="B252" s="90" t="s">
        <v>1378</v>
      </c>
      <c r="C252" s="90" t="s">
        <v>508</v>
      </c>
      <c r="D252" s="90" t="s">
        <v>1379</v>
      </c>
      <c r="E252" s="90" t="s">
        <v>1380</v>
      </c>
      <c r="F252" s="90" t="s">
        <v>1381</v>
      </c>
      <c r="G252" t="s">
        <v>512</v>
      </c>
    </row>
    <row r="253" spans="1:7" x14ac:dyDescent="0.25">
      <c r="A253" s="114">
        <v>311388</v>
      </c>
      <c r="B253" s="90" t="s">
        <v>1382</v>
      </c>
      <c r="C253" s="90" t="s">
        <v>508</v>
      </c>
      <c r="D253" s="90" t="s">
        <v>1383</v>
      </c>
      <c r="E253" s="90" t="s">
        <v>1384</v>
      </c>
      <c r="F253" s="90" t="s">
        <v>1385</v>
      </c>
      <c r="G253" t="s">
        <v>512</v>
      </c>
    </row>
    <row r="254" spans="1:7" x14ac:dyDescent="0.25">
      <c r="A254" s="114">
        <v>311504</v>
      </c>
      <c r="B254" s="90" t="s">
        <v>1386</v>
      </c>
      <c r="C254" s="90" t="s">
        <v>508</v>
      </c>
      <c r="D254" s="90" t="s">
        <v>1387</v>
      </c>
      <c r="E254" s="90" t="s">
        <v>539</v>
      </c>
      <c r="F254" s="90" t="s">
        <v>1388</v>
      </c>
      <c r="G254" t="s">
        <v>512</v>
      </c>
    </row>
    <row r="255" spans="1:7" x14ac:dyDescent="0.25">
      <c r="A255" s="114">
        <v>311571</v>
      </c>
      <c r="B255" s="90" t="s">
        <v>1389</v>
      </c>
      <c r="C255" s="90" t="s">
        <v>508</v>
      </c>
      <c r="D255" s="90" t="s">
        <v>1390</v>
      </c>
      <c r="E255" s="90" t="s">
        <v>1391</v>
      </c>
      <c r="F255" s="90" t="s">
        <v>1392</v>
      </c>
      <c r="G255" t="s">
        <v>512</v>
      </c>
    </row>
    <row r="256" spans="1:7" x14ac:dyDescent="0.25">
      <c r="A256" s="114">
        <v>311586</v>
      </c>
      <c r="B256" s="90" t="s">
        <v>1393</v>
      </c>
      <c r="C256" s="90" t="s">
        <v>508</v>
      </c>
      <c r="D256" s="90" t="s">
        <v>1394</v>
      </c>
      <c r="E256" s="90" t="s">
        <v>1395</v>
      </c>
      <c r="F256" s="90" t="s">
        <v>1396</v>
      </c>
      <c r="G256" t="s">
        <v>512</v>
      </c>
    </row>
    <row r="257" spans="1:7" x14ac:dyDescent="0.25">
      <c r="A257" s="114">
        <v>311821</v>
      </c>
      <c r="B257" s="90" t="s">
        <v>1397</v>
      </c>
      <c r="C257" s="90" t="s">
        <v>508</v>
      </c>
      <c r="D257" s="90" t="s">
        <v>1398</v>
      </c>
      <c r="E257" s="90" t="s">
        <v>1399</v>
      </c>
      <c r="F257" s="90" t="s">
        <v>1400</v>
      </c>
      <c r="G257" t="s">
        <v>512</v>
      </c>
    </row>
    <row r="258" spans="1:7" x14ac:dyDescent="0.25">
      <c r="A258" s="114">
        <v>312010</v>
      </c>
      <c r="B258" s="90" t="s">
        <v>1401</v>
      </c>
      <c r="C258" s="90" t="s">
        <v>508</v>
      </c>
      <c r="D258" s="90" t="s">
        <v>1402</v>
      </c>
      <c r="E258" s="90" t="s">
        <v>1403</v>
      </c>
      <c r="F258" s="90" t="s">
        <v>1404</v>
      </c>
      <c r="G258" t="s">
        <v>512</v>
      </c>
    </row>
    <row r="259" spans="1:7" x14ac:dyDescent="0.25">
      <c r="A259" s="114">
        <v>312024</v>
      </c>
      <c r="B259" s="90" t="s">
        <v>1405</v>
      </c>
      <c r="C259" s="90" t="s">
        <v>508</v>
      </c>
      <c r="D259" s="90" t="s">
        <v>1406</v>
      </c>
      <c r="E259" s="90" t="s">
        <v>1089</v>
      </c>
      <c r="F259" s="90" t="s">
        <v>1407</v>
      </c>
      <c r="G259" t="s">
        <v>512</v>
      </c>
    </row>
    <row r="260" spans="1:7" x14ac:dyDescent="0.25">
      <c r="A260" s="114">
        <v>312025</v>
      </c>
      <c r="B260" s="90" t="s">
        <v>1408</v>
      </c>
      <c r="C260" s="90" t="s">
        <v>508</v>
      </c>
      <c r="D260" s="90" t="s">
        <v>1409</v>
      </c>
      <c r="E260" s="90" t="s">
        <v>1410</v>
      </c>
      <c r="F260" s="90" t="s">
        <v>1411</v>
      </c>
      <c r="G260" t="s">
        <v>512</v>
      </c>
    </row>
    <row r="261" spans="1:7" x14ac:dyDescent="0.25">
      <c r="A261" s="114">
        <v>312035</v>
      </c>
      <c r="B261" s="90" t="s">
        <v>1412</v>
      </c>
      <c r="C261" s="90" t="s">
        <v>508</v>
      </c>
      <c r="D261" s="90" t="s">
        <v>1413</v>
      </c>
      <c r="E261" s="90" t="s">
        <v>1414</v>
      </c>
      <c r="F261" s="90" t="s">
        <v>1415</v>
      </c>
      <c r="G261" t="s">
        <v>512</v>
      </c>
    </row>
    <row r="262" spans="1:7" x14ac:dyDescent="0.25">
      <c r="A262" s="114">
        <v>312130</v>
      </c>
      <c r="B262" s="90" t="s">
        <v>193</v>
      </c>
      <c r="C262" s="90" t="s">
        <v>508</v>
      </c>
      <c r="D262" s="90" t="s">
        <v>1416</v>
      </c>
      <c r="E262" s="90" t="s">
        <v>1417</v>
      </c>
      <c r="F262" s="90" t="s">
        <v>1418</v>
      </c>
      <c r="G262" t="s">
        <v>512</v>
      </c>
    </row>
    <row r="263" spans="1:7" x14ac:dyDescent="0.25">
      <c r="A263" s="114">
        <v>312158</v>
      </c>
      <c r="B263" s="90" t="s">
        <v>1419</v>
      </c>
      <c r="C263" s="90" t="s">
        <v>508</v>
      </c>
      <c r="D263" s="90" t="s">
        <v>1420</v>
      </c>
      <c r="E263" s="90" t="s">
        <v>1421</v>
      </c>
      <c r="F263" s="90" t="s">
        <v>1422</v>
      </c>
      <c r="G263" t="s">
        <v>512</v>
      </c>
    </row>
    <row r="264" spans="1:7" x14ac:dyDescent="0.25">
      <c r="A264" s="114">
        <v>312190</v>
      </c>
      <c r="B264" s="90" t="s">
        <v>1423</v>
      </c>
      <c r="C264" s="90" t="s">
        <v>508</v>
      </c>
      <c r="D264" s="90" t="s">
        <v>1424</v>
      </c>
      <c r="E264" s="90" t="s">
        <v>1425</v>
      </c>
      <c r="F264" s="90" t="s">
        <v>1426</v>
      </c>
      <c r="G264" t="s">
        <v>512</v>
      </c>
    </row>
    <row r="265" spans="1:7" x14ac:dyDescent="0.25">
      <c r="A265" s="114">
        <v>312337</v>
      </c>
      <c r="B265" s="90" t="s">
        <v>1427</v>
      </c>
      <c r="C265" s="90" t="s">
        <v>508</v>
      </c>
      <c r="D265" s="90" t="s">
        <v>1428</v>
      </c>
      <c r="E265" s="90" t="s">
        <v>695</v>
      </c>
      <c r="F265" s="90" t="s">
        <v>1429</v>
      </c>
      <c r="G265" t="s">
        <v>512</v>
      </c>
    </row>
    <row r="266" spans="1:7" x14ac:dyDescent="0.25">
      <c r="A266" s="114">
        <v>312361</v>
      </c>
      <c r="B266" s="90" t="s">
        <v>1430</v>
      </c>
      <c r="C266" s="90" t="s">
        <v>508</v>
      </c>
      <c r="D266" s="90" t="s">
        <v>1431</v>
      </c>
      <c r="E266" s="90" t="s">
        <v>1432</v>
      </c>
      <c r="F266" s="90" t="s">
        <v>1433</v>
      </c>
      <c r="G266" t="s">
        <v>512</v>
      </c>
    </row>
    <row r="267" spans="1:7" x14ac:dyDescent="0.25">
      <c r="A267" s="114">
        <v>312378</v>
      </c>
      <c r="B267" s="90" t="s">
        <v>1434</v>
      </c>
      <c r="C267" s="90" t="s">
        <v>508</v>
      </c>
      <c r="D267" s="90" t="s">
        <v>1435</v>
      </c>
      <c r="E267" s="90" t="s">
        <v>1436</v>
      </c>
      <c r="F267" s="90" t="s">
        <v>1437</v>
      </c>
      <c r="G267" t="s">
        <v>512</v>
      </c>
    </row>
    <row r="268" spans="1:7" x14ac:dyDescent="0.25">
      <c r="A268" s="114">
        <v>312394</v>
      </c>
      <c r="B268" s="90" t="s">
        <v>1438</v>
      </c>
      <c r="C268" s="90" t="s">
        <v>508</v>
      </c>
      <c r="D268" s="90" t="s">
        <v>1439</v>
      </c>
      <c r="E268" s="90" t="s">
        <v>1440</v>
      </c>
      <c r="F268" s="90" t="s">
        <v>1441</v>
      </c>
      <c r="G268" t="s">
        <v>512</v>
      </c>
    </row>
    <row r="269" spans="1:7" x14ac:dyDescent="0.25">
      <c r="A269" s="114">
        <v>312485</v>
      </c>
      <c r="B269" s="90" t="s">
        <v>1442</v>
      </c>
      <c r="C269" s="90" t="s">
        <v>508</v>
      </c>
      <c r="D269" s="90" t="s">
        <v>1443</v>
      </c>
      <c r="E269" s="90" t="s">
        <v>1444</v>
      </c>
      <c r="F269" s="90" t="s">
        <v>1445</v>
      </c>
      <c r="G269" t="s">
        <v>512</v>
      </c>
    </row>
    <row r="270" spans="1:7" x14ac:dyDescent="0.25">
      <c r="A270" s="114">
        <v>312499</v>
      </c>
      <c r="B270" s="90" t="s">
        <v>1446</v>
      </c>
      <c r="C270" s="90" t="s">
        <v>508</v>
      </c>
      <c r="D270" s="90" t="s">
        <v>1447</v>
      </c>
      <c r="E270" s="90" t="s">
        <v>1448</v>
      </c>
      <c r="F270" s="90" t="s">
        <v>1449</v>
      </c>
      <c r="G270" t="s">
        <v>512</v>
      </c>
    </row>
    <row r="271" spans="1:7" x14ac:dyDescent="0.25">
      <c r="A271" s="114">
        <v>312507</v>
      </c>
      <c r="B271" s="90" t="s">
        <v>1450</v>
      </c>
      <c r="C271" s="90" t="s">
        <v>508</v>
      </c>
      <c r="D271" s="90" t="s">
        <v>1451</v>
      </c>
      <c r="E271" s="90" t="s">
        <v>1452</v>
      </c>
      <c r="F271" s="90" t="s">
        <v>1453</v>
      </c>
      <c r="G271" t="s">
        <v>512</v>
      </c>
    </row>
    <row r="272" spans="1:7" x14ac:dyDescent="0.25">
      <c r="A272" s="114">
        <v>312508</v>
      </c>
      <c r="B272" s="90" t="s">
        <v>186</v>
      </c>
      <c r="C272" s="90" t="s">
        <v>508</v>
      </c>
      <c r="D272" s="90" t="s">
        <v>1454</v>
      </c>
      <c r="E272" s="90" t="s">
        <v>1455</v>
      </c>
      <c r="F272" s="90" t="s">
        <v>1456</v>
      </c>
      <c r="G272" t="s">
        <v>512</v>
      </c>
    </row>
    <row r="273" spans="1:7" x14ac:dyDescent="0.25">
      <c r="A273" s="114">
        <v>312519</v>
      </c>
      <c r="B273" s="90" t="s">
        <v>1457</v>
      </c>
      <c r="C273" s="90" t="s">
        <v>508</v>
      </c>
      <c r="D273" s="90" t="s">
        <v>1458</v>
      </c>
      <c r="E273" s="90" t="s">
        <v>1459</v>
      </c>
      <c r="F273" s="90" t="s">
        <v>1460</v>
      </c>
      <c r="G273" t="s">
        <v>512</v>
      </c>
    </row>
    <row r="274" spans="1:7" x14ac:dyDescent="0.25">
      <c r="A274" s="114">
        <v>312520</v>
      </c>
      <c r="B274" s="90" t="s">
        <v>156</v>
      </c>
      <c r="C274" s="90" t="s">
        <v>508</v>
      </c>
      <c r="D274" s="90" t="s">
        <v>1461</v>
      </c>
      <c r="E274" s="90" t="s">
        <v>1462</v>
      </c>
      <c r="F274" s="90" t="s">
        <v>1463</v>
      </c>
      <c r="G274" t="s">
        <v>512</v>
      </c>
    </row>
    <row r="275" spans="1:7" x14ac:dyDescent="0.25">
      <c r="A275" s="114">
        <v>312807</v>
      </c>
      <c r="B275" s="90" t="s">
        <v>1464</v>
      </c>
      <c r="C275" s="90" t="s">
        <v>508</v>
      </c>
      <c r="D275" s="90" t="s">
        <v>1465</v>
      </c>
      <c r="E275" s="90" t="s">
        <v>1466</v>
      </c>
      <c r="F275" s="90" t="s">
        <v>1467</v>
      </c>
      <c r="G275" t="s">
        <v>512</v>
      </c>
    </row>
    <row r="276" spans="1:7" x14ac:dyDescent="0.25">
      <c r="A276" s="114">
        <v>312810</v>
      </c>
      <c r="B276" s="90" t="s">
        <v>311</v>
      </c>
      <c r="C276" s="90" t="s">
        <v>508</v>
      </c>
      <c r="D276" s="90" t="s">
        <v>1468</v>
      </c>
      <c r="E276" s="90" t="s">
        <v>1469</v>
      </c>
      <c r="F276" s="90" t="s">
        <v>1470</v>
      </c>
      <c r="G276" t="s">
        <v>512</v>
      </c>
    </row>
    <row r="277" spans="1:7" x14ac:dyDescent="0.25">
      <c r="A277" s="114">
        <v>312812</v>
      </c>
      <c r="B277" s="90" t="s">
        <v>1471</v>
      </c>
      <c r="C277" s="90" t="s">
        <v>508</v>
      </c>
      <c r="D277" s="90" t="s">
        <v>1472</v>
      </c>
      <c r="E277" s="90" t="s">
        <v>1473</v>
      </c>
      <c r="F277" s="90" t="s">
        <v>1474</v>
      </c>
      <c r="G277" t="s">
        <v>512</v>
      </c>
    </row>
    <row r="278" spans="1:7" x14ac:dyDescent="0.25">
      <c r="A278" s="114">
        <v>312959</v>
      </c>
      <c r="B278" s="90" t="s">
        <v>1475</v>
      </c>
      <c r="C278" s="90" t="s">
        <v>508</v>
      </c>
      <c r="D278" s="90" t="s">
        <v>1476</v>
      </c>
      <c r="E278" s="90" t="s">
        <v>1477</v>
      </c>
      <c r="F278" s="90" t="s">
        <v>1478</v>
      </c>
      <c r="G278" t="s">
        <v>512</v>
      </c>
    </row>
    <row r="279" spans="1:7" x14ac:dyDescent="0.25">
      <c r="A279" s="114">
        <v>312961</v>
      </c>
      <c r="B279" s="90" t="s">
        <v>1479</v>
      </c>
      <c r="C279" s="90" t="s">
        <v>508</v>
      </c>
      <c r="D279" s="90" t="s">
        <v>1480</v>
      </c>
      <c r="E279" s="90" t="s">
        <v>1481</v>
      </c>
      <c r="F279" s="90" t="s">
        <v>1482</v>
      </c>
      <c r="G279" t="s">
        <v>512</v>
      </c>
    </row>
    <row r="280" spans="1:7" x14ac:dyDescent="0.25">
      <c r="A280" s="114">
        <v>312995</v>
      </c>
      <c r="B280" s="90" t="s">
        <v>1483</v>
      </c>
      <c r="C280" s="90" t="s">
        <v>508</v>
      </c>
      <c r="D280" s="90" t="s">
        <v>1484</v>
      </c>
      <c r="E280" s="90" t="s">
        <v>1485</v>
      </c>
      <c r="F280" s="90" t="s">
        <v>1486</v>
      </c>
      <c r="G280" t="s">
        <v>512</v>
      </c>
    </row>
    <row r="281" spans="1:7" x14ac:dyDescent="0.25">
      <c r="A281" s="114">
        <v>313006</v>
      </c>
      <c r="B281" s="90" t="s">
        <v>1487</v>
      </c>
      <c r="C281" s="90" t="s">
        <v>508</v>
      </c>
      <c r="D281" s="90" t="s">
        <v>1488</v>
      </c>
      <c r="E281" s="90" t="s">
        <v>1489</v>
      </c>
      <c r="F281" s="90" t="s">
        <v>1490</v>
      </c>
      <c r="G281" t="s">
        <v>512</v>
      </c>
    </row>
    <row r="282" spans="1:7" x14ac:dyDescent="0.25">
      <c r="A282" s="114">
        <v>313014</v>
      </c>
      <c r="B282" s="90" t="s">
        <v>1491</v>
      </c>
      <c r="C282" s="90" t="s">
        <v>508</v>
      </c>
      <c r="D282" s="90" t="s">
        <v>1492</v>
      </c>
      <c r="E282" s="90" t="s">
        <v>583</v>
      </c>
      <c r="F282" s="90" t="s">
        <v>1493</v>
      </c>
      <c r="G282" t="s">
        <v>512</v>
      </c>
    </row>
    <row r="283" spans="1:7" x14ac:dyDescent="0.25">
      <c r="A283" s="114">
        <v>313035</v>
      </c>
      <c r="B283" s="90" t="s">
        <v>1494</v>
      </c>
      <c r="C283" s="90" t="s">
        <v>508</v>
      </c>
      <c r="D283" s="90" t="s">
        <v>1495</v>
      </c>
      <c r="E283" s="90" t="s">
        <v>1496</v>
      </c>
      <c r="F283" s="90" t="s">
        <v>1497</v>
      </c>
      <c r="G283" t="s">
        <v>512</v>
      </c>
    </row>
    <row r="284" spans="1:7" x14ac:dyDescent="0.25">
      <c r="A284" s="114">
        <v>313058</v>
      </c>
      <c r="B284" s="90" t="s">
        <v>355</v>
      </c>
      <c r="C284" s="90" t="s">
        <v>508</v>
      </c>
      <c r="D284" s="90" t="s">
        <v>1498</v>
      </c>
      <c r="E284" s="90" t="s">
        <v>1499</v>
      </c>
      <c r="F284" s="90" t="s">
        <v>1500</v>
      </c>
      <c r="G284" t="s">
        <v>512</v>
      </c>
    </row>
    <row r="285" spans="1:7" x14ac:dyDescent="0.25">
      <c r="A285" s="114">
        <v>313081</v>
      </c>
      <c r="B285" s="90" t="s">
        <v>1501</v>
      </c>
      <c r="C285" s="90" t="s">
        <v>508</v>
      </c>
      <c r="D285" s="90" t="s">
        <v>1502</v>
      </c>
      <c r="E285" s="90" t="s">
        <v>517</v>
      </c>
      <c r="F285" s="90" t="s">
        <v>1503</v>
      </c>
      <c r="G285" t="s">
        <v>512</v>
      </c>
    </row>
    <row r="286" spans="1:7" x14ac:dyDescent="0.25">
      <c r="A286" s="114">
        <v>313096</v>
      </c>
      <c r="B286" s="90" t="s">
        <v>1504</v>
      </c>
      <c r="C286" s="90" t="s">
        <v>508</v>
      </c>
      <c r="D286" s="90" t="s">
        <v>1505</v>
      </c>
      <c r="E286" s="90" t="s">
        <v>1506</v>
      </c>
      <c r="F286" s="90" t="s">
        <v>1507</v>
      </c>
      <c r="G286" t="s">
        <v>512</v>
      </c>
    </row>
    <row r="287" spans="1:7" x14ac:dyDescent="0.25">
      <c r="A287" s="114">
        <v>313107</v>
      </c>
      <c r="B287" s="90" t="s">
        <v>1508</v>
      </c>
      <c r="C287" s="90" t="s">
        <v>508</v>
      </c>
      <c r="D287" s="90" t="s">
        <v>1509</v>
      </c>
      <c r="E287" s="90" t="s">
        <v>1510</v>
      </c>
      <c r="F287" s="90" t="s">
        <v>1511</v>
      </c>
      <c r="G287" t="s">
        <v>512</v>
      </c>
    </row>
    <row r="288" spans="1:7" x14ac:dyDescent="0.25">
      <c r="A288" s="114">
        <v>313108</v>
      </c>
      <c r="B288" s="90" t="s">
        <v>1512</v>
      </c>
      <c r="C288" s="90" t="s">
        <v>508</v>
      </c>
      <c r="D288" s="90" t="s">
        <v>1513</v>
      </c>
      <c r="E288" s="90" t="s">
        <v>1514</v>
      </c>
      <c r="F288" s="90" t="s">
        <v>1515</v>
      </c>
      <c r="G288" t="s">
        <v>512</v>
      </c>
    </row>
    <row r="289" spans="1:7" x14ac:dyDescent="0.25">
      <c r="A289" s="114">
        <v>313193</v>
      </c>
      <c r="B289" s="90" t="s">
        <v>1516</v>
      </c>
      <c r="C289" s="90" t="s">
        <v>508</v>
      </c>
      <c r="D289" s="90" t="s">
        <v>1517</v>
      </c>
      <c r="E289" s="90" t="s">
        <v>565</v>
      </c>
      <c r="F289" s="90" t="s">
        <v>1518</v>
      </c>
      <c r="G289" t="s">
        <v>512</v>
      </c>
    </row>
    <row r="290" spans="1:7" x14ac:dyDescent="0.25">
      <c r="A290" s="114">
        <v>313202</v>
      </c>
      <c r="B290" s="90" t="s">
        <v>1519</v>
      </c>
      <c r="C290" s="90" t="s">
        <v>508</v>
      </c>
      <c r="D290" s="90" t="s">
        <v>1520</v>
      </c>
      <c r="E290" s="90" t="s">
        <v>1521</v>
      </c>
      <c r="F290" s="90" t="s">
        <v>1522</v>
      </c>
      <c r="G290" t="s">
        <v>512</v>
      </c>
    </row>
    <row r="291" spans="1:7" x14ac:dyDescent="0.25">
      <c r="A291" s="114">
        <v>313287</v>
      </c>
      <c r="B291" s="90" t="s">
        <v>1523</v>
      </c>
      <c r="C291" s="90" t="s">
        <v>508</v>
      </c>
      <c r="D291" s="90" t="s">
        <v>1524</v>
      </c>
      <c r="E291" s="90" t="s">
        <v>1525</v>
      </c>
      <c r="F291" s="90" t="s">
        <v>1526</v>
      </c>
      <c r="G291" t="s">
        <v>512</v>
      </c>
    </row>
    <row r="292" spans="1:7" x14ac:dyDescent="0.25">
      <c r="A292" s="114">
        <v>313305</v>
      </c>
      <c r="B292" s="90" t="s">
        <v>1527</v>
      </c>
      <c r="C292" s="90" t="s">
        <v>508</v>
      </c>
      <c r="D292" s="90" t="s">
        <v>1528</v>
      </c>
      <c r="E292" s="90" t="s">
        <v>1529</v>
      </c>
      <c r="F292" s="90" t="s">
        <v>1530</v>
      </c>
      <c r="G292" t="s">
        <v>512</v>
      </c>
    </row>
    <row r="293" spans="1:7" x14ac:dyDescent="0.25">
      <c r="A293" s="114">
        <v>313307</v>
      </c>
      <c r="B293" s="90" t="s">
        <v>1531</v>
      </c>
      <c r="C293" s="90" t="s">
        <v>508</v>
      </c>
      <c r="D293" s="90" t="s">
        <v>1532</v>
      </c>
      <c r="E293" s="90" t="s">
        <v>1533</v>
      </c>
      <c r="F293" s="90" t="s">
        <v>1534</v>
      </c>
      <c r="G293" t="s">
        <v>512</v>
      </c>
    </row>
    <row r="294" spans="1:7" x14ac:dyDescent="0.25">
      <c r="A294" s="114">
        <v>313331</v>
      </c>
      <c r="B294" s="90" t="s">
        <v>1535</v>
      </c>
      <c r="C294" s="90" t="s">
        <v>508</v>
      </c>
      <c r="D294" s="90" t="s">
        <v>1536</v>
      </c>
      <c r="E294" s="90" t="s">
        <v>1160</v>
      </c>
      <c r="F294" s="90" t="s">
        <v>1537</v>
      </c>
      <c r="G294" t="s">
        <v>512</v>
      </c>
    </row>
    <row r="295" spans="1:7" x14ac:dyDescent="0.25">
      <c r="A295" s="114">
        <v>313372</v>
      </c>
      <c r="B295" s="90" t="s">
        <v>1538</v>
      </c>
      <c r="C295" s="90" t="s">
        <v>508</v>
      </c>
      <c r="D295" s="90" t="s">
        <v>1539</v>
      </c>
      <c r="E295" s="90" t="s">
        <v>1001</v>
      </c>
      <c r="F295" s="90" t="s">
        <v>1540</v>
      </c>
      <c r="G295" t="s">
        <v>512</v>
      </c>
    </row>
    <row r="296" spans="1:7" x14ac:dyDescent="0.25">
      <c r="A296" s="114">
        <v>313374</v>
      </c>
      <c r="B296" s="90" t="s">
        <v>1541</v>
      </c>
      <c r="C296" s="90" t="s">
        <v>508</v>
      </c>
      <c r="D296" s="90" t="s">
        <v>1542</v>
      </c>
      <c r="E296" s="90" t="s">
        <v>1543</v>
      </c>
      <c r="F296" s="90" t="s">
        <v>1544</v>
      </c>
      <c r="G296" t="s">
        <v>512</v>
      </c>
    </row>
    <row r="297" spans="1:7" x14ac:dyDescent="0.25">
      <c r="A297" s="114">
        <v>313378</v>
      </c>
      <c r="B297" s="90" t="s">
        <v>65</v>
      </c>
      <c r="C297" s="90" t="s">
        <v>508</v>
      </c>
      <c r="D297" s="90" t="s">
        <v>1545</v>
      </c>
      <c r="E297" s="90" t="s">
        <v>1546</v>
      </c>
      <c r="F297" s="90" t="s">
        <v>1547</v>
      </c>
      <c r="G297" t="s">
        <v>512</v>
      </c>
    </row>
    <row r="298" spans="1:7" x14ac:dyDescent="0.25">
      <c r="A298" s="114">
        <v>313391</v>
      </c>
      <c r="B298" s="90" t="s">
        <v>1548</v>
      </c>
      <c r="C298" s="90" t="s">
        <v>508</v>
      </c>
      <c r="D298" s="90" t="s">
        <v>1549</v>
      </c>
      <c r="E298" s="90" t="s">
        <v>1550</v>
      </c>
      <c r="F298" s="90" t="s">
        <v>1551</v>
      </c>
      <c r="G298" t="s">
        <v>512</v>
      </c>
    </row>
    <row r="299" spans="1:7" x14ac:dyDescent="0.25">
      <c r="A299" s="114">
        <v>313395</v>
      </c>
      <c r="B299" s="90" t="s">
        <v>1552</v>
      </c>
      <c r="C299" s="90" t="s">
        <v>508</v>
      </c>
      <c r="D299" s="90" t="s">
        <v>1553</v>
      </c>
      <c r="E299" s="90" t="s">
        <v>614</v>
      </c>
      <c r="F299" s="90" t="s">
        <v>1554</v>
      </c>
      <c r="G299" t="s">
        <v>512</v>
      </c>
    </row>
    <row r="300" spans="1:7" x14ac:dyDescent="0.25">
      <c r="A300" s="114">
        <v>313403</v>
      </c>
      <c r="B300" s="90" t="s">
        <v>1555</v>
      </c>
      <c r="C300" s="90" t="s">
        <v>508</v>
      </c>
      <c r="D300" s="90" t="s">
        <v>613</v>
      </c>
      <c r="E300" s="90" t="s">
        <v>614</v>
      </c>
      <c r="F300" s="90" t="s">
        <v>1556</v>
      </c>
      <c r="G300" t="s">
        <v>512</v>
      </c>
    </row>
    <row r="301" spans="1:7" x14ac:dyDescent="0.25">
      <c r="A301" s="114">
        <v>313416</v>
      </c>
      <c r="B301" s="90" t="s">
        <v>1557</v>
      </c>
      <c r="C301" s="90" t="s">
        <v>508</v>
      </c>
      <c r="D301" s="90" t="s">
        <v>1558</v>
      </c>
      <c r="E301" s="90" t="s">
        <v>907</v>
      </c>
      <c r="F301" s="90" t="s">
        <v>1559</v>
      </c>
      <c r="G301" t="s">
        <v>512</v>
      </c>
    </row>
    <row r="302" spans="1:7" x14ac:dyDescent="0.25">
      <c r="A302" s="114">
        <v>313417</v>
      </c>
      <c r="B302" s="90" t="s">
        <v>1560</v>
      </c>
      <c r="C302" s="90" t="s">
        <v>508</v>
      </c>
      <c r="D302" s="90" t="s">
        <v>1561</v>
      </c>
      <c r="E302" s="90" t="s">
        <v>807</v>
      </c>
      <c r="F302" s="90" t="s">
        <v>1562</v>
      </c>
      <c r="G302" t="s">
        <v>512</v>
      </c>
    </row>
    <row r="303" spans="1:7" x14ac:dyDescent="0.25">
      <c r="A303" s="114">
        <v>313418</v>
      </c>
      <c r="B303" s="90" t="s">
        <v>1563</v>
      </c>
      <c r="C303" s="90" t="s">
        <v>508</v>
      </c>
      <c r="D303" s="90" t="s">
        <v>1564</v>
      </c>
      <c r="E303" s="90" t="s">
        <v>1335</v>
      </c>
      <c r="F303" s="90" t="s">
        <v>1565</v>
      </c>
      <c r="G303" t="s">
        <v>512</v>
      </c>
    </row>
    <row r="304" spans="1:7" x14ac:dyDescent="0.25">
      <c r="A304" s="114">
        <v>313421</v>
      </c>
      <c r="B304" s="90" t="s">
        <v>1566</v>
      </c>
      <c r="C304" s="90" t="s">
        <v>508</v>
      </c>
      <c r="D304" s="90" t="s">
        <v>1567</v>
      </c>
      <c r="E304" s="90" t="s">
        <v>1568</v>
      </c>
      <c r="F304" s="90" t="s">
        <v>1569</v>
      </c>
      <c r="G304" t="s">
        <v>512</v>
      </c>
    </row>
    <row r="305" spans="1:7" x14ac:dyDescent="0.25">
      <c r="A305" s="114">
        <v>313425</v>
      </c>
      <c r="B305" s="90" t="s">
        <v>152</v>
      </c>
      <c r="C305" s="90" t="s">
        <v>508</v>
      </c>
      <c r="D305" s="90" t="s">
        <v>1570</v>
      </c>
      <c r="E305" s="90" t="s">
        <v>1571</v>
      </c>
      <c r="F305" s="90" t="s">
        <v>1572</v>
      </c>
      <c r="G305" t="s">
        <v>512</v>
      </c>
    </row>
    <row r="306" spans="1:7" x14ac:dyDescent="0.25">
      <c r="A306" s="114">
        <v>313436</v>
      </c>
      <c r="B306" s="90" t="s">
        <v>1573</v>
      </c>
      <c r="C306" s="90" t="s">
        <v>508</v>
      </c>
      <c r="D306" s="90" t="s">
        <v>1574</v>
      </c>
      <c r="E306" s="90" t="s">
        <v>714</v>
      </c>
      <c r="F306" s="90" t="s">
        <v>1575</v>
      </c>
      <c r="G306" t="s">
        <v>512</v>
      </c>
    </row>
    <row r="307" spans="1:7" x14ac:dyDescent="0.25">
      <c r="A307" s="114">
        <v>313441</v>
      </c>
      <c r="B307" s="90" t="s">
        <v>1576</v>
      </c>
      <c r="C307" s="90" t="s">
        <v>508</v>
      </c>
      <c r="D307" s="90" t="s">
        <v>1577</v>
      </c>
      <c r="E307" s="90" t="s">
        <v>634</v>
      </c>
      <c r="F307" s="90" t="s">
        <v>1578</v>
      </c>
      <c r="G307" t="s">
        <v>512</v>
      </c>
    </row>
    <row r="308" spans="1:7" x14ac:dyDescent="0.25">
      <c r="A308" s="114">
        <v>313461</v>
      </c>
      <c r="B308" s="90" t="s">
        <v>1579</v>
      </c>
      <c r="C308" s="90" t="s">
        <v>508</v>
      </c>
      <c r="D308" s="90" t="s">
        <v>1580</v>
      </c>
      <c r="E308" s="90" t="s">
        <v>1581</v>
      </c>
      <c r="F308" s="90" t="s">
        <v>1582</v>
      </c>
      <c r="G308" t="s">
        <v>512</v>
      </c>
    </row>
    <row r="309" spans="1:7" x14ac:dyDescent="0.25">
      <c r="A309" s="114">
        <v>313481</v>
      </c>
      <c r="B309" s="90" t="s">
        <v>1583</v>
      </c>
      <c r="C309" s="90" t="s">
        <v>508</v>
      </c>
      <c r="D309" s="90" t="s">
        <v>1584</v>
      </c>
      <c r="E309" s="90" t="s">
        <v>1585</v>
      </c>
      <c r="F309" s="90" t="s">
        <v>1586</v>
      </c>
      <c r="G309" t="s">
        <v>512</v>
      </c>
    </row>
    <row r="310" spans="1:7" x14ac:dyDescent="0.25">
      <c r="A310" s="114">
        <v>313484</v>
      </c>
      <c r="B310" s="90" t="s">
        <v>1587</v>
      </c>
      <c r="C310" s="90" t="s">
        <v>508</v>
      </c>
      <c r="D310" s="90" t="s">
        <v>1588</v>
      </c>
      <c r="E310" s="90" t="s">
        <v>1589</v>
      </c>
      <c r="F310" s="90" t="s">
        <v>1590</v>
      </c>
      <c r="G310" t="s">
        <v>512</v>
      </c>
    </row>
    <row r="311" spans="1:7" x14ac:dyDescent="0.25">
      <c r="A311" s="114">
        <v>313486</v>
      </c>
      <c r="B311" s="90" t="s">
        <v>1591</v>
      </c>
      <c r="C311" s="90" t="s">
        <v>508</v>
      </c>
      <c r="D311" s="90" t="s">
        <v>1592</v>
      </c>
      <c r="E311" s="90" t="s">
        <v>1593</v>
      </c>
      <c r="F311" s="90" t="s">
        <v>1594</v>
      </c>
      <c r="G311" t="s">
        <v>512</v>
      </c>
    </row>
    <row r="312" spans="1:7" x14ac:dyDescent="0.25">
      <c r="A312" s="114">
        <v>313491</v>
      </c>
      <c r="B312" s="90" t="s">
        <v>1595</v>
      </c>
      <c r="C312" s="90" t="s">
        <v>508</v>
      </c>
      <c r="D312" s="90" t="s">
        <v>1596</v>
      </c>
      <c r="E312" s="90" t="s">
        <v>798</v>
      </c>
      <c r="F312" s="90" t="s">
        <v>1597</v>
      </c>
      <c r="G312" t="s">
        <v>512</v>
      </c>
    </row>
    <row r="313" spans="1:7" x14ac:dyDescent="0.25">
      <c r="A313" s="114">
        <v>313494</v>
      </c>
      <c r="B313" s="90" t="s">
        <v>1598</v>
      </c>
      <c r="C313" s="90" t="s">
        <v>508</v>
      </c>
      <c r="D313" s="90" t="s">
        <v>1599</v>
      </c>
      <c r="E313" s="90" t="s">
        <v>1600</v>
      </c>
      <c r="F313" s="90" t="s">
        <v>1601</v>
      </c>
      <c r="G313" t="s">
        <v>512</v>
      </c>
    </row>
    <row r="314" spans="1:7" x14ac:dyDescent="0.25">
      <c r="A314" s="114">
        <v>313512</v>
      </c>
      <c r="B314" s="90" t="s">
        <v>1602</v>
      </c>
      <c r="C314" s="90" t="s">
        <v>508</v>
      </c>
      <c r="D314" s="90" t="s">
        <v>1603</v>
      </c>
      <c r="E314" s="90" t="s">
        <v>726</v>
      </c>
      <c r="F314" s="90" t="s">
        <v>1604</v>
      </c>
      <c r="G314" t="s">
        <v>512</v>
      </c>
    </row>
    <row r="315" spans="1:7" x14ac:dyDescent="0.25">
      <c r="A315" s="114">
        <v>313518</v>
      </c>
      <c r="B315" s="90" t="s">
        <v>1605</v>
      </c>
      <c r="C315" s="90" t="s">
        <v>508</v>
      </c>
      <c r="D315" s="90" t="s">
        <v>1606</v>
      </c>
      <c r="E315" s="90" t="s">
        <v>798</v>
      </c>
      <c r="F315" s="90" t="s">
        <v>1607</v>
      </c>
      <c r="G315" t="s">
        <v>512</v>
      </c>
    </row>
    <row r="316" spans="1:7" x14ac:dyDescent="0.25">
      <c r="A316" s="114">
        <v>313522</v>
      </c>
      <c r="B316" s="90" t="s">
        <v>1608</v>
      </c>
      <c r="C316" s="90" t="s">
        <v>508</v>
      </c>
      <c r="D316" s="90" t="s">
        <v>1609</v>
      </c>
      <c r="E316" s="90" t="s">
        <v>614</v>
      </c>
      <c r="F316" s="90" t="s">
        <v>1610</v>
      </c>
      <c r="G316" t="s">
        <v>512</v>
      </c>
    </row>
    <row r="317" spans="1:7" x14ac:dyDescent="0.25">
      <c r="A317" s="114">
        <v>313532</v>
      </c>
      <c r="B317" s="90" t="s">
        <v>1611</v>
      </c>
      <c r="C317" s="90" t="s">
        <v>508</v>
      </c>
      <c r="D317" s="90" t="s">
        <v>1612</v>
      </c>
      <c r="E317" s="90" t="s">
        <v>1613</v>
      </c>
      <c r="F317" s="90" t="s">
        <v>1614</v>
      </c>
      <c r="G317" t="s">
        <v>512</v>
      </c>
    </row>
    <row r="318" spans="1:7" x14ac:dyDescent="0.25">
      <c r="A318" s="114">
        <v>313538</v>
      </c>
      <c r="B318" s="90" t="s">
        <v>1615</v>
      </c>
      <c r="C318" s="90" t="s">
        <v>508</v>
      </c>
      <c r="D318" s="90" t="s">
        <v>1616</v>
      </c>
      <c r="E318" s="90" t="s">
        <v>614</v>
      </c>
      <c r="F318" s="90" t="s">
        <v>1617</v>
      </c>
      <c r="G318" t="s">
        <v>512</v>
      </c>
    </row>
    <row r="319" spans="1:7" x14ac:dyDescent="0.25">
      <c r="A319" s="114">
        <v>313545</v>
      </c>
      <c r="B319" s="90" t="s">
        <v>1618</v>
      </c>
      <c r="C319" s="90" t="s">
        <v>508</v>
      </c>
      <c r="D319" s="90" t="s">
        <v>1619</v>
      </c>
      <c r="E319" s="90" t="s">
        <v>1546</v>
      </c>
      <c r="F319" s="90" t="s">
        <v>1620</v>
      </c>
      <c r="G319" t="s">
        <v>512</v>
      </c>
    </row>
    <row r="320" spans="1:7" x14ac:dyDescent="0.25">
      <c r="A320" s="114">
        <v>313549</v>
      </c>
      <c r="B320" s="90" t="s">
        <v>521</v>
      </c>
      <c r="C320" s="90" t="s">
        <v>508</v>
      </c>
      <c r="D320" s="90" t="s">
        <v>1621</v>
      </c>
      <c r="E320" s="90" t="s">
        <v>1571</v>
      </c>
      <c r="F320" s="90" t="s">
        <v>1622</v>
      </c>
      <c r="G320" t="s">
        <v>512</v>
      </c>
    </row>
    <row r="321" spans="1:7" x14ac:dyDescent="0.25">
      <c r="A321" s="114">
        <v>313560</v>
      </c>
      <c r="B321" s="90" t="s">
        <v>1623</v>
      </c>
      <c r="C321" s="90" t="s">
        <v>508</v>
      </c>
      <c r="D321" s="90" t="s">
        <v>1624</v>
      </c>
      <c r="E321" s="90" t="s">
        <v>1625</v>
      </c>
      <c r="F321" s="90" t="s">
        <v>1626</v>
      </c>
      <c r="G321" t="s">
        <v>512</v>
      </c>
    </row>
    <row r="322" spans="1:7" x14ac:dyDescent="0.25">
      <c r="A322" s="114">
        <v>313561</v>
      </c>
      <c r="B322" s="90" t="s">
        <v>1627</v>
      </c>
      <c r="C322" s="90" t="s">
        <v>508</v>
      </c>
      <c r="D322" s="90" t="s">
        <v>1628</v>
      </c>
      <c r="E322" s="90" t="s">
        <v>1629</v>
      </c>
      <c r="F322" s="90" t="s">
        <v>1630</v>
      </c>
      <c r="G322" t="s">
        <v>512</v>
      </c>
    </row>
    <row r="323" spans="1:7" x14ac:dyDescent="0.25">
      <c r="A323" s="114">
        <v>313571</v>
      </c>
      <c r="B323" s="90" t="s">
        <v>1631</v>
      </c>
      <c r="C323" s="90" t="s">
        <v>508</v>
      </c>
      <c r="D323" s="90" t="s">
        <v>1632</v>
      </c>
      <c r="E323" s="90" t="s">
        <v>1633</v>
      </c>
      <c r="F323" s="90" t="s">
        <v>1634</v>
      </c>
      <c r="G323" t="s">
        <v>512</v>
      </c>
    </row>
    <row r="324" spans="1:7" x14ac:dyDescent="0.25">
      <c r="A324" s="114">
        <v>313572</v>
      </c>
      <c r="B324" s="90" t="s">
        <v>1635</v>
      </c>
      <c r="C324" s="90" t="s">
        <v>508</v>
      </c>
      <c r="D324" s="90" t="s">
        <v>1636</v>
      </c>
      <c r="E324" s="90" t="s">
        <v>1571</v>
      </c>
      <c r="F324" s="90" t="s">
        <v>1637</v>
      </c>
      <c r="G324" t="s">
        <v>512</v>
      </c>
    </row>
    <row r="325" spans="1:7" x14ac:dyDescent="0.25">
      <c r="A325" s="114">
        <v>313579</v>
      </c>
      <c r="B325" s="90" t="s">
        <v>1638</v>
      </c>
      <c r="C325" s="90" t="s">
        <v>508</v>
      </c>
      <c r="D325" s="90" t="s">
        <v>1639</v>
      </c>
      <c r="E325" s="90" t="s">
        <v>807</v>
      </c>
      <c r="F325" s="90" t="s">
        <v>1640</v>
      </c>
      <c r="G325" t="s">
        <v>512</v>
      </c>
    </row>
    <row r="326" spans="1:7" x14ac:dyDescent="0.25">
      <c r="A326" s="114">
        <v>313634</v>
      </c>
      <c r="B326" s="90" t="s">
        <v>1641</v>
      </c>
      <c r="C326" s="90" t="s">
        <v>508</v>
      </c>
      <c r="D326" s="90" t="s">
        <v>1642</v>
      </c>
      <c r="E326" s="90" t="s">
        <v>1643</v>
      </c>
      <c r="F326" s="90" t="s">
        <v>1644</v>
      </c>
      <c r="G326" t="s">
        <v>512</v>
      </c>
    </row>
    <row r="327" spans="1:7" x14ac:dyDescent="0.25">
      <c r="A327" s="114">
        <v>313654</v>
      </c>
      <c r="B327" s="90" t="s">
        <v>1645</v>
      </c>
      <c r="C327" s="90" t="s">
        <v>508</v>
      </c>
      <c r="D327" s="90" t="s">
        <v>1646</v>
      </c>
      <c r="E327" s="90" t="s">
        <v>972</v>
      </c>
      <c r="F327" s="90" t="s">
        <v>1647</v>
      </c>
      <c r="G327" t="s">
        <v>512</v>
      </c>
    </row>
    <row r="328" spans="1:7" x14ac:dyDescent="0.25">
      <c r="A328" s="114">
        <v>313656</v>
      </c>
      <c r="B328" s="90" t="s">
        <v>1648</v>
      </c>
      <c r="C328" s="90" t="s">
        <v>508</v>
      </c>
      <c r="D328" s="90" t="s">
        <v>1649</v>
      </c>
      <c r="E328" s="90" t="s">
        <v>1650</v>
      </c>
      <c r="F328" s="90" t="s">
        <v>1651</v>
      </c>
      <c r="G328" t="s">
        <v>512</v>
      </c>
    </row>
    <row r="329" spans="1:7" x14ac:dyDescent="0.25">
      <c r="A329" s="114">
        <v>313658</v>
      </c>
      <c r="B329" s="90" t="s">
        <v>1652</v>
      </c>
      <c r="C329" s="90" t="s">
        <v>508</v>
      </c>
      <c r="D329" s="90" t="s">
        <v>1653</v>
      </c>
      <c r="E329" s="90" t="s">
        <v>1654</v>
      </c>
      <c r="F329" s="90" t="s">
        <v>1655</v>
      </c>
      <c r="G329" t="s">
        <v>512</v>
      </c>
    </row>
    <row r="330" spans="1:7" x14ac:dyDescent="0.25">
      <c r="A330" s="114">
        <v>313666</v>
      </c>
      <c r="B330" s="90" t="s">
        <v>1656</v>
      </c>
      <c r="C330" s="90" t="s">
        <v>508</v>
      </c>
      <c r="D330" s="90" t="s">
        <v>1657</v>
      </c>
      <c r="E330" s="90" t="s">
        <v>1658</v>
      </c>
      <c r="F330" s="90" t="s">
        <v>1659</v>
      </c>
      <c r="G330" t="s">
        <v>512</v>
      </c>
    </row>
    <row r="331" spans="1:7" x14ac:dyDescent="0.25">
      <c r="A331" s="114">
        <v>313671</v>
      </c>
      <c r="B331" s="90" t="s">
        <v>1660</v>
      </c>
      <c r="C331" s="90" t="s">
        <v>508</v>
      </c>
      <c r="D331" s="90" t="s">
        <v>1661</v>
      </c>
      <c r="E331" s="90" t="s">
        <v>1662</v>
      </c>
      <c r="F331" s="90" t="s">
        <v>1663</v>
      </c>
      <c r="G331" t="s">
        <v>512</v>
      </c>
    </row>
    <row r="332" spans="1:7" x14ac:dyDescent="0.25">
      <c r="A332" s="114">
        <v>313716</v>
      </c>
      <c r="B332" s="90" t="s">
        <v>1664</v>
      </c>
      <c r="C332" s="90" t="s">
        <v>508</v>
      </c>
      <c r="D332" s="90" t="s">
        <v>1665</v>
      </c>
      <c r="E332" s="90" t="s">
        <v>1666</v>
      </c>
      <c r="F332" s="90" t="s">
        <v>1667</v>
      </c>
      <c r="G332" t="s">
        <v>512</v>
      </c>
    </row>
    <row r="333" spans="1:7" x14ac:dyDescent="0.25">
      <c r="A333" s="114">
        <v>313733</v>
      </c>
      <c r="B333" s="90" t="s">
        <v>1668</v>
      </c>
      <c r="C333" s="90" t="s">
        <v>508</v>
      </c>
      <c r="D333" s="90" t="s">
        <v>1669</v>
      </c>
      <c r="E333" s="90" t="s">
        <v>1670</v>
      </c>
      <c r="F333" s="90" t="s">
        <v>1671</v>
      </c>
      <c r="G333" t="s">
        <v>512</v>
      </c>
    </row>
    <row r="334" spans="1:7" x14ac:dyDescent="0.25">
      <c r="A334" s="114">
        <v>313743</v>
      </c>
      <c r="B334" s="90" t="s">
        <v>1672</v>
      </c>
      <c r="C334" s="90" t="s">
        <v>508</v>
      </c>
      <c r="D334" s="90" t="s">
        <v>1673</v>
      </c>
      <c r="E334" s="90" t="s">
        <v>875</v>
      </c>
      <c r="F334" s="90" t="s">
        <v>1674</v>
      </c>
      <c r="G334" t="s">
        <v>512</v>
      </c>
    </row>
    <row r="335" spans="1:7" x14ac:dyDescent="0.25">
      <c r="A335" s="114">
        <v>313745</v>
      </c>
      <c r="B335" s="90" t="s">
        <v>1675</v>
      </c>
      <c r="C335" s="90" t="s">
        <v>508</v>
      </c>
      <c r="D335" s="90" t="s">
        <v>1676</v>
      </c>
      <c r="E335" s="90" t="s">
        <v>539</v>
      </c>
      <c r="F335" s="90" t="s">
        <v>1677</v>
      </c>
      <c r="G335" t="s">
        <v>512</v>
      </c>
    </row>
    <row r="336" spans="1:7" x14ac:dyDescent="0.25">
      <c r="A336" s="114">
        <v>313746</v>
      </c>
      <c r="B336" s="90" t="s">
        <v>1678</v>
      </c>
      <c r="C336" s="90" t="s">
        <v>508</v>
      </c>
      <c r="D336" s="90" t="s">
        <v>1679</v>
      </c>
      <c r="E336" s="90" t="s">
        <v>1039</v>
      </c>
      <c r="F336" s="90" t="s">
        <v>1680</v>
      </c>
      <c r="G336" t="s">
        <v>512</v>
      </c>
    </row>
    <row r="337" spans="1:7" x14ac:dyDescent="0.25">
      <c r="A337" s="114">
        <v>313752</v>
      </c>
      <c r="B337" s="90" t="s">
        <v>1681</v>
      </c>
      <c r="C337" s="90" t="s">
        <v>508</v>
      </c>
      <c r="D337" s="90" t="s">
        <v>1682</v>
      </c>
      <c r="E337" s="90" t="s">
        <v>1683</v>
      </c>
      <c r="F337" s="90" t="s">
        <v>1684</v>
      </c>
      <c r="G337" t="s">
        <v>512</v>
      </c>
    </row>
    <row r="338" spans="1:7" x14ac:dyDescent="0.25">
      <c r="A338" s="114">
        <v>313755</v>
      </c>
      <c r="B338" s="90" t="s">
        <v>1685</v>
      </c>
      <c r="C338" s="90" t="s">
        <v>508</v>
      </c>
      <c r="D338" s="90" t="s">
        <v>1686</v>
      </c>
      <c r="E338" s="90" t="s">
        <v>1687</v>
      </c>
      <c r="F338" s="90" t="s">
        <v>1688</v>
      </c>
      <c r="G338" t="s">
        <v>512</v>
      </c>
    </row>
    <row r="339" spans="1:7" x14ac:dyDescent="0.25">
      <c r="A339" s="114">
        <v>313769</v>
      </c>
      <c r="B339" s="90" t="s">
        <v>1689</v>
      </c>
      <c r="C339" s="90" t="s">
        <v>508</v>
      </c>
      <c r="D339" s="90" t="s">
        <v>1690</v>
      </c>
      <c r="E339" s="90" t="s">
        <v>1691</v>
      </c>
      <c r="F339" s="90" t="s">
        <v>1692</v>
      </c>
      <c r="G339" t="s">
        <v>512</v>
      </c>
    </row>
    <row r="340" spans="1:7" x14ac:dyDescent="0.25">
      <c r="A340" s="114">
        <v>313799</v>
      </c>
      <c r="B340" s="90" t="s">
        <v>1693</v>
      </c>
      <c r="C340" s="90" t="s">
        <v>508</v>
      </c>
      <c r="D340" s="90" t="s">
        <v>1694</v>
      </c>
      <c r="E340" s="90" t="s">
        <v>1695</v>
      </c>
      <c r="F340" s="90" t="s">
        <v>1696</v>
      </c>
      <c r="G340" t="s">
        <v>512</v>
      </c>
    </row>
    <row r="341" spans="1:7" x14ac:dyDescent="0.25">
      <c r="A341" s="114">
        <v>313850</v>
      </c>
      <c r="B341" s="90" t="s">
        <v>305</v>
      </c>
      <c r="C341" s="90" t="s">
        <v>508</v>
      </c>
      <c r="D341" s="90" t="s">
        <v>1697</v>
      </c>
      <c r="E341" s="90" t="s">
        <v>1550</v>
      </c>
      <c r="F341" s="90" t="s">
        <v>1698</v>
      </c>
      <c r="G341" t="s">
        <v>512</v>
      </c>
    </row>
    <row r="342" spans="1:7" x14ac:dyDescent="0.25">
      <c r="A342" s="114">
        <v>313874</v>
      </c>
      <c r="B342" s="90" t="s">
        <v>1699</v>
      </c>
      <c r="C342" s="90" t="s">
        <v>508</v>
      </c>
      <c r="D342" s="90" t="s">
        <v>1700</v>
      </c>
      <c r="E342" s="90" t="s">
        <v>1701</v>
      </c>
      <c r="F342" s="90" t="s">
        <v>1702</v>
      </c>
      <c r="G342" t="s">
        <v>512</v>
      </c>
    </row>
    <row r="343" spans="1:7" x14ac:dyDescent="0.25">
      <c r="A343" s="114">
        <v>313875</v>
      </c>
      <c r="B343" s="90" t="s">
        <v>1703</v>
      </c>
      <c r="C343" s="90" t="s">
        <v>508</v>
      </c>
      <c r="D343" s="90" t="s">
        <v>1704</v>
      </c>
      <c r="E343" s="90" t="s">
        <v>614</v>
      </c>
      <c r="F343" s="90" t="s">
        <v>1705</v>
      </c>
      <c r="G343" t="s">
        <v>512</v>
      </c>
    </row>
    <row r="344" spans="1:7" x14ac:dyDescent="0.25">
      <c r="A344" s="114">
        <v>313897</v>
      </c>
      <c r="B344" s="90" t="s">
        <v>1440</v>
      </c>
      <c r="C344" s="90" t="s">
        <v>508</v>
      </c>
      <c r="D344" s="90" t="s">
        <v>1706</v>
      </c>
      <c r="E344" s="90" t="s">
        <v>1440</v>
      </c>
      <c r="F344" s="90" t="s">
        <v>1707</v>
      </c>
      <c r="G344" t="s">
        <v>512</v>
      </c>
    </row>
    <row r="345" spans="1:7" x14ac:dyDescent="0.25">
      <c r="A345" s="114">
        <v>313918</v>
      </c>
      <c r="B345" s="90" t="s">
        <v>1708</v>
      </c>
      <c r="C345" s="90" t="s">
        <v>508</v>
      </c>
      <c r="D345" s="90" t="s">
        <v>1709</v>
      </c>
      <c r="E345" s="90" t="s">
        <v>1710</v>
      </c>
      <c r="F345" s="90" t="s">
        <v>1711</v>
      </c>
      <c r="G345" t="s">
        <v>512</v>
      </c>
    </row>
    <row r="346" spans="1:7" x14ac:dyDescent="0.25">
      <c r="A346" s="114">
        <v>313920</v>
      </c>
      <c r="B346" s="90" t="s">
        <v>202</v>
      </c>
      <c r="C346" s="90" t="s">
        <v>508</v>
      </c>
      <c r="D346" s="90" t="s">
        <v>1020</v>
      </c>
      <c r="E346" s="90" t="s">
        <v>945</v>
      </c>
      <c r="F346" s="90" t="s">
        <v>1712</v>
      </c>
      <c r="G346" t="s">
        <v>512</v>
      </c>
    </row>
    <row r="347" spans="1:7" x14ac:dyDescent="0.25">
      <c r="A347" s="114">
        <v>313949</v>
      </c>
      <c r="B347" s="90" t="s">
        <v>1713</v>
      </c>
      <c r="C347" s="90" t="s">
        <v>508</v>
      </c>
      <c r="D347" s="90" t="s">
        <v>1714</v>
      </c>
      <c r="E347" s="90" t="s">
        <v>1715</v>
      </c>
      <c r="F347" s="90" t="s">
        <v>1716</v>
      </c>
      <c r="G347" t="s">
        <v>512</v>
      </c>
    </row>
    <row r="348" spans="1:7" x14ac:dyDescent="0.25">
      <c r="A348" s="114">
        <v>313988</v>
      </c>
      <c r="B348" s="90" t="s">
        <v>1717</v>
      </c>
      <c r="C348" s="90" t="s">
        <v>508</v>
      </c>
      <c r="D348" s="90" t="s">
        <v>1718</v>
      </c>
      <c r="E348" s="90" t="s">
        <v>1719</v>
      </c>
      <c r="F348" s="90" t="s">
        <v>1720</v>
      </c>
      <c r="G348" t="s">
        <v>512</v>
      </c>
    </row>
    <row r="349" spans="1:7" x14ac:dyDescent="0.25">
      <c r="A349" s="114">
        <v>313989</v>
      </c>
      <c r="B349" s="90" t="s">
        <v>1721</v>
      </c>
      <c r="C349" s="90" t="s">
        <v>508</v>
      </c>
      <c r="D349" s="90" t="s">
        <v>1722</v>
      </c>
      <c r="E349" s="90" t="s">
        <v>1723</v>
      </c>
      <c r="F349" s="90" t="s">
        <v>1724</v>
      </c>
      <c r="G349" t="s">
        <v>512</v>
      </c>
    </row>
    <row r="350" spans="1:7" x14ac:dyDescent="0.25">
      <c r="A350" s="114">
        <v>314076</v>
      </c>
      <c r="B350" s="90" t="s">
        <v>1725</v>
      </c>
      <c r="C350" s="90" t="s">
        <v>508</v>
      </c>
      <c r="D350" s="90" t="s">
        <v>1726</v>
      </c>
      <c r="E350" s="90" t="s">
        <v>1727</v>
      </c>
      <c r="F350" s="90" t="s">
        <v>1728</v>
      </c>
      <c r="G350" t="s">
        <v>512</v>
      </c>
    </row>
    <row r="351" spans="1:7" x14ac:dyDescent="0.25">
      <c r="A351" s="114">
        <v>314099</v>
      </c>
      <c r="B351" s="90" t="s">
        <v>1729</v>
      </c>
      <c r="C351" s="90" t="s">
        <v>508</v>
      </c>
      <c r="D351" s="90" t="s">
        <v>1730</v>
      </c>
      <c r="E351" s="90" t="s">
        <v>1731</v>
      </c>
      <c r="F351" s="90" t="s">
        <v>1732</v>
      </c>
      <c r="G351" t="s">
        <v>512</v>
      </c>
    </row>
    <row r="352" spans="1:7" x14ac:dyDescent="0.25">
      <c r="A352" s="114">
        <v>314145</v>
      </c>
      <c r="B352" s="90" t="s">
        <v>451</v>
      </c>
      <c r="C352" s="90" t="s">
        <v>508</v>
      </c>
      <c r="D352" s="90" t="s">
        <v>1733</v>
      </c>
      <c r="E352" s="90" t="s">
        <v>1734</v>
      </c>
      <c r="F352" s="90" t="s">
        <v>1735</v>
      </c>
      <c r="G352" t="s">
        <v>512</v>
      </c>
    </row>
    <row r="353" spans="1:7" x14ac:dyDescent="0.25">
      <c r="A353" s="114">
        <v>314175</v>
      </c>
      <c r="B353" s="90" t="s">
        <v>1736</v>
      </c>
      <c r="C353" s="90" t="s">
        <v>508</v>
      </c>
      <c r="D353" s="90" t="s">
        <v>1737</v>
      </c>
      <c r="E353" s="90" t="s">
        <v>875</v>
      </c>
      <c r="F353" s="90" t="s">
        <v>1738</v>
      </c>
      <c r="G353" t="s">
        <v>512</v>
      </c>
    </row>
    <row r="354" spans="1:7" x14ac:dyDescent="0.25">
      <c r="A354" s="114">
        <v>314271</v>
      </c>
      <c r="B354" s="90" t="s">
        <v>1739</v>
      </c>
      <c r="C354" s="90" t="s">
        <v>508</v>
      </c>
      <c r="D354" s="90" t="s">
        <v>1740</v>
      </c>
      <c r="E354" s="90" t="s">
        <v>1741</v>
      </c>
      <c r="F354" s="90" t="s">
        <v>1742</v>
      </c>
      <c r="G354" t="s">
        <v>512</v>
      </c>
    </row>
    <row r="355" spans="1:7" x14ac:dyDescent="0.25">
      <c r="A355" s="114">
        <v>314272</v>
      </c>
      <c r="B355" s="90" t="s">
        <v>1743</v>
      </c>
      <c r="C355" s="90" t="s">
        <v>508</v>
      </c>
      <c r="D355" s="90" t="s">
        <v>1744</v>
      </c>
      <c r="E355" s="90" t="s">
        <v>1745</v>
      </c>
      <c r="F355" s="90" t="s">
        <v>1746</v>
      </c>
      <c r="G355" t="s">
        <v>512</v>
      </c>
    </row>
    <row r="356" spans="1:7" x14ac:dyDescent="0.25">
      <c r="A356" s="114">
        <v>314273</v>
      </c>
      <c r="B356" s="90" t="s">
        <v>1747</v>
      </c>
      <c r="C356" s="90" t="s">
        <v>508</v>
      </c>
      <c r="D356" s="90" t="s">
        <v>1748</v>
      </c>
      <c r="E356" s="90" t="s">
        <v>1749</v>
      </c>
      <c r="F356" s="90" t="s">
        <v>1750</v>
      </c>
      <c r="G356" t="s">
        <v>512</v>
      </c>
    </row>
    <row r="357" spans="1:7" x14ac:dyDescent="0.25">
      <c r="A357" s="114">
        <v>314283</v>
      </c>
      <c r="B357" s="90" t="s">
        <v>1751</v>
      </c>
      <c r="C357" s="90" t="s">
        <v>508</v>
      </c>
      <c r="D357" s="90" t="s">
        <v>1752</v>
      </c>
      <c r="E357" s="90" t="s">
        <v>1351</v>
      </c>
      <c r="F357" s="90" t="s">
        <v>1753</v>
      </c>
      <c r="G357" t="s">
        <v>512</v>
      </c>
    </row>
    <row r="358" spans="1:7" x14ac:dyDescent="0.25">
      <c r="A358" s="114">
        <v>314285</v>
      </c>
      <c r="B358" s="90" t="s">
        <v>1754</v>
      </c>
      <c r="C358" s="90" t="s">
        <v>508</v>
      </c>
      <c r="D358" s="90" t="s">
        <v>1755</v>
      </c>
      <c r="E358" s="90" t="s">
        <v>1756</v>
      </c>
      <c r="F358" s="90" t="s">
        <v>1757</v>
      </c>
      <c r="G358" t="s">
        <v>512</v>
      </c>
    </row>
    <row r="359" spans="1:7" x14ac:dyDescent="0.25">
      <c r="A359" s="114">
        <v>314286</v>
      </c>
      <c r="B359" s="90" t="s">
        <v>1758</v>
      </c>
      <c r="C359" s="90" t="s">
        <v>508</v>
      </c>
      <c r="D359" s="90" t="s">
        <v>1759</v>
      </c>
      <c r="E359" s="90" t="s">
        <v>1760</v>
      </c>
      <c r="F359" s="90" t="s">
        <v>1761</v>
      </c>
      <c r="G359" t="s">
        <v>859</v>
      </c>
    </row>
    <row r="360" spans="1:7" x14ac:dyDescent="0.25">
      <c r="A360" s="114">
        <v>314313</v>
      </c>
      <c r="B360" s="90" t="s">
        <v>1762</v>
      </c>
      <c r="C360" s="90" t="s">
        <v>508</v>
      </c>
      <c r="D360" s="90" t="s">
        <v>1763</v>
      </c>
      <c r="E360" s="90" t="s">
        <v>1568</v>
      </c>
      <c r="F360" s="90" t="s">
        <v>1764</v>
      </c>
      <c r="G360" t="s">
        <v>512</v>
      </c>
    </row>
    <row r="361" spans="1:7" x14ac:dyDescent="0.25">
      <c r="A361" s="114">
        <v>314314</v>
      </c>
      <c r="B361" s="90" t="s">
        <v>1765</v>
      </c>
      <c r="C361" s="90" t="s">
        <v>508</v>
      </c>
      <c r="D361" s="90" t="s">
        <v>1766</v>
      </c>
      <c r="E361" s="90" t="s">
        <v>1767</v>
      </c>
      <c r="F361" s="90" t="s">
        <v>1768</v>
      </c>
      <c r="G361" t="s">
        <v>512</v>
      </c>
    </row>
    <row r="362" spans="1:7" x14ac:dyDescent="0.25">
      <c r="A362" s="114">
        <v>314329</v>
      </c>
      <c r="B362" s="90" t="s">
        <v>1769</v>
      </c>
      <c r="C362" s="90" t="s">
        <v>508</v>
      </c>
      <c r="D362" s="90" t="s">
        <v>1770</v>
      </c>
      <c r="E362" s="90" t="s">
        <v>1771</v>
      </c>
      <c r="F362" s="90" t="s">
        <v>1772</v>
      </c>
      <c r="G362" t="s">
        <v>512</v>
      </c>
    </row>
    <row r="363" spans="1:7" x14ac:dyDescent="0.25">
      <c r="A363" s="114">
        <v>314370</v>
      </c>
      <c r="B363" s="90" t="s">
        <v>1773</v>
      </c>
      <c r="C363" s="90" t="s">
        <v>508</v>
      </c>
      <c r="D363" s="90" t="s">
        <v>1774</v>
      </c>
      <c r="E363" s="90" t="s">
        <v>910</v>
      </c>
      <c r="F363" s="90" t="s">
        <v>1775</v>
      </c>
      <c r="G363" t="s">
        <v>512</v>
      </c>
    </row>
    <row r="364" spans="1:7" x14ac:dyDescent="0.25">
      <c r="A364" s="114">
        <v>314389</v>
      </c>
      <c r="B364" s="90" t="s">
        <v>1776</v>
      </c>
      <c r="C364" s="90" t="s">
        <v>508</v>
      </c>
      <c r="D364" s="90" t="s">
        <v>1777</v>
      </c>
      <c r="E364" s="90" t="s">
        <v>1778</v>
      </c>
      <c r="F364" s="90" t="s">
        <v>1779</v>
      </c>
      <c r="G364" t="s">
        <v>512</v>
      </c>
    </row>
    <row r="365" spans="1:7" x14ac:dyDescent="0.25">
      <c r="A365" s="114">
        <v>314450</v>
      </c>
      <c r="B365" s="90" t="s">
        <v>1780</v>
      </c>
      <c r="C365" s="90" t="s">
        <v>508</v>
      </c>
      <c r="D365" s="90" t="s">
        <v>1781</v>
      </c>
      <c r="E365" s="90" t="s">
        <v>1782</v>
      </c>
      <c r="F365" s="90" t="s">
        <v>1783</v>
      </c>
      <c r="G365" t="s">
        <v>512</v>
      </c>
    </row>
    <row r="366" spans="1:7" x14ac:dyDescent="0.25">
      <c r="A366" s="114">
        <v>314501</v>
      </c>
      <c r="B366" s="90" t="s">
        <v>1784</v>
      </c>
      <c r="C366" s="90" t="s">
        <v>508</v>
      </c>
      <c r="D366" s="90" t="s">
        <v>1785</v>
      </c>
      <c r="E366" s="90" t="s">
        <v>610</v>
      </c>
      <c r="F366" s="90" t="s">
        <v>1786</v>
      </c>
      <c r="G366" t="s">
        <v>512</v>
      </c>
    </row>
    <row r="367" spans="1:7" x14ac:dyDescent="0.25">
      <c r="A367" s="114">
        <v>314531</v>
      </c>
      <c r="B367" s="90" t="s">
        <v>1787</v>
      </c>
      <c r="C367" s="90" t="s">
        <v>508</v>
      </c>
      <c r="D367" s="90" t="s">
        <v>1788</v>
      </c>
      <c r="E367" s="90" t="s">
        <v>583</v>
      </c>
      <c r="F367" s="90" t="s">
        <v>1789</v>
      </c>
      <c r="G367" t="s">
        <v>512</v>
      </c>
    </row>
    <row r="368" spans="1:7" x14ac:dyDescent="0.25">
      <c r="A368" s="114">
        <v>314534</v>
      </c>
      <c r="B368" s="90" t="s">
        <v>1790</v>
      </c>
      <c r="C368" s="90" t="s">
        <v>508</v>
      </c>
      <c r="D368" s="90" t="s">
        <v>1791</v>
      </c>
      <c r="E368" s="90" t="s">
        <v>1792</v>
      </c>
      <c r="F368" s="90" t="s">
        <v>1793</v>
      </c>
      <c r="G368" t="s">
        <v>512</v>
      </c>
    </row>
    <row r="369" spans="1:7" x14ac:dyDescent="0.25">
      <c r="A369" s="114">
        <v>314545</v>
      </c>
      <c r="B369" s="90" t="s">
        <v>178</v>
      </c>
      <c r="C369" s="90" t="s">
        <v>508</v>
      </c>
      <c r="D369" s="90" t="s">
        <v>1064</v>
      </c>
      <c r="E369" s="90" t="s">
        <v>656</v>
      </c>
      <c r="F369" s="90" t="s">
        <v>1794</v>
      </c>
      <c r="G369" t="s">
        <v>512</v>
      </c>
    </row>
    <row r="370" spans="1:7" x14ac:dyDescent="0.25">
      <c r="A370" s="114">
        <v>314546</v>
      </c>
      <c r="B370" s="90" t="s">
        <v>1795</v>
      </c>
      <c r="C370" s="90" t="s">
        <v>508</v>
      </c>
      <c r="D370" s="90" t="s">
        <v>1796</v>
      </c>
      <c r="E370" s="90" t="s">
        <v>1797</v>
      </c>
      <c r="F370" s="90" t="s">
        <v>1798</v>
      </c>
      <c r="G370" t="s">
        <v>512</v>
      </c>
    </row>
    <row r="371" spans="1:7" x14ac:dyDescent="0.25">
      <c r="A371" s="114">
        <v>314550</v>
      </c>
      <c r="B371" s="90" t="s">
        <v>1799</v>
      </c>
      <c r="C371" s="90" t="s">
        <v>508</v>
      </c>
      <c r="D371" s="90" t="s">
        <v>1800</v>
      </c>
      <c r="E371" s="90" t="s">
        <v>1801</v>
      </c>
      <c r="F371" s="90" t="s">
        <v>1802</v>
      </c>
      <c r="G371" t="s">
        <v>512</v>
      </c>
    </row>
    <row r="372" spans="1:7" x14ac:dyDescent="0.25">
      <c r="A372" s="114">
        <v>314572</v>
      </c>
      <c r="B372" s="90" t="s">
        <v>1803</v>
      </c>
      <c r="C372" s="90" t="s">
        <v>508</v>
      </c>
      <c r="D372" s="90" t="s">
        <v>1804</v>
      </c>
      <c r="E372" s="90" t="s">
        <v>1089</v>
      </c>
      <c r="F372" s="90" t="s">
        <v>1805</v>
      </c>
      <c r="G372" t="s">
        <v>512</v>
      </c>
    </row>
    <row r="373" spans="1:7" x14ac:dyDescent="0.25">
      <c r="A373" s="114">
        <v>314623</v>
      </c>
      <c r="B373" s="90" t="s">
        <v>1806</v>
      </c>
      <c r="C373" s="90" t="s">
        <v>508</v>
      </c>
      <c r="D373" s="90" t="s">
        <v>1807</v>
      </c>
      <c r="E373" s="90" t="s">
        <v>1808</v>
      </c>
      <c r="F373" s="90" t="s">
        <v>1809</v>
      </c>
      <c r="G373" t="s">
        <v>512</v>
      </c>
    </row>
    <row r="374" spans="1:7" x14ac:dyDescent="0.25">
      <c r="A374" s="114">
        <v>314724</v>
      </c>
      <c r="B374" s="90" t="s">
        <v>1810</v>
      </c>
      <c r="C374" s="90" t="s">
        <v>508</v>
      </c>
      <c r="D374" s="90" t="s">
        <v>1811</v>
      </c>
      <c r="E374" s="90" t="s">
        <v>614</v>
      </c>
      <c r="F374" s="90" t="s">
        <v>1812</v>
      </c>
      <c r="G374" t="s">
        <v>512</v>
      </c>
    </row>
    <row r="375" spans="1:7" x14ac:dyDescent="0.25">
      <c r="A375" s="114">
        <v>314725</v>
      </c>
      <c r="B375" s="90" t="s">
        <v>1813</v>
      </c>
      <c r="C375" s="90" t="s">
        <v>508</v>
      </c>
      <c r="D375" s="90" t="s">
        <v>1814</v>
      </c>
      <c r="E375" s="90" t="s">
        <v>563</v>
      </c>
      <c r="F375" s="90" t="s">
        <v>1815</v>
      </c>
      <c r="G375" t="s">
        <v>512</v>
      </c>
    </row>
    <row r="376" spans="1:7" x14ac:dyDescent="0.25">
      <c r="A376" s="114">
        <v>314756</v>
      </c>
      <c r="B376" s="90" t="s">
        <v>1816</v>
      </c>
      <c r="C376" s="90" t="s">
        <v>508</v>
      </c>
      <c r="D376" s="90" t="s">
        <v>1817</v>
      </c>
      <c r="E376" s="90" t="s">
        <v>1818</v>
      </c>
      <c r="F376" s="90" t="s">
        <v>1819</v>
      </c>
      <c r="G376" t="s">
        <v>512</v>
      </c>
    </row>
    <row r="377" spans="1:7" x14ac:dyDescent="0.25">
      <c r="A377" s="114">
        <v>314777</v>
      </c>
      <c r="B377" s="90" t="s">
        <v>1820</v>
      </c>
      <c r="C377" s="90" t="s">
        <v>508</v>
      </c>
      <c r="D377" s="90" t="s">
        <v>1821</v>
      </c>
      <c r="E377" s="90" t="s">
        <v>1801</v>
      </c>
      <c r="F377" s="90" t="s">
        <v>1822</v>
      </c>
      <c r="G377" t="s">
        <v>512</v>
      </c>
    </row>
    <row r="378" spans="1:7" x14ac:dyDescent="0.25">
      <c r="A378" s="114">
        <v>314824</v>
      </c>
      <c r="B378" s="90" t="s">
        <v>1823</v>
      </c>
      <c r="C378" s="90" t="s">
        <v>508</v>
      </c>
      <c r="D378" s="90" t="s">
        <v>1824</v>
      </c>
      <c r="E378" s="90" t="s">
        <v>1825</v>
      </c>
      <c r="F378" s="90" t="s">
        <v>1826</v>
      </c>
      <c r="G378" t="s">
        <v>512</v>
      </c>
    </row>
    <row r="379" spans="1:7" x14ac:dyDescent="0.25">
      <c r="A379" s="114">
        <v>314876</v>
      </c>
      <c r="B379" s="90" t="s">
        <v>1827</v>
      </c>
      <c r="C379" s="90" t="s">
        <v>508</v>
      </c>
      <c r="D379" s="90" t="s">
        <v>1828</v>
      </c>
      <c r="E379" s="90" t="s">
        <v>614</v>
      </c>
      <c r="F379" s="90" t="s">
        <v>1829</v>
      </c>
      <c r="G379" t="s">
        <v>512</v>
      </c>
    </row>
    <row r="380" spans="1:7" x14ac:dyDescent="0.25">
      <c r="A380" s="114">
        <v>314892</v>
      </c>
      <c r="B380" s="90" t="s">
        <v>1830</v>
      </c>
      <c r="C380" s="90" t="s">
        <v>508</v>
      </c>
      <c r="D380" s="90" t="s">
        <v>1831</v>
      </c>
      <c r="E380" s="90" t="s">
        <v>583</v>
      </c>
      <c r="F380" s="90" t="s">
        <v>1832</v>
      </c>
      <c r="G380" t="s">
        <v>512</v>
      </c>
    </row>
    <row r="381" spans="1:7" x14ac:dyDescent="0.25">
      <c r="A381" s="114">
        <v>314912</v>
      </c>
      <c r="B381" s="90" t="s">
        <v>1833</v>
      </c>
      <c r="C381" s="90" t="s">
        <v>508</v>
      </c>
      <c r="D381" s="90" t="s">
        <v>1834</v>
      </c>
      <c r="E381" s="90" t="s">
        <v>1514</v>
      </c>
      <c r="F381" s="90" t="s">
        <v>1835</v>
      </c>
      <c r="G381" t="s">
        <v>512</v>
      </c>
    </row>
    <row r="382" spans="1:7" x14ac:dyDescent="0.25">
      <c r="A382" s="114">
        <v>314938</v>
      </c>
      <c r="B382" s="90" t="s">
        <v>1836</v>
      </c>
      <c r="C382" s="90" t="s">
        <v>508</v>
      </c>
      <c r="D382" s="90" t="s">
        <v>1837</v>
      </c>
      <c r="E382" s="90" t="s">
        <v>1838</v>
      </c>
      <c r="F382" s="90" t="s">
        <v>1839</v>
      </c>
      <c r="G382" t="s">
        <v>512</v>
      </c>
    </row>
    <row r="383" spans="1:7" x14ac:dyDescent="0.25">
      <c r="A383" s="114">
        <v>314990</v>
      </c>
      <c r="B383" s="90" t="s">
        <v>1840</v>
      </c>
      <c r="C383" s="90" t="s">
        <v>508</v>
      </c>
      <c r="D383" s="90" t="s">
        <v>1841</v>
      </c>
      <c r="E383" s="90" t="s">
        <v>1469</v>
      </c>
      <c r="F383" s="90" t="s">
        <v>1842</v>
      </c>
      <c r="G383" t="s">
        <v>512</v>
      </c>
    </row>
    <row r="384" spans="1:7" x14ac:dyDescent="0.25">
      <c r="A384" s="114">
        <v>315044</v>
      </c>
      <c r="B384" s="90" t="s">
        <v>1843</v>
      </c>
      <c r="C384" s="90" t="s">
        <v>508</v>
      </c>
      <c r="D384" s="90" t="s">
        <v>1844</v>
      </c>
      <c r="E384" s="90" t="s">
        <v>1845</v>
      </c>
      <c r="F384" s="90" t="s">
        <v>1846</v>
      </c>
      <c r="G384" t="s">
        <v>512</v>
      </c>
    </row>
    <row r="385" spans="1:7" x14ac:dyDescent="0.25">
      <c r="A385" s="114">
        <v>315058</v>
      </c>
      <c r="B385" s="90" t="s">
        <v>1847</v>
      </c>
      <c r="C385" s="90" t="s">
        <v>508</v>
      </c>
      <c r="D385" s="90" t="s">
        <v>1848</v>
      </c>
      <c r="E385" s="90" t="s">
        <v>1485</v>
      </c>
      <c r="F385" s="90" t="s">
        <v>1849</v>
      </c>
      <c r="G385" t="s">
        <v>512</v>
      </c>
    </row>
    <row r="386" spans="1:7" x14ac:dyDescent="0.25">
      <c r="A386" s="114">
        <v>315067</v>
      </c>
      <c r="B386" s="90" t="s">
        <v>1850</v>
      </c>
      <c r="C386" s="90" t="s">
        <v>508</v>
      </c>
      <c r="D386" s="90" t="s">
        <v>1851</v>
      </c>
      <c r="E386" s="90" t="s">
        <v>1852</v>
      </c>
      <c r="F386" s="90" t="s">
        <v>1853</v>
      </c>
      <c r="G386" t="s">
        <v>512</v>
      </c>
    </row>
    <row r="387" spans="1:7" x14ac:dyDescent="0.25">
      <c r="A387" s="114">
        <v>315088</v>
      </c>
      <c r="B387" s="90" t="s">
        <v>1854</v>
      </c>
      <c r="C387" s="90" t="s">
        <v>508</v>
      </c>
      <c r="D387" s="90" t="s">
        <v>1855</v>
      </c>
      <c r="E387" s="90" t="s">
        <v>1625</v>
      </c>
      <c r="F387" s="90" t="s">
        <v>1856</v>
      </c>
      <c r="G387" t="s">
        <v>512</v>
      </c>
    </row>
    <row r="388" spans="1:7" x14ac:dyDescent="0.25">
      <c r="A388" s="114">
        <v>315227</v>
      </c>
      <c r="B388" s="90" t="s">
        <v>1857</v>
      </c>
      <c r="C388" s="90" t="s">
        <v>508</v>
      </c>
      <c r="D388" s="90" t="s">
        <v>1858</v>
      </c>
      <c r="E388" s="90" t="s">
        <v>1859</v>
      </c>
      <c r="F388" s="90" t="s">
        <v>1860</v>
      </c>
      <c r="G388" t="s">
        <v>512</v>
      </c>
    </row>
    <row r="389" spans="1:7" x14ac:dyDescent="0.25">
      <c r="A389" s="114">
        <v>315243</v>
      </c>
      <c r="B389" s="90" t="s">
        <v>1861</v>
      </c>
      <c r="C389" s="90" t="s">
        <v>508</v>
      </c>
      <c r="D389" s="90" t="s">
        <v>1862</v>
      </c>
      <c r="E389" s="90" t="s">
        <v>945</v>
      </c>
      <c r="F389" s="90" t="s">
        <v>1863</v>
      </c>
      <c r="G389" t="s">
        <v>512</v>
      </c>
    </row>
    <row r="390" spans="1:7" x14ac:dyDescent="0.25">
      <c r="A390" s="114">
        <v>315283</v>
      </c>
      <c r="B390" s="90" t="s">
        <v>1864</v>
      </c>
      <c r="C390" s="90" t="s">
        <v>508</v>
      </c>
      <c r="D390" s="90" t="s">
        <v>1865</v>
      </c>
      <c r="E390" s="90" t="s">
        <v>1866</v>
      </c>
      <c r="F390" s="90" t="s">
        <v>1867</v>
      </c>
      <c r="G390" t="s">
        <v>512</v>
      </c>
    </row>
    <row r="391" spans="1:7" x14ac:dyDescent="0.25">
      <c r="A391" s="114">
        <v>315301</v>
      </c>
      <c r="B391" s="90" t="s">
        <v>1868</v>
      </c>
      <c r="C391" s="90" t="s">
        <v>508</v>
      </c>
      <c r="D391" s="90" t="s">
        <v>1869</v>
      </c>
      <c r="E391" s="90" t="s">
        <v>1870</v>
      </c>
      <c r="F391" s="90" t="s">
        <v>1871</v>
      </c>
      <c r="G391" t="s">
        <v>512</v>
      </c>
    </row>
    <row r="392" spans="1:7" x14ac:dyDescent="0.25">
      <c r="A392" s="114">
        <v>315303</v>
      </c>
      <c r="B392" s="90" t="s">
        <v>1872</v>
      </c>
      <c r="C392" s="90" t="s">
        <v>508</v>
      </c>
      <c r="D392" s="90" t="s">
        <v>1873</v>
      </c>
      <c r="E392" s="90" t="s">
        <v>910</v>
      </c>
      <c r="F392" s="90" t="s">
        <v>1874</v>
      </c>
      <c r="G392" t="s">
        <v>512</v>
      </c>
    </row>
    <row r="393" spans="1:7" x14ac:dyDescent="0.25">
      <c r="A393" s="114">
        <v>315307</v>
      </c>
      <c r="B393" s="90" t="s">
        <v>1875</v>
      </c>
      <c r="C393" s="90" t="s">
        <v>508</v>
      </c>
      <c r="D393" s="90" t="s">
        <v>1876</v>
      </c>
      <c r="E393" s="90" t="s">
        <v>527</v>
      </c>
      <c r="F393" s="90" t="s">
        <v>1877</v>
      </c>
      <c r="G393" t="s">
        <v>512</v>
      </c>
    </row>
    <row r="394" spans="1:7" x14ac:dyDescent="0.25">
      <c r="A394" s="114">
        <v>315360</v>
      </c>
      <c r="B394" s="90" t="s">
        <v>1878</v>
      </c>
      <c r="C394" s="90" t="s">
        <v>508</v>
      </c>
      <c r="D394" s="90" t="s">
        <v>1879</v>
      </c>
      <c r="E394" s="90" t="s">
        <v>1414</v>
      </c>
      <c r="F394" s="90" t="s">
        <v>1880</v>
      </c>
      <c r="G394" t="s">
        <v>512</v>
      </c>
    </row>
    <row r="395" spans="1:7" x14ac:dyDescent="0.25">
      <c r="A395" s="114">
        <v>315398</v>
      </c>
      <c r="B395" s="90" t="s">
        <v>1881</v>
      </c>
      <c r="C395" s="90" t="s">
        <v>508</v>
      </c>
      <c r="D395" s="90" t="s">
        <v>1882</v>
      </c>
      <c r="E395" s="90" t="s">
        <v>941</v>
      </c>
      <c r="F395" s="90" t="s">
        <v>1883</v>
      </c>
      <c r="G395" t="s">
        <v>512</v>
      </c>
    </row>
    <row r="396" spans="1:7" x14ac:dyDescent="0.25">
      <c r="A396" s="114">
        <v>315423</v>
      </c>
      <c r="B396" s="90" t="s">
        <v>1884</v>
      </c>
      <c r="C396" s="90" t="s">
        <v>508</v>
      </c>
      <c r="D396" s="90" t="s">
        <v>1885</v>
      </c>
      <c r="E396" s="90" t="s">
        <v>777</v>
      </c>
      <c r="F396" s="90" t="s">
        <v>1886</v>
      </c>
      <c r="G396" t="s">
        <v>512</v>
      </c>
    </row>
    <row r="397" spans="1:7" x14ac:dyDescent="0.25">
      <c r="A397" s="114">
        <v>315424</v>
      </c>
      <c r="B397" s="90" t="s">
        <v>1887</v>
      </c>
      <c r="C397" s="90" t="s">
        <v>508</v>
      </c>
      <c r="D397" s="90" t="s">
        <v>1888</v>
      </c>
      <c r="E397" s="90" t="s">
        <v>1889</v>
      </c>
      <c r="F397" s="90" t="s">
        <v>1890</v>
      </c>
      <c r="G397" t="s">
        <v>512</v>
      </c>
    </row>
    <row r="398" spans="1:7" x14ac:dyDescent="0.25">
      <c r="A398" s="114">
        <v>315425</v>
      </c>
      <c r="B398" s="90" t="s">
        <v>212</v>
      </c>
      <c r="C398" s="90" t="s">
        <v>508</v>
      </c>
      <c r="D398" s="90" t="s">
        <v>1891</v>
      </c>
      <c r="E398" s="90" t="s">
        <v>1892</v>
      </c>
      <c r="F398" s="90" t="s">
        <v>1893</v>
      </c>
      <c r="G398" t="s">
        <v>512</v>
      </c>
    </row>
    <row r="399" spans="1:7" x14ac:dyDescent="0.25">
      <c r="A399" s="114">
        <v>315426</v>
      </c>
      <c r="B399" s="90" t="s">
        <v>1894</v>
      </c>
      <c r="C399" s="90" t="s">
        <v>508</v>
      </c>
      <c r="D399" s="90" t="s">
        <v>1895</v>
      </c>
      <c r="E399" s="90" t="s">
        <v>1896</v>
      </c>
      <c r="F399" s="90" t="s">
        <v>1897</v>
      </c>
      <c r="G399" t="s">
        <v>512</v>
      </c>
    </row>
    <row r="400" spans="1:7" x14ac:dyDescent="0.25">
      <c r="A400" s="114">
        <v>315573</v>
      </c>
      <c r="B400" s="90" t="s">
        <v>1898</v>
      </c>
      <c r="C400" s="90" t="s">
        <v>508</v>
      </c>
      <c r="D400" s="90" t="s">
        <v>1899</v>
      </c>
      <c r="E400" s="90" t="s">
        <v>1900</v>
      </c>
      <c r="F400" s="90" t="s">
        <v>1901</v>
      </c>
      <c r="G400" t="s">
        <v>512</v>
      </c>
    </row>
    <row r="401" spans="1:7" x14ac:dyDescent="0.25">
      <c r="A401" s="114">
        <v>315584</v>
      </c>
      <c r="B401" s="90" t="s">
        <v>1902</v>
      </c>
      <c r="C401" s="90" t="s">
        <v>508</v>
      </c>
      <c r="D401" s="90" t="s">
        <v>1903</v>
      </c>
      <c r="E401" s="90" t="s">
        <v>1904</v>
      </c>
      <c r="F401" s="90" t="s">
        <v>1905</v>
      </c>
      <c r="G401" t="s">
        <v>512</v>
      </c>
    </row>
    <row r="402" spans="1:7" x14ac:dyDescent="0.25">
      <c r="A402" s="114">
        <v>315593</v>
      </c>
      <c r="B402" s="90" t="s">
        <v>1906</v>
      </c>
      <c r="C402" s="90" t="s">
        <v>508</v>
      </c>
      <c r="D402" s="90" t="s">
        <v>1907</v>
      </c>
      <c r="E402" s="90" t="s">
        <v>1670</v>
      </c>
      <c r="F402" s="90" t="s">
        <v>1908</v>
      </c>
      <c r="G402" t="s">
        <v>512</v>
      </c>
    </row>
    <row r="403" spans="1:7" x14ac:dyDescent="0.25">
      <c r="A403" s="114">
        <v>315618</v>
      </c>
      <c r="B403" s="90" t="s">
        <v>1909</v>
      </c>
      <c r="C403" s="90" t="s">
        <v>508</v>
      </c>
      <c r="D403" s="90" t="s">
        <v>1910</v>
      </c>
      <c r="E403" s="90" t="s">
        <v>695</v>
      </c>
      <c r="F403" s="90" t="s">
        <v>1911</v>
      </c>
      <c r="G403" t="s">
        <v>512</v>
      </c>
    </row>
    <row r="404" spans="1:7" x14ac:dyDescent="0.25">
      <c r="A404" s="114">
        <v>315640</v>
      </c>
      <c r="B404" s="90" t="s">
        <v>1912</v>
      </c>
      <c r="C404" s="90" t="s">
        <v>508</v>
      </c>
      <c r="D404" s="90" t="s">
        <v>1913</v>
      </c>
      <c r="E404" s="90" t="s">
        <v>1914</v>
      </c>
      <c r="F404" s="90" t="s">
        <v>1915</v>
      </c>
      <c r="G404" t="s">
        <v>512</v>
      </c>
    </row>
    <row r="405" spans="1:7" x14ac:dyDescent="0.25">
      <c r="A405" s="114">
        <v>315683</v>
      </c>
      <c r="B405" s="90" t="s">
        <v>932</v>
      </c>
      <c r="C405" s="90" t="s">
        <v>508</v>
      </c>
      <c r="D405" s="90" t="s">
        <v>1916</v>
      </c>
      <c r="E405" s="90" t="s">
        <v>575</v>
      </c>
      <c r="F405" s="90" t="s">
        <v>576</v>
      </c>
      <c r="G405" t="s">
        <v>512</v>
      </c>
    </row>
    <row r="406" spans="1:7" x14ac:dyDescent="0.25">
      <c r="A406" s="114">
        <v>315740</v>
      </c>
      <c r="B406" s="90" t="s">
        <v>1917</v>
      </c>
      <c r="C406" s="90" t="s">
        <v>508</v>
      </c>
      <c r="D406" s="90" t="s">
        <v>1918</v>
      </c>
      <c r="E406" s="90" t="s">
        <v>1771</v>
      </c>
      <c r="F406" s="90" t="s">
        <v>1919</v>
      </c>
      <c r="G406" t="s">
        <v>512</v>
      </c>
    </row>
    <row r="407" spans="1:7" x14ac:dyDescent="0.25">
      <c r="A407" s="114">
        <v>315765</v>
      </c>
      <c r="B407" s="90" t="s">
        <v>1668</v>
      </c>
      <c r="C407" s="90" t="s">
        <v>508</v>
      </c>
      <c r="D407" s="90" t="s">
        <v>1920</v>
      </c>
      <c r="E407" s="90" t="s">
        <v>1489</v>
      </c>
      <c r="F407" s="90" t="s">
        <v>1921</v>
      </c>
      <c r="G407" t="s">
        <v>512</v>
      </c>
    </row>
    <row r="408" spans="1:7" x14ac:dyDescent="0.25">
      <c r="A408" s="114">
        <v>315795</v>
      </c>
      <c r="B408" s="90" t="s">
        <v>1922</v>
      </c>
      <c r="C408" s="90" t="s">
        <v>508</v>
      </c>
      <c r="D408" s="90" t="s">
        <v>1923</v>
      </c>
      <c r="E408" s="90" t="s">
        <v>1924</v>
      </c>
      <c r="F408" s="90" t="s">
        <v>1925</v>
      </c>
      <c r="G408" t="s">
        <v>512</v>
      </c>
    </row>
    <row r="409" spans="1:7" x14ac:dyDescent="0.25">
      <c r="A409" s="114">
        <v>315796</v>
      </c>
      <c r="B409" s="90" t="s">
        <v>1926</v>
      </c>
      <c r="C409" s="90" t="s">
        <v>508</v>
      </c>
      <c r="D409" s="90" t="s">
        <v>1927</v>
      </c>
      <c r="E409" s="90" t="s">
        <v>1928</v>
      </c>
      <c r="F409" s="90" t="s">
        <v>1929</v>
      </c>
      <c r="G409" t="s">
        <v>512</v>
      </c>
    </row>
    <row r="410" spans="1:7" x14ac:dyDescent="0.25">
      <c r="A410" s="114">
        <v>315847</v>
      </c>
      <c r="B410" s="90" t="s">
        <v>1930</v>
      </c>
      <c r="C410" s="90" t="s">
        <v>508</v>
      </c>
      <c r="D410" s="90" t="s">
        <v>1931</v>
      </c>
      <c r="E410" s="90" t="s">
        <v>1489</v>
      </c>
      <c r="F410" s="90" t="s">
        <v>1932</v>
      </c>
      <c r="G410" t="s">
        <v>512</v>
      </c>
    </row>
    <row r="411" spans="1:7" x14ac:dyDescent="0.25">
      <c r="A411" s="114">
        <v>315867</v>
      </c>
      <c r="B411" s="90" t="s">
        <v>366</v>
      </c>
      <c r="C411" s="90" t="s">
        <v>508</v>
      </c>
      <c r="D411" s="90" t="s">
        <v>1933</v>
      </c>
      <c r="E411" s="90" t="s">
        <v>1934</v>
      </c>
      <c r="F411" s="90" t="s">
        <v>1935</v>
      </c>
      <c r="G411" t="s">
        <v>512</v>
      </c>
    </row>
    <row r="412" spans="1:7" x14ac:dyDescent="0.25">
      <c r="A412" s="114">
        <v>315998</v>
      </c>
      <c r="B412" s="90" t="s">
        <v>1936</v>
      </c>
      <c r="C412" s="90" t="s">
        <v>508</v>
      </c>
      <c r="D412" s="90" t="s">
        <v>1937</v>
      </c>
      <c r="E412" s="90" t="s">
        <v>1938</v>
      </c>
      <c r="F412" s="90" t="s">
        <v>1939</v>
      </c>
      <c r="G412" t="s">
        <v>512</v>
      </c>
    </row>
    <row r="413" spans="1:7" x14ac:dyDescent="0.25">
      <c r="A413" s="114">
        <v>316083</v>
      </c>
      <c r="B413" s="90" t="s">
        <v>1940</v>
      </c>
      <c r="C413" s="90" t="s">
        <v>508</v>
      </c>
      <c r="D413" s="90" t="s">
        <v>1941</v>
      </c>
      <c r="E413" s="90" t="s">
        <v>1942</v>
      </c>
      <c r="F413" s="90" t="s">
        <v>1943</v>
      </c>
      <c r="G413" t="s">
        <v>512</v>
      </c>
    </row>
    <row r="414" spans="1:7" x14ac:dyDescent="0.25">
      <c r="A414" s="114">
        <v>316096</v>
      </c>
      <c r="B414" s="90" t="s">
        <v>1944</v>
      </c>
      <c r="C414" s="90" t="s">
        <v>508</v>
      </c>
      <c r="D414" s="90" t="s">
        <v>1945</v>
      </c>
      <c r="E414" s="90" t="s">
        <v>1946</v>
      </c>
      <c r="F414" s="90" t="s">
        <v>1947</v>
      </c>
      <c r="G414" t="s">
        <v>512</v>
      </c>
    </row>
    <row r="415" spans="1:7" x14ac:dyDescent="0.25">
      <c r="A415" s="114">
        <v>316105</v>
      </c>
      <c r="B415" s="90" t="s">
        <v>1948</v>
      </c>
      <c r="C415" s="90" t="s">
        <v>508</v>
      </c>
      <c r="D415" s="90" t="s">
        <v>1949</v>
      </c>
      <c r="E415" s="90" t="s">
        <v>543</v>
      </c>
      <c r="F415" s="90" t="s">
        <v>1950</v>
      </c>
      <c r="G415" t="s">
        <v>512</v>
      </c>
    </row>
    <row r="416" spans="1:7" x14ac:dyDescent="0.25">
      <c r="A416" s="114">
        <v>316158</v>
      </c>
      <c r="B416" s="90" t="s">
        <v>1951</v>
      </c>
      <c r="C416" s="90" t="s">
        <v>508</v>
      </c>
      <c r="D416" s="90" t="s">
        <v>1952</v>
      </c>
      <c r="E416" s="90" t="s">
        <v>818</v>
      </c>
      <c r="F416" s="90" t="s">
        <v>1953</v>
      </c>
      <c r="G416" t="s">
        <v>512</v>
      </c>
    </row>
    <row r="417" spans="1:7" x14ac:dyDescent="0.25">
      <c r="A417" s="114">
        <v>316310</v>
      </c>
      <c r="B417" s="90" t="s">
        <v>1954</v>
      </c>
      <c r="C417" s="90" t="s">
        <v>508</v>
      </c>
      <c r="D417" s="90" t="s">
        <v>1955</v>
      </c>
      <c r="E417" s="90" t="s">
        <v>1956</v>
      </c>
      <c r="F417" s="90" t="s">
        <v>1957</v>
      </c>
      <c r="G417" t="s">
        <v>512</v>
      </c>
    </row>
    <row r="418" spans="1:7" x14ac:dyDescent="0.25">
      <c r="A418" s="114">
        <v>316348</v>
      </c>
      <c r="B418" s="90" t="s">
        <v>1958</v>
      </c>
      <c r="C418" s="90" t="s">
        <v>508</v>
      </c>
      <c r="D418" s="90" t="s">
        <v>1959</v>
      </c>
      <c r="E418" s="90" t="s">
        <v>1205</v>
      </c>
      <c r="F418" s="90" t="s">
        <v>1960</v>
      </c>
      <c r="G418" t="s">
        <v>512</v>
      </c>
    </row>
    <row r="419" spans="1:7" x14ac:dyDescent="0.25">
      <c r="A419" s="114">
        <v>316365</v>
      </c>
      <c r="B419" s="90" t="s">
        <v>1961</v>
      </c>
      <c r="C419" s="90" t="s">
        <v>508</v>
      </c>
      <c r="D419" s="90" t="s">
        <v>1962</v>
      </c>
      <c r="E419" s="90" t="s">
        <v>1432</v>
      </c>
      <c r="F419" s="90" t="s">
        <v>1963</v>
      </c>
      <c r="G419" t="s">
        <v>512</v>
      </c>
    </row>
    <row r="420" spans="1:7" x14ac:dyDescent="0.25">
      <c r="A420" s="114">
        <v>316378</v>
      </c>
      <c r="B420" s="90" t="s">
        <v>1964</v>
      </c>
      <c r="C420" s="90" t="s">
        <v>508</v>
      </c>
      <c r="D420" s="90" t="s">
        <v>1965</v>
      </c>
      <c r="E420" s="90" t="s">
        <v>614</v>
      </c>
      <c r="F420" s="90" t="s">
        <v>1966</v>
      </c>
      <c r="G420" t="s">
        <v>512</v>
      </c>
    </row>
    <row r="421" spans="1:7" x14ac:dyDescent="0.25">
      <c r="A421" s="114">
        <v>316416</v>
      </c>
      <c r="B421" s="90" t="s">
        <v>1967</v>
      </c>
      <c r="C421" s="90" t="s">
        <v>508</v>
      </c>
      <c r="D421" s="90" t="s">
        <v>1968</v>
      </c>
      <c r="E421" s="90" t="s">
        <v>1969</v>
      </c>
      <c r="F421" s="90" t="s">
        <v>1970</v>
      </c>
      <c r="G421" t="s">
        <v>512</v>
      </c>
    </row>
    <row r="422" spans="1:7" x14ac:dyDescent="0.25">
      <c r="A422" s="114">
        <v>316449</v>
      </c>
      <c r="B422" s="90" t="s">
        <v>1971</v>
      </c>
      <c r="C422" s="90" t="s">
        <v>508</v>
      </c>
      <c r="D422" s="90" t="s">
        <v>1972</v>
      </c>
      <c r="E422" s="90" t="s">
        <v>695</v>
      </c>
      <c r="F422" s="90" t="s">
        <v>1973</v>
      </c>
      <c r="G422" t="s">
        <v>512</v>
      </c>
    </row>
    <row r="423" spans="1:7" x14ac:dyDescent="0.25">
      <c r="A423" s="114">
        <v>316499</v>
      </c>
      <c r="B423" s="90" t="s">
        <v>1974</v>
      </c>
      <c r="C423" s="90" t="s">
        <v>508</v>
      </c>
      <c r="D423" s="90" t="s">
        <v>1975</v>
      </c>
      <c r="E423" s="90" t="s">
        <v>955</v>
      </c>
      <c r="F423" s="90" t="s">
        <v>1976</v>
      </c>
      <c r="G423" t="s">
        <v>512</v>
      </c>
    </row>
    <row r="424" spans="1:7" x14ac:dyDescent="0.25">
      <c r="A424" s="114">
        <v>316521</v>
      </c>
      <c r="B424" s="90" t="s">
        <v>1977</v>
      </c>
      <c r="C424" s="90" t="s">
        <v>508</v>
      </c>
      <c r="D424" s="90" t="s">
        <v>1978</v>
      </c>
      <c r="E424" s="90" t="s">
        <v>1205</v>
      </c>
      <c r="F424" s="90" t="s">
        <v>1979</v>
      </c>
      <c r="G424" t="s">
        <v>512</v>
      </c>
    </row>
    <row r="425" spans="1:7" x14ac:dyDescent="0.25">
      <c r="A425" s="114">
        <v>316539</v>
      </c>
      <c r="B425" s="90" t="s">
        <v>1980</v>
      </c>
      <c r="C425" s="90" t="s">
        <v>508</v>
      </c>
      <c r="D425" s="90" t="s">
        <v>1981</v>
      </c>
      <c r="E425" s="90" t="s">
        <v>1982</v>
      </c>
      <c r="F425" s="90" t="s">
        <v>1983</v>
      </c>
      <c r="G425" t="s">
        <v>512</v>
      </c>
    </row>
    <row r="426" spans="1:7" x14ac:dyDescent="0.25">
      <c r="A426" s="114">
        <v>316549</v>
      </c>
      <c r="B426" s="90" t="s">
        <v>1984</v>
      </c>
      <c r="C426" s="90" t="s">
        <v>508</v>
      </c>
      <c r="D426" s="90" t="s">
        <v>1985</v>
      </c>
      <c r="E426" s="90" t="s">
        <v>1234</v>
      </c>
      <c r="F426" s="90" t="s">
        <v>1986</v>
      </c>
      <c r="G426" t="s">
        <v>512</v>
      </c>
    </row>
    <row r="427" spans="1:7" x14ac:dyDescent="0.25">
      <c r="A427" s="114">
        <v>316600</v>
      </c>
      <c r="B427" s="90" t="s">
        <v>1987</v>
      </c>
      <c r="C427" s="90" t="s">
        <v>508</v>
      </c>
      <c r="D427" s="90" t="s">
        <v>1988</v>
      </c>
      <c r="E427" s="90" t="s">
        <v>1256</v>
      </c>
      <c r="F427" s="90" t="s">
        <v>1989</v>
      </c>
      <c r="G427" t="s">
        <v>512</v>
      </c>
    </row>
    <row r="428" spans="1:7" x14ac:dyDescent="0.25">
      <c r="A428" s="114">
        <v>316608</v>
      </c>
      <c r="B428" s="90" t="s">
        <v>1990</v>
      </c>
      <c r="C428" s="90" t="s">
        <v>508</v>
      </c>
      <c r="D428" s="90" t="s">
        <v>1991</v>
      </c>
      <c r="E428" s="90" t="s">
        <v>1410</v>
      </c>
      <c r="F428" s="90" t="s">
        <v>1992</v>
      </c>
      <c r="G428" t="s">
        <v>512</v>
      </c>
    </row>
    <row r="429" spans="1:7" x14ac:dyDescent="0.25">
      <c r="A429" s="114">
        <v>316609</v>
      </c>
      <c r="B429" s="90" t="s">
        <v>1993</v>
      </c>
      <c r="C429" s="90" t="s">
        <v>508</v>
      </c>
      <c r="D429" s="90" t="s">
        <v>1994</v>
      </c>
      <c r="E429" s="90" t="s">
        <v>1745</v>
      </c>
      <c r="F429" s="90" t="s">
        <v>1995</v>
      </c>
      <c r="G429" t="s">
        <v>512</v>
      </c>
    </row>
    <row r="430" spans="1:7" x14ac:dyDescent="0.25">
      <c r="A430" s="114">
        <v>316617</v>
      </c>
      <c r="B430" s="90" t="s">
        <v>1996</v>
      </c>
      <c r="C430" s="90" t="s">
        <v>508</v>
      </c>
      <c r="D430" s="90" t="s">
        <v>1997</v>
      </c>
      <c r="E430" s="90" t="s">
        <v>1998</v>
      </c>
      <c r="F430" s="90" t="s">
        <v>1999</v>
      </c>
      <c r="G430" t="s">
        <v>512</v>
      </c>
    </row>
    <row r="431" spans="1:7" x14ac:dyDescent="0.25">
      <c r="A431" s="114">
        <v>316623</v>
      </c>
      <c r="B431" s="90" t="s">
        <v>2000</v>
      </c>
      <c r="C431" s="90" t="s">
        <v>508</v>
      </c>
      <c r="D431" s="90" t="s">
        <v>2001</v>
      </c>
      <c r="E431" s="90" t="s">
        <v>2002</v>
      </c>
      <c r="F431" s="90" t="s">
        <v>2003</v>
      </c>
      <c r="G431" t="s">
        <v>512</v>
      </c>
    </row>
    <row r="432" spans="1:7" x14ac:dyDescent="0.25">
      <c r="A432" s="114">
        <v>316646</v>
      </c>
      <c r="B432" s="90" t="s">
        <v>2004</v>
      </c>
      <c r="C432" s="90" t="s">
        <v>508</v>
      </c>
      <c r="D432" s="90" t="s">
        <v>2005</v>
      </c>
      <c r="E432" s="90" t="s">
        <v>1205</v>
      </c>
      <c r="F432" s="90" t="s">
        <v>2006</v>
      </c>
      <c r="G432" t="s">
        <v>512</v>
      </c>
    </row>
    <row r="433" spans="1:7" x14ac:dyDescent="0.25">
      <c r="A433" s="114">
        <v>316654</v>
      </c>
      <c r="B433" s="90" t="s">
        <v>2007</v>
      </c>
      <c r="C433" s="90" t="s">
        <v>508</v>
      </c>
      <c r="D433" s="90" t="s">
        <v>2008</v>
      </c>
      <c r="E433" s="90" t="s">
        <v>972</v>
      </c>
      <c r="F433" s="90" t="s">
        <v>2009</v>
      </c>
      <c r="G433" t="s">
        <v>512</v>
      </c>
    </row>
    <row r="434" spans="1:7" x14ac:dyDescent="0.25">
      <c r="A434" s="114">
        <v>316656</v>
      </c>
      <c r="B434" s="90" t="s">
        <v>2010</v>
      </c>
      <c r="C434" s="90" t="s">
        <v>508</v>
      </c>
      <c r="D434" s="90" t="s">
        <v>2011</v>
      </c>
      <c r="E434" s="90" t="s">
        <v>2012</v>
      </c>
      <c r="F434" s="90" t="s">
        <v>2013</v>
      </c>
      <c r="G434" t="s">
        <v>512</v>
      </c>
    </row>
    <row r="435" spans="1:7" x14ac:dyDescent="0.25">
      <c r="A435" s="114">
        <v>316688</v>
      </c>
      <c r="B435" s="90" t="s">
        <v>2014</v>
      </c>
      <c r="C435" s="90" t="s">
        <v>508</v>
      </c>
      <c r="D435" s="90" t="s">
        <v>2015</v>
      </c>
      <c r="E435" s="90" t="s">
        <v>2016</v>
      </c>
      <c r="F435" s="90" t="s">
        <v>2017</v>
      </c>
      <c r="G435" t="s">
        <v>512</v>
      </c>
    </row>
    <row r="436" spans="1:7" x14ac:dyDescent="0.25">
      <c r="A436" s="114">
        <v>316726</v>
      </c>
      <c r="B436" s="90" t="s">
        <v>2018</v>
      </c>
      <c r="C436" s="90" t="s">
        <v>508</v>
      </c>
      <c r="D436" s="90" t="s">
        <v>2019</v>
      </c>
      <c r="E436" s="90" t="s">
        <v>2020</v>
      </c>
      <c r="F436" s="90" t="s">
        <v>2021</v>
      </c>
      <c r="G436" t="s">
        <v>512</v>
      </c>
    </row>
    <row r="437" spans="1:7" x14ac:dyDescent="0.25">
      <c r="A437" s="114">
        <v>316737</v>
      </c>
      <c r="B437" s="90" t="s">
        <v>2022</v>
      </c>
      <c r="C437" s="90" t="s">
        <v>508</v>
      </c>
      <c r="D437" s="90" t="s">
        <v>2023</v>
      </c>
      <c r="E437" s="90" t="s">
        <v>2024</v>
      </c>
      <c r="F437" s="90" t="s">
        <v>2025</v>
      </c>
      <c r="G437" t="s">
        <v>512</v>
      </c>
    </row>
    <row r="438" spans="1:7" x14ac:dyDescent="0.25">
      <c r="A438" s="114">
        <v>316753</v>
      </c>
      <c r="B438" s="90" t="s">
        <v>2026</v>
      </c>
      <c r="C438" s="90" t="s">
        <v>508</v>
      </c>
      <c r="D438" s="90" t="s">
        <v>2027</v>
      </c>
      <c r="E438" s="90" t="s">
        <v>2028</v>
      </c>
      <c r="F438" s="90" t="s">
        <v>2029</v>
      </c>
      <c r="G438" t="s">
        <v>512</v>
      </c>
    </row>
    <row r="439" spans="1:7" x14ac:dyDescent="0.25">
      <c r="A439" s="114">
        <v>316799</v>
      </c>
      <c r="B439" s="90" t="s">
        <v>2030</v>
      </c>
      <c r="C439" s="90" t="s">
        <v>508</v>
      </c>
      <c r="D439" s="90" t="s">
        <v>2031</v>
      </c>
      <c r="E439" s="90" t="s">
        <v>2032</v>
      </c>
      <c r="F439" s="90" t="s">
        <v>2033</v>
      </c>
      <c r="G439" t="s">
        <v>512</v>
      </c>
    </row>
    <row r="440" spans="1:7" x14ac:dyDescent="0.25">
      <c r="A440" s="114">
        <v>316874</v>
      </c>
      <c r="B440" s="90" t="s">
        <v>2034</v>
      </c>
      <c r="C440" s="90" t="s">
        <v>508</v>
      </c>
      <c r="D440" s="90" t="s">
        <v>2035</v>
      </c>
      <c r="E440" s="90" t="s">
        <v>539</v>
      </c>
      <c r="F440" s="90" t="s">
        <v>2036</v>
      </c>
      <c r="G440" t="s">
        <v>512</v>
      </c>
    </row>
    <row r="441" spans="1:7" x14ac:dyDescent="0.25">
      <c r="A441" s="114">
        <v>316920</v>
      </c>
      <c r="B441" s="90" t="s">
        <v>2037</v>
      </c>
      <c r="C441" s="90" t="s">
        <v>508</v>
      </c>
      <c r="D441" s="90" t="s">
        <v>2038</v>
      </c>
      <c r="E441" s="90" t="s">
        <v>2039</v>
      </c>
      <c r="F441" s="90" t="s">
        <v>2040</v>
      </c>
      <c r="G441" t="s">
        <v>512</v>
      </c>
    </row>
    <row r="442" spans="1:7" x14ac:dyDescent="0.25">
      <c r="A442" s="114">
        <v>316944</v>
      </c>
      <c r="B442" s="90" t="s">
        <v>2041</v>
      </c>
      <c r="C442" s="90" t="s">
        <v>508</v>
      </c>
      <c r="D442" s="90" t="s">
        <v>2042</v>
      </c>
      <c r="E442" s="90" t="s">
        <v>2043</v>
      </c>
      <c r="F442" s="90" t="s">
        <v>2044</v>
      </c>
      <c r="G442" t="s">
        <v>512</v>
      </c>
    </row>
    <row r="443" spans="1:7" x14ac:dyDescent="0.25">
      <c r="A443" s="114">
        <v>317004</v>
      </c>
      <c r="B443" s="90" t="s">
        <v>2045</v>
      </c>
      <c r="C443" s="90" t="s">
        <v>508</v>
      </c>
      <c r="D443" s="90" t="s">
        <v>2046</v>
      </c>
      <c r="E443" s="90" t="s">
        <v>2047</v>
      </c>
      <c r="F443" s="90" t="s">
        <v>2048</v>
      </c>
      <c r="G443" t="s">
        <v>512</v>
      </c>
    </row>
    <row r="444" spans="1:7" x14ac:dyDescent="0.25">
      <c r="A444" s="114">
        <v>317032</v>
      </c>
      <c r="B444" s="90" t="s">
        <v>2049</v>
      </c>
      <c r="C444" s="90" t="s">
        <v>508</v>
      </c>
      <c r="D444" s="90" t="s">
        <v>2050</v>
      </c>
      <c r="E444" s="90" t="s">
        <v>2051</v>
      </c>
      <c r="F444" s="90" t="s">
        <v>2052</v>
      </c>
      <c r="G444" t="s">
        <v>512</v>
      </c>
    </row>
    <row r="445" spans="1:7" x14ac:dyDescent="0.25">
      <c r="A445" s="114">
        <v>317064</v>
      </c>
      <c r="B445" s="90" t="s">
        <v>2053</v>
      </c>
      <c r="C445" s="90" t="s">
        <v>508</v>
      </c>
      <c r="D445" s="90" t="s">
        <v>2054</v>
      </c>
      <c r="E445" s="90" t="s">
        <v>1001</v>
      </c>
      <c r="F445" s="90" t="s">
        <v>2055</v>
      </c>
      <c r="G445" t="s">
        <v>512</v>
      </c>
    </row>
    <row r="446" spans="1:7" x14ac:dyDescent="0.25">
      <c r="A446" s="114">
        <v>317084</v>
      </c>
      <c r="B446" s="90" t="s">
        <v>2056</v>
      </c>
      <c r="C446" s="90" t="s">
        <v>508</v>
      </c>
      <c r="D446" s="90" t="s">
        <v>2057</v>
      </c>
      <c r="E446" s="90" t="s">
        <v>972</v>
      </c>
      <c r="F446" s="90" t="s">
        <v>2058</v>
      </c>
      <c r="G446" t="s">
        <v>512</v>
      </c>
    </row>
    <row r="447" spans="1:7" x14ac:dyDescent="0.25">
      <c r="A447" s="114">
        <v>317142</v>
      </c>
      <c r="B447" s="90" t="s">
        <v>2059</v>
      </c>
      <c r="C447" s="90" t="s">
        <v>508</v>
      </c>
      <c r="D447" s="90" t="s">
        <v>2060</v>
      </c>
      <c r="E447" s="90" t="s">
        <v>2061</v>
      </c>
      <c r="F447" s="90" t="s">
        <v>2062</v>
      </c>
      <c r="G447" t="s">
        <v>512</v>
      </c>
    </row>
    <row r="448" spans="1:7" x14ac:dyDescent="0.25">
      <c r="A448" s="114">
        <v>317148</v>
      </c>
      <c r="B448" s="90" t="s">
        <v>2063</v>
      </c>
      <c r="C448" s="90" t="s">
        <v>508</v>
      </c>
      <c r="D448" s="90" t="s">
        <v>2064</v>
      </c>
      <c r="E448" s="90" t="s">
        <v>2065</v>
      </c>
      <c r="F448" s="90" t="s">
        <v>2066</v>
      </c>
      <c r="G448" t="s">
        <v>512</v>
      </c>
    </row>
    <row r="449" spans="1:7" x14ac:dyDescent="0.25">
      <c r="A449" s="114">
        <v>317153</v>
      </c>
      <c r="B449" s="90" t="s">
        <v>2067</v>
      </c>
      <c r="C449" s="90" t="s">
        <v>508</v>
      </c>
      <c r="D449" s="90" t="s">
        <v>2068</v>
      </c>
      <c r="E449" s="90" t="s">
        <v>2069</v>
      </c>
      <c r="F449" s="90" t="s">
        <v>2070</v>
      </c>
      <c r="G449" t="s">
        <v>512</v>
      </c>
    </row>
    <row r="450" spans="1:7" x14ac:dyDescent="0.25">
      <c r="A450" s="114">
        <v>317209</v>
      </c>
      <c r="B450" s="90" t="s">
        <v>2071</v>
      </c>
      <c r="C450" s="90" t="s">
        <v>508</v>
      </c>
      <c r="D450" s="90" t="s">
        <v>2072</v>
      </c>
      <c r="E450" s="90" t="s">
        <v>2073</v>
      </c>
      <c r="F450" s="90" t="s">
        <v>2074</v>
      </c>
      <c r="G450" t="s">
        <v>512</v>
      </c>
    </row>
    <row r="451" spans="1:7" x14ac:dyDescent="0.25">
      <c r="A451" s="114">
        <v>317235</v>
      </c>
      <c r="B451" s="90" t="s">
        <v>2075</v>
      </c>
      <c r="C451" s="90" t="s">
        <v>508</v>
      </c>
      <c r="D451" s="90" t="s">
        <v>2076</v>
      </c>
      <c r="E451" s="90" t="s">
        <v>543</v>
      </c>
      <c r="F451" s="90" t="s">
        <v>2077</v>
      </c>
      <c r="G451" t="s">
        <v>512</v>
      </c>
    </row>
    <row r="452" spans="1:7" x14ac:dyDescent="0.25">
      <c r="A452" s="114">
        <v>317256</v>
      </c>
      <c r="B452" s="90" t="s">
        <v>2078</v>
      </c>
      <c r="C452" s="90" t="s">
        <v>508</v>
      </c>
      <c r="D452" s="90" t="s">
        <v>2079</v>
      </c>
      <c r="E452" s="90" t="s">
        <v>2020</v>
      </c>
      <c r="F452" s="90" t="s">
        <v>2080</v>
      </c>
      <c r="G452" t="s">
        <v>512</v>
      </c>
    </row>
    <row r="453" spans="1:7" x14ac:dyDescent="0.25">
      <c r="A453" s="114">
        <v>317273</v>
      </c>
      <c r="B453" s="90" t="s">
        <v>2081</v>
      </c>
      <c r="C453" s="90" t="s">
        <v>508</v>
      </c>
      <c r="D453" s="90" t="s">
        <v>2082</v>
      </c>
      <c r="E453" s="90" t="s">
        <v>1089</v>
      </c>
      <c r="F453" s="90" t="s">
        <v>2083</v>
      </c>
      <c r="G453" t="s">
        <v>512</v>
      </c>
    </row>
    <row r="454" spans="1:7" x14ac:dyDescent="0.25">
      <c r="A454" s="114">
        <v>317306</v>
      </c>
      <c r="B454" s="90" t="s">
        <v>2084</v>
      </c>
      <c r="C454" s="90" t="s">
        <v>508</v>
      </c>
      <c r="D454" s="90" t="s">
        <v>2085</v>
      </c>
      <c r="E454" s="90" t="s">
        <v>1039</v>
      </c>
      <c r="F454" s="90" t="s">
        <v>2086</v>
      </c>
      <c r="G454" t="s">
        <v>512</v>
      </c>
    </row>
    <row r="455" spans="1:7" x14ac:dyDescent="0.25">
      <c r="A455" s="114">
        <v>317378</v>
      </c>
      <c r="B455" s="90" t="s">
        <v>2087</v>
      </c>
      <c r="C455" s="90" t="s">
        <v>508</v>
      </c>
      <c r="D455" s="90" t="s">
        <v>2088</v>
      </c>
      <c r="E455" s="90" t="s">
        <v>2089</v>
      </c>
      <c r="F455" s="90" t="s">
        <v>2090</v>
      </c>
      <c r="G455" t="s">
        <v>512</v>
      </c>
    </row>
    <row r="456" spans="1:7" x14ac:dyDescent="0.25">
      <c r="A456" s="114">
        <v>317411</v>
      </c>
      <c r="B456" s="90" t="s">
        <v>2091</v>
      </c>
      <c r="C456" s="90" t="s">
        <v>508</v>
      </c>
      <c r="D456" s="90" t="s">
        <v>2092</v>
      </c>
      <c r="E456" s="90" t="s">
        <v>1432</v>
      </c>
      <c r="F456" s="90" t="s">
        <v>2093</v>
      </c>
      <c r="G456" t="s">
        <v>512</v>
      </c>
    </row>
    <row r="457" spans="1:7" x14ac:dyDescent="0.25">
      <c r="A457" s="114">
        <v>317427</v>
      </c>
      <c r="B457" s="90" t="s">
        <v>2094</v>
      </c>
      <c r="C457" s="90" t="s">
        <v>508</v>
      </c>
      <c r="D457" s="90" t="s">
        <v>2095</v>
      </c>
      <c r="E457" s="90" t="s">
        <v>2096</v>
      </c>
      <c r="F457" s="90" t="s">
        <v>2097</v>
      </c>
      <c r="G457" t="s">
        <v>512</v>
      </c>
    </row>
    <row r="458" spans="1:7" x14ac:dyDescent="0.25">
      <c r="A458" s="114">
        <v>317431</v>
      </c>
      <c r="B458" s="90" t="s">
        <v>2098</v>
      </c>
      <c r="C458" s="90" t="s">
        <v>508</v>
      </c>
      <c r="D458" s="90" t="s">
        <v>2099</v>
      </c>
      <c r="E458" s="90" t="s">
        <v>563</v>
      </c>
      <c r="F458" s="90" t="s">
        <v>2100</v>
      </c>
      <c r="G458" t="s">
        <v>512</v>
      </c>
    </row>
    <row r="459" spans="1:7" x14ac:dyDescent="0.25">
      <c r="A459" s="114">
        <v>317451</v>
      </c>
      <c r="B459" s="90" t="s">
        <v>2101</v>
      </c>
      <c r="C459" s="90" t="s">
        <v>508</v>
      </c>
      <c r="D459" s="90" t="s">
        <v>2102</v>
      </c>
      <c r="E459" s="90" t="s">
        <v>2103</v>
      </c>
      <c r="F459" s="90" t="s">
        <v>2104</v>
      </c>
      <c r="G459" t="s">
        <v>512</v>
      </c>
    </row>
    <row r="460" spans="1:7" x14ac:dyDescent="0.25">
      <c r="A460" s="114">
        <v>317472</v>
      </c>
      <c r="B460" s="90" t="s">
        <v>2105</v>
      </c>
      <c r="C460" s="90" t="s">
        <v>508</v>
      </c>
      <c r="D460" s="90" t="s">
        <v>2106</v>
      </c>
      <c r="E460" s="90" t="s">
        <v>2107</v>
      </c>
      <c r="F460" s="90" t="s">
        <v>2108</v>
      </c>
      <c r="G460" t="s">
        <v>512</v>
      </c>
    </row>
    <row r="461" spans="1:7" x14ac:dyDescent="0.25">
      <c r="A461" s="114">
        <v>317502</v>
      </c>
      <c r="B461" s="90" t="s">
        <v>2109</v>
      </c>
      <c r="C461" s="90" t="s">
        <v>508</v>
      </c>
      <c r="D461" s="90" t="s">
        <v>2110</v>
      </c>
      <c r="E461" s="90" t="s">
        <v>2111</v>
      </c>
      <c r="F461" s="90" t="s">
        <v>2112</v>
      </c>
      <c r="G461" t="s">
        <v>512</v>
      </c>
    </row>
    <row r="462" spans="1:7" x14ac:dyDescent="0.25">
      <c r="A462" s="114">
        <v>317554</v>
      </c>
      <c r="B462" s="90" t="s">
        <v>2113</v>
      </c>
      <c r="C462" s="90" t="s">
        <v>508</v>
      </c>
      <c r="D462" s="90" t="s">
        <v>2114</v>
      </c>
      <c r="E462" s="90" t="s">
        <v>2115</v>
      </c>
      <c r="F462" s="90" t="s">
        <v>2116</v>
      </c>
      <c r="G462" t="s">
        <v>512</v>
      </c>
    </row>
    <row r="463" spans="1:7" x14ac:dyDescent="0.25">
      <c r="A463" s="114">
        <v>317683</v>
      </c>
      <c r="B463" s="90" t="s">
        <v>2117</v>
      </c>
      <c r="C463" s="90" t="s">
        <v>508</v>
      </c>
      <c r="D463" s="90" t="s">
        <v>2118</v>
      </c>
      <c r="E463" s="90" t="s">
        <v>2119</v>
      </c>
      <c r="F463" s="90" t="s">
        <v>2120</v>
      </c>
      <c r="G463" t="s">
        <v>512</v>
      </c>
    </row>
    <row r="464" spans="1:7" x14ac:dyDescent="0.25">
      <c r="A464" s="114">
        <v>317740</v>
      </c>
      <c r="B464" s="90" t="s">
        <v>2121</v>
      </c>
      <c r="C464" s="90" t="s">
        <v>508</v>
      </c>
      <c r="D464" s="90" t="s">
        <v>2122</v>
      </c>
      <c r="E464" s="90" t="s">
        <v>2123</v>
      </c>
      <c r="F464" s="90" t="s">
        <v>2124</v>
      </c>
      <c r="G464" t="s">
        <v>512</v>
      </c>
    </row>
    <row r="465" spans="1:7" x14ac:dyDescent="0.25">
      <c r="A465" s="114">
        <v>317768</v>
      </c>
      <c r="B465" s="90" t="s">
        <v>2125</v>
      </c>
      <c r="C465" s="90" t="s">
        <v>508</v>
      </c>
      <c r="D465" s="90" t="s">
        <v>2126</v>
      </c>
      <c r="E465" s="90" t="s">
        <v>818</v>
      </c>
      <c r="F465" s="90" t="s">
        <v>2127</v>
      </c>
      <c r="G465" t="s">
        <v>512</v>
      </c>
    </row>
    <row r="466" spans="1:7" x14ac:dyDescent="0.25">
      <c r="A466" s="114">
        <v>318008</v>
      </c>
      <c r="B466" s="90" t="s">
        <v>2128</v>
      </c>
      <c r="C466" s="90" t="s">
        <v>508</v>
      </c>
      <c r="D466" s="90" t="s">
        <v>2129</v>
      </c>
      <c r="E466" s="90" t="s">
        <v>2130</v>
      </c>
      <c r="F466" s="90" t="s">
        <v>2131</v>
      </c>
      <c r="G466" t="s">
        <v>512</v>
      </c>
    </row>
    <row r="467" spans="1:7" x14ac:dyDescent="0.25">
      <c r="A467" s="114">
        <v>318010</v>
      </c>
      <c r="B467" s="90" t="s">
        <v>384</v>
      </c>
      <c r="C467" s="90" t="s">
        <v>508</v>
      </c>
      <c r="D467" s="90" t="s">
        <v>2132</v>
      </c>
      <c r="E467" s="90" t="s">
        <v>610</v>
      </c>
      <c r="F467" s="90" t="s">
        <v>2133</v>
      </c>
      <c r="G467" t="s">
        <v>512</v>
      </c>
    </row>
    <row r="468" spans="1:7" x14ac:dyDescent="0.25">
      <c r="A468" s="114">
        <v>318086</v>
      </c>
      <c r="B468" s="90" t="s">
        <v>2134</v>
      </c>
      <c r="C468" s="90" t="s">
        <v>508</v>
      </c>
      <c r="D468" s="90" t="s">
        <v>2135</v>
      </c>
      <c r="E468" s="90" t="s">
        <v>2136</v>
      </c>
      <c r="F468" s="90" t="s">
        <v>2137</v>
      </c>
      <c r="G468" t="s">
        <v>512</v>
      </c>
    </row>
    <row r="469" spans="1:7" x14ac:dyDescent="0.25">
      <c r="A469" s="114">
        <v>318319</v>
      </c>
      <c r="B469" s="90" t="s">
        <v>2138</v>
      </c>
      <c r="C469" s="90" t="s">
        <v>508</v>
      </c>
      <c r="D469" s="90" t="s">
        <v>2139</v>
      </c>
      <c r="E469" s="90" t="s">
        <v>2140</v>
      </c>
      <c r="F469" s="90" t="s">
        <v>2141</v>
      </c>
      <c r="G469" t="s">
        <v>512</v>
      </c>
    </row>
    <row r="470" spans="1:7" x14ac:dyDescent="0.25">
      <c r="A470" s="114">
        <v>318349</v>
      </c>
      <c r="B470" s="90" t="s">
        <v>2142</v>
      </c>
      <c r="C470" s="90" t="s">
        <v>508</v>
      </c>
      <c r="D470" s="90" t="s">
        <v>2143</v>
      </c>
      <c r="E470" s="90" t="s">
        <v>2144</v>
      </c>
      <c r="F470" s="90" t="s">
        <v>2145</v>
      </c>
      <c r="G470" t="s">
        <v>512</v>
      </c>
    </row>
    <row r="471" spans="1:7" x14ac:dyDescent="0.25">
      <c r="A471" s="114">
        <v>318415</v>
      </c>
      <c r="B471" s="90" t="s">
        <v>2146</v>
      </c>
      <c r="C471" s="90" t="s">
        <v>508</v>
      </c>
      <c r="D471" s="90" t="s">
        <v>2147</v>
      </c>
      <c r="E471" s="90" t="s">
        <v>1153</v>
      </c>
      <c r="F471" s="90" t="s">
        <v>2148</v>
      </c>
      <c r="G471" t="s">
        <v>512</v>
      </c>
    </row>
    <row r="472" spans="1:7" x14ac:dyDescent="0.25">
      <c r="A472" s="114">
        <v>318419</v>
      </c>
      <c r="B472" s="90" t="s">
        <v>2149</v>
      </c>
      <c r="C472" s="90" t="s">
        <v>508</v>
      </c>
      <c r="D472" s="90" t="s">
        <v>2150</v>
      </c>
      <c r="E472" s="90" t="s">
        <v>2151</v>
      </c>
      <c r="F472" s="90" t="s">
        <v>2152</v>
      </c>
      <c r="G472" t="s">
        <v>512</v>
      </c>
    </row>
    <row r="473" spans="1:7" x14ac:dyDescent="0.25">
      <c r="A473" s="114">
        <v>318426</v>
      </c>
      <c r="B473" s="90" t="s">
        <v>2153</v>
      </c>
      <c r="C473" s="90" t="s">
        <v>508</v>
      </c>
      <c r="D473" s="90" t="s">
        <v>2154</v>
      </c>
      <c r="E473" s="90" t="s">
        <v>1982</v>
      </c>
      <c r="F473" s="90" t="s">
        <v>2155</v>
      </c>
      <c r="G473" t="s">
        <v>512</v>
      </c>
    </row>
    <row r="474" spans="1:7" x14ac:dyDescent="0.25">
      <c r="A474" s="114">
        <v>318427</v>
      </c>
      <c r="B474" s="90" t="s">
        <v>2156</v>
      </c>
      <c r="C474" s="90" t="s">
        <v>508</v>
      </c>
      <c r="D474" s="90" t="s">
        <v>2157</v>
      </c>
      <c r="E474" s="90" t="s">
        <v>2158</v>
      </c>
      <c r="F474" s="90" t="s">
        <v>2159</v>
      </c>
      <c r="G474" t="s">
        <v>512</v>
      </c>
    </row>
    <row r="475" spans="1:7" x14ac:dyDescent="0.25">
      <c r="A475" s="114">
        <v>318435</v>
      </c>
      <c r="B475" s="90" t="s">
        <v>2160</v>
      </c>
      <c r="C475" s="90" t="s">
        <v>508</v>
      </c>
      <c r="D475" s="90" t="s">
        <v>2161</v>
      </c>
      <c r="E475" s="90" t="s">
        <v>2162</v>
      </c>
      <c r="F475" s="90" t="s">
        <v>2163</v>
      </c>
      <c r="G475" t="s">
        <v>512</v>
      </c>
    </row>
    <row r="476" spans="1:7" x14ac:dyDescent="0.25">
      <c r="A476" s="114">
        <v>318479</v>
      </c>
      <c r="B476" s="90" t="s">
        <v>2164</v>
      </c>
      <c r="C476" s="90" t="s">
        <v>508</v>
      </c>
      <c r="D476" s="90" t="s">
        <v>2165</v>
      </c>
      <c r="E476" s="90" t="s">
        <v>2166</v>
      </c>
      <c r="F476" s="90" t="s">
        <v>2167</v>
      </c>
      <c r="G476" t="s">
        <v>512</v>
      </c>
    </row>
    <row r="477" spans="1:7" x14ac:dyDescent="0.25">
      <c r="A477" s="114">
        <v>318480</v>
      </c>
      <c r="B477" s="90" t="s">
        <v>2168</v>
      </c>
      <c r="C477" s="90" t="s">
        <v>508</v>
      </c>
      <c r="D477" s="90" t="s">
        <v>2169</v>
      </c>
      <c r="E477" s="90" t="s">
        <v>898</v>
      </c>
      <c r="F477" s="90" t="s">
        <v>2170</v>
      </c>
      <c r="G477" t="s">
        <v>512</v>
      </c>
    </row>
    <row r="478" spans="1:7" x14ac:dyDescent="0.25">
      <c r="A478" s="114">
        <v>318484</v>
      </c>
      <c r="B478" s="90" t="s">
        <v>2171</v>
      </c>
      <c r="C478" s="90" t="s">
        <v>508</v>
      </c>
      <c r="D478" s="90" t="s">
        <v>2172</v>
      </c>
      <c r="E478" s="90" t="s">
        <v>2173</v>
      </c>
      <c r="F478" s="90" t="s">
        <v>2174</v>
      </c>
      <c r="G478" t="s">
        <v>512</v>
      </c>
    </row>
    <row r="479" spans="1:7" x14ac:dyDescent="0.25">
      <c r="A479" s="114">
        <v>318491</v>
      </c>
      <c r="B479" s="90" t="s">
        <v>2175</v>
      </c>
      <c r="C479" s="90" t="s">
        <v>508</v>
      </c>
      <c r="D479" s="90" t="s">
        <v>2176</v>
      </c>
      <c r="E479" s="90" t="s">
        <v>1866</v>
      </c>
      <c r="F479" s="90" t="s">
        <v>2177</v>
      </c>
      <c r="G479" t="s">
        <v>512</v>
      </c>
    </row>
    <row r="480" spans="1:7" x14ac:dyDescent="0.25">
      <c r="A480" s="114">
        <v>318579</v>
      </c>
      <c r="B480" s="90" t="s">
        <v>2178</v>
      </c>
      <c r="C480" s="90" t="s">
        <v>508</v>
      </c>
      <c r="D480" s="90" t="s">
        <v>2179</v>
      </c>
      <c r="E480" s="90" t="s">
        <v>2180</v>
      </c>
      <c r="F480" s="90" t="s">
        <v>2181</v>
      </c>
      <c r="G480" t="s">
        <v>512</v>
      </c>
    </row>
    <row r="481" spans="1:7" x14ac:dyDescent="0.25">
      <c r="A481" s="114">
        <v>318597</v>
      </c>
      <c r="B481" s="90" t="s">
        <v>2182</v>
      </c>
      <c r="C481" s="90" t="s">
        <v>508</v>
      </c>
      <c r="D481" s="90" t="s">
        <v>2183</v>
      </c>
      <c r="E481" s="90" t="s">
        <v>2184</v>
      </c>
      <c r="F481" s="90" t="s">
        <v>2185</v>
      </c>
      <c r="G481" t="s">
        <v>512</v>
      </c>
    </row>
    <row r="482" spans="1:7" x14ac:dyDescent="0.25">
      <c r="A482" s="114">
        <v>318615</v>
      </c>
      <c r="B482" s="90" t="s">
        <v>2186</v>
      </c>
      <c r="C482" s="90" t="s">
        <v>508</v>
      </c>
      <c r="D482" s="90" t="s">
        <v>2187</v>
      </c>
      <c r="E482" s="90" t="s">
        <v>2188</v>
      </c>
      <c r="F482" s="90" t="s">
        <v>2189</v>
      </c>
      <c r="G482" t="s">
        <v>512</v>
      </c>
    </row>
    <row r="483" spans="1:7" x14ac:dyDescent="0.25">
      <c r="A483" s="114">
        <v>318633</v>
      </c>
      <c r="B483" s="90" t="s">
        <v>1011</v>
      </c>
      <c r="C483" s="90" t="s">
        <v>508</v>
      </c>
      <c r="D483" s="90" t="s">
        <v>2190</v>
      </c>
      <c r="E483" s="90" t="s">
        <v>2191</v>
      </c>
      <c r="F483" s="90" t="s">
        <v>2192</v>
      </c>
      <c r="G483" t="s">
        <v>512</v>
      </c>
    </row>
    <row r="484" spans="1:7" x14ac:dyDescent="0.25">
      <c r="A484" s="114">
        <v>318683</v>
      </c>
      <c r="B484" s="90" t="s">
        <v>2193</v>
      </c>
      <c r="C484" s="90" t="s">
        <v>508</v>
      </c>
      <c r="D484" s="90" t="s">
        <v>2194</v>
      </c>
      <c r="E484" s="90" t="s">
        <v>2195</v>
      </c>
      <c r="F484" s="90" t="s">
        <v>2196</v>
      </c>
      <c r="G484" t="s">
        <v>512</v>
      </c>
    </row>
    <row r="485" spans="1:7" x14ac:dyDescent="0.25">
      <c r="A485" s="114">
        <v>318709</v>
      </c>
      <c r="B485" s="90" t="s">
        <v>2197</v>
      </c>
      <c r="C485" s="90" t="s">
        <v>508</v>
      </c>
      <c r="D485" s="90" t="s">
        <v>2198</v>
      </c>
      <c r="E485" s="90" t="s">
        <v>2199</v>
      </c>
      <c r="F485" s="90" t="s">
        <v>2200</v>
      </c>
      <c r="G485" t="s">
        <v>512</v>
      </c>
    </row>
    <row r="486" spans="1:7" x14ac:dyDescent="0.25">
      <c r="A486" s="114">
        <v>318721</v>
      </c>
      <c r="B486" s="90" t="s">
        <v>2201</v>
      </c>
      <c r="C486" s="90" t="s">
        <v>508</v>
      </c>
      <c r="D486" s="90" t="s">
        <v>2202</v>
      </c>
      <c r="E486" s="90" t="s">
        <v>2203</v>
      </c>
      <c r="F486" s="90" t="s">
        <v>2204</v>
      </c>
      <c r="G486" t="s">
        <v>512</v>
      </c>
    </row>
    <row r="487" spans="1:7" x14ac:dyDescent="0.25">
      <c r="A487" s="114">
        <v>318779</v>
      </c>
      <c r="B487" s="90" t="s">
        <v>2205</v>
      </c>
      <c r="C487" s="90" t="s">
        <v>508</v>
      </c>
      <c r="D487" s="90" t="s">
        <v>2206</v>
      </c>
      <c r="E487" s="90" t="s">
        <v>1543</v>
      </c>
      <c r="F487" s="90" t="s">
        <v>2207</v>
      </c>
      <c r="G487" t="s">
        <v>512</v>
      </c>
    </row>
    <row r="488" spans="1:7" x14ac:dyDescent="0.25">
      <c r="A488" s="114">
        <v>318808</v>
      </c>
      <c r="B488" s="90" t="s">
        <v>2208</v>
      </c>
      <c r="C488" s="90" t="s">
        <v>508</v>
      </c>
      <c r="D488" s="90" t="s">
        <v>2209</v>
      </c>
      <c r="E488" s="90" t="s">
        <v>2210</v>
      </c>
      <c r="F488" s="90" t="s">
        <v>2211</v>
      </c>
      <c r="G488" t="s">
        <v>512</v>
      </c>
    </row>
    <row r="489" spans="1:7" x14ac:dyDescent="0.25">
      <c r="A489" s="114">
        <v>318813</v>
      </c>
      <c r="B489" s="90" t="s">
        <v>2212</v>
      </c>
      <c r="C489" s="90" t="s">
        <v>508</v>
      </c>
      <c r="D489" s="90" t="s">
        <v>2213</v>
      </c>
      <c r="E489" s="90" t="s">
        <v>1866</v>
      </c>
      <c r="F489" s="90" t="s">
        <v>2214</v>
      </c>
      <c r="G489" t="s">
        <v>512</v>
      </c>
    </row>
    <row r="490" spans="1:7" x14ac:dyDescent="0.25">
      <c r="A490" s="114">
        <v>318816</v>
      </c>
      <c r="B490" s="90" t="s">
        <v>2215</v>
      </c>
      <c r="C490" s="90" t="s">
        <v>508</v>
      </c>
      <c r="D490" s="90" t="s">
        <v>2216</v>
      </c>
      <c r="E490" s="90" t="s">
        <v>2217</v>
      </c>
      <c r="F490" s="90" t="s">
        <v>2218</v>
      </c>
      <c r="G490" t="s">
        <v>512</v>
      </c>
    </row>
    <row r="491" spans="1:7" x14ac:dyDescent="0.25">
      <c r="A491" s="114">
        <v>318825</v>
      </c>
      <c r="B491" s="90" t="s">
        <v>2219</v>
      </c>
      <c r="C491" s="90" t="s">
        <v>508</v>
      </c>
      <c r="D491" s="90" t="s">
        <v>1156</v>
      </c>
      <c r="E491" s="90" t="s">
        <v>583</v>
      </c>
      <c r="F491" s="90" t="s">
        <v>2220</v>
      </c>
      <c r="G491" t="s">
        <v>512</v>
      </c>
    </row>
    <row r="492" spans="1:7" x14ac:dyDescent="0.25">
      <c r="A492" s="114">
        <v>318859</v>
      </c>
      <c r="B492" s="90" t="s">
        <v>2221</v>
      </c>
      <c r="C492" s="90" t="s">
        <v>508</v>
      </c>
      <c r="D492" s="90" t="s">
        <v>2222</v>
      </c>
      <c r="E492" s="90" t="s">
        <v>742</v>
      </c>
      <c r="F492" s="90" t="s">
        <v>2223</v>
      </c>
      <c r="G492" t="s">
        <v>512</v>
      </c>
    </row>
    <row r="493" spans="1:7" x14ac:dyDescent="0.25">
      <c r="A493" s="114">
        <v>318880</v>
      </c>
      <c r="B493" s="90" t="s">
        <v>2224</v>
      </c>
      <c r="C493" s="90" t="s">
        <v>508</v>
      </c>
      <c r="D493" s="90" t="s">
        <v>2225</v>
      </c>
      <c r="E493" s="90" t="s">
        <v>2226</v>
      </c>
      <c r="F493" s="90" t="s">
        <v>2227</v>
      </c>
      <c r="G493" t="s">
        <v>512</v>
      </c>
    </row>
    <row r="494" spans="1:7" x14ac:dyDescent="0.25">
      <c r="A494" s="114">
        <v>318984</v>
      </c>
      <c r="B494" s="90" t="s">
        <v>2228</v>
      </c>
      <c r="C494" s="90" t="s">
        <v>508</v>
      </c>
      <c r="D494" s="90" t="s">
        <v>2229</v>
      </c>
      <c r="E494" s="90" t="s">
        <v>2230</v>
      </c>
      <c r="F494" s="90" t="s">
        <v>2231</v>
      </c>
      <c r="G494" t="s">
        <v>512</v>
      </c>
    </row>
    <row r="495" spans="1:7" x14ac:dyDescent="0.25">
      <c r="A495" s="114">
        <v>319119</v>
      </c>
      <c r="B495" s="90" t="s">
        <v>2232</v>
      </c>
      <c r="C495" s="90" t="s">
        <v>508</v>
      </c>
      <c r="D495" s="90" t="s">
        <v>2233</v>
      </c>
      <c r="E495" s="90" t="s">
        <v>2234</v>
      </c>
      <c r="F495" s="90" t="s">
        <v>2235</v>
      </c>
      <c r="G495" t="s">
        <v>512</v>
      </c>
    </row>
    <row r="496" spans="1:7" x14ac:dyDescent="0.25">
      <c r="A496" s="114">
        <v>319139</v>
      </c>
      <c r="B496" s="90" t="s">
        <v>2236</v>
      </c>
      <c r="C496" s="90" t="s">
        <v>508</v>
      </c>
      <c r="D496" s="90" t="s">
        <v>2237</v>
      </c>
      <c r="E496" s="90" t="s">
        <v>2238</v>
      </c>
      <c r="F496" s="90" t="s">
        <v>2239</v>
      </c>
      <c r="G496" t="s">
        <v>512</v>
      </c>
    </row>
    <row r="497" spans="1:7" x14ac:dyDescent="0.25">
      <c r="A497" s="114">
        <v>319171</v>
      </c>
      <c r="B497" s="90" t="s">
        <v>2240</v>
      </c>
      <c r="C497" s="90" t="s">
        <v>508</v>
      </c>
      <c r="D497" s="90" t="s">
        <v>2241</v>
      </c>
      <c r="E497" s="90" t="s">
        <v>2242</v>
      </c>
      <c r="F497" s="90" t="s">
        <v>2243</v>
      </c>
      <c r="G497" t="s">
        <v>512</v>
      </c>
    </row>
    <row r="498" spans="1:7" x14ac:dyDescent="0.25">
      <c r="A498" s="114">
        <v>319194</v>
      </c>
      <c r="B498" s="90" t="s">
        <v>2244</v>
      </c>
      <c r="C498" s="90" t="s">
        <v>508</v>
      </c>
      <c r="D498" s="90" t="s">
        <v>2245</v>
      </c>
      <c r="E498" s="90" t="s">
        <v>2246</v>
      </c>
      <c r="F498" s="90" t="s">
        <v>2247</v>
      </c>
      <c r="G498" t="s">
        <v>512</v>
      </c>
    </row>
    <row r="499" spans="1:7" x14ac:dyDescent="0.25">
      <c r="A499" s="114">
        <v>319299</v>
      </c>
      <c r="B499" s="90" t="s">
        <v>2248</v>
      </c>
      <c r="C499" s="90" t="s">
        <v>508</v>
      </c>
      <c r="D499" s="90" t="s">
        <v>2249</v>
      </c>
      <c r="E499" s="90" t="s">
        <v>2250</v>
      </c>
      <c r="F499" s="90" t="s">
        <v>2251</v>
      </c>
      <c r="G499" t="s">
        <v>512</v>
      </c>
    </row>
    <row r="500" spans="1:7" x14ac:dyDescent="0.25">
      <c r="A500" s="114">
        <v>319335</v>
      </c>
      <c r="B500" s="90" t="s">
        <v>2252</v>
      </c>
      <c r="C500" s="90" t="s">
        <v>508</v>
      </c>
      <c r="D500" s="90" t="s">
        <v>2253</v>
      </c>
      <c r="E500" s="90" t="s">
        <v>2254</v>
      </c>
      <c r="F500" s="90" t="s">
        <v>2255</v>
      </c>
      <c r="G500" t="s">
        <v>512</v>
      </c>
    </row>
    <row r="501" spans="1:7" x14ac:dyDescent="0.25">
      <c r="A501" s="114">
        <v>319376</v>
      </c>
      <c r="B501" s="90" t="s">
        <v>2256</v>
      </c>
      <c r="C501" s="90" t="s">
        <v>508</v>
      </c>
      <c r="D501" s="90" t="s">
        <v>2257</v>
      </c>
      <c r="E501" s="90" t="s">
        <v>1485</v>
      </c>
      <c r="F501" s="90" t="s">
        <v>2258</v>
      </c>
      <c r="G501" t="s">
        <v>512</v>
      </c>
    </row>
    <row r="502" spans="1:7" x14ac:dyDescent="0.25">
      <c r="A502" s="114">
        <v>319381</v>
      </c>
      <c r="B502" s="90" t="s">
        <v>2259</v>
      </c>
      <c r="C502" s="90" t="s">
        <v>508</v>
      </c>
      <c r="D502" s="90" t="s">
        <v>2260</v>
      </c>
      <c r="E502" s="90" t="s">
        <v>2261</v>
      </c>
      <c r="F502" s="90" t="s">
        <v>2262</v>
      </c>
      <c r="G502" t="s">
        <v>512</v>
      </c>
    </row>
    <row r="503" spans="1:7" x14ac:dyDescent="0.25">
      <c r="A503" s="114">
        <v>319388</v>
      </c>
      <c r="B503" s="90" t="s">
        <v>2263</v>
      </c>
      <c r="C503" s="90" t="s">
        <v>508</v>
      </c>
      <c r="D503" s="90" t="s">
        <v>2264</v>
      </c>
      <c r="E503" s="90" t="s">
        <v>2265</v>
      </c>
      <c r="F503" s="90" t="s">
        <v>2266</v>
      </c>
      <c r="G503" t="s">
        <v>512</v>
      </c>
    </row>
    <row r="504" spans="1:7" x14ac:dyDescent="0.25">
      <c r="A504" s="114">
        <v>319417</v>
      </c>
      <c r="B504" s="90" t="s">
        <v>2267</v>
      </c>
      <c r="C504" s="90" t="s">
        <v>508</v>
      </c>
      <c r="D504" s="90" t="s">
        <v>2268</v>
      </c>
      <c r="E504" s="90" t="s">
        <v>2269</v>
      </c>
      <c r="F504" s="90" t="s">
        <v>2270</v>
      </c>
      <c r="G504" t="s">
        <v>512</v>
      </c>
    </row>
    <row r="505" spans="1:7" x14ac:dyDescent="0.25">
      <c r="A505" s="114">
        <v>319440</v>
      </c>
      <c r="B505" s="90" t="s">
        <v>2271</v>
      </c>
      <c r="C505" s="90" t="s">
        <v>508</v>
      </c>
      <c r="D505" s="90" t="s">
        <v>2272</v>
      </c>
      <c r="E505" s="90" t="s">
        <v>811</v>
      </c>
      <c r="F505" s="90" t="s">
        <v>2273</v>
      </c>
      <c r="G505" t="s">
        <v>512</v>
      </c>
    </row>
    <row r="506" spans="1:7" x14ac:dyDescent="0.25">
      <c r="A506" s="114">
        <v>319445</v>
      </c>
      <c r="B506" s="90" t="s">
        <v>2274</v>
      </c>
      <c r="C506" s="90" t="s">
        <v>508</v>
      </c>
      <c r="D506" s="90" t="s">
        <v>2275</v>
      </c>
      <c r="E506" s="90" t="s">
        <v>1425</v>
      </c>
      <c r="F506" s="90" t="s">
        <v>2276</v>
      </c>
      <c r="G506" t="s">
        <v>512</v>
      </c>
    </row>
    <row r="507" spans="1:7" x14ac:dyDescent="0.25">
      <c r="A507" s="114">
        <v>319471</v>
      </c>
      <c r="B507" s="90" t="s">
        <v>2277</v>
      </c>
      <c r="C507" s="90" t="s">
        <v>508</v>
      </c>
      <c r="D507" s="90" t="s">
        <v>2278</v>
      </c>
      <c r="E507" s="90" t="s">
        <v>1792</v>
      </c>
      <c r="F507" s="90" t="s">
        <v>2279</v>
      </c>
      <c r="G507" t="s">
        <v>512</v>
      </c>
    </row>
    <row r="508" spans="1:7" x14ac:dyDescent="0.25">
      <c r="A508" s="114">
        <v>319497</v>
      </c>
      <c r="B508" s="90" t="s">
        <v>2280</v>
      </c>
      <c r="C508" s="90" t="s">
        <v>508</v>
      </c>
      <c r="D508" s="90" t="s">
        <v>2281</v>
      </c>
      <c r="E508" s="90" t="s">
        <v>2065</v>
      </c>
      <c r="F508" s="90" t="s">
        <v>2282</v>
      </c>
      <c r="G508" t="s">
        <v>512</v>
      </c>
    </row>
    <row r="509" spans="1:7" x14ac:dyDescent="0.25">
      <c r="A509" s="114">
        <v>319498</v>
      </c>
      <c r="B509" s="90" t="s">
        <v>2283</v>
      </c>
      <c r="C509" s="90" t="s">
        <v>508</v>
      </c>
      <c r="D509" s="90" t="s">
        <v>2284</v>
      </c>
      <c r="E509" s="90" t="s">
        <v>2285</v>
      </c>
      <c r="F509" s="90" t="s">
        <v>2286</v>
      </c>
      <c r="G509" t="s">
        <v>512</v>
      </c>
    </row>
    <row r="510" spans="1:7" x14ac:dyDescent="0.25">
      <c r="A510" s="114">
        <v>319524</v>
      </c>
      <c r="B510" s="90" t="s">
        <v>2287</v>
      </c>
      <c r="C510" s="90" t="s">
        <v>508</v>
      </c>
      <c r="D510" s="90" t="s">
        <v>2288</v>
      </c>
      <c r="E510" s="90" t="s">
        <v>2265</v>
      </c>
      <c r="F510" s="90" t="s">
        <v>2289</v>
      </c>
      <c r="G510" t="s">
        <v>512</v>
      </c>
    </row>
    <row r="511" spans="1:7" x14ac:dyDescent="0.25">
      <c r="A511" s="114">
        <v>319525</v>
      </c>
      <c r="B511" s="90" t="s">
        <v>2290</v>
      </c>
      <c r="C511" s="90" t="s">
        <v>508</v>
      </c>
      <c r="D511" s="90" t="s">
        <v>2291</v>
      </c>
      <c r="E511" s="90" t="s">
        <v>2292</v>
      </c>
      <c r="F511" s="90" t="s">
        <v>2293</v>
      </c>
      <c r="G511" t="s">
        <v>512</v>
      </c>
    </row>
    <row r="512" spans="1:7" x14ac:dyDescent="0.25">
      <c r="A512" s="114">
        <v>319528</v>
      </c>
      <c r="B512" s="90" t="s">
        <v>2294</v>
      </c>
      <c r="C512" s="90" t="s">
        <v>508</v>
      </c>
      <c r="D512" s="90" t="s">
        <v>2295</v>
      </c>
      <c r="E512" s="90" t="s">
        <v>555</v>
      </c>
      <c r="F512" s="90" t="s">
        <v>2296</v>
      </c>
      <c r="G512" t="s">
        <v>512</v>
      </c>
    </row>
    <row r="513" spans="1:7" x14ac:dyDescent="0.25">
      <c r="A513" s="114">
        <v>319533</v>
      </c>
      <c r="B513" s="90" t="s">
        <v>2297</v>
      </c>
      <c r="C513" s="90" t="s">
        <v>508</v>
      </c>
      <c r="D513" s="90" t="s">
        <v>2298</v>
      </c>
      <c r="E513" s="90" t="s">
        <v>955</v>
      </c>
      <c r="F513" s="90" t="s">
        <v>2299</v>
      </c>
      <c r="G513" t="s">
        <v>512</v>
      </c>
    </row>
    <row r="514" spans="1:7" x14ac:dyDescent="0.25">
      <c r="A514" s="114">
        <v>319534</v>
      </c>
      <c r="B514" s="90" t="s">
        <v>2300</v>
      </c>
      <c r="C514" s="90" t="s">
        <v>508</v>
      </c>
      <c r="D514" s="90" t="s">
        <v>2301</v>
      </c>
      <c r="E514" s="90" t="s">
        <v>614</v>
      </c>
      <c r="F514" s="90" t="s">
        <v>2302</v>
      </c>
      <c r="G514" t="s">
        <v>512</v>
      </c>
    </row>
    <row r="515" spans="1:7" x14ac:dyDescent="0.25">
      <c r="A515" s="114">
        <v>319535</v>
      </c>
      <c r="B515" s="90" t="s">
        <v>2303</v>
      </c>
      <c r="C515" s="90" t="s">
        <v>508</v>
      </c>
      <c r="D515" s="90" t="s">
        <v>2304</v>
      </c>
      <c r="E515" s="90" t="s">
        <v>2305</v>
      </c>
      <c r="F515" s="90" t="s">
        <v>2306</v>
      </c>
      <c r="G515" t="s">
        <v>512</v>
      </c>
    </row>
    <row r="516" spans="1:7" x14ac:dyDescent="0.25">
      <c r="A516" s="114">
        <v>319590</v>
      </c>
      <c r="B516" s="90" t="s">
        <v>2307</v>
      </c>
      <c r="C516" s="90" t="s">
        <v>508</v>
      </c>
      <c r="D516" s="90" t="s">
        <v>2308</v>
      </c>
      <c r="E516" s="90" t="s">
        <v>2309</v>
      </c>
      <c r="F516" s="90" t="s">
        <v>2310</v>
      </c>
      <c r="G516" t="s">
        <v>512</v>
      </c>
    </row>
    <row r="517" spans="1:7" x14ac:dyDescent="0.25">
      <c r="A517" s="114">
        <v>319620</v>
      </c>
      <c r="B517" s="90" t="s">
        <v>2311</v>
      </c>
      <c r="C517" s="90" t="s">
        <v>508</v>
      </c>
      <c r="D517" s="90" t="s">
        <v>2312</v>
      </c>
      <c r="E517" s="90" t="s">
        <v>1546</v>
      </c>
      <c r="F517" s="90" t="s">
        <v>715</v>
      </c>
      <c r="G517" t="s">
        <v>512</v>
      </c>
    </row>
    <row r="518" spans="1:7" x14ac:dyDescent="0.25">
      <c r="A518" s="114">
        <v>319622</v>
      </c>
      <c r="B518" s="90" t="s">
        <v>2313</v>
      </c>
      <c r="C518" s="90" t="s">
        <v>508</v>
      </c>
      <c r="D518" s="90" t="s">
        <v>2314</v>
      </c>
      <c r="E518" s="90" t="s">
        <v>2315</v>
      </c>
      <c r="F518" s="90" t="s">
        <v>1150</v>
      </c>
      <c r="G518" t="s">
        <v>512</v>
      </c>
    </row>
    <row r="519" spans="1:7" x14ac:dyDescent="0.25">
      <c r="A519" s="114">
        <v>319668</v>
      </c>
      <c r="B519" s="90" t="s">
        <v>2316</v>
      </c>
      <c r="C519" s="90" t="s">
        <v>508</v>
      </c>
      <c r="D519" s="90" t="s">
        <v>2317</v>
      </c>
      <c r="E519" s="90" t="s">
        <v>543</v>
      </c>
      <c r="F519" s="90" t="s">
        <v>2318</v>
      </c>
      <c r="G519" t="s">
        <v>512</v>
      </c>
    </row>
    <row r="520" spans="1:7" x14ac:dyDescent="0.25">
      <c r="A520" s="114">
        <v>319700</v>
      </c>
      <c r="B520" s="90" t="s">
        <v>2319</v>
      </c>
      <c r="C520" s="90" t="s">
        <v>508</v>
      </c>
      <c r="D520" s="90" t="s">
        <v>2320</v>
      </c>
      <c r="E520" s="90" t="s">
        <v>2321</v>
      </c>
      <c r="F520" s="90" t="s">
        <v>2322</v>
      </c>
      <c r="G520" t="s">
        <v>512</v>
      </c>
    </row>
    <row r="521" spans="1:7" x14ac:dyDescent="0.25">
      <c r="A521" s="114">
        <v>319720</v>
      </c>
      <c r="B521" s="90" t="s">
        <v>2323</v>
      </c>
      <c r="C521" s="90" t="s">
        <v>508</v>
      </c>
      <c r="D521" s="90" t="s">
        <v>2324</v>
      </c>
      <c r="E521" s="90" t="s">
        <v>2325</v>
      </c>
      <c r="F521" s="90" t="s">
        <v>2326</v>
      </c>
      <c r="G521" t="s">
        <v>512</v>
      </c>
    </row>
    <row r="522" spans="1:7" x14ac:dyDescent="0.25">
      <c r="A522" s="114">
        <v>319745</v>
      </c>
      <c r="B522" s="90" t="s">
        <v>2327</v>
      </c>
      <c r="C522" s="90" t="s">
        <v>508</v>
      </c>
      <c r="D522" s="90" t="s">
        <v>2328</v>
      </c>
      <c r="E522" s="90" t="s">
        <v>2329</v>
      </c>
      <c r="F522" s="90" t="s">
        <v>2330</v>
      </c>
      <c r="G522" t="s">
        <v>512</v>
      </c>
    </row>
    <row r="523" spans="1:7" x14ac:dyDescent="0.25">
      <c r="A523" s="114">
        <v>319776</v>
      </c>
      <c r="B523" s="90" t="s">
        <v>2331</v>
      </c>
      <c r="C523" s="90" t="s">
        <v>508</v>
      </c>
      <c r="D523" s="90" t="s">
        <v>2332</v>
      </c>
      <c r="E523" s="90" t="s">
        <v>2333</v>
      </c>
      <c r="F523" s="90" t="s">
        <v>2334</v>
      </c>
      <c r="G523" t="s">
        <v>512</v>
      </c>
    </row>
    <row r="524" spans="1:7" x14ac:dyDescent="0.25">
      <c r="A524" s="114">
        <v>319813</v>
      </c>
      <c r="B524" s="90" t="s">
        <v>2335</v>
      </c>
      <c r="C524" s="90" t="s">
        <v>508</v>
      </c>
      <c r="D524" s="90" t="s">
        <v>2336</v>
      </c>
      <c r="E524" s="90" t="s">
        <v>2337</v>
      </c>
      <c r="F524" s="90" t="s">
        <v>2338</v>
      </c>
      <c r="G524" t="s">
        <v>512</v>
      </c>
    </row>
    <row r="525" spans="1:7" x14ac:dyDescent="0.25">
      <c r="A525" s="114">
        <v>319821</v>
      </c>
      <c r="B525" s="90" t="s">
        <v>2339</v>
      </c>
      <c r="C525" s="90" t="s">
        <v>508</v>
      </c>
      <c r="D525" s="90" t="s">
        <v>2340</v>
      </c>
      <c r="E525" s="90" t="s">
        <v>2341</v>
      </c>
      <c r="F525" s="90" t="s">
        <v>2342</v>
      </c>
      <c r="G525" t="s">
        <v>512</v>
      </c>
    </row>
    <row r="526" spans="1:7" x14ac:dyDescent="0.25">
      <c r="A526" s="114">
        <v>319822</v>
      </c>
      <c r="B526" s="90" t="s">
        <v>2343</v>
      </c>
      <c r="C526" s="90" t="s">
        <v>508</v>
      </c>
      <c r="D526" s="90" t="s">
        <v>2344</v>
      </c>
      <c r="E526" s="90" t="s">
        <v>875</v>
      </c>
      <c r="F526" s="90" t="s">
        <v>2345</v>
      </c>
      <c r="G526" t="s">
        <v>512</v>
      </c>
    </row>
    <row r="527" spans="1:7" x14ac:dyDescent="0.25">
      <c r="A527" s="114">
        <v>319893</v>
      </c>
      <c r="B527" s="90" t="s">
        <v>2346</v>
      </c>
      <c r="C527" s="90" t="s">
        <v>508</v>
      </c>
      <c r="D527" s="90" t="s">
        <v>2347</v>
      </c>
      <c r="E527" s="90" t="s">
        <v>2348</v>
      </c>
      <c r="F527" s="90" t="s">
        <v>2349</v>
      </c>
      <c r="G527" t="s">
        <v>512</v>
      </c>
    </row>
    <row r="528" spans="1:7" x14ac:dyDescent="0.25">
      <c r="A528" s="114">
        <v>319918</v>
      </c>
      <c r="B528" s="90" t="s">
        <v>2350</v>
      </c>
      <c r="C528" s="90" t="s">
        <v>508</v>
      </c>
      <c r="D528" s="90" t="s">
        <v>2351</v>
      </c>
      <c r="E528" s="90" t="s">
        <v>972</v>
      </c>
      <c r="F528" s="90" t="s">
        <v>2352</v>
      </c>
      <c r="G528" t="s">
        <v>512</v>
      </c>
    </row>
    <row r="529" spans="1:7" x14ac:dyDescent="0.25">
      <c r="A529" s="114">
        <v>319930</v>
      </c>
      <c r="B529" s="90" t="s">
        <v>2353</v>
      </c>
      <c r="C529" s="90" t="s">
        <v>508</v>
      </c>
      <c r="D529" s="90" t="s">
        <v>2354</v>
      </c>
      <c r="E529" s="90" t="s">
        <v>991</v>
      </c>
      <c r="F529" s="90" t="s">
        <v>2355</v>
      </c>
      <c r="G529" t="s">
        <v>512</v>
      </c>
    </row>
    <row r="530" spans="1:7" x14ac:dyDescent="0.25">
      <c r="A530" s="114">
        <v>319966</v>
      </c>
      <c r="B530" s="90" t="s">
        <v>2356</v>
      </c>
      <c r="C530" s="90" t="s">
        <v>508</v>
      </c>
      <c r="D530" s="90" t="s">
        <v>1428</v>
      </c>
      <c r="E530" s="90" t="s">
        <v>695</v>
      </c>
      <c r="F530" s="90" t="s">
        <v>2357</v>
      </c>
      <c r="G530" t="s">
        <v>512</v>
      </c>
    </row>
    <row r="531" spans="1:7" x14ac:dyDescent="0.25">
      <c r="A531" s="114">
        <v>319974</v>
      </c>
      <c r="B531" s="90" t="s">
        <v>2358</v>
      </c>
      <c r="C531" s="90" t="s">
        <v>508</v>
      </c>
      <c r="D531" s="90" t="s">
        <v>2359</v>
      </c>
      <c r="E531" s="90" t="s">
        <v>1136</v>
      </c>
      <c r="F531" s="90" t="s">
        <v>2360</v>
      </c>
      <c r="G531" t="s">
        <v>512</v>
      </c>
    </row>
    <row r="532" spans="1:7" x14ac:dyDescent="0.25">
      <c r="A532" s="114">
        <v>319975</v>
      </c>
      <c r="B532" s="90" t="s">
        <v>2361</v>
      </c>
      <c r="C532" s="90" t="s">
        <v>508</v>
      </c>
      <c r="D532" s="90" t="s">
        <v>2362</v>
      </c>
      <c r="E532" s="90" t="s">
        <v>1440</v>
      </c>
      <c r="F532" s="90" t="s">
        <v>2363</v>
      </c>
      <c r="G532" t="s">
        <v>512</v>
      </c>
    </row>
    <row r="533" spans="1:7" x14ac:dyDescent="0.25">
      <c r="A533" s="114">
        <v>320020</v>
      </c>
      <c r="B533" s="90" t="s">
        <v>2364</v>
      </c>
      <c r="C533" s="90" t="s">
        <v>508</v>
      </c>
      <c r="D533" s="90" t="s">
        <v>2365</v>
      </c>
      <c r="E533" s="90" t="s">
        <v>2366</v>
      </c>
      <c r="F533" s="90" t="s">
        <v>2367</v>
      </c>
      <c r="G533" t="s">
        <v>512</v>
      </c>
    </row>
    <row r="534" spans="1:7" x14ac:dyDescent="0.25">
      <c r="A534" s="114">
        <v>320029</v>
      </c>
      <c r="B534" s="90" t="s">
        <v>2368</v>
      </c>
      <c r="C534" s="90" t="s">
        <v>508</v>
      </c>
      <c r="D534" s="90" t="s">
        <v>2369</v>
      </c>
      <c r="E534" s="90" t="s">
        <v>843</v>
      </c>
      <c r="F534" s="90" t="s">
        <v>2370</v>
      </c>
      <c r="G534" t="s">
        <v>512</v>
      </c>
    </row>
    <row r="535" spans="1:7" x14ac:dyDescent="0.25">
      <c r="A535" s="114">
        <v>320050</v>
      </c>
      <c r="B535" s="90" t="s">
        <v>2371</v>
      </c>
      <c r="C535" s="90" t="s">
        <v>508</v>
      </c>
      <c r="D535" s="90" t="s">
        <v>2372</v>
      </c>
      <c r="E535" s="90" t="s">
        <v>2373</v>
      </c>
      <c r="F535" s="90" t="s">
        <v>2374</v>
      </c>
      <c r="G535" t="s">
        <v>512</v>
      </c>
    </row>
    <row r="536" spans="1:7" x14ac:dyDescent="0.25">
      <c r="A536" s="114">
        <v>320178</v>
      </c>
      <c r="B536" s="90" t="s">
        <v>2375</v>
      </c>
      <c r="C536" s="90" t="s">
        <v>508</v>
      </c>
      <c r="D536" s="90" t="s">
        <v>2376</v>
      </c>
      <c r="E536" s="90" t="s">
        <v>2377</v>
      </c>
      <c r="F536" s="90" t="s">
        <v>2378</v>
      </c>
      <c r="G536" t="s">
        <v>512</v>
      </c>
    </row>
    <row r="537" spans="1:7" x14ac:dyDescent="0.25">
      <c r="A537" s="114">
        <v>320206</v>
      </c>
      <c r="B537" s="90" t="s">
        <v>2379</v>
      </c>
      <c r="C537" s="90" t="s">
        <v>508</v>
      </c>
      <c r="D537" s="90" t="s">
        <v>2380</v>
      </c>
      <c r="E537" s="90" t="s">
        <v>2381</v>
      </c>
      <c r="F537" s="90" t="s">
        <v>2382</v>
      </c>
      <c r="G537" t="s">
        <v>512</v>
      </c>
    </row>
    <row r="538" spans="1:7" x14ac:dyDescent="0.25">
      <c r="A538" s="114">
        <v>320222</v>
      </c>
      <c r="B538" s="90" t="s">
        <v>2383</v>
      </c>
      <c r="C538" s="90" t="s">
        <v>508</v>
      </c>
      <c r="D538" s="90" t="s">
        <v>2384</v>
      </c>
      <c r="E538" s="90" t="s">
        <v>1866</v>
      </c>
      <c r="F538" s="90" t="s">
        <v>2385</v>
      </c>
      <c r="G538" t="s">
        <v>512</v>
      </c>
    </row>
    <row r="539" spans="1:7" x14ac:dyDescent="0.25">
      <c r="A539" s="114">
        <v>320239</v>
      </c>
      <c r="B539" s="90" t="s">
        <v>2386</v>
      </c>
      <c r="C539" s="90" t="s">
        <v>508</v>
      </c>
      <c r="D539" s="90" t="s">
        <v>2387</v>
      </c>
      <c r="E539" s="90" t="s">
        <v>2388</v>
      </c>
      <c r="F539" s="90" t="s">
        <v>2389</v>
      </c>
      <c r="G539" t="s">
        <v>512</v>
      </c>
    </row>
    <row r="540" spans="1:7" x14ac:dyDescent="0.25">
      <c r="A540" s="114">
        <v>320262</v>
      </c>
      <c r="B540" s="90" t="s">
        <v>2390</v>
      </c>
      <c r="C540" s="90" t="s">
        <v>508</v>
      </c>
      <c r="D540" s="90" t="s">
        <v>2391</v>
      </c>
      <c r="E540" s="90" t="s">
        <v>941</v>
      </c>
      <c r="F540" s="90" t="s">
        <v>2392</v>
      </c>
      <c r="G540" t="s">
        <v>512</v>
      </c>
    </row>
    <row r="541" spans="1:7" x14ac:dyDescent="0.25">
      <c r="A541" s="114">
        <v>320264</v>
      </c>
      <c r="B541" s="90" t="s">
        <v>2393</v>
      </c>
      <c r="C541" s="90" t="s">
        <v>508</v>
      </c>
      <c r="D541" s="90" t="s">
        <v>2394</v>
      </c>
      <c r="E541" s="90" t="s">
        <v>2395</v>
      </c>
      <c r="F541" s="90" t="s">
        <v>2396</v>
      </c>
      <c r="G541" t="s">
        <v>512</v>
      </c>
    </row>
    <row r="542" spans="1:7" x14ac:dyDescent="0.25">
      <c r="A542" s="114">
        <v>320291</v>
      </c>
      <c r="B542" s="90" t="s">
        <v>2397</v>
      </c>
      <c r="C542" s="90" t="s">
        <v>508</v>
      </c>
      <c r="D542" s="90" t="s">
        <v>2398</v>
      </c>
      <c r="E542" s="90" t="s">
        <v>2399</v>
      </c>
      <c r="F542" s="90" t="s">
        <v>2400</v>
      </c>
      <c r="G542" t="s">
        <v>512</v>
      </c>
    </row>
    <row r="543" spans="1:7" x14ac:dyDescent="0.25">
      <c r="A543" s="114">
        <v>320327</v>
      </c>
      <c r="B543" s="90" t="s">
        <v>2401</v>
      </c>
      <c r="C543" s="90" t="s">
        <v>508</v>
      </c>
      <c r="D543" s="90" t="s">
        <v>2402</v>
      </c>
      <c r="E543" s="90" t="s">
        <v>1485</v>
      </c>
      <c r="F543" s="90" t="s">
        <v>2403</v>
      </c>
      <c r="G543" t="s">
        <v>512</v>
      </c>
    </row>
    <row r="544" spans="1:7" x14ac:dyDescent="0.25">
      <c r="A544" s="114">
        <v>320328</v>
      </c>
      <c r="B544" s="90" t="s">
        <v>2404</v>
      </c>
      <c r="C544" s="90" t="s">
        <v>508</v>
      </c>
      <c r="D544" s="90" t="s">
        <v>2405</v>
      </c>
      <c r="E544" s="90" t="s">
        <v>811</v>
      </c>
      <c r="F544" s="90" t="s">
        <v>2406</v>
      </c>
      <c r="G544" t="s">
        <v>512</v>
      </c>
    </row>
    <row r="545" spans="1:7" x14ac:dyDescent="0.25">
      <c r="A545" s="114">
        <v>320329</v>
      </c>
      <c r="B545" s="90" t="s">
        <v>2407</v>
      </c>
      <c r="C545" s="90" t="s">
        <v>508</v>
      </c>
      <c r="D545" s="90" t="s">
        <v>2408</v>
      </c>
      <c r="E545" s="90" t="s">
        <v>2409</v>
      </c>
      <c r="F545" s="90" t="s">
        <v>2410</v>
      </c>
      <c r="G545" t="s">
        <v>512</v>
      </c>
    </row>
    <row r="546" spans="1:7" x14ac:dyDescent="0.25">
      <c r="A546" s="114">
        <v>320364</v>
      </c>
      <c r="B546" s="90" t="s">
        <v>2411</v>
      </c>
      <c r="C546" s="90" t="s">
        <v>508</v>
      </c>
      <c r="D546" s="90" t="s">
        <v>2412</v>
      </c>
      <c r="E546" s="90" t="s">
        <v>910</v>
      </c>
      <c r="F546" s="90" t="s">
        <v>2413</v>
      </c>
      <c r="G546" t="s">
        <v>512</v>
      </c>
    </row>
    <row r="547" spans="1:7" x14ac:dyDescent="0.25">
      <c r="A547" s="114">
        <v>320373</v>
      </c>
      <c r="B547" s="90" t="s">
        <v>2414</v>
      </c>
      <c r="C547" s="90" t="s">
        <v>508</v>
      </c>
      <c r="D547" s="90" t="s">
        <v>2415</v>
      </c>
      <c r="E547" s="90" t="s">
        <v>2416</v>
      </c>
      <c r="F547" s="90" t="s">
        <v>2417</v>
      </c>
      <c r="G547" t="s">
        <v>512</v>
      </c>
    </row>
    <row r="548" spans="1:7" x14ac:dyDescent="0.25">
      <c r="A548" s="114">
        <v>320376</v>
      </c>
      <c r="B548" s="90" t="s">
        <v>2418</v>
      </c>
      <c r="C548" s="90" t="s">
        <v>508</v>
      </c>
      <c r="D548" s="90" t="s">
        <v>2419</v>
      </c>
      <c r="E548" s="90" t="s">
        <v>2420</v>
      </c>
      <c r="F548" s="90" t="s">
        <v>2421</v>
      </c>
      <c r="G548" t="s">
        <v>512</v>
      </c>
    </row>
    <row r="549" spans="1:7" x14ac:dyDescent="0.25">
      <c r="A549" s="114">
        <v>320385</v>
      </c>
      <c r="B549" s="90" t="s">
        <v>2422</v>
      </c>
      <c r="C549" s="90" t="s">
        <v>508</v>
      </c>
      <c r="D549" s="90" t="s">
        <v>2423</v>
      </c>
      <c r="E549" s="90" t="s">
        <v>2424</v>
      </c>
      <c r="F549" s="90" t="s">
        <v>2425</v>
      </c>
      <c r="G549" t="s">
        <v>512</v>
      </c>
    </row>
    <row r="550" spans="1:7" x14ac:dyDescent="0.25">
      <c r="A550" s="114">
        <v>320407</v>
      </c>
      <c r="B550" s="90" t="s">
        <v>2426</v>
      </c>
      <c r="C550" s="90" t="s">
        <v>508</v>
      </c>
      <c r="D550" s="90" t="s">
        <v>2427</v>
      </c>
      <c r="E550" s="90" t="s">
        <v>2428</v>
      </c>
      <c r="F550" s="90" t="s">
        <v>2429</v>
      </c>
      <c r="G550" t="s">
        <v>512</v>
      </c>
    </row>
    <row r="551" spans="1:7" x14ac:dyDescent="0.25">
      <c r="A551" s="114">
        <v>320420</v>
      </c>
      <c r="B551" s="90" t="s">
        <v>2430</v>
      </c>
      <c r="C551" s="90" t="s">
        <v>508</v>
      </c>
      <c r="D551" s="90" t="s">
        <v>2431</v>
      </c>
      <c r="E551" s="90" t="s">
        <v>2230</v>
      </c>
      <c r="F551" s="90" t="s">
        <v>2432</v>
      </c>
      <c r="G551" t="s">
        <v>512</v>
      </c>
    </row>
    <row r="552" spans="1:7" x14ac:dyDescent="0.25">
      <c r="A552" s="114">
        <v>320421</v>
      </c>
      <c r="B552" s="90" t="s">
        <v>2433</v>
      </c>
      <c r="C552" s="90" t="s">
        <v>508</v>
      </c>
      <c r="D552" s="90" t="s">
        <v>2434</v>
      </c>
      <c r="E552" s="90" t="s">
        <v>2435</v>
      </c>
      <c r="F552" s="90" t="s">
        <v>2436</v>
      </c>
      <c r="G552" t="s">
        <v>512</v>
      </c>
    </row>
    <row r="553" spans="1:7" x14ac:dyDescent="0.25">
      <c r="A553" s="114">
        <v>320469</v>
      </c>
      <c r="B553" s="90" t="s">
        <v>2437</v>
      </c>
      <c r="C553" s="90" t="s">
        <v>508</v>
      </c>
      <c r="D553" s="90" t="s">
        <v>2438</v>
      </c>
      <c r="E553" s="90" t="s">
        <v>883</v>
      </c>
      <c r="F553" s="90" t="s">
        <v>2439</v>
      </c>
      <c r="G553" t="s">
        <v>512</v>
      </c>
    </row>
    <row r="554" spans="1:7" x14ac:dyDescent="0.25">
      <c r="A554" s="114">
        <v>320481</v>
      </c>
      <c r="B554" s="90" t="s">
        <v>2440</v>
      </c>
      <c r="C554" s="90" t="s">
        <v>508</v>
      </c>
      <c r="D554" s="90" t="s">
        <v>2441</v>
      </c>
      <c r="E554" s="90" t="s">
        <v>2442</v>
      </c>
      <c r="F554" s="90" t="s">
        <v>2443</v>
      </c>
      <c r="G554" t="s">
        <v>512</v>
      </c>
    </row>
    <row r="555" spans="1:7" x14ac:dyDescent="0.25">
      <c r="A555" s="114">
        <v>320482</v>
      </c>
      <c r="B555" s="90" t="s">
        <v>2444</v>
      </c>
      <c r="C555" s="90" t="s">
        <v>508</v>
      </c>
      <c r="D555" s="90" t="s">
        <v>2445</v>
      </c>
      <c r="E555" s="90" t="s">
        <v>614</v>
      </c>
      <c r="F555" s="90" t="s">
        <v>2446</v>
      </c>
      <c r="G555" t="s">
        <v>512</v>
      </c>
    </row>
    <row r="556" spans="1:7" x14ac:dyDescent="0.25">
      <c r="A556" s="114">
        <v>320483</v>
      </c>
      <c r="B556" s="90" t="s">
        <v>2447</v>
      </c>
      <c r="C556" s="90" t="s">
        <v>508</v>
      </c>
      <c r="D556" s="90" t="s">
        <v>2448</v>
      </c>
      <c r="E556" s="90" t="s">
        <v>2199</v>
      </c>
      <c r="F556" s="90" t="s">
        <v>2449</v>
      </c>
      <c r="G556" t="s">
        <v>512</v>
      </c>
    </row>
    <row r="557" spans="1:7" x14ac:dyDescent="0.25">
      <c r="A557" s="114">
        <v>320495</v>
      </c>
      <c r="B557" s="90" t="s">
        <v>2450</v>
      </c>
      <c r="C557" s="90" t="s">
        <v>508</v>
      </c>
      <c r="D557" s="90" t="s">
        <v>2451</v>
      </c>
      <c r="E557" s="90" t="s">
        <v>972</v>
      </c>
      <c r="F557" s="90" t="s">
        <v>2452</v>
      </c>
      <c r="G557" t="s">
        <v>512</v>
      </c>
    </row>
    <row r="558" spans="1:7" x14ac:dyDescent="0.25">
      <c r="A558" s="114">
        <v>320504</v>
      </c>
      <c r="B558" s="90" t="s">
        <v>2453</v>
      </c>
      <c r="C558" s="90" t="s">
        <v>508</v>
      </c>
      <c r="D558" s="90" t="s">
        <v>2454</v>
      </c>
      <c r="E558" s="90" t="s">
        <v>2455</v>
      </c>
      <c r="F558" s="90" t="s">
        <v>2456</v>
      </c>
      <c r="G558" t="s">
        <v>512</v>
      </c>
    </row>
    <row r="559" spans="1:7" x14ac:dyDescent="0.25">
      <c r="A559" s="114">
        <v>320516</v>
      </c>
      <c r="B559" s="90" t="s">
        <v>2457</v>
      </c>
      <c r="C559" s="90" t="s">
        <v>508</v>
      </c>
      <c r="D559" s="90" t="s">
        <v>2458</v>
      </c>
      <c r="E559" s="90" t="s">
        <v>742</v>
      </c>
      <c r="F559" s="90" t="s">
        <v>2459</v>
      </c>
      <c r="G559" t="s">
        <v>512</v>
      </c>
    </row>
    <row r="560" spans="1:7" x14ac:dyDescent="0.25">
      <c r="A560" s="114">
        <v>320562</v>
      </c>
      <c r="B560" s="90" t="s">
        <v>2460</v>
      </c>
      <c r="C560" s="90" t="s">
        <v>508</v>
      </c>
      <c r="D560" s="90" t="s">
        <v>2461</v>
      </c>
      <c r="E560" s="90" t="s">
        <v>2462</v>
      </c>
      <c r="F560" s="90" t="s">
        <v>2463</v>
      </c>
      <c r="G560" t="s">
        <v>512</v>
      </c>
    </row>
    <row r="561" spans="1:7" x14ac:dyDescent="0.25">
      <c r="A561" s="114">
        <v>320669</v>
      </c>
      <c r="B561" s="90" t="s">
        <v>2464</v>
      </c>
      <c r="C561" s="90" t="s">
        <v>508</v>
      </c>
      <c r="D561" s="90" t="s">
        <v>2465</v>
      </c>
      <c r="E561" s="90" t="s">
        <v>547</v>
      </c>
      <c r="F561" s="90" t="s">
        <v>2466</v>
      </c>
      <c r="G561" t="s">
        <v>512</v>
      </c>
    </row>
    <row r="562" spans="1:7" x14ac:dyDescent="0.25">
      <c r="A562" s="114">
        <v>320755</v>
      </c>
      <c r="B562" s="90" t="s">
        <v>2467</v>
      </c>
      <c r="C562" s="90" t="s">
        <v>508</v>
      </c>
      <c r="D562" s="90" t="s">
        <v>2468</v>
      </c>
      <c r="E562" s="90" t="s">
        <v>2469</v>
      </c>
      <c r="F562" s="90" t="s">
        <v>2470</v>
      </c>
      <c r="G562" t="s">
        <v>512</v>
      </c>
    </row>
    <row r="563" spans="1:7" x14ac:dyDescent="0.25">
      <c r="A563" s="114">
        <v>320760</v>
      </c>
      <c r="B563" s="90" t="s">
        <v>2471</v>
      </c>
      <c r="C563" s="90" t="s">
        <v>508</v>
      </c>
      <c r="D563" s="90" t="s">
        <v>2472</v>
      </c>
      <c r="E563" s="90" t="s">
        <v>894</v>
      </c>
      <c r="F563" s="90" t="s">
        <v>2473</v>
      </c>
      <c r="G563" t="s">
        <v>512</v>
      </c>
    </row>
    <row r="564" spans="1:7" x14ac:dyDescent="0.25">
      <c r="A564" s="114">
        <v>320796</v>
      </c>
      <c r="B564" s="90" t="s">
        <v>2474</v>
      </c>
      <c r="C564" s="90" t="s">
        <v>508</v>
      </c>
      <c r="D564" s="90" t="s">
        <v>2475</v>
      </c>
      <c r="E564" s="90" t="s">
        <v>955</v>
      </c>
      <c r="F564" s="90" t="s">
        <v>2476</v>
      </c>
      <c r="G564" t="s">
        <v>512</v>
      </c>
    </row>
    <row r="565" spans="1:7" x14ac:dyDescent="0.25">
      <c r="A565" s="114">
        <v>320818</v>
      </c>
      <c r="B565" s="90" t="s">
        <v>2477</v>
      </c>
      <c r="C565" s="90" t="s">
        <v>508</v>
      </c>
      <c r="D565" s="90" t="s">
        <v>2478</v>
      </c>
      <c r="E565" s="90" t="s">
        <v>1425</v>
      </c>
      <c r="F565" s="90" t="s">
        <v>2479</v>
      </c>
      <c r="G565" t="s">
        <v>512</v>
      </c>
    </row>
    <row r="566" spans="1:7" x14ac:dyDescent="0.25">
      <c r="A566" s="114">
        <v>320830</v>
      </c>
      <c r="B566" s="90" t="s">
        <v>2480</v>
      </c>
      <c r="C566" s="90" t="s">
        <v>508</v>
      </c>
      <c r="D566" s="90" t="s">
        <v>2481</v>
      </c>
      <c r="E566" s="90" t="s">
        <v>1057</v>
      </c>
      <c r="F566" s="90" t="s">
        <v>2482</v>
      </c>
      <c r="G566" t="s">
        <v>512</v>
      </c>
    </row>
    <row r="567" spans="1:7" x14ac:dyDescent="0.25">
      <c r="A567" s="114">
        <v>320832</v>
      </c>
      <c r="B567" s="90" t="s">
        <v>2483</v>
      </c>
      <c r="C567" s="90" t="s">
        <v>508</v>
      </c>
      <c r="D567" s="90" t="s">
        <v>2484</v>
      </c>
      <c r="E567" s="90" t="s">
        <v>2246</v>
      </c>
      <c r="F567" s="90" t="s">
        <v>2485</v>
      </c>
      <c r="G567" t="s">
        <v>512</v>
      </c>
    </row>
    <row r="568" spans="1:7" x14ac:dyDescent="0.25">
      <c r="A568" s="114">
        <v>320839</v>
      </c>
      <c r="B568" s="90" t="s">
        <v>2486</v>
      </c>
      <c r="C568" s="90" t="s">
        <v>508</v>
      </c>
      <c r="D568" s="90" t="s">
        <v>2487</v>
      </c>
      <c r="E568" s="90" t="s">
        <v>2488</v>
      </c>
      <c r="F568" s="90" t="s">
        <v>2489</v>
      </c>
      <c r="G568" t="s">
        <v>512</v>
      </c>
    </row>
    <row r="569" spans="1:7" x14ac:dyDescent="0.25">
      <c r="A569" s="114">
        <v>320901</v>
      </c>
      <c r="B569" s="90" t="s">
        <v>2490</v>
      </c>
      <c r="C569" s="90" t="s">
        <v>508</v>
      </c>
      <c r="D569" s="90" t="s">
        <v>2491</v>
      </c>
      <c r="E569" s="90" t="s">
        <v>2492</v>
      </c>
      <c r="F569" s="90" t="s">
        <v>2493</v>
      </c>
      <c r="G569" t="s">
        <v>512</v>
      </c>
    </row>
    <row r="570" spans="1:7" x14ac:dyDescent="0.25">
      <c r="A570" s="114">
        <v>320924</v>
      </c>
      <c r="B570" s="90" t="s">
        <v>2494</v>
      </c>
      <c r="C570" s="90" t="s">
        <v>508</v>
      </c>
      <c r="D570" s="90" t="s">
        <v>2495</v>
      </c>
      <c r="E570" s="90" t="s">
        <v>2496</v>
      </c>
      <c r="F570" s="90" t="s">
        <v>2497</v>
      </c>
      <c r="G570" t="s">
        <v>512</v>
      </c>
    </row>
    <row r="571" spans="1:7" x14ac:dyDescent="0.25">
      <c r="A571" s="114">
        <v>320928</v>
      </c>
      <c r="B571" s="90" t="s">
        <v>2498</v>
      </c>
      <c r="C571" s="90" t="s">
        <v>508</v>
      </c>
      <c r="D571" s="90" t="s">
        <v>2499</v>
      </c>
      <c r="E571" s="90" t="s">
        <v>991</v>
      </c>
      <c r="F571" s="90" t="s">
        <v>2500</v>
      </c>
      <c r="G571" t="s">
        <v>512</v>
      </c>
    </row>
    <row r="572" spans="1:7" x14ac:dyDescent="0.25">
      <c r="A572" s="114">
        <v>321057</v>
      </c>
      <c r="B572" s="90" t="s">
        <v>2501</v>
      </c>
      <c r="C572" s="90" t="s">
        <v>508</v>
      </c>
      <c r="D572" s="90" t="s">
        <v>2502</v>
      </c>
      <c r="E572" s="90" t="s">
        <v>583</v>
      </c>
      <c r="F572" s="90" t="s">
        <v>2503</v>
      </c>
      <c r="G572" t="s">
        <v>512</v>
      </c>
    </row>
    <row r="573" spans="1:7" x14ac:dyDescent="0.25">
      <c r="A573" s="114">
        <v>321074</v>
      </c>
      <c r="B573" s="90" t="s">
        <v>2504</v>
      </c>
      <c r="C573" s="90" t="s">
        <v>508</v>
      </c>
      <c r="D573" s="90" t="s">
        <v>2505</v>
      </c>
      <c r="E573" s="90" t="s">
        <v>2506</v>
      </c>
      <c r="F573" s="90" t="s">
        <v>2507</v>
      </c>
      <c r="G573" t="s">
        <v>512</v>
      </c>
    </row>
    <row r="574" spans="1:7" x14ac:dyDescent="0.25">
      <c r="A574" s="114">
        <v>321075</v>
      </c>
      <c r="B574" s="90" t="s">
        <v>2508</v>
      </c>
      <c r="C574" s="90" t="s">
        <v>508</v>
      </c>
      <c r="D574" s="90" t="s">
        <v>2509</v>
      </c>
      <c r="E574" s="90" t="s">
        <v>811</v>
      </c>
      <c r="F574" s="90" t="s">
        <v>2510</v>
      </c>
      <c r="G574" t="s">
        <v>512</v>
      </c>
    </row>
    <row r="575" spans="1:7" x14ac:dyDescent="0.25">
      <c r="A575" s="114">
        <v>321076</v>
      </c>
      <c r="B575" s="90" t="s">
        <v>2511</v>
      </c>
      <c r="C575" s="90" t="s">
        <v>508</v>
      </c>
      <c r="D575" s="90" t="s">
        <v>2512</v>
      </c>
      <c r="E575" s="90" t="s">
        <v>2513</v>
      </c>
      <c r="F575" s="90" t="s">
        <v>2514</v>
      </c>
      <c r="G575" t="s">
        <v>512</v>
      </c>
    </row>
    <row r="576" spans="1:7" x14ac:dyDescent="0.25">
      <c r="A576" s="114">
        <v>321095</v>
      </c>
      <c r="B576" s="90" t="s">
        <v>2515</v>
      </c>
      <c r="C576" s="90" t="s">
        <v>508</v>
      </c>
      <c r="D576" s="90" t="s">
        <v>2516</v>
      </c>
      <c r="E576" s="90" t="s">
        <v>2517</v>
      </c>
      <c r="F576" s="90" t="s">
        <v>2518</v>
      </c>
      <c r="G576" t="s">
        <v>512</v>
      </c>
    </row>
    <row r="577" spans="1:7" x14ac:dyDescent="0.25">
      <c r="A577" s="114">
        <v>321107</v>
      </c>
      <c r="B577" s="90" t="s">
        <v>2519</v>
      </c>
      <c r="C577" s="90" t="s">
        <v>508</v>
      </c>
      <c r="D577" s="90" t="s">
        <v>2520</v>
      </c>
      <c r="E577" s="90" t="s">
        <v>2234</v>
      </c>
      <c r="F577" s="90" t="s">
        <v>2521</v>
      </c>
      <c r="G577" t="s">
        <v>512</v>
      </c>
    </row>
    <row r="578" spans="1:7" x14ac:dyDescent="0.25">
      <c r="A578" s="114">
        <v>321135</v>
      </c>
      <c r="B578" s="90" t="s">
        <v>2522</v>
      </c>
      <c r="C578" s="90" t="s">
        <v>508</v>
      </c>
      <c r="D578" s="90" t="s">
        <v>2523</v>
      </c>
      <c r="E578" s="90" t="s">
        <v>2524</v>
      </c>
      <c r="F578" s="90" t="s">
        <v>2525</v>
      </c>
      <c r="G578" t="s">
        <v>512</v>
      </c>
    </row>
    <row r="579" spans="1:7" x14ac:dyDescent="0.25">
      <c r="A579" s="114">
        <v>321153</v>
      </c>
      <c r="B579" s="90" t="s">
        <v>2526</v>
      </c>
      <c r="C579" s="90" t="s">
        <v>508</v>
      </c>
      <c r="D579" s="90" t="s">
        <v>2527</v>
      </c>
      <c r="E579" s="90" t="s">
        <v>2528</v>
      </c>
      <c r="F579" s="90" t="s">
        <v>2529</v>
      </c>
      <c r="G579" t="s">
        <v>512</v>
      </c>
    </row>
    <row r="580" spans="1:7" x14ac:dyDescent="0.25">
      <c r="A580" s="114">
        <v>321154</v>
      </c>
      <c r="B580" s="90" t="s">
        <v>2530</v>
      </c>
      <c r="C580" s="90" t="s">
        <v>508</v>
      </c>
      <c r="D580" s="90" t="s">
        <v>2531</v>
      </c>
      <c r="E580" s="90" t="s">
        <v>2532</v>
      </c>
      <c r="F580" s="90" t="s">
        <v>2533</v>
      </c>
      <c r="G580" t="s">
        <v>512</v>
      </c>
    </row>
    <row r="581" spans="1:7" x14ac:dyDescent="0.25">
      <c r="A581" s="114">
        <v>321204</v>
      </c>
      <c r="B581" s="90" t="s">
        <v>2534</v>
      </c>
      <c r="C581" s="90" t="s">
        <v>508</v>
      </c>
      <c r="D581" s="90" t="s">
        <v>2535</v>
      </c>
      <c r="E581" s="90" t="s">
        <v>1633</v>
      </c>
      <c r="F581" s="90" t="s">
        <v>2536</v>
      </c>
      <c r="G581" t="s">
        <v>512</v>
      </c>
    </row>
    <row r="582" spans="1:7" x14ac:dyDescent="0.25">
      <c r="A582" s="114">
        <v>321223</v>
      </c>
      <c r="B582" s="90" t="s">
        <v>666</v>
      </c>
      <c r="C582" s="90" t="s">
        <v>508</v>
      </c>
      <c r="D582" s="90" t="s">
        <v>2537</v>
      </c>
      <c r="E582" s="90" t="s">
        <v>2538</v>
      </c>
      <c r="F582" s="90" t="s">
        <v>2539</v>
      </c>
      <c r="G582" t="s">
        <v>512</v>
      </c>
    </row>
    <row r="583" spans="1:7" x14ac:dyDescent="0.25">
      <c r="A583" s="114">
        <v>321238</v>
      </c>
      <c r="B583" s="90" t="s">
        <v>2540</v>
      </c>
      <c r="C583" s="90" t="s">
        <v>508</v>
      </c>
      <c r="D583" s="90" t="s">
        <v>2541</v>
      </c>
      <c r="E583" s="90" t="s">
        <v>519</v>
      </c>
      <c r="F583" s="90" t="s">
        <v>2542</v>
      </c>
      <c r="G583" t="s">
        <v>512</v>
      </c>
    </row>
    <row r="584" spans="1:7" x14ac:dyDescent="0.25">
      <c r="A584" s="114">
        <v>321261</v>
      </c>
      <c r="B584" s="90" t="s">
        <v>2543</v>
      </c>
      <c r="C584" s="90" t="s">
        <v>508</v>
      </c>
      <c r="D584" s="90" t="s">
        <v>2544</v>
      </c>
      <c r="E584" s="90" t="s">
        <v>2545</v>
      </c>
      <c r="F584" s="90" t="s">
        <v>2546</v>
      </c>
      <c r="G584" t="s">
        <v>512</v>
      </c>
    </row>
    <row r="585" spans="1:7" x14ac:dyDescent="0.25">
      <c r="A585" s="114">
        <v>321277</v>
      </c>
      <c r="B585" s="90" t="s">
        <v>2547</v>
      </c>
      <c r="C585" s="90" t="s">
        <v>508</v>
      </c>
      <c r="D585" s="90" t="s">
        <v>2548</v>
      </c>
      <c r="E585" s="90" t="s">
        <v>2549</v>
      </c>
      <c r="F585" s="90" t="s">
        <v>2550</v>
      </c>
      <c r="G585" t="s">
        <v>512</v>
      </c>
    </row>
    <row r="586" spans="1:7" x14ac:dyDescent="0.25">
      <c r="A586" s="114">
        <v>321368</v>
      </c>
      <c r="B586" s="90" t="s">
        <v>2551</v>
      </c>
      <c r="C586" s="90" t="s">
        <v>508</v>
      </c>
      <c r="D586" s="90" t="s">
        <v>2552</v>
      </c>
      <c r="E586" s="90" t="s">
        <v>883</v>
      </c>
      <c r="F586" s="90" t="s">
        <v>2553</v>
      </c>
      <c r="G586" t="s">
        <v>512</v>
      </c>
    </row>
    <row r="587" spans="1:7" x14ac:dyDescent="0.25">
      <c r="A587" s="114">
        <v>321445</v>
      </c>
      <c r="B587" s="90" t="s">
        <v>2554</v>
      </c>
      <c r="C587" s="90" t="s">
        <v>508</v>
      </c>
      <c r="D587" s="90" t="s">
        <v>2555</v>
      </c>
      <c r="E587" s="90" t="s">
        <v>2556</v>
      </c>
      <c r="F587" s="90" t="s">
        <v>2557</v>
      </c>
      <c r="G587" t="s">
        <v>512</v>
      </c>
    </row>
    <row r="588" spans="1:7" x14ac:dyDescent="0.25">
      <c r="A588" s="114">
        <v>321473</v>
      </c>
      <c r="B588" s="90" t="s">
        <v>2558</v>
      </c>
      <c r="C588" s="90" t="s">
        <v>508</v>
      </c>
      <c r="D588" s="90" t="s">
        <v>2559</v>
      </c>
      <c r="E588" s="90" t="s">
        <v>2560</v>
      </c>
      <c r="F588" s="90" t="s">
        <v>2561</v>
      </c>
      <c r="G588" t="s">
        <v>512</v>
      </c>
    </row>
    <row r="589" spans="1:7" x14ac:dyDescent="0.25">
      <c r="A589" s="114">
        <v>321474</v>
      </c>
      <c r="B589" s="90" t="s">
        <v>2562</v>
      </c>
      <c r="C589" s="90" t="s">
        <v>508</v>
      </c>
      <c r="D589" s="90" t="s">
        <v>2001</v>
      </c>
      <c r="E589" s="90" t="s">
        <v>2563</v>
      </c>
      <c r="F589" s="90" t="s">
        <v>2564</v>
      </c>
      <c r="G589" t="s">
        <v>512</v>
      </c>
    </row>
    <row r="590" spans="1:7" x14ac:dyDescent="0.25">
      <c r="A590" s="114">
        <v>321475</v>
      </c>
      <c r="B590" s="90" t="s">
        <v>2565</v>
      </c>
      <c r="C590" s="90" t="s">
        <v>508</v>
      </c>
      <c r="D590" s="90" t="s">
        <v>2566</v>
      </c>
      <c r="E590" s="90" t="s">
        <v>2567</v>
      </c>
      <c r="F590" s="90" t="s">
        <v>2568</v>
      </c>
      <c r="G590" t="s">
        <v>512</v>
      </c>
    </row>
    <row r="591" spans="1:7" x14ac:dyDescent="0.25">
      <c r="A591" s="114">
        <v>321478</v>
      </c>
      <c r="B591" s="90" t="s">
        <v>2569</v>
      </c>
      <c r="C591" s="90" t="s">
        <v>508</v>
      </c>
      <c r="D591" s="90" t="s">
        <v>2570</v>
      </c>
      <c r="E591" s="90" t="s">
        <v>2571</v>
      </c>
      <c r="F591" s="90" t="s">
        <v>2572</v>
      </c>
      <c r="G591" t="s">
        <v>512</v>
      </c>
    </row>
    <row r="592" spans="1:7" x14ac:dyDescent="0.25">
      <c r="A592" s="114">
        <v>321498</v>
      </c>
      <c r="B592" s="90" t="s">
        <v>2573</v>
      </c>
      <c r="C592" s="90" t="s">
        <v>508</v>
      </c>
      <c r="D592" s="90" t="s">
        <v>2574</v>
      </c>
      <c r="E592" s="90" t="s">
        <v>2575</v>
      </c>
      <c r="F592" s="90" t="s">
        <v>2576</v>
      </c>
      <c r="G592" t="s">
        <v>512</v>
      </c>
    </row>
    <row r="593" spans="1:7" x14ac:dyDescent="0.25">
      <c r="A593" s="114">
        <v>321506</v>
      </c>
      <c r="B593" s="90" t="s">
        <v>2577</v>
      </c>
      <c r="C593" s="90" t="s">
        <v>508</v>
      </c>
      <c r="D593" s="90" t="s">
        <v>2578</v>
      </c>
      <c r="E593" s="90" t="s">
        <v>2579</v>
      </c>
      <c r="F593" s="90" t="s">
        <v>2580</v>
      </c>
      <c r="G593" t="s">
        <v>512</v>
      </c>
    </row>
    <row r="594" spans="1:7" x14ac:dyDescent="0.25">
      <c r="A594" s="114">
        <v>321507</v>
      </c>
      <c r="B594" s="90" t="s">
        <v>2581</v>
      </c>
      <c r="C594" s="90" t="s">
        <v>508</v>
      </c>
      <c r="D594" s="90" t="s">
        <v>2582</v>
      </c>
      <c r="E594" s="90" t="s">
        <v>1625</v>
      </c>
      <c r="F594" s="90" t="s">
        <v>2583</v>
      </c>
      <c r="G594" t="s">
        <v>512</v>
      </c>
    </row>
    <row r="595" spans="1:7" x14ac:dyDescent="0.25">
      <c r="A595" s="114">
        <v>321533</v>
      </c>
      <c r="B595" s="90" t="s">
        <v>2584</v>
      </c>
      <c r="C595" s="90" t="s">
        <v>508</v>
      </c>
      <c r="D595" s="90" t="s">
        <v>2585</v>
      </c>
      <c r="E595" s="90" t="s">
        <v>2586</v>
      </c>
      <c r="F595" s="90" t="s">
        <v>2587</v>
      </c>
      <c r="G595" t="s">
        <v>512</v>
      </c>
    </row>
    <row r="596" spans="1:7" x14ac:dyDescent="0.25">
      <c r="A596" s="114">
        <v>321534</v>
      </c>
      <c r="B596" s="90" t="s">
        <v>2588</v>
      </c>
      <c r="C596" s="90" t="s">
        <v>508</v>
      </c>
      <c r="D596" s="90" t="s">
        <v>2589</v>
      </c>
      <c r="E596" s="90" t="s">
        <v>2590</v>
      </c>
      <c r="F596" s="90" t="s">
        <v>2591</v>
      </c>
      <c r="G596" t="s">
        <v>512</v>
      </c>
    </row>
    <row r="597" spans="1:7" x14ac:dyDescent="0.25">
      <c r="A597" s="114">
        <v>321535</v>
      </c>
      <c r="B597" s="90" t="s">
        <v>2592</v>
      </c>
      <c r="C597" s="90" t="s">
        <v>508</v>
      </c>
      <c r="D597" s="90" t="s">
        <v>2593</v>
      </c>
      <c r="E597" s="90" t="s">
        <v>1061</v>
      </c>
      <c r="F597" s="90" t="s">
        <v>2594</v>
      </c>
      <c r="G597" t="s">
        <v>512</v>
      </c>
    </row>
    <row r="598" spans="1:7" x14ac:dyDescent="0.25">
      <c r="A598" s="114">
        <v>321585</v>
      </c>
      <c r="B598" s="90" t="s">
        <v>2595</v>
      </c>
      <c r="C598" s="90" t="s">
        <v>508</v>
      </c>
      <c r="D598" s="90" t="s">
        <v>2596</v>
      </c>
      <c r="E598" s="90" t="s">
        <v>879</v>
      </c>
      <c r="F598" s="90" t="s">
        <v>2597</v>
      </c>
      <c r="G598" t="s">
        <v>512</v>
      </c>
    </row>
    <row r="599" spans="1:7" x14ac:dyDescent="0.25">
      <c r="A599" s="114">
        <v>321588</v>
      </c>
      <c r="B599" s="90" t="s">
        <v>1894</v>
      </c>
      <c r="C599" s="90" t="s">
        <v>508</v>
      </c>
      <c r="D599" s="90" t="s">
        <v>2598</v>
      </c>
      <c r="E599" s="90" t="s">
        <v>1001</v>
      </c>
      <c r="F599" s="90" t="s">
        <v>2599</v>
      </c>
      <c r="G599" t="s">
        <v>512</v>
      </c>
    </row>
    <row r="600" spans="1:7" x14ac:dyDescent="0.25">
      <c r="A600" s="114">
        <v>321589</v>
      </c>
      <c r="B600" s="90" t="s">
        <v>2600</v>
      </c>
      <c r="C600" s="90" t="s">
        <v>508</v>
      </c>
      <c r="D600" s="90" t="s">
        <v>2601</v>
      </c>
      <c r="E600" s="90" t="s">
        <v>543</v>
      </c>
      <c r="F600" s="90" t="s">
        <v>2602</v>
      </c>
      <c r="G600" t="s">
        <v>512</v>
      </c>
    </row>
    <row r="601" spans="1:7" x14ac:dyDescent="0.25">
      <c r="A601" s="114">
        <v>321590</v>
      </c>
      <c r="B601" s="90" t="s">
        <v>2603</v>
      </c>
      <c r="C601" s="90" t="s">
        <v>508</v>
      </c>
      <c r="D601" s="90" t="s">
        <v>2604</v>
      </c>
      <c r="E601" s="90" t="s">
        <v>2605</v>
      </c>
      <c r="F601" s="90" t="s">
        <v>2606</v>
      </c>
      <c r="G601" t="s">
        <v>512</v>
      </c>
    </row>
    <row r="602" spans="1:7" x14ac:dyDescent="0.25">
      <c r="A602" s="114">
        <v>321598</v>
      </c>
      <c r="B602" s="90" t="s">
        <v>2607</v>
      </c>
      <c r="C602" s="90" t="s">
        <v>508</v>
      </c>
      <c r="D602" s="90" t="s">
        <v>2608</v>
      </c>
      <c r="E602" s="90" t="s">
        <v>565</v>
      </c>
      <c r="F602" s="90" t="s">
        <v>2609</v>
      </c>
      <c r="G602" t="s">
        <v>512</v>
      </c>
    </row>
    <row r="603" spans="1:7" x14ac:dyDescent="0.25">
      <c r="A603" s="114">
        <v>321634</v>
      </c>
      <c r="B603" s="90" t="s">
        <v>2610</v>
      </c>
      <c r="C603" s="90" t="s">
        <v>508</v>
      </c>
      <c r="D603" s="90" t="s">
        <v>2611</v>
      </c>
      <c r="E603" s="90" t="s">
        <v>2612</v>
      </c>
      <c r="F603" s="90" t="s">
        <v>2613</v>
      </c>
      <c r="G603" t="s">
        <v>512</v>
      </c>
    </row>
    <row r="604" spans="1:7" x14ac:dyDescent="0.25">
      <c r="A604" s="114">
        <v>321635</v>
      </c>
      <c r="B604" s="90" t="s">
        <v>2614</v>
      </c>
      <c r="C604" s="90" t="s">
        <v>508</v>
      </c>
      <c r="D604" s="90" t="s">
        <v>2615</v>
      </c>
      <c r="E604" s="90" t="s">
        <v>2616</v>
      </c>
      <c r="F604" s="90" t="s">
        <v>2617</v>
      </c>
      <c r="G604" t="s">
        <v>512</v>
      </c>
    </row>
    <row r="605" spans="1:7" x14ac:dyDescent="0.25">
      <c r="A605" s="114">
        <v>321718</v>
      </c>
      <c r="B605" s="90" t="s">
        <v>2618</v>
      </c>
      <c r="C605" s="90" t="s">
        <v>508</v>
      </c>
      <c r="D605" s="90" t="s">
        <v>2619</v>
      </c>
      <c r="E605" s="90" t="s">
        <v>2620</v>
      </c>
      <c r="F605" s="90" t="s">
        <v>2621</v>
      </c>
      <c r="G605" t="s">
        <v>512</v>
      </c>
    </row>
    <row r="606" spans="1:7" x14ac:dyDescent="0.25">
      <c r="A606" s="114">
        <v>321729</v>
      </c>
      <c r="B606" s="90" t="s">
        <v>2622</v>
      </c>
      <c r="C606" s="90" t="s">
        <v>508</v>
      </c>
      <c r="D606" s="90" t="s">
        <v>2623</v>
      </c>
      <c r="E606" s="90" t="s">
        <v>563</v>
      </c>
      <c r="F606" s="90" t="s">
        <v>2624</v>
      </c>
      <c r="G606" t="s">
        <v>512</v>
      </c>
    </row>
    <row r="607" spans="1:7" x14ac:dyDescent="0.25">
      <c r="A607" s="114">
        <v>321743</v>
      </c>
      <c r="B607" s="90" t="s">
        <v>2625</v>
      </c>
      <c r="C607" s="90" t="s">
        <v>508</v>
      </c>
      <c r="D607" s="90" t="s">
        <v>2626</v>
      </c>
      <c r="E607" s="90" t="s">
        <v>2627</v>
      </c>
      <c r="F607" s="90" t="s">
        <v>2628</v>
      </c>
      <c r="G607" t="s">
        <v>512</v>
      </c>
    </row>
    <row r="608" spans="1:7" x14ac:dyDescent="0.25">
      <c r="A608" s="114">
        <v>321763</v>
      </c>
      <c r="B608" s="90" t="s">
        <v>1695</v>
      </c>
      <c r="C608" s="90" t="s">
        <v>508</v>
      </c>
      <c r="D608" s="90" t="s">
        <v>2629</v>
      </c>
      <c r="E608" s="90" t="s">
        <v>2630</v>
      </c>
      <c r="F608" s="90" t="s">
        <v>2631</v>
      </c>
      <c r="G608" t="s">
        <v>512</v>
      </c>
    </row>
    <row r="609" spans="1:7" x14ac:dyDescent="0.25">
      <c r="A609" s="114">
        <v>321764</v>
      </c>
      <c r="B609" s="90" t="s">
        <v>2632</v>
      </c>
      <c r="C609" s="90" t="s">
        <v>508</v>
      </c>
      <c r="D609" s="90" t="s">
        <v>2633</v>
      </c>
      <c r="E609" s="90" t="s">
        <v>2634</v>
      </c>
      <c r="F609" s="90" t="s">
        <v>2635</v>
      </c>
      <c r="G609" t="s">
        <v>512</v>
      </c>
    </row>
    <row r="610" spans="1:7" x14ac:dyDescent="0.25">
      <c r="A610" s="114">
        <v>321781</v>
      </c>
      <c r="B610" s="90" t="s">
        <v>2636</v>
      </c>
      <c r="C610" s="90" t="s">
        <v>508</v>
      </c>
      <c r="D610" s="90" t="s">
        <v>1959</v>
      </c>
      <c r="E610" s="90" t="s">
        <v>1205</v>
      </c>
      <c r="F610" s="90" t="s">
        <v>2637</v>
      </c>
      <c r="G610" t="s">
        <v>512</v>
      </c>
    </row>
    <row r="611" spans="1:7" x14ac:dyDescent="0.25">
      <c r="A611" s="114">
        <v>321809</v>
      </c>
      <c r="B611" s="90" t="s">
        <v>2638</v>
      </c>
      <c r="C611" s="90" t="s">
        <v>508</v>
      </c>
      <c r="D611" s="90" t="s">
        <v>2639</v>
      </c>
      <c r="E611" s="90" t="s">
        <v>626</v>
      </c>
      <c r="F611" s="90" t="s">
        <v>2640</v>
      </c>
      <c r="G611" t="s">
        <v>512</v>
      </c>
    </row>
    <row r="612" spans="1:7" x14ac:dyDescent="0.25">
      <c r="A612" s="114">
        <v>321835</v>
      </c>
      <c r="B612" s="90" t="s">
        <v>2641</v>
      </c>
      <c r="C612" s="90" t="s">
        <v>508</v>
      </c>
      <c r="D612" s="90" t="s">
        <v>2642</v>
      </c>
      <c r="E612" s="90" t="s">
        <v>610</v>
      </c>
      <c r="F612" s="90" t="s">
        <v>2643</v>
      </c>
      <c r="G612" t="s">
        <v>512</v>
      </c>
    </row>
    <row r="613" spans="1:7" x14ac:dyDescent="0.25">
      <c r="A613" s="114">
        <v>321862</v>
      </c>
      <c r="B613" s="90" t="s">
        <v>2644</v>
      </c>
      <c r="C613" s="90" t="s">
        <v>508</v>
      </c>
      <c r="D613" s="90" t="s">
        <v>2645</v>
      </c>
      <c r="E613" s="90" t="s">
        <v>1889</v>
      </c>
      <c r="F613" s="90" t="s">
        <v>2646</v>
      </c>
      <c r="G613" t="s">
        <v>512</v>
      </c>
    </row>
    <row r="614" spans="1:7" x14ac:dyDescent="0.25">
      <c r="A614" s="114">
        <v>321892</v>
      </c>
      <c r="B614" s="90" t="s">
        <v>2647</v>
      </c>
      <c r="C614" s="90" t="s">
        <v>508</v>
      </c>
      <c r="D614" s="90" t="s">
        <v>2648</v>
      </c>
      <c r="E614" s="90" t="s">
        <v>2649</v>
      </c>
      <c r="F614" s="90" t="s">
        <v>2650</v>
      </c>
      <c r="G614" t="s">
        <v>512</v>
      </c>
    </row>
    <row r="615" spans="1:7" x14ac:dyDescent="0.25">
      <c r="A615" s="114">
        <v>321893</v>
      </c>
      <c r="B615" s="90" t="s">
        <v>2651</v>
      </c>
      <c r="C615" s="90" t="s">
        <v>508</v>
      </c>
      <c r="D615" s="90" t="s">
        <v>2652</v>
      </c>
      <c r="E615" s="90" t="s">
        <v>614</v>
      </c>
      <c r="F615" s="90" t="s">
        <v>2653</v>
      </c>
      <c r="G615" t="s">
        <v>512</v>
      </c>
    </row>
    <row r="616" spans="1:7" x14ac:dyDescent="0.25">
      <c r="A616" s="114">
        <v>321906</v>
      </c>
      <c r="B616" s="90" t="s">
        <v>2654</v>
      </c>
      <c r="C616" s="90" t="s">
        <v>508</v>
      </c>
      <c r="D616" s="90" t="s">
        <v>2655</v>
      </c>
      <c r="E616" s="90" t="s">
        <v>1723</v>
      </c>
      <c r="F616" s="90" t="s">
        <v>2656</v>
      </c>
      <c r="G616" t="s">
        <v>512</v>
      </c>
    </row>
    <row r="617" spans="1:7" x14ac:dyDescent="0.25">
      <c r="A617" s="114">
        <v>321923</v>
      </c>
      <c r="B617" s="90" t="s">
        <v>2657</v>
      </c>
      <c r="C617" s="90" t="s">
        <v>508</v>
      </c>
      <c r="D617" s="90" t="s">
        <v>2658</v>
      </c>
      <c r="E617" s="90" t="s">
        <v>2659</v>
      </c>
      <c r="F617" s="90" t="s">
        <v>2660</v>
      </c>
      <c r="G617" t="s">
        <v>512</v>
      </c>
    </row>
    <row r="618" spans="1:7" x14ac:dyDescent="0.25">
      <c r="A618" s="114">
        <v>321939</v>
      </c>
      <c r="B618" s="90" t="s">
        <v>2661</v>
      </c>
      <c r="C618" s="90" t="s">
        <v>508</v>
      </c>
      <c r="D618" s="90" t="s">
        <v>2662</v>
      </c>
      <c r="E618" s="90" t="s">
        <v>2663</v>
      </c>
      <c r="F618" s="90" t="s">
        <v>2664</v>
      </c>
      <c r="G618" t="s">
        <v>512</v>
      </c>
    </row>
    <row r="619" spans="1:7" x14ac:dyDescent="0.25">
      <c r="A619" s="114">
        <v>321940</v>
      </c>
      <c r="B619" s="90" t="s">
        <v>2665</v>
      </c>
      <c r="C619" s="90" t="s">
        <v>508</v>
      </c>
      <c r="D619" s="90" t="s">
        <v>2666</v>
      </c>
      <c r="E619" s="90" t="s">
        <v>2667</v>
      </c>
      <c r="F619" s="90" t="s">
        <v>2668</v>
      </c>
      <c r="G619" t="s">
        <v>512</v>
      </c>
    </row>
    <row r="620" spans="1:7" x14ac:dyDescent="0.25">
      <c r="A620" s="114">
        <v>321957</v>
      </c>
      <c r="B620" s="90" t="s">
        <v>2669</v>
      </c>
      <c r="C620" s="90" t="s">
        <v>508</v>
      </c>
      <c r="D620" s="90" t="s">
        <v>2670</v>
      </c>
      <c r="E620" s="90" t="s">
        <v>543</v>
      </c>
      <c r="F620" s="90" t="s">
        <v>2671</v>
      </c>
      <c r="G620" t="s">
        <v>512</v>
      </c>
    </row>
    <row r="621" spans="1:7" x14ac:dyDescent="0.25">
      <c r="A621" s="114">
        <v>322057</v>
      </c>
      <c r="B621" s="90" t="s">
        <v>2672</v>
      </c>
      <c r="C621" s="90" t="s">
        <v>508</v>
      </c>
      <c r="D621" s="90" t="s">
        <v>2673</v>
      </c>
      <c r="E621" s="90" t="s">
        <v>614</v>
      </c>
      <c r="F621" s="90" t="s">
        <v>2674</v>
      </c>
      <c r="G621" t="s">
        <v>512</v>
      </c>
    </row>
    <row r="622" spans="1:7" x14ac:dyDescent="0.25">
      <c r="A622" s="114">
        <v>322078</v>
      </c>
      <c r="B622" s="90" t="s">
        <v>2675</v>
      </c>
      <c r="C622" s="90" t="s">
        <v>508</v>
      </c>
      <c r="D622" s="90" t="s">
        <v>2676</v>
      </c>
      <c r="E622" s="90" t="s">
        <v>2677</v>
      </c>
      <c r="F622" s="90" t="s">
        <v>2678</v>
      </c>
      <c r="G622" t="s">
        <v>512</v>
      </c>
    </row>
    <row r="623" spans="1:7" x14ac:dyDescent="0.25">
      <c r="A623" s="114">
        <v>322079</v>
      </c>
      <c r="B623" s="90" t="s">
        <v>2679</v>
      </c>
      <c r="C623" s="90" t="s">
        <v>508</v>
      </c>
      <c r="D623" s="90" t="s">
        <v>2680</v>
      </c>
      <c r="E623" s="90" t="s">
        <v>1801</v>
      </c>
      <c r="F623" s="90" t="s">
        <v>2681</v>
      </c>
      <c r="G623" t="s">
        <v>512</v>
      </c>
    </row>
    <row r="624" spans="1:7" x14ac:dyDescent="0.25">
      <c r="A624" s="114">
        <v>322106</v>
      </c>
      <c r="B624" s="90" t="s">
        <v>2682</v>
      </c>
      <c r="C624" s="90" t="s">
        <v>508</v>
      </c>
      <c r="D624" s="90" t="s">
        <v>2683</v>
      </c>
      <c r="E624" s="90" t="s">
        <v>2424</v>
      </c>
      <c r="F624" s="90" t="s">
        <v>2684</v>
      </c>
      <c r="G624" t="s">
        <v>512</v>
      </c>
    </row>
    <row r="625" spans="1:7" x14ac:dyDescent="0.25">
      <c r="A625" s="114">
        <v>322124</v>
      </c>
      <c r="B625" s="90" t="s">
        <v>2685</v>
      </c>
      <c r="C625" s="90" t="s">
        <v>508</v>
      </c>
      <c r="D625" s="90" t="s">
        <v>2686</v>
      </c>
      <c r="E625" s="90" t="s">
        <v>2687</v>
      </c>
      <c r="F625" s="90" t="s">
        <v>2688</v>
      </c>
      <c r="G625" t="s">
        <v>512</v>
      </c>
    </row>
    <row r="626" spans="1:7" x14ac:dyDescent="0.25">
      <c r="A626" s="114">
        <v>322140</v>
      </c>
      <c r="B626" s="90" t="s">
        <v>2689</v>
      </c>
      <c r="C626" s="90" t="s">
        <v>508</v>
      </c>
      <c r="D626" s="90" t="s">
        <v>2690</v>
      </c>
      <c r="E626" s="90" t="s">
        <v>610</v>
      </c>
      <c r="F626" s="90" t="s">
        <v>2691</v>
      </c>
      <c r="G626" t="s">
        <v>512</v>
      </c>
    </row>
    <row r="627" spans="1:7" x14ac:dyDescent="0.25">
      <c r="A627" s="114">
        <v>322174</v>
      </c>
      <c r="B627" s="90" t="s">
        <v>2692</v>
      </c>
      <c r="C627" s="90" t="s">
        <v>508</v>
      </c>
      <c r="D627" s="90" t="s">
        <v>2693</v>
      </c>
      <c r="E627" s="90" t="s">
        <v>2694</v>
      </c>
      <c r="F627" s="90" t="s">
        <v>2695</v>
      </c>
      <c r="G627" t="s">
        <v>512</v>
      </c>
    </row>
    <row r="628" spans="1:7" x14ac:dyDescent="0.25">
      <c r="A628" s="114">
        <v>322197</v>
      </c>
      <c r="B628" s="90" t="s">
        <v>2696</v>
      </c>
      <c r="C628" s="90" t="s">
        <v>508</v>
      </c>
      <c r="D628" s="90" t="s">
        <v>2697</v>
      </c>
      <c r="E628" s="90" t="s">
        <v>2698</v>
      </c>
      <c r="F628" s="90" t="s">
        <v>2699</v>
      </c>
      <c r="G628" t="s">
        <v>512</v>
      </c>
    </row>
    <row r="629" spans="1:7" x14ac:dyDescent="0.25">
      <c r="A629" s="114">
        <v>322258</v>
      </c>
      <c r="B629" s="90" t="s">
        <v>2669</v>
      </c>
      <c r="C629" s="90" t="s">
        <v>508</v>
      </c>
      <c r="D629" s="90" t="s">
        <v>2700</v>
      </c>
      <c r="E629" s="90" t="s">
        <v>2701</v>
      </c>
      <c r="F629" s="90" t="s">
        <v>2702</v>
      </c>
      <c r="G629" t="s">
        <v>512</v>
      </c>
    </row>
    <row r="630" spans="1:7" x14ac:dyDescent="0.25">
      <c r="A630" s="114">
        <v>322259</v>
      </c>
      <c r="B630" s="90" t="s">
        <v>2703</v>
      </c>
      <c r="C630" s="90" t="s">
        <v>508</v>
      </c>
      <c r="D630" s="90" t="s">
        <v>2704</v>
      </c>
      <c r="E630" s="90" t="s">
        <v>2705</v>
      </c>
      <c r="F630" s="90" t="s">
        <v>2706</v>
      </c>
      <c r="G630" t="s">
        <v>512</v>
      </c>
    </row>
    <row r="631" spans="1:7" x14ac:dyDescent="0.25">
      <c r="A631" s="114">
        <v>322285</v>
      </c>
      <c r="B631" s="90" t="s">
        <v>2707</v>
      </c>
      <c r="C631" s="90" t="s">
        <v>508</v>
      </c>
      <c r="D631" s="90" t="s">
        <v>2708</v>
      </c>
      <c r="E631" s="90" t="s">
        <v>1256</v>
      </c>
      <c r="F631" s="90" t="s">
        <v>2709</v>
      </c>
      <c r="G631" t="s">
        <v>512</v>
      </c>
    </row>
    <row r="632" spans="1:7" x14ac:dyDescent="0.25">
      <c r="A632" s="114">
        <v>322306</v>
      </c>
      <c r="B632" s="90" t="s">
        <v>2710</v>
      </c>
      <c r="C632" s="90" t="s">
        <v>508</v>
      </c>
      <c r="D632" s="90" t="s">
        <v>2711</v>
      </c>
      <c r="E632" s="90" t="s">
        <v>2712</v>
      </c>
      <c r="F632" s="90" t="s">
        <v>2713</v>
      </c>
      <c r="G632" t="s">
        <v>512</v>
      </c>
    </row>
    <row r="633" spans="1:7" x14ac:dyDescent="0.25">
      <c r="A633" s="114">
        <v>322315</v>
      </c>
      <c r="B633" s="90" t="s">
        <v>2714</v>
      </c>
      <c r="C633" s="90" t="s">
        <v>508</v>
      </c>
      <c r="D633" s="90" t="s">
        <v>2715</v>
      </c>
      <c r="E633" s="90" t="s">
        <v>1934</v>
      </c>
      <c r="F633" s="90" t="s">
        <v>2716</v>
      </c>
      <c r="G633" t="s">
        <v>512</v>
      </c>
    </row>
    <row r="634" spans="1:7" x14ac:dyDescent="0.25">
      <c r="A634" s="114">
        <v>322340</v>
      </c>
      <c r="B634" s="90" t="s">
        <v>2717</v>
      </c>
      <c r="C634" s="90" t="s">
        <v>508</v>
      </c>
      <c r="D634" s="90" t="s">
        <v>2718</v>
      </c>
      <c r="E634" s="90" t="s">
        <v>2719</v>
      </c>
      <c r="F634" s="90" t="s">
        <v>2720</v>
      </c>
      <c r="G634" t="s">
        <v>512</v>
      </c>
    </row>
    <row r="635" spans="1:7" x14ac:dyDescent="0.25">
      <c r="A635" s="114">
        <v>322352</v>
      </c>
      <c r="B635" s="90" t="s">
        <v>2721</v>
      </c>
      <c r="C635" s="90" t="s">
        <v>508</v>
      </c>
      <c r="D635" s="90" t="s">
        <v>2722</v>
      </c>
      <c r="E635" s="90" t="s">
        <v>2723</v>
      </c>
      <c r="F635" s="90" t="s">
        <v>2724</v>
      </c>
      <c r="G635" t="s">
        <v>512</v>
      </c>
    </row>
    <row r="636" spans="1:7" x14ac:dyDescent="0.25">
      <c r="A636" s="114">
        <v>322366</v>
      </c>
      <c r="B636" s="90" t="s">
        <v>2725</v>
      </c>
      <c r="C636" s="90" t="s">
        <v>508</v>
      </c>
      <c r="D636" s="90" t="s">
        <v>2726</v>
      </c>
      <c r="E636" s="90" t="s">
        <v>2727</v>
      </c>
      <c r="F636" s="90" t="s">
        <v>2728</v>
      </c>
      <c r="G636" t="s">
        <v>512</v>
      </c>
    </row>
    <row r="637" spans="1:7" x14ac:dyDescent="0.25">
      <c r="A637" s="114">
        <v>322372</v>
      </c>
      <c r="B637" s="90" t="s">
        <v>2729</v>
      </c>
      <c r="C637" s="90" t="s">
        <v>508</v>
      </c>
      <c r="D637" s="90" t="s">
        <v>2730</v>
      </c>
      <c r="E637" s="90" t="s">
        <v>2731</v>
      </c>
      <c r="F637" s="90" t="s">
        <v>2732</v>
      </c>
      <c r="G637" t="s">
        <v>512</v>
      </c>
    </row>
    <row r="638" spans="1:7" x14ac:dyDescent="0.25">
      <c r="A638" s="114">
        <v>322406</v>
      </c>
      <c r="B638" s="90" t="s">
        <v>2733</v>
      </c>
      <c r="C638" s="90" t="s">
        <v>508</v>
      </c>
      <c r="D638" s="90" t="s">
        <v>2734</v>
      </c>
      <c r="E638" s="90" t="s">
        <v>614</v>
      </c>
      <c r="F638" s="90" t="s">
        <v>2735</v>
      </c>
      <c r="G638" t="s">
        <v>512</v>
      </c>
    </row>
    <row r="639" spans="1:7" x14ac:dyDescent="0.25">
      <c r="A639" s="114">
        <v>322407</v>
      </c>
      <c r="B639" s="90" t="s">
        <v>2736</v>
      </c>
      <c r="C639" s="90" t="s">
        <v>508</v>
      </c>
      <c r="D639" s="90" t="s">
        <v>2737</v>
      </c>
      <c r="E639" s="90" t="s">
        <v>614</v>
      </c>
      <c r="F639" s="90" t="s">
        <v>2738</v>
      </c>
      <c r="G639" t="s">
        <v>512</v>
      </c>
    </row>
    <row r="640" spans="1:7" x14ac:dyDescent="0.25">
      <c r="A640" s="114">
        <v>322408</v>
      </c>
      <c r="B640" s="90" t="s">
        <v>2739</v>
      </c>
      <c r="C640" s="90" t="s">
        <v>508</v>
      </c>
      <c r="D640" s="90" t="s">
        <v>2740</v>
      </c>
      <c r="E640" s="90" t="s">
        <v>1005</v>
      </c>
      <c r="F640" s="90" t="s">
        <v>2741</v>
      </c>
      <c r="G640" t="s">
        <v>512</v>
      </c>
    </row>
    <row r="641" spans="1:7" x14ac:dyDescent="0.25">
      <c r="A641" s="114">
        <v>322423</v>
      </c>
      <c r="B641" s="90" t="s">
        <v>2742</v>
      </c>
      <c r="C641" s="90" t="s">
        <v>508</v>
      </c>
      <c r="D641" s="90" t="s">
        <v>2743</v>
      </c>
      <c r="E641" s="90" t="s">
        <v>519</v>
      </c>
      <c r="F641" s="90" t="s">
        <v>2744</v>
      </c>
      <c r="G641" t="s">
        <v>512</v>
      </c>
    </row>
    <row r="642" spans="1:7" x14ac:dyDescent="0.25">
      <c r="A642" s="114">
        <v>322424</v>
      </c>
      <c r="B642" s="90" t="s">
        <v>2745</v>
      </c>
      <c r="C642" s="90" t="s">
        <v>508</v>
      </c>
      <c r="D642" s="90" t="s">
        <v>2746</v>
      </c>
      <c r="E642" s="90" t="s">
        <v>2747</v>
      </c>
      <c r="F642" s="90" t="s">
        <v>2748</v>
      </c>
      <c r="G642" t="s">
        <v>512</v>
      </c>
    </row>
    <row r="643" spans="1:7" x14ac:dyDescent="0.25">
      <c r="A643" s="114">
        <v>322434</v>
      </c>
      <c r="B643" s="90" t="s">
        <v>2749</v>
      </c>
      <c r="C643" s="90" t="s">
        <v>508</v>
      </c>
      <c r="D643" s="90" t="s">
        <v>2750</v>
      </c>
      <c r="E643" s="90" t="s">
        <v>2751</v>
      </c>
      <c r="F643" s="90" t="s">
        <v>2752</v>
      </c>
      <c r="G643" t="s">
        <v>512</v>
      </c>
    </row>
    <row r="644" spans="1:7" x14ac:dyDescent="0.25">
      <c r="A644" s="114">
        <v>322452</v>
      </c>
      <c r="B644" s="90" t="s">
        <v>2753</v>
      </c>
      <c r="C644" s="90" t="s">
        <v>508</v>
      </c>
      <c r="D644" s="90" t="s">
        <v>2754</v>
      </c>
      <c r="E644" s="90" t="s">
        <v>2488</v>
      </c>
      <c r="F644" s="90" t="s">
        <v>2755</v>
      </c>
      <c r="G644" t="s">
        <v>512</v>
      </c>
    </row>
    <row r="645" spans="1:7" x14ac:dyDescent="0.25">
      <c r="A645" s="114">
        <v>322532</v>
      </c>
      <c r="B645" s="90" t="s">
        <v>2756</v>
      </c>
      <c r="C645" s="90" t="s">
        <v>508</v>
      </c>
      <c r="D645" s="90" t="s">
        <v>2757</v>
      </c>
      <c r="E645" s="90" t="s">
        <v>2549</v>
      </c>
      <c r="F645" s="90" t="s">
        <v>2758</v>
      </c>
      <c r="G645" t="s">
        <v>512</v>
      </c>
    </row>
    <row r="646" spans="1:7" x14ac:dyDescent="0.25">
      <c r="A646" s="114">
        <v>322542</v>
      </c>
      <c r="B646" s="90" t="s">
        <v>2759</v>
      </c>
      <c r="C646" s="90" t="s">
        <v>508</v>
      </c>
      <c r="D646" s="90" t="s">
        <v>2760</v>
      </c>
      <c r="E646" s="90" t="s">
        <v>2761</v>
      </c>
      <c r="F646" s="90" t="s">
        <v>2762</v>
      </c>
      <c r="G646" t="s">
        <v>512</v>
      </c>
    </row>
    <row r="647" spans="1:7" x14ac:dyDescent="0.25">
      <c r="A647" s="114">
        <v>322550</v>
      </c>
      <c r="B647" s="90" t="s">
        <v>2763</v>
      </c>
      <c r="C647" s="90" t="s">
        <v>508</v>
      </c>
      <c r="D647" s="90" t="s">
        <v>2764</v>
      </c>
      <c r="E647" s="90" t="s">
        <v>2765</v>
      </c>
      <c r="F647" s="90" t="s">
        <v>2766</v>
      </c>
      <c r="G647" t="s">
        <v>512</v>
      </c>
    </row>
    <row r="648" spans="1:7" x14ac:dyDescent="0.25">
      <c r="A648" s="114">
        <v>322551</v>
      </c>
      <c r="B648" s="90" t="s">
        <v>2767</v>
      </c>
      <c r="C648" s="90" t="s">
        <v>508</v>
      </c>
      <c r="D648" s="90" t="s">
        <v>2768</v>
      </c>
      <c r="E648" s="90" t="s">
        <v>527</v>
      </c>
      <c r="F648" s="90" t="s">
        <v>2769</v>
      </c>
      <c r="G648" t="s">
        <v>512</v>
      </c>
    </row>
    <row r="649" spans="1:7" x14ac:dyDescent="0.25">
      <c r="A649" s="114">
        <v>322604</v>
      </c>
      <c r="B649" s="90" t="s">
        <v>579</v>
      </c>
      <c r="C649" s="90" t="s">
        <v>508</v>
      </c>
      <c r="D649" s="90" t="s">
        <v>2770</v>
      </c>
      <c r="E649" s="90" t="s">
        <v>2771</v>
      </c>
      <c r="F649" s="90" t="s">
        <v>2772</v>
      </c>
      <c r="G649" t="s">
        <v>512</v>
      </c>
    </row>
    <row r="650" spans="1:7" x14ac:dyDescent="0.25">
      <c r="A650" s="114">
        <v>322606</v>
      </c>
      <c r="B650" s="90" t="s">
        <v>2773</v>
      </c>
      <c r="C650" s="90" t="s">
        <v>508</v>
      </c>
      <c r="D650" s="90" t="s">
        <v>2774</v>
      </c>
      <c r="E650" s="90" t="s">
        <v>2775</v>
      </c>
      <c r="F650" s="90" t="s">
        <v>2776</v>
      </c>
      <c r="G650" t="s">
        <v>512</v>
      </c>
    </row>
    <row r="651" spans="1:7" x14ac:dyDescent="0.25">
      <c r="A651" s="114">
        <v>322609</v>
      </c>
      <c r="B651" s="90" t="s">
        <v>2777</v>
      </c>
      <c r="C651" s="90" t="s">
        <v>508</v>
      </c>
      <c r="D651" s="90" t="s">
        <v>2778</v>
      </c>
      <c r="E651" s="90" t="s">
        <v>2779</v>
      </c>
      <c r="F651" s="90" t="s">
        <v>2780</v>
      </c>
      <c r="G651" t="s">
        <v>512</v>
      </c>
    </row>
    <row r="652" spans="1:7" x14ac:dyDescent="0.25">
      <c r="A652" s="114">
        <v>322652</v>
      </c>
      <c r="B652" s="90" t="s">
        <v>2781</v>
      </c>
      <c r="C652" s="90" t="s">
        <v>508</v>
      </c>
      <c r="D652" s="90" t="s">
        <v>2782</v>
      </c>
      <c r="E652" s="90" t="s">
        <v>1440</v>
      </c>
      <c r="F652" s="90" t="s">
        <v>2783</v>
      </c>
      <c r="G652" t="s">
        <v>512</v>
      </c>
    </row>
    <row r="653" spans="1:7" x14ac:dyDescent="0.25">
      <c r="A653" s="114">
        <v>322678</v>
      </c>
      <c r="B653" s="90" t="s">
        <v>2784</v>
      </c>
      <c r="C653" s="90" t="s">
        <v>508</v>
      </c>
      <c r="D653" s="90" t="s">
        <v>2785</v>
      </c>
      <c r="E653" s="90" t="s">
        <v>2786</v>
      </c>
      <c r="F653" s="90" t="s">
        <v>2787</v>
      </c>
      <c r="G653" t="s">
        <v>512</v>
      </c>
    </row>
    <row r="654" spans="1:7" x14ac:dyDescent="0.25">
      <c r="A654" s="114">
        <v>322689</v>
      </c>
      <c r="B654" s="90" t="s">
        <v>2788</v>
      </c>
      <c r="C654" s="90" t="s">
        <v>508</v>
      </c>
      <c r="D654" s="90" t="s">
        <v>2789</v>
      </c>
      <c r="E654" s="90" t="s">
        <v>2790</v>
      </c>
      <c r="F654" s="90" t="s">
        <v>2791</v>
      </c>
      <c r="G654" t="s">
        <v>512</v>
      </c>
    </row>
    <row r="655" spans="1:7" x14ac:dyDescent="0.25">
      <c r="A655" s="114">
        <v>322713</v>
      </c>
      <c r="B655" s="90" t="s">
        <v>2792</v>
      </c>
      <c r="C655" s="90" t="s">
        <v>508</v>
      </c>
      <c r="D655" s="90" t="s">
        <v>2793</v>
      </c>
      <c r="E655" s="90" t="s">
        <v>2794</v>
      </c>
      <c r="F655" s="90" t="s">
        <v>2795</v>
      </c>
      <c r="G655" t="s">
        <v>512</v>
      </c>
    </row>
    <row r="656" spans="1:7" x14ac:dyDescent="0.25">
      <c r="A656" s="114">
        <v>322720</v>
      </c>
      <c r="B656" s="90" t="s">
        <v>2796</v>
      </c>
      <c r="C656" s="90" t="s">
        <v>508</v>
      </c>
      <c r="D656" s="90" t="s">
        <v>2797</v>
      </c>
      <c r="E656" s="90" t="s">
        <v>1982</v>
      </c>
      <c r="F656" s="90" t="s">
        <v>2798</v>
      </c>
      <c r="G656" t="s">
        <v>512</v>
      </c>
    </row>
    <row r="657" spans="1:7" x14ac:dyDescent="0.25">
      <c r="A657" s="114">
        <v>322721</v>
      </c>
      <c r="B657" s="90" t="s">
        <v>2799</v>
      </c>
      <c r="C657" s="90" t="s">
        <v>508</v>
      </c>
      <c r="D657" s="90" t="s">
        <v>2800</v>
      </c>
      <c r="E657" s="90" t="s">
        <v>2191</v>
      </c>
      <c r="F657" s="90" t="s">
        <v>2801</v>
      </c>
      <c r="G657" t="s">
        <v>512</v>
      </c>
    </row>
    <row r="658" spans="1:7" x14ac:dyDescent="0.25">
      <c r="A658" s="114">
        <v>322722</v>
      </c>
      <c r="B658" s="90" t="s">
        <v>2802</v>
      </c>
      <c r="C658" s="90" t="s">
        <v>508</v>
      </c>
      <c r="D658" s="90" t="s">
        <v>2803</v>
      </c>
      <c r="E658" s="90" t="s">
        <v>2804</v>
      </c>
      <c r="F658" s="90" t="s">
        <v>2805</v>
      </c>
      <c r="G658" t="s">
        <v>512</v>
      </c>
    </row>
    <row r="659" spans="1:7" x14ac:dyDescent="0.25">
      <c r="A659" s="114">
        <v>322725</v>
      </c>
      <c r="B659" s="90" t="s">
        <v>2806</v>
      </c>
      <c r="C659" s="90" t="s">
        <v>508</v>
      </c>
      <c r="D659" s="90" t="s">
        <v>2807</v>
      </c>
      <c r="E659" s="90" t="s">
        <v>2649</v>
      </c>
      <c r="F659" s="90" t="s">
        <v>2808</v>
      </c>
      <c r="G659" t="s">
        <v>512</v>
      </c>
    </row>
    <row r="660" spans="1:7" x14ac:dyDescent="0.25">
      <c r="A660" s="114">
        <v>322731</v>
      </c>
      <c r="B660" s="90" t="s">
        <v>2809</v>
      </c>
      <c r="C660" s="90" t="s">
        <v>508</v>
      </c>
      <c r="D660" s="90" t="s">
        <v>2810</v>
      </c>
      <c r="E660" s="90" t="s">
        <v>2811</v>
      </c>
      <c r="F660" s="90" t="s">
        <v>2812</v>
      </c>
      <c r="G660" t="s">
        <v>512</v>
      </c>
    </row>
    <row r="661" spans="1:7" x14ac:dyDescent="0.25">
      <c r="A661" s="114">
        <v>322743</v>
      </c>
      <c r="B661" s="90" t="s">
        <v>2813</v>
      </c>
      <c r="C661" s="90" t="s">
        <v>508</v>
      </c>
      <c r="D661" s="90" t="s">
        <v>2814</v>
      </c>
      <c r="E661" s="90" t="s">
        <v>1256</v>
      </c>
      <c r="F661" s="90" t="s">
        <v>2815</v>
      </c>
      <c r="G661" t="s">
        <v>512</v>
      </c>
    </row>
    <row r="662" spans="1:7" x14ac:dyDescent="0.25">
      <c r="A662" s="114">
        <v>322749</v>
      </c>
      <c r="B662" s="90" t="s">
        <v>2816</v>
      </c>
      <c r="C662" s="90" t="s">
        <v>508</v>
      </c>
      <c r="D662" s="90" t="s">
        <v>2817</v>
      </c>
      <c r="E662" s="90" t="s">
        <v>2488</v>
      </c>
      <c r="F662" s="90" t="s">
        <v>2818</v>
      </c>
      <c r="G662" t="s">
        <v>512</v>
      </c>
    </row>
    <row r="663" spans="1:7" x14ac:dyDescent="0.25">
      <c r="A663" s="114">
        <v>322757</v>
      </c>
      <c r="B663" s="90" t="s">
        <v>2819</v>
      </c>
      <c r="C663" s="90" t="s">
        <v>508</v>
      </c>
      <c r="D663" s="90" t="s">
        <v>2820</v>
      </c>
      <c r="E663" s="90" t="s">
        <v>2821</v>
      </c>
      <c r="F663" s="90" t="s">
        <v>2822</v>
      </c>
      <c r="G663" t="s">
        <v>512</v>
      </c>
    </row>
    <row r="664" spans="1:7" x14ac:dyDescent="0.25">
      <c r="A664" s="114">
        <v>322793</v>
      </c>
      <c r="B664" s="90" t="s">
        <v>2823</v>
      </c>
      <c r="C664" s="90" t="s">
        <v>508</v>
      </c>
      <c r="D664" s="90" t="s">
        <v>2824</v>
      </c>
      <c r="E664" s="90" t="s">
        <v>2191</v>
      </c>
      <c r="F664" s="90" t="s">
        <v>2825</v>
      </c>
      <c r="G664" t="s">
        <v>512</v>
      </c>
    </row>
    <row r="665" spans="1:7" x14ac:dyDescent="0.25">
      <c r="A665" s="114">
        <v>322799</v>
      </c>
      <c r="B665" s="90" t="s">
        <v>2826</v>
      </c>
      <c r="C665" s="90" t="s">
        <v>508</v>
      </c>
      <c r="D665" s="90" t="s">
        <v>2827</v>
      </c>
      <c r="E665" s="90" t="s">
        <v>1892</v>
      </c>
      <c r="F665" s="90" t="s">
        <v>2828</v>
      </c>
      <c r="G665" t="s">
        <v>512</v>
      </c>
    </row>
    <row r="666" spans="1:7" x14ac:dyDescent="0.25">
      <c r="A666" s="114">
        <v>322825</v>
      </c>
      <c r="B666" s="90" t="s">
        <v>2829</v>
      </c>
      <c r="C666" s="90" t="s">
        <v>508</v>
      </c>
      <c r="D666" s="90" t="s">
        <v>2830</v>
      </c>
      <c r="E666" s="90" t="s">
        <v>2831</v>
      </c>
      <c r="F666" s="90" t="s">
        <v>2832</v>
      </c>
      <c r="G666" t="s">
        <v>512</v>
      </c>
    </row>
    <row r="667" spans="1:7" x14ac:dyDescent="0.25">
      <c r="A667" s="114">
        <v>322850</v>
      </c>
      <c r="B667" s="90" t="s">
        <v>2833</v>
      </c>
      <c r="C667" s="90" t="s">
        <v>508</v>
      </c>
      <c r="D667" s="90" t="s">
        <v>2834</v>
      </c>
      <c r="E667" s="90" t="s">
        <v>672</v>
      </c>
      <c r="F667" s="90" t="s">
        <v>2835</v>
      </c>
      <c r="G667" t="s">
        <v>512</v>
      </c>
    </row>
    <row r="668" spans="1:7" x14ac:dyDescent="0.25">
      <c r="A668" s="114">
        <v>322860</v>
      </c>
      <c r="B668" s="90" t="s">
        <v>2056</v>
      </c>
      <c r="C668" s="90" t="s">
        <v>508</v>
      </c>
      <c r="D668" s="90" t="s">
        <v>2836</v>
      </c>
      <c r="E668" s="90" t="s">
        <v>2837</v>
      </c>
      <c r="F668" s="90" t="s">
        <v>2838</v>
      </c>
      <c r="G668" t="s">
        <v>512</v>
      </c>
    </row>
    <row r="669" spans="1:7" x14ac:dyDescent="0.25">
      <c r="A669" s="114">
        <v>322869</v>
      </c>
      <c r="B669" s="90" t="s">
        <v>2839</v>
      </c>
      <c r="C669" s="90" t="s">
        <v>508</v>
      </c>
      <c r="D669" s="90" t="s">
        <v>2840</v>
      </c>
      <c r="E669" s="90" t="s">
        <v>2841</v>
      </c>
      <c r="F669" s="90" t="s">
        <v>2842</v>
      </c>
      <c r="G669" t="s">
        <v>512</v>
      </c>
    </row>
    <row r="670" spans="1:7" x14ac:dyDescent="0.25">
      <c r="A670" s="114">
        <v>322884</v>
      </c>
      <c r="B670" s="90" t="s">
        <v>2843</v>
      </c>
      <c r="C670" s="90" t="s">
        <v>508</v>
      </c>
      <c r="D670" s="90" t="s">
        <v>2844</v>
      </c>
      <c r="E670" s="90" t="s">
        <v>2845</v>
      </c>
      <c r="F670" s="90" t="s">
        <v>2846</v>
      </c>
      <c r="G670" t="s">
        <v>512</v>
      </c>
    </row>
    <row r="671" spans="1:7" x14ac:dyDescent="0.25">
      <c r="A671" s="114">
        <v>322945</v>
      </c>
      <c r="B671" s="90" t="s">
        <v>2847</v>
      </c>
      <c r="C671" s="90" t="s">
        <v>508</v>
      </c>
      <c r="D671" s="90" t="s">
        <v>2848</v>
      </c>
      <c r="E671" s="90" t="s">
        <v>1571</v>
      </c>
      <c r="F671" s="90" t="s">
        <v>2849</v>
      </c>
      <c r="G671" t="s">
        <v>512</v>
      </c>
    </row>
    <row r="672" spans="1:7" x14ac:dyDescent="0.25">
      <c r="A672" s="114">
        <v>322947</v>
      </c>
      <c r="B672" s="90" t="s">
        <v>2850</v>
      </c>
      <c r="C672" s="90" t="s">
        <v>508</v>
      </c>
      <c r="D672" s="90" t="s">
        <v>2851</v>
      </c>
      <c r="E672" s="90" t="s">
        <v>1190</v>
      </c>
      <c r="F672" s="90" t="s">
        <v>2852</v>
      </c>
      <c r="G672" t="s">
        <v>512</v>
      </c>
    </row>
    <row r="673" spans="1:7" x14ac:dyDescent="0.25">
      <c r="A673" s="114">
        <v>323057</v>
      </c>
      <c r="B673" s="90" t="s">
        <v>2853</v>
      </c>
      <c r="C673" s="90" t="s">
        <v>508</v>
      </c>
      <c r="D673" s="90" t="s">
        <v>2854</v>
      </c>
      <c r="E673" s="90" t="s">
        <v>2556</v>
      </c>
      <c r="F673" s="90" t="s">
        <v>2855</v>
      </c>
      <c r="G673" t="s">
        <v>512</v>
      </c>
    </row>
    <row r="674" spans="1:7" x14ac:dyDescent="0.25">
      <c r="A674" s="114">
        <v>323126</v>
      </c>
      <c r="B674" s="90" t="s">
        <v>2856</v>
      </c>
      <c r="C674" s="90" t="s">
        <v>508</v>
      </c>
      <c r="D674" s="90" t="s">
        <v>2857</v>
      </c>
      <c r="E674" s="90" t="s">
        <v>2858</v>
      </c>
      <c r="F674" s="90" t="s">
        <v>2859</v>
      </c>
      <c r="G674" t="s">
        <v>512</v>
      </c>
    </row>
    <row r="675" spans="1:7" x14ac:dyDescent="0.25">
      <c r="A675" s="114">
        <v>323158</v>
      </c>
      <c r="B675" s="90" t="s">
        <v>2860</v>
      </c>
      <c r="C675" s="90" t="s">
        <v>508</v>
      </c>
      <c r="D675" s="90" t="s">
        <v>2861</v>
      </c>
      <c r="E675" s="90" t="s">
        <v>2862</v>
      </c>
      <c r="F675" s="90" t="s">
        <v>2863</v>
      </c>
      <c r="G675" t="s">
        <v>512</v>
      </c>
    </row>
    <row r="676" spans="1:7" x14ac:dyDescent="0.25">
      <c r="A676" s="114">
        <v>323175</v>
      </c>
      <c r="B676" s="90" t="s">
        <v>2864</v>
      </c>
      <c r="C676" s="90" t="s">
        <v>508</v>
      </c>
      <c r="D676" s="90" t="s">
        <v>2865</v>
      </c>
      <c r="E676" s="90" t="s">
        <v>2866</v>
      </c>
      <c r="F676" s="90" t="s">
        <v>2867</v>
      </c>
      <c r="G676" t="s">
        <v>512</v>
      </c>
    </row>
    <row r="677" spans="1:7" x14ac:dyDescent="0.25">
      <c r="A677" s="114">
        <v>323179</v>
      </c>
      <c r="B677" s="90" t="s">
        <v>2868</v>
      </c>
      <c r="C677" s="90" t="s">
        <v>508</v>
      </c>
      <c r="D677" s="90" t="s">
        <v>2869</v>
      </c>
      <c r="E677" s="90" t="s">
        <v>543</v>
      </c>
      <c r="F677" s="90" t="s">
        <v>2870</v>
      </c>
      <c r="G677" t="s">
        <v>512</v>
      </c>
    </row>
    <row r="678" spans="1:7" x14ac:dyDescent="0.25">
      <c r="A678" s="114">
        <v>323192</v>
      </c>
      <c r="B678" s="90" t="s">
        <v>2871</v>
      </c>
      <c r="C678" s="90" t="s">
        <v>508</v>
      </c>
      <c r="D678" s="90" t="s">
        <v>2872</v>
      </c>
      <c r="E678" s="90" t="s">
        <v>543</v>
      </c>
      <c r="F678" s="90" t="s">
        <v>2873</v>
      </c>
      <c r="G678" t="s">
        <v>512</v>
      </c>
    </row>
    <row r="679" spans="1:7" x14ac:dyDescent="0.25">
      <c r="A679" s="114">
        <v>323204</v>
      </c>
      <c r="B679" s="90" t="s">
        <v>2874</v>
      </c>
      <c r="C679" s="90" t="s">
        <v>508</v>
      </c>
      <c r="D679" s="90" t="s">
        <v>2875</v>
      </c>
      <c r="E679" s="90" t="s">
        <v>2876</v>
      </c>
      <c r="F679" s="90" t="s">
        <v>2877</v>
      </c>
      <c r="G679" t="s">
        <v>512</v>
      </c>
    </row>
    <row r="680" spans="1:7" x14ac:dyDescent="0.25">
      <c r="A680" s="114">
        <v>323210</v>
      </c>
      <c r="B680" s="90" t="s">
        <v>2878</v>
      </c>
      <c r="C680" s="90" t="s">
        <v>508</v>
      </c>
      <c r="D680" s="90" t="s">
        <v>2879</v>
      </c>
      <c r="E680" s="90" t="s">
        <v>2880</v>
      </c>
      <c r="F680" s="90" t="s">
        <v>2881</v>
      </c>
      <c r="G680" t="s">
        <v>512</v>
      </c>
    </row>
    <row r="681" spans="1:7" x14ac:dyDescent="0.25">
      <c r="A681" s="114">
        <v>323220</v>
      </c>
      <c r="B681" s="90" t="s">
        <v>2882</v>
      </c>
      <c r="C681" s="90" t="s">
        <v>508</v>
      </c>
      <c r="D681" s="90" t="s">
        <v>2883</v>
      </c>
      <c r="E681" s="90" t="s">
        <v>1190</v>
      </c>
      <c r="F681" s="90" t="s">
        <v>2884</v>
      </c>
      <c r="G681" t="s">
        <v>512</v>
      </c>
    </row>
    <row r="682" spans="1:7" x14ac:dyDescent="0.25">
      <c r="A682" s="114">
        <v>323237</v>
      </c>
      <c r="B682" s="90" t="s">
        <v>2885</v>
      </c>
      <c r="C682" s="90" t="s">
        <v>508</v>
      </c>
      <c r="D682" s="90" t="s">
        <v>2886</v>
      </c>
      <c r="E682" s="90" t="s">
        <v>2887</v>
      </c>
      <c r="F682" s="90" t="s">
        <v>2888</v>
      </c>
      <c r="G682" t="s">
        <v>512</v>
      </c>
    </row>
    <row r="683" spans="1:7" x14ac:dyDescent="0.25">
      <c r="A683" s="114">
        <v>323238</v>
      </c>
      <c r="B683" s="90" t="s">
        <v>2889</v>
      </c>
      <c r="C683" s="90" t="s">
        <v>508</v>
      </c>
      <c r="D683" s="90" t="s">
        <v>2890</v>
      </c>
      <c r="E683" s="90" t="s">
        <v>1546</v>
      </c>
      <c r="F683" s="90" t="s">
        <v>2891</v>
      </c>
      <c r="G683" t="s">
        <v>512</v>
      </c>
    </row>
    <row r="684" spans="1:7" x14ac:dyDescent="0.25">
      <c r="A684" s="114">
        <v>323240</v>
      </c>
      <c r="B684" s="90" t="s">
        <v>2885</v>
      </c>
      <c r="C684" s="90" t="s">
        <v>508</v>
      </c>
      <c r="D684" s="90" t="s">
        <v>2892</v>
      </c>
      <c r="E684" s="90" t="s">
        <v>2893</v>
      </c>
      <c r="F684" s="90" t="s">
        <v>2894</v>
      </c>
      <c r="G684" t="s">
        <v>512</v>
      </c>
    </row>
    <row r="685" spans="1:7" x14ac:dyDescent="0.25">
      <c r="A685" s="114">
        <v>323241</v>
      </c>
      <c r="B685" s="90" t="s">
        <v>2895</v>
      </c>
      <c r="C685" s="90" t="s">
        <v>508</v>
      </c>
      <c r="D685" s="90" t="s">
        <v>2896</v>
      </c>
      <c r="E685" s="90" t="s">
        <v>2897</v>
      </c>
      <c r="F685" s="90" t="s">
        <v>2898</v>
      </c>
      <c r="G685" t="s">
        <v>512</v>
      </c>
    </row>
    <row r="686" spans="1:7" x14ac:dyDescent="0.25">
      <c r="A686" s="114">
        <v>323251</v>
      </c>
      <c r="B686" s="90" t="s">
        <v>2899</v>
      </c>
      <c r="C686" s="90" t="s">
        <v>508</v>
      </c>
      <c r="D686" s="90" t="s">
        <v>2900</v>
      </c>
      <c r="E686" s="90" t="s">
        <v>2901</v>
      </c>
      <c r="F686" s="90" t="s">
        <v>2902</v>
      </c>
      <c r="G686" t="s">
        <v>512</v>
      </c>
    </row>
    <row r="687" spans="1:7" x14ac:dyDescent="0.25">
      <c r="A687" s="114">
        <v>323269</v>
      </c>
      <c r="B687" s="90" t="s">
        <v>2903</v>
      </c>
      <c r="C687" s="90" t="s">
        <v>508</v>
      </c>
      <c r="D687" s="90" t="s">
        <v>2904</v>
      </c>
      <c r="E687" s="90" t="s">
        <v>2905</v>
      </c>
      <c r="F687" s="90" t="s">
        <v>2906</v>
      </c>
      <c r="G687" t="s">
        <v>512</v>
      </c>
    </row>
    <row r="688" spans="1:7" x14ac:dyDescent="0.25">
      <c r="A688" s="114">
        <v>323274</v>
      </c>
      <c r="B688" s="90" t="s">
        <v>2907</v>
      </c>
      <c r="C688" s="90" t="s">
        <v>508</v>
      </c>
      <c r="D688" s="90" t="s">
        <v>2908</v>
      </c>
      <c r="E688" s="90" t="s">
        <v>2909</v>
      </c>
      <c r="F688" s="90" t="s">
        <v>2910</v>
      </c>
      <c r="G688" t="s">
        <v>512</v>
      </c>
    </row>
    <row r="689" spans="1:7" x14ac:dyDescent="0.25">
      <c r="A689" s="114">
        <v>323315</v>
      </c>
      <c r="B689" s="90" t="s">
        <v>2911</v>
      </c>
      <c r="C689" s="90" t="s">
        <v>508</v>
      </c>
      <c r="D689" s="90" t="s">
        <v>2912</v>
      </c>
      <c r="E689" s="90" t="s">
        <v>2913</v>
      </c>
      <c r="F689" s="90" t="s">
        <v>2914</v>
      </c>
      <c r="G689" t="s">
        <v>512</v>
      </c>
    </row>
    <row r="690" spans="1:7" x14ac:dyDescent="0.25">
      <c r="A690" s="114">
        <v>323325</v>
      </c>
      <c r="B690" s="90" t="s">
        <v>2915</v>
      </c>
      <c r="C690" s="90" t="s">
        <v>508</v>
      </c>
      <c r="D690" s="90" t="s">
        <v>2916</v>
      </c>
      <c r="E690" s="90" t="s">
        <v>2917</v>
      </c>
      <c r="F690" s="90" t="s">
        <v>2918</v>
      </c>
      <c r="G690" t="s">
        <v>512</v>
      </c>
    </row>
    <row r="691" spans="1:7" x14ac:dyDescent="0.25">
      <c r="A691" s="114">
        <v>323339</v>
      </c>
      <c r="B691" s="90" t="s">
        <v>2919</v>
      </c>
      <c r="C691" s="90" t="s">
        <v>508</v>
      </c>
      <c r="D691" s="90" t="s">
        <v>2920</v>
      </c>
      <c r="E691" s="90" t="s">
        <v>1771</v>
      </c>
      <c r="F691" s="90" t="s">
        <v>2921</v>
      </c>
      <c r="G691" t="s">
        <v>512</v>
      </c>
    </row>
    <row r="692" spans="1:7" x14ac:dyDescent="0.25">
      <c r="A692" s="114">
        <v>323355</v>
      </c>
      <c r="B692" s="90" t="s">
        <v>2922</v>
      </c>
      <c r="C692" s="90" t="s">
        <v>508</v>
      </c>
      <c r="D692" s="90" t="s">
        <v>2923</v>
      </c>
      <c r="E692" s="90" t="s">
        <v>2924</v>
      </c>
      <c r="F692" s="90" t="s">
        <v>2925</v>
      </c>
      <c r="G692" t="s">
        <v>512</v>
      </c>
    </row>
    <row r="693" spans="1:7" x14ac:dyDescent="0.25">
      <c r="A693" s="114">
        <v>323367</v>
      </c>
      <c r="B693" s="90" t="s">
        <v>2411</v>
      </c>
      <c r="C693" s="90" t="s">
        <v>508</v>
      </c>
      <c r="D693" s="90" t="s">
        <v>2412</v>
      </c>
      <c r="E693" s="90" t="s">
        <v>910</v>
      </c>
      <c r="F693" s="90" t="s">
        <v>2926</v>
      </c>
      <c r="G693" t="s">
        <v>512</v>
      </c>
    </row>
    <row r="694" spans="1:7" x14ac:dyDescent="0.25">
      <c r="A694" s="114">
        <v>323430</v>
      </c>
      <c r="B694" s="90" t="s">
        <v>2927</v>
      </c>
      <c r="C694" s="90" t="s">
        <v>508</v>
      </c>
      <c r="D694" s="90" t="s">
        <v>2928</v>
      </c>
      <c r="E694" s="90" t="s">
        <v>2771</v>
      </c>
      <c r="F694" s="90" t="s">
        <v>2929</v>
      </c>
      <c r="G694" t="s">
        <v>512</v>
      </c>
    </row>
    <row r="695" spans="1:7" x14ac:dyDescent="0.25">
      <c r="A695" s="114">
        <v>323432</v>
      </c>
      <c r="B695" s="90" t="s">
        <v>2930</v>
      </c>
      <c r="C695" s="90" t="s">
        <v>508</v>
      </c>
      <c r="D695" s="90" t="s">
        <v>2931</v>
      </c>
      <c r="E695" s="90" t="s">
        <v>2932</v>
      </c>
      <c r="F695" s="90" t="s">
        <v>2933</v>
      </c>
      <c r="G695" t="s">
        <v>512</v>
      </c>
    </row>
    <row r="696" spans="1:7" x14ac:dyDescent="0.25">
      <c r="A696" s="114">
        <v>323438</v>
      </c>
      <c r="B696" s="90" t="s">
        <v>2934</v>
      </c>
      <c r="C696" s="90" t="s">
        <v>508</v>
      </c>
      <c r="D696" s="90" t="s">
        <v>2935</v>
      </c>
      <c r="E696" s="90" t="s">
        <v>2246</v>
      </c>
      <c r="F696" s="90" t="s">
        <v>2936</v>
      </c>
      <c r="G696" t="s">
        <v>512</v>
      </c>
    </row>
    <row r="697" spans="1:7" x14ac:dyDescent="0.25">
      <c r="A697" s="114">
        <v>323471</v>
      </c>
      <c r="B697" s="90" t="s">
        <v>2937</v>
      </c>
      <c r="C697" s="90" t="s">
        <v>508</v>
      </c>
      <c r="D697" s="90" t="s">
        <v>2938</v>
      </c>
      <c r="E697" s="90" t="s">
        <v>2939</v>
      </c>
      <c r="F697" s="90" t="s">
        <v>2940</v>
      </c>
      <c r="G697" t="s">
        <v>512</v>
      </c>
    </row>
    <row r="698" spans="1:7" x14ac:dyDescent="0.25">
      <c r="A698" s="114">
        <v>323472</v>
      </c>
      <c r="B698" s="90" t="s">
        <v>2941</v>
      </c>
      <c r="C698" s="90" t="s">
        <v>508</v>
      </c>
      <c r="D698" s="90" t="s">
        <v>2942</v>
      </c>
      <c r="E698" s="90" t="s">
        <v>2943</v>
      </c>
      <c r="F698" s="90" t="s">
        <v>2944</v>
      </c>
      <c r="G698" t="s">
        <v>512</v>
      </c>
    </row>
    <row r="699" spans="1:7" x14ac:dyDescent="0.25">
      <c r="A699" s="114">
        <v>323518</v>
      </c>
      <c r="B699" s="90" t="s">
        <v>2945</v>
      </c>
      <c r="C699" s="90" t="s">
        <v>508</v>
      </c>
      <c r="D699" s="90" t="s">
        <v>2946</v>
      </c>
      <c r="E699" s="90" t="s">
        <v>2947</v>
      </c>
      <c r="F699" s="90" t="s">
        <v>2948</v>
      </c>
      <c r="G699" t="s">
        <v>512</v>
      </c>
    </row>
    <row r="700" spans="1:7" x14ac:dyDescent="0.25">
      <c r="A700" s="114">
        <v>323528</v>
      </c>
      <c r="B700" s="90" t="s">
        <v>2949</v>
      </c>
      <c r="C700" s="90" t="s">
        <v>508</v>
      </c>
      <c r="D700" s="90" t="s">
        <v>2950</v>
      </c>
      <c r="E700" s="90" t="s">
        <v>2924</v>
      </c>
      <c r="F700" s="90" t="s">
        <v>2951</v>
      </c>
      <c r="G700" t="s">
        <v>512</v>
      </c>
    </row>
    <row r="701" spans="1:7" x14ac:dyDescent="0.25">
      <c r="A701" s="114">
        <v>323538</v>
      </c>
      <c r="B701" s="90" t="s">
        <v>2952</v>
      </c>
      <c r="C701" s="90" t="s">
        <v>508</v>
      </c>
      <c r="D701" s="90" t="s">
        <v>2953</v>
      </c>
      <c r="E701" s="90" t="s">
        <v>2954</v>
      </c>
      <c r="F701" s="90" t="s">
        <v>2955</v>
      </c>
      <c r="G701" t="s">
        <v>512</v>
      </c>
    </row>
    <row r="702" spans="1:7" x14ac:dyDescent="0.25">
      <c r="A702" s="114">
        <v>323562</v>
      </c>
      <c r="B702" s="90" t="s">
        <v>2956</v>
      </c>
      <c r="C702" s="90" t="s">
        <v>508</v>
      </c>
      <c r="D702" s="90" t="s">
        <v>2957</v>
      </c>
      <c r="E702" s="90" t="s">
        <v>2549</v>
      </c>
      <c r="F702" s="90" t="s">
        <v>2958</v>
      </c>
      <c r="G702" t="s">
        <v>512</v>
      </c>
    </row>
    <row r="703" spans="1:7" x14ac:dyDescent="0.25">
      <c r="A703" s="114">
        <v>323563</v>
      </c>
      <c r="B703" s="90" t="s">
        <v>2959</v>
      </c>
      <c r="C703" s="90" t="s">
        <v>508</v>
      </c>
      <c r="D703" s="90" t="s">
        <v>2960</v>
      </c>
      <c r="E703" s="90" t="s">
        <v>2961</v>
      </c>
      <c r="F703" s="90" t="s">
        <v>2962</v>
      </c>
      <c r="G703" t="s">
        <v>512</v>
      </c>
    </row>
    <row r="704" spans="1:7" x14ac:dyDescent="0.25">
      <c r="A704" s="114">
        <v>323579</v>
      </c>
      <c r="B704" s="90" t="s">
        <v>2963</v>
      </c>
      <c r="C704" s="90" t="s">
        <v>508</v>
      </c>
      <c r="D704" s="90" t="s">
        <v>2964</v>
      </c>
      <c r="E704" s="90" t="s">
        <v>2965</v>
      </c>
      <c r="F704" s="90" t="s">
        <v>2966</v>
      </c>
      <c r="G704" t="s">
        <v>512</v>
      </c>
    </row>
    <row r="705" spans="1:7" x14ac:dyDescent="0.25">
      <c r="A705" s="114">
        <v>323615</v>
      </c>
      <c r="B705" s="90" t="s">
        <v>2967</v>
      </c>
      <c r="C705" s="90" t="s">
        <v>508</v>
      </c>
      <c r="D705" s="90" t="s">
        <v>2968</v>
      </c>
      <c r="E705" s="90" t="s">
        <v>610</v>
      </c>
      <c r="F705" s="90" t="s">
        <v>2969</v>
      </c>
      <c r="G705" t="s">
        <v>512</v>
      </c>
    </row>
    <row r="706" spans="1:7" x14ac:dyDescent="0.25">
      <c r="A706" s="114">
        <v>323644</v>
      </c>
      <c r="B706" s="90" t="s">
        <v>2970</v>
      </c>
      <c r="C706" s="90" t="s">
        <v>508</v>
      </c>
      <c r="D706" s="90" t="s">
        <v>2971</v>
      </c>
      <c r="E706" s="90" t="s">
        <v>2972</v>
      </c>
      <c r="F706" s="90" t="s">
        <v>2973</v>
      </c>
      <c r="G706" t="s">
        <v>512</v>
      </c>
    </row>
    <row r="707" spans="1:7" x14ac:dyDescent="0.25">
      <c r="A707" s="114">
        <v>323654</v>
      </c>
      <c r="B707" s="90" t="s">
        <v>2974</v>
      </c>
      <c r="C707" s="90" t="s">
        <v>508</v>
      </c>
      <c r="D707" s="90" t="s">
        <v>2975</v>
      </c>
      <c r="E707" s="90" t="s">
        <v>2976</v>
      </c>
      <c r="F707" s="90" t="s">
        <v>2977</v>
      </c>
      <c r="G707" t="s">
        <v>512</v>
      </c>
    </row>
    <row r="708" spans="1:7" x14ac:dyDescent="0.25">
      <c r="A708" s="114">
        <v>323661</v>
      </c>
      <c r="B708" s="90" t="s">
        <v>1262</v>
      </c>
      <c r="C708" s="90" t="s">
        <v>508</v>
      </c>
      <c r="D708" s="90" t="s">
        <v>2978</v>
      </c>
      <c r="E708" s="90" t="s">
        <v>2188</v>
      </c>
      <c r="F708" s="90" t="s">
        <v>2979</v>
      </c>
      <c r="G708" t="s">
        <v>512</v>
      </c>
    </row>
    <row r="709" spans="1:7" x14ac:dyDescent="0.25">
      <c r="A709" s="114">
        <v>323680</v>
      </c>
      <c r="B709" s="90" t="s">
        <v>2980</v>
      </c>
      <c r="C709" s="90" t="s">
        <v>508</v>
      </c>
      <c r="D709" s="90" t="s">
        <v>2981</v>
      </c>
      <c r="E709" s="90" t="s">
        <v>1571</v>
      </c>
      <c r="F709" s="90" t="s">
        <v>2982</v>
      </c>
      <c r="G709" t="s">
        <v>512</v>
      </c>
    </row>
    <row r="710" spans="1:7" x14ac:dyDescent="0.25">
      <c r="A710" s="114">
        <v>323722</v>
      </c>
      <c r="B710" s="90" t="s">
        <v>2983</v>
      </c>
      <c r="C710" s="90" t="s">
        <v>508</v>
      </c>
      <c r="D710" s="90" t="s">
        <v>2984</v>
      </c>
      <c r="E710" s="90" t="s">
        <v>2985</v>
      </c>
      <c r="F710" s="90" t="s">
        <v>2986</v>
      </c>
      <c r="G710" t="s">
        <v>512</v>
      </c>
    </row>
    <row r="711" spans="1:7" x14ac:dyDescent="0.25">
      <c r="A711" s="114">
        <v>323729</v>
      </c>
      <c r="B711" s="90" t="s">
        <v>2987</v>
      </c>
      <c r="C711" s="90" t="s">
        <v>508</v>
      </c>
      <c r="D711" s="90" t="s">
        <v>2988</v>
      </c>
      <c r="E711" s="90" t="s">
        <v>1455</v>
      </c>
      <c r="F711" s="90" t="s">
        <v>2989</v>
      </c>
      <c r="G711" t="s">
        <v>512</v>
      </c>
    </row>
    <row r="712" spans="1:7" x14ac:dyDescent="0.25">
      <c r="A712" s="114">
        <v>323734</v>
      </c>
      <c r="B712" s="90" t="s">
        <v>2990</v>
      </c>
      <c r="C712" s="90" t="s">
        <v>508</v>
      </c>
      <c r="D712" s="90" t="s">
        <v>2991</v>
      </c>
      <c r="E712" s="90" t="s">
        <v>714</v>
      </c>
      <c r="F712" s="90" t="s">
        <v>2992</v>
      </c>
      <c r="G712" t="s">
        <v>512</v>
      </c>
    </row>
    <row r="713" spans="1:7" x14ac:dyDescent="0.25">
      <c r="A713" s="114">
        <v>323754</v>
      </c>
      <c r="B713" s="90" t="s">
        <v>2993</v>
      </c>
      <c r="C713" s="90" t="s">
        <v>508</v>
      </c>
      <c r="D713" s="90" t="s">
        <v>2994</v>
      </c>
      <c r="E713" s="90" t="s">
        <v>995</v>
      </c>
      <c r="F713" s="90" t="s">
        <v>2995</v>
      </c>
      <c r="G713" t="s">
        <v>512</v>
      </c>
    </row>
    <row r="714" spans="1:7" x14ac:dyDescent="0.25">
      <c r="A714" s="114">
        <v>323755</v>
      </c>
      <c r="B714" s="90" t="s">
        <v>2996</v>
      </c>
      <c r="C714" s="90" t="s">
        <v>508</v>
      </c>
      <c r="D714" s="90" t="s">
        <v>2997</v>
      </c>
      <c r="E714" s="90" t="s">
        <v>2998</v>
      </c>
      <c r="F714" s="90" t="s">
        <v>2999</v>
      </c>
      <c r="G714" t="s">
        <v>512</v>
      </c>
    </row>
    <row r="715" spans="1:7" x14ac:dyDescent="0.25">
      <c r="A715" s="114">
        <v>323784</v>
      </c>
      <c r="B715" s="90" t="s">
        <v>3000</v>
      </c>
      <c r="C715" s="90" t="s">
        <v>508</v>
      </c>
      <c r="D715" s="90" t="s">
        <v>3001</v>
      </c>
      <c r="E715" s="90" t="s">
        <v>1256</v>
      </c>
      <c r="F715" s="90" t="s">
        <v>3002</v>
      </c>
      <c r="G715" t="s">
        <v>512</v>
      </c>
    </row>
    <row r="716" spans="1:7" x14ac:dyDescent="0.25">
      <c r="A716" s="114">
        <v>323790</v>
      </c>
      <c r="B716" s="90" t="s">
        <v>3003</v>
      </c>
      <c r="C716" s="90" t="s">
        <v>508</v>
      </c>
      <c r="D716" s="90" t="s">
        <v>3004</v>
      </c>
      <c r="E716" s="90" t="s">
        <v>3005</v>
      </c>
      <c r="F716" s="90" t="s">
        <v>3006</v>
      </c>
      <c r="G716" t="s">
        <v>512</v>
      </c>
    </row>
    <row r="717" spans="1:7" x14ac:dyDescent="0.25">
      <c r="A717" s="114">
        <v>323816</v>
      </c>
      <c r="B717" s="90" t="s">
        <v>3007</v>
      </c>
      <c r="C717" s="90" t="s">
        <v>508</v>
      </c>
      <c r="D717" s="90" t="s">
        <v>3008</v>
      </c>
      <c r="E717" s="90" t="s">
        <v>3009</v>
      </c>
      <c r="F717" s="90" t="s">
        <v>3010</v>
      </c>
      <c r="G717" t="s">
        <v>512</v>
      </c>
    </row>
    <row r="718" spans="1:7" x14ac:dyDescent="0.25">
      <c r="A718" s="114">
        <v>323820</v>
      </c>
      <c r="B718" s="90" t="s">
        <v>3011</v>
      </c>
      <c r="C718" s="90" t="s">
        <v>508</v>
      </c>
      <c r="D718" s="90" t="s">
        <v>3012</v>
      </c>
      <c r="E718" s="90" t="s">
        <v>3013</v>
      </c>
      <c r="F718" s="90" t="s">
        <v>3014</v>
      </c>
      <c r="G718" t="s">
        <v>512</v>
      </c>
    </row>
    <row r="719" spans="1:7" x14ac:dyDescent="0.25">
      <c r="A719" s="114">
        <v>323823</v>
      </c>
      <c r="B719" s="90" t="s">
        <v>3015</v>
      </c>
      <c r="C719" s="90" t="s">
        <v>508</v>
      </c>
      <c r="D719" s="90" t="s">
        <v>3016</v>
      </c>
      <c r="E719" s="90" t="s">
        <v>3017</v>
      </c>
      <c r="F719" s="90" t="s">
        <v>3018</v>
      </c>
      <c r="G719" t="s">
        <v>512</v>
      </c>
    </row>
    <row r="720" spans="1:7" x14ac:dyDescent="0.25">
      <c r="A720" s="114">
        <v>323850</v>
      </c>
      <c r="B720" s="90" t="s">
        <v>3019</v>
      </c>
      <c r="C720" s="90" t="s">
        <v>508</v>
      </c>
      <c r="D720" s="90" t="s">
        <v>3020</v>
      </c>
      <c r="E720" s="90" t="s">
        <v>2972</v>
      </c>
      <c r="F720" s="90" t="s">
        <v>3021</v>
      </c>
      <c r="G720" t="s">
        <v>512</v>
      </c>
    </row>
    <row r="721" spans="1:7" x14ac:dyDescent="0.25">
      <c r="A721" s="114">
        <v>323851</v>
      </c>
      <c r="B721" s="90" t="s">
        <v>2081</v>
      </c>
      <c r="C721" s="90" t="s">
        <v>508</v>
      </c>
      <c r="D721" s="90" t="s">
        <v>3022</v>
      </c>
      <c r="E721" s="90" t="s">
        <v>843</v>
      </c>
      <c r="F721" s="90" t="s">
        <v>3023</v>
      </c>
      <c r="G721" t="s">
        <v>512</v>
      </c>
    </row>
    <row r="722" spans="1:7" x14ac:dyDescent="0.25">
      <c r="A722" s="114">
        <v>323860</v>
      </c>
      <c r="B722" s="90" t="s">
        <v>3024</v>
      </c>
      <c r="C722" s="90" t="s">
        <v>508</v>
      </c>
      <c r="D722" s="90" t="s">
        <v>3025</v>
      </c>
      <c r="E722" s="90" t="s">
        <v>3026</v>
      </c>
      <c r="F722" s="90" t="s">
        <v>3027</v>
      </c>
      <c r="G722" t="s">
        <v>512</v>
      </c>
    </row>
    <row r="723" spans="1:7" x14ac:dyDescent="0.25">
      <c r="A723" s="114">
        <v>323905</v>
      </c>
      <c r="B723" s="90" t="s">
        <v>3028</v>
      </c>
      <c r="C723" s="90" t="s">
        <v>508</v>
      </c>
      <c r="D723" s="90" t="s">
        <v>3029</v>
      </c>
      <c r="E723" s="90" t="s">
        <v>3030</v>
      </c>
      <c r="F723" s="90" t="s">
        <v>3031</v>
      </c>
      <c r="G723" t="s">
        <v>512</v>
      </c>
    </row>
    <row r="724" spans="1:7" x14ac:dyDescent="0.25">
      <c r="A724" s="114">
        <v>323926</v>
      </c>
      <c r="B724" s="90" t="s">
        <v>3032</v>
      </c>
      <c r="C724" s="90" t="s">
        <v>508</v>
      </c>
      <c r="D724" s="90" t="s">
        <v>3033</v>
      </c>
      <c r="E724" s="90" t="s">
        <v>2705</v>
      </c>
      <c r="F724" s="90" t="s">
        <v>3034</v>
      </c>
      <c r="G724" t="s">
        <v>512</v>
      </c>
    </row>
    <row r="725" spans="1:7" x14ac:dyDescent="0.25">
      <c r="A725" s="114">
        <v>323951</v>
      </c>
      <c r="B725" s="90" t="s">
        <v>3035</v>
      </c>
      <c r="C725" s="90" t="s">
        <v>508</v>
      </c>
      <c r="D725" s="90" t="s">
        <v>3036</v>
      </c>
      <c r="E725" s="90" t="s">
        <v>3037</v>
      </c>
      <c r="F725" s="90" t="s">
        <v>3038</v>
      </c>
      <c r="G725" t="s">
        <v>512</v>
      </c>
    </row>
    <row r="726" spans="1:7" x14ac:dyDescent="0.25">
      <c r="A726" s="114">
        <v>323968</v>
      </c>
      <c r="B726" s="90" t="s">
        <v>3039</v>
      </c>
      <c r="C726" s="90" t="s">
        <v>508</v>
      </c>
      <c r="D726" s="90" t="s">
        <v>3040</v>
      </c>
      <c r="E726" s="90" t="s">
        <v>1982</v>
      </c>
      <c r="F726" s="90" t="s">
        <v>3041</v>
      </c>
      <c r="G726" t="s">
        <v>512</v>
      </c>
    </row>
    <row r="727" spans="1:7" x14ac:dyDescent="0.25">
      <c r="A727" s="114">
        <v>324031</v>
      </c>
      <c r="B727" s="90" t="s">
        <v>3042</v>
      </c>
      <c r="C727" s="90" t="s">
        <v>508</v>
      </c>
      <c r="D727" s="90" t="s">
        <v>3043</v>
      </c>
      <c r="E727" s="90" t="s">
        <v>1589</v>
      </c>
      <c r="F727" s="90" t="s">
        <v>3044</v>
      </c>
      <c r="G727" t="s">
        <v>512</v>
      </c>
    </row>
    <row r="728" spans="1:7" x14ac:dyDescent="0.25">
      <c r="A728" s="114">
        <v>324053</v>
      </c>
      <c r="B728" s="90" t="s">
        <v>3045</v>
      </c>
      <c r="C728" s="90" t="s">
        <v>508</v>
      </c>
      <c r="D728" s="90" t="s">
        <v>3046</v>
      </c>
      <c r="E728" s="90" t="s">
        <v>3047</v>
      </c>
      <c r="F728" s="90" t="s">
        <v>3048</v>
      </c>
      <c r="G728" t="s">
        <v>512</v>
      </c>
    </row>
    <row r="729" spans="1:7" x14ac:dyDescent="0.25">
      <c r="A729" s="114">
        <v>324057</v>
      </c>
      <c r="B729" s="90" t="s">
        <v>3049</v>
      </c>
      <c r="C729" s="90" t="s">
        <v>508</v>
      </c>
      <c r="D729" s="90" t="s">
        <v>3050</v>
      </c>
      <c r="E729" s="90" t="s">
        <v>1425</v>
      </c>
      <c r="F729" s="90" t="s">
        <v>3051</v>
      </c>
      <c r="G729" t="s">
        <v>512</v>
      </c>
    </row>
    <row r="730" spans="1:7" x14ac:dyDescent="0.25">
      <c r="A730" s="114">
        <v>324064</v>
      </c>
      <c r="B730" s="90" t="s">
        <v>3052</v>
      </c>
      <c r="C730" s="90" t="s">
        <v>508</v>
      </c>
      <c r="D730" s="90" t="s">
        <v>3053</v>
      </c>
      <c r="E730" s="90" t="s">
        <v>3054</v>
      </c>
      <c r="F730" s="90" t="s">
        <v>3055</v>
      </c>
      <c r="G730" t="s">
        <v>512</v>
      </c>
    </row>
    <row r="731" spans="1:7" x14ac:dyDescent="0.25">
      <c r="A731" s="114">
        <v>324091</v>
      </c>
      <c r="B731" s="90" t="s">
        <v>3056</v>
      </c>
      <c r="C731" s="90" t="s">
        <v>508</v>
      </c>
      <c r="D731" s="90" t="s">
        <v>3057</v>
      </c>
      <c r="E731" s="90" t="s">
        <v>1745</v>
      </c>
      <c r="F731" s="90" t="s">
        <v>3058</v>
      </c>
      <c r="G731" t="s">
        <v>512</v>
      </c>
    </row>
    <row r="732" spans="1:7" x14ac:dyDescent="0.25">
      <c r="A732" s="114">
        <v>324117</v>
      </c>
      <c r="B732" s="90" t="s">
        <v>3059</v>
      </c>
      <c r="C732" s="90" t="s">
        <v>508</v>
      </c>
      <c r="D732" s="90" t="s">
        <v>2593</v>
      </c>
      <c r="E732" s="90" t="s">
        <v>1061</v>
      </c>
      <c r="F732" s="90" t="s">
        <v>3060</v>
      </c>
      <c r="G732" t="s">
        <v>512</v>
      </c>
    </row>
    <row r="733" spans="1:7" x14ac:dyDescent="0.25">
      <c r="A733" s="114">
        <v>324216</v>
      </c>
      <c r="B733" s="90" t="s">
        <v>3061</v>
      </c>
      <c r="C733" s="90" t="s">
        <v>508</v>
      </c>
      <c r="D733" s="90" t="s">
        <v>3062</v>
      </c>
      <c r="E733" s="90" t="s">
        <v>3063</v>
      </c>
      <c r="F733" s="90" t="s">
        <v>3064</v>
      </c>
      <c r="G733" t="s">
        <v>512</v>
      </c>
    </row>
    <row r="734" spans="1:7" x14ac:dyDescent="0.25">
      <c r="A734" s="114">
        <v>324267</v>
      </c>
      <c r="B734" s="90" t="s">
        <v>3065</v>
      </c>
      <c r="C734" s="90" t="s">
        <v>508</v>
      </c>
      <c r="D734" s="90" t="s">
        <v>3066</v>
      </c>
      <c r="E734" s="90" t="s">
        <v>3067</v>
      </c>
      <c r="F734" s="90" t="s">
        <v>3068</v>
      </c>
      <c r="G734" t="s">
        <v>512</v>
      </c>
    </row>
    <row r="735" spans="1:7" x14ac:dyDescent="0.25">
      <c r="A735" s="114">
        <v>324268</v>
      </c>
      <c r="B735" s="90" t="s">
        <v>3069</v>
      </c>
      <c r="C735" s="90" t="s">
        <v>508</v>
      </c>
      <c r="D735" s="90" t="s">
        <v>3070</v>
      </c>
      <c r="E735" s="90" t="s">
        <v>3071</v>
      </c>
      <c r="F735" s="90" t="s">
        <v>3072</v>
      </c>
      <c r="G735" t="s">
        <v>512</v>
      </c>
    </row>
    <row r="736" spans="1:7" x14ac:dyDescent="0.25">
      <c r="A736" s="114">
        <v>324338</v>
      </c>
      <c r="B736" s="90" t="s">
        <v>3073</v>
      </c>
      <c r="C736" s="90" t="s">
        <v>508</v>
      </c>
      <c r="D736" s="90" t="s">
        <v>3074</v>
      </c>
      <c r="E736" s="90" t="s">
        <v>1892</v>
      </c>
      <c r="F736" s="90" t="s">
        <v>3075</v>
      </c>
      <c r="G736" t="s">
        <v>512</v>
      </c>
    </row>
    <row r="737" spans="1:7" x14ac:dyDescent="0.25">
      <c r="A737" s="114">
        <v>324346</v>
      </c>
      <c r="B737" s="90" t="s">
        <v>3076</v>
      </c>
      <c r="C737" s="90" t="s">
        <v>508</v>
      </c>
      <c r="D737" s="90" t="s">
        <v>3077</v>
      </c>
      <c r="E737" s="90" t="s">
        <v>1625</v>
      </c>
      <c r="F737" s="90" t="s">
        <v>3078</v>
      </c>
      <c r="G737" t="s">
        <v>512</v>
      </c>
    </row>
    <row r="738" spans="1:7" x14ac:dyDescent="0.25">
      <c r="A738" s="114">
        <v>324358</v>
      </c>
      <c r="B738" s="90" t="s">
        <v>3079</v>
      </c>
      <c r="C738" s="90" t="s">
        <v>508</v>
      </c>
      <c r="D738" s="90" t="s">
        <v>3080</v>
      </c>
      <c r="E738" s="90" t="s">
        <v>1363</v>
      </c>
      <c r="F738" s="90" t="s">
        <v>3081</v>
      </c>
      <c r="G738" t="s">
        <v>512</v>
      </c>
    </row>
    <row r="739" spans="1:7" x14ac:dyDescent="0.25">
      <c r="A739" s="114">
        <v>324361</v>
      </c>
      <c r="B739" s="90" t="s">
        <v>3082</v>
      </c>
      <c r="C739" s="90" t="s">
        <v>508</v>
      </c>
      <c r="D739" s="90" t="s">
        <v>3083</v>
      </c>
      <c r="E739" s="90" t="s">
        <v>614</v>
      </c>
      <c r="F739" s="90" t="s">
        <v>3084</v>
      </c>
      <c r="G739" t="s">
        <v>512</v>
      </c>
    </row>
    <row r="740" spans="1:7" x14ac:dyDescent="0.25">
      <c r="A740" s="114">
        <v>324373</v>
      </c>
      <c r="B740" s="90" t="s">
        <v>3085</v>
      </c>
      <c r="C740" s="90" t="s">
        <v>508</v>
      </c>
      <c r="D740" s="90" t="s">
        <v>3086</v>
      </c>
      <c r="E740" s="90" t="s">
        <v>3087</v>
      </c>
      <c r="F740" s="90" t="s">
        <v>3088</v>
      </c>
      <c r="G740" t="s">
        <v>512</v>
      </c>
    </row>
    <row r="741" spans="1:7" x14ac:dyDescent="0.25">
      <c r="A741" s="114">
        <v>324397</v>
      </c>
      <c r="B741" s="90" t="s">
        <v>3089</v>
      </c>
      <c r="C741" s="90" t="s">
        <v>508</v>
      </c>
      <c r="D741" s="90" t="s">
        <v>3090</v>
      </c>
      <c r="E741" s="90" t="s">
        <v>1625</v>
      </c>
      <c r="F741" s="90" t="s">
        <v>3091</v>
      </c>
      <c r="G741" t="s">
        <v>512</v>
      </c>
    </row>
    <row r="742" spans="1:7" x14ac:dyDescent="0.25">
      <c r="A742" s="114">
        <v>324419</v>
      </c>
      <c r="B742" s="90" t="s">
        <v>3092</v>
      </c>
      <c r="C742" s="90" t="s">
        <v>508</v>
      </c>
      <c r="D742" s="90" t="s">
        <v>3093</v>
      </c>
      <c r="E742" s="90" t="s">
        <v>1489</v>
      </c>
      <c r="F742" s="90" t="s">
        <v>3094</v>
      </c>
      <c r="G742" t="s">
        <v>512</v>
      </c>
    </row>
    <row r="743" spans="1:7" x14ac:dyDescent="0.25">
      <c r="A743" s="114">
        <v>324433</v>
      </c>
      <c r="B743" s="90" t="s">
        <v>883</v>
      </c>
      <c r="C743" s="90" t="s">
        <v>508</v>
      </c>
      <c r="D743" s="90" t="s">
        <v>3095</v>
      </c>
      <c r="E743" s="90" t="s">
        <v>883</v>
      </c>
      <c r="F743" s="90" t="s">
        <v>3096</v>
      </c>
      <c r="G743" t="s">
        <v>512</v>
      </c>
    </row>
    <row r="744" spans="1:7" x14ac:dyDescent="0.25">
      <c r="A744" s="114">
        <v>324442</v>
      </c>
      <c r="B744" s="90" t="s">
        <v>3097</v>
      </c>
      <c r="C744" s="90" t="s">
        <v>508</v>
      </c>
      <c r="D744" s="90" t="s">
        <v>3098</v>
      </c>
      <c r="E744" s="90" t="s">
        <v>3099</v>
      </c>
      <c r="F744" s="90" t="s">
        <v>3100</v>
      </c>
      <c r="G744" t="s">
        <v>512</v>
      </c>
    </row>
    <row r="745" spans="1:7" x14ac:dyDescent="0.25">
      <c r="A745" s="114">
        <v>324446</v>
      </c>
      <c r="B745" s="90" t="s">
        <v>3101</v>
      </c>
      <c r="C745" s="90" t="s">
        <v>508</v>
      </c>
      <c r="D745" s="90" t="s">
        <v>3102</v>
      </c>
      <c r="E745" s="90" t="s">
        <v>2199</v>
      </c>
      <c r="F745" s="90" t="s">
        <v>3103</v>
      </c>
      <c r="G745" t="s">
        <v>512</v>
      </c>
    </row>
    <row r="746" spans="1:7" x14ac:dyDescent="0.25">
      <c r="A746" s="114">
        <v>324484</v>
      </c>
      <c r="B746" s="90" t="s">
        <v>3104</v>
      </c>
      <c r="C746" s="90" t="s">
        <v>508</v>
      </c>
      <c r="D746" s="90" t="s">
        <v>3105</v>
      </c>
      <c r="E746" s="90" t="s">
        <v>563</v>
      </c>
      <c r="F746" s="90" t="s">
        <v>3106</v>
      </c>
      <c r="G746" t="s">
        <v>512</v>
      </c>
    </row>
    <row r="747" spans="1:7" x14ac:dyDescent="0.25">
      <c r="A747" s="114">
        <v>324503</v>
      </c>
      <c r="B747" s="90" t="s">
        <v>3107</v>
      </c>
      <c r="C747" s="90" t="s">
        <v>508</v>
      </c>
      <c r="D747" s="90" t="s">
        <v>3108</v>
      </c>
      <c r="E747" s="90" t="s">
        <v>3109</v>
      </c>
      <c r="F747" s="90" t="s">
        <v>3110</v>
      </c>
      <c r="G747" t="s">
        <v>512</v>
      </c>
    </row>
    <row r="748" spans="1:7" x14ac:dyDescent="0.25">
      <c r="A748" s="114">
        <v>324509</v>
      </c>
      <c r="B748" s="90" t="s">
        <v>3111</v>
      </c>
      <c r="C748" s="90" t="s">
        <v>508</v>
      </c>
      <c r="D748" s="90" t="s">
        <v>3112</v>
      </c>
      <c r="E748" s="90" t="s">
        <v>3113</v>
      </c>
      <c r="F748" s="90" t="s">
        <v>3114</v>
      </c>
      <c r="G748" t="s">
        <v>512</v>
      </c>
    </row>
    <row r="749" spans="1:7" x14ac:dyDescent="0.25">
      <c r="A749" s="114">
        <v>324583</v>
      </c>
      <c r="B749" s="90" t="s">
        <v>3115</v>
      </c>
      <c r="C749" s="90" t="s">
        <v>508</v>
      </c>
      <c r="D749" s="90" t="s">
        <v>3116</v>
      </c>
      <c r="E749" s="90" t="s">
        <v>1205</v>
      </c>
      <c r="F749" s="90" t="s">
        <v>3117</v>
      </c>
      <c r="G749" t="s">
        <v>512</v>
      </c>
    </row>
    <row r="750" spans="1:7" x14ac:dyDescent="0.25">
      <c r="A750" s="114">
        <v>324593</v>
      </c>
      <c r="B750" s="90" t="s">
        <v>3118</v>
      </c>
      <c r="C750" s="90" t="s">
        <v>508</v>
      </c>
      <c r="D750" s="90" t="s">
        <v>3119</v>
      </c>
      <c r="E750" s="90" t="s">
        <v>1683</v>
      </c>
      <c r="F750" s="90" t="s">
        <v>3120</v>
      </c>
      <c r="G750" t="s">
        <v>512</v>
      </c>
    </row>
    <row r="751" spans="1:7" x14ac:dyDescent="0.25">
      <c r="A751" s="114">
        <v>324628</v>
      </c>
      <c r="B751" s="90" t="s">
        <v>3121</v>
      </c>
      <c r="C751" s="90" t="s">
        <v>508</v>
      </c>
      <c r="D751" s="90" t="s">
        <v>3122</v>
      </c>
      <c r="E751" s="90" t="s">
        <v>563</v>
      </c>
      <c r="F751" s="90" t="s">
        <v>3123</v>
      </c>
      <c r="G751" t="s">
        <v>512</v>
      </c>
    </row>
    <row r="752" spans="1:7" x14ac:dyDescent="0.25">
      <c r="A752" s="114">
        <v>324641</v>
      </c>
      <c r="B752" s="90" t="s">
        <v>3124</v>
      </c>
      <c r="C752" s="90" t="s">
        <v>508</v>
      </c>
      <c r="D752" s="90" t="s">
        <v>3125</v>
      </c>
      <c r="E752" s="90" t="s">
        <v>2305</v>
      </c>
      <c r="F752" s="90" t="s">
        <v>3126</v>
      </c>
      <c r="G752" t="s">
        <v>512</v>
      </c>
    </row>
    <row r="753" spans="1:7" x14ac:dyDescent="0.25">
      <c r="A753" s="114">
        <v>324647</v>
      </c>
      <c r="B753" s="90" t="s">
        <v>3127</v>
      </c>
      <c r="C753" s="90" t="s">
        <v>508</v>
      </c>
      <c r="D753" s="90" t="s">
        <v>3128</v>
      </c>
      <c r="E753" s="90" t="s">
        <v>1256</v>
      </c>
      <c r="F753" s="90" t="s">
        <v>3129</v>
      </c>
      <c r="G753" t="s">
        <v>512</v>
      </c>
    </row>
    <row r="754" spans="1:7" x14ac:dyDescent="0.25">
      <c r="A754" s="114">
        <v>324663</v>
      </c>
      <c r="B754" s="90" t="s">
        <v>728</v>
      </c>
      <c r="C754" s="90" t="s">
        <v>508</v>
      </c>
      <c r="D754" s="90" t="s">
        <v>3130</v>
      </c>
      <c r="E754" s="90" t="s">
        <v>1489</v>
      </c>
      <c r="F754" s="90" t="s">
        <v>3131</v>
      </c>
      <c r="G754" t="s">
        <v>512</v>
      </c>
    </row>
    <row r="755" spans="1:7" x14ac:dyDescent="0.25">
      <c r="A755" s="114">
        <v>324669</v>
      </c>
      <c r="B755" s="90" t="s">
        <v>3132</v>
      </c>
      <c r="C755" s="90" t="s">
        <v>508</v>
      </c>
      <c r="D755" s="90" t="s">
        <v>3133</v>
      </c>
      <c r="E755" s="90" t="s">
        <v>3134</v>
      </c>
      <c r="F755" s="90" t="s">
        <v>3135</v>
      </c>
      <c r="G755" t="s">
        <v>512</v>
      </c>
    </row>
    <row r="756" spans="1:7" x14ac:dyDescent="0.25">
      <c r="A756" s="114">
        <v>324672</v>
      </c>
      <c r="B756" s="90" t="s">
        <v>3136</v>
      </c>
      <c r="C756" s="90" t="s">
        <v>508</v>
      </c>
      <c r="D756" s="90" t="s">
        <v>3137</v>
      </c>
      <c r="E756" s="90" t="s">
        <v>565</v>
      </c>
      <c r="F756" s="90" t="s">
        <v>3075</v>
      </c>
      <c r="G756" t="s">
        <v>512</v>
      </c>
    </row>
    <row r="757" spans="1:7" x14ac:dyDescent="0.25">
      <c r="A757" s="114">
        <v>324692</v>
      </c>
      <c r="B757" s="90" t="s">
        <v>3138</v>
      </c>
      <c r="C757" s="90" t="s">
        <v>508</v>
      </c>
      <c r="D757" s="90" t="s">
        <v>3139</v>
      </c>
      <c r="E757" s="90" t="s">
        <v>1256</v>
      </c>
      <c r="F757" s="90" t="s">
        <v>3140</v>
      </c>
      <c r="G757" t="s">
        <v>512</v>
      </c>
    </row>
    <row r="758" spans="1:7" x14ac:dyDescent="0.25">
      <c r="A758" s="114">
        <v>324694</v>
      </c>
      <c r="B758" s="90" t="s">
        <v>3141</v>
      </c>
      <c r="C758" s="90" t="s">
        <v>508</v>
      </c>
      <c r="D758" s="90" t="s">
        <v>3142</v>
      </c>
      <c r="E758" s="90" t="s">
        <v>3143</v>
      </c>
      <c r="F758" s="90" t="s">
        <v>3144</v>
      </c>
      <c r="G758" t="s">
        <v>512</v>
      </c>
    </row>
    <row r="759" spans="1:7" x14ac:dyDescent="0.25">
      <c r="A759" s="114">
        <v>324732</v>
      </c>
      <c r="B759" s="90" t="s">
        <v>3145</v>
      </c>
      <c r="C759" s="90" t="s">
        <v>508</v>
      </c>
      <c r="D759" s="90" t="s">
        <v>3146</v>
      </c>
      <c r="E759" s="90" t="s">
        <v>1425</v>
      </c>
      <c r="F759" s="90" t="s">
        <v>3147</v>
      </c>
      <c r="G759" t="s">
        <v>512</v>
      </c>
    </row>
    <row r="760" spans="1:7" x14ac:dyDescent="0.25">
      <c r="A760" s="114">
        <v>324742</v>
      </c>
      <c r="B760" s="90" t="s">
        <v>3148</v>
      </c>
      <c r="C760" s="90" t="s">
        <v>508</v>
      </c>
      <c r="D760" s="90" t="s">
        <v>3149</v>
      </c>
      <c r="E760" s="90" t="s">
        <v>583</v>
      </c>
      <c r="F760" s="90" t="s">
        <v>3150</v>
      </c>
      <c r="G760" t="s">
        <v>512</v>
      </c>
    </row>
    <row r="761" spans="1:7" x14ac:dyDescent="0.25">
      <c r="A761" s="114">
        <v>324748</v>
      </c>
      <c r="B761" s="90" t="s">
        <v>3151</v>
      </c>
      <c r="C761" s="90" t="s">
        <v>508</v>
      </c>
      <c r="D761" s="90" t="s">
        <v>3152</v>
      </c>
      <c r="E761" s="90" t="s">
        <v>2901</v>
      </c>
      <c r="F761" s="90" t="s">
        <v>3153</v>
      </c>
      <c r="G761" t="s">
        <v>512</v>
      </c>
    </row>
    <row r="762" spans="1:7" x14ac:dyDescent="0.25">
      <c r="A762" s="114">
        <v>324761</v>
      </c>
      <c r="B762" s="90" t="s">
        <v>3154</v>
      </c>
      <c r="C762" s="90" t="s">
        <v>508</v>
      </c>
      <c r="D762" s="90" t="s">
        <v>3155</v>
      </c>
      <c r="E762" s="90" t="s">
        <v>3156</v>
      </c>
      <c r="F762" s="90" t="s">
        <v>3157</v>
      </c>
      <c r="G762" t="s">
        <v>512</v>
      </c>
    </row>
    <row r="763" spans="1:7" x14ac:dyDescent="0.25">
      <c r="A763" s="114">
        <v>324781</v>
      </c>
      <c r="B763" s="90" t="s">
        <v>3158</v>
      </c>
      <c r="C763" s="90" t="s">
        <v>508</v>
      </c>
      <c r="D763" s="90" t="s">
        <v>3159</v>
      </c>
      <c r="E763" s="90" t="s">
        <v>1039</v>
      </c>
      <c r="F763" s="90" t="s">
        <v>3160</v>
      </c>
      <c r="G763" t="s">
        <v>512</v>
      </c>
    </row>
    <row r="764" spans="1:7" x14ac:dyDescent="0.25">
      <c r="A764" s="114">
        <v>324848</v>
      </c>
      <c r="B764" s="90" t="s">
        <v>3161</v>
      </c>
      <c r="C764" s="90" t="s">
        <v>508</v>
      </c>
      <c r="D764" s="90" t="s">
        <v>3162</v>
      </c>
      <c r="E764" s="90" t="s">
        <v>3163</v>
      </c>
      <c r="F764" s="90" t="s">
        <v>3164</v>
      </c>
      <c r="G764" t="s">
        <v>512</v>
      </c>
    </row>
    <row r="765" spans="1:7" x14ac:dyDescent="0.25">
      <c r="A765" s="114">
        <v>324858</v>
      </c>
      <c r="B765" s="90" t="s">
        <v>3165</v>
      </c>
      <c r="C765" s="90" t="s">
        <v>508</v>
      </c>
      <c r="D765" s="90" t="s">
        <v>3166</v>
      </c>
      <c r="E765" s="90" t="s">
        <v>3167</v>
      </c>
      <c r="F765" s="90" t="s">
        <v>3168</v>
      </c>
      <c r="G765" t="s">
        <v>512</v>
      </c>
    </row>
    <row r="766" spans="1:7" x14ac:dyDescent="0.25">
      <c r="A766" s="114">
        <v>324859</v>
      </c>
      <c r="B766" s="90" t="s">
        <v>3169</v>
      </c>
      <c r="C766" s="90" t="s">
        <v>508</v>
      </c>
      <c r="D766" s="90" t="s">
        <v>3170</v>
      </c>
      <c r="E766" s="90" t="s">
        <v>1143</v>
      </c>
      <c r="F766" s="90" t="s">
        <v>3171</v>
      </c>
      <c r="G766" t="s">
        <v>512</v>
      </c>
    </row>
    <row r="767" spans="1:7" x14ac:dyDescent="0.25">
      <c r="A767" s="114">
        <v>324911</v>
      </c>
      <c r="B767" s="90" t="s">
        <v>3172</v>
      </c>
      <c r="C767" s="90" t="s">
        <v>508</v>
      </c>
      <c r="D767" s="90" t="s">
        <v>3173</v>
      </c>
      <c r="E767" s="90" t="s">
        <v>3174</v>
      </c>
      <c r="F767" s="90" t="s">
        <v>3175</v>
      </c>
      <c r="G767" t="s">
        <v>512</v>
      </c>
    </row>
    <row r="768" spans="1:7" x14ac:dyDescent="0.25">
      <c r="A768" s="114">
        <v>324977</v>
      </c>
      <c r="B768" s="90" t="s">
        <v>3176</v>
      </c>
      <c r="C768" s="90" t="s">
        <v>508</v>
      </c>
      <c r="D768" s="90" t="s">
        <v>3177</v>
      </c>
      <c r="E768" s="90" t="s">
        <v>3178</v>
      </c>
      <c r="F768" s="90" t="s">
        <v>3179</v>
      </c>
      <c r="G768" t="s">
        <v>512</v>
      </c>
    </row>
    <row r="769" spans="1:7" x14ac:dyDescent="0.25">
      <c r="A769" s="114">
        <v>324980</v>
      </c>
      <c r="B769" s="90" t="s">
        <v>3180</v>
      </c>
      <c r="C769" s="90" t="s">
        <v>508</v>
      </c>
      <c r="D769" s="90" t="s">
        <v>3181</v>
      </c>
      <c r="E769" s="90" t="s">
        <v>818</v>
      </c>
      <c r="F769" s="90" t="s">
        <v>3182</v>
      </c>
      <c r="G769" t="s">
        <v>512</v>
      </c>
    </row>
    <row r="770" spans="1:7" x14ac:dyDescent="0.25">
      <c r="A770" s="114">
        <v>324983</v>
      </c>
      <c r="B770" s="90" t="s">
        <v>3183</v>
      </c>
      <c r="C770" s="90" t="s">
        <v>508</v>
      </c>
      <c r="D770" s="90" t="s">
        <v>3184</v>
      </c>
      <c r="E770" s="90" t="s">
        <v>843</v>
      </c>
      <c r="F770" s="90" t="s">
        <v>3185</v>
      </c>
      <c r="G770" t="s">
        <v>512</v>
      </c>
    </row>
    <row r="771" spans="1:7" x14ac:dyDescent="0.25">
      <c r="A771" s="114">
        <v>324996</v>
      </c>
      <c r="B771" s="90" t="s">
        <v>3186</v>
      </c>
      <c r="C771" s="90" t="s">
        <v>508</v>
      </c>
      <c r="D771" s="90" t="s">
        <v>3187</v>
      </c>
      <c r="E771" s="90" t="s">
        <v>3188</v>
      </c>
      <c r="F771" s="90" t="s">
        <v>3189</v>
      </c>
      <c r="G771" t="s">
        <v>512</v>
      </c>
    </row>
    <row r="772" spans="1:7" x14ac:dyDescent="0.25">
      <c r="A772" s="114">
        <v>324997</v>
      </c>
      <c r="B772" s="90" t="s">
        <v>3190</v>
      </c>
      <c r="C772" s="90" t="s">
        <v>508</v>
      </c>
      <c r="D772" s="90" t="s">
        <v>3191</v>
      </c>
      <c r="E772" s="90" t="s">
        <v>887</v>
      </c>
      <c r="F772" s="90" t="s">
        <v>3192</v>
      </c>
      <c r="G772" t="s">
        <v>512</v>
      </c>
    </row>
    <row r="773" spans="1:7" x14ac:dyDescent="0.25">
      <c r="A773" s="114">
        <v>325023</v>
      </c>
      <c r="B773" s="90" t="s">
        <v>3193</v>
      </c>
      <c r="C773" s="90" t="s">
        <v>508</v>
      </c>
      <c r="D773" s="90" t="s">
        <v>3194</v>
      </c>
      <c r="E773" s="90" t="s">
        <v>3195</v>
      </c>
      <c r="F773" s="90" t="s">
        <v>3196</v>
      </c>
      <c r="G773" t="s">
        <v>512</v>
      </c>
    </row>
    <row r="774" spans="1:7" x14ac:dyDescent="0.25">
      <c r="A774" s="114">
        <v>325024</v>
      </c>
      <c r="B774" s="90" t="s">
        <v>3197</v>
      </c>
      <c r="C774" s="90" t="s">
        <v>508</v>
      </c>
      <c r="D774" s="90" t="s">
        <v>1834</v>
      </c>
      <c r="E774" s="90" t="s">
        <v>1514</v>
      </c>
      <c r="F774" s="90" t="s">
        <v>3198</v>
      </c>
      <c r="G774" t="s">
        <v>512</v>
      </c>
    </row>
    <row r="775" spans="1:7" x14ac:dyDescent="0.25">
      <c r="A775" s="114">
        <v>325029</v>
      </c>
      <c r="B775" s="90" t="s">
        <v>3199</v>
      </c>
      <c r="C775" s="90" t="s">
        <v>508</v>
      </c>
      <c r="D775" s="90" t="s">
        <v>3200</v>
      </c>
      <c r="E775" s="90" t="s">
        <v>1633</v>
      </c>
      <c r="F775" s="90" t="s">
        <v>3201</v>
      </c>
      <c r="G775" t="s">
        <v>512</v>
      </c>
    </row>
    <row r="776" spans="1:7" x14ac:dyDescent="0.25">
      <c r="A776" s="114">
        <v>325035</v>
      </c>
      <c r="B776" s="90" t="s">
        <v>3202</v>
      </c>
      <c r="C776" s="90" t="s">
        <v>508</v>
      </c>
      <c r="D776" s="90" t="s">
        <v>3203</v>
      </c>
      <c r="E776" s="90" t="s">
        <v>563</v>
      </c>
      <c r="F776" s="90" t="s">
        <v>3204</v>
      </c>
      <c r="G776" t="s">
        <v>512</v>
      </c>
    </row>
    <row r="777" spans="1:7" x14ac:dyDescent="0.25">
      <c r="A777" s="114">
        <v>325047</v>
      </c>
      <c r="B777" s="90" t="s">
        <v>3205</v>
      </c>
      <c r="C777" s="90" t="s">
        <v>508</v>
      </c>
      <c r="D777" s="90" t="s">
        <v>3206</v>
      </c>
      <c r="E777" s="90" t="s">
        <v>1662</v>
      </c>
      <c r="F777" s="90" t="s">
        <v>3207</v>
      </c>
      <c r="G777" t="s">
        <v>512</v>
      </c>
    </row>
    <row r="778" spans="1:7" x14ac:dyDescent="0.25">
      <c r="A778" s="114">
        <v>325148</v>
      </c>
      <c r="B778" s="90" t="s">
        <v>3208</v>
      </c>
      <c r="C778" s="90" t="s">
        <v>508</v>
      </c>
      <c r="D778" s="90" t="s">
        <v>3209</v>
      </c>
      <c r="E778" s="90" t="s">
        <v>3210</v>
      </c>
      <c r="F778" s="90" t="s">
        <v>3211</v>
      </c>
      <c r="G778" t="s">
        <v>512</v>
      </c>
    </row>
    <row r="779" spans="1:7" x14ac:dyDescent="0.25">
      <c r="A779" s="114">
        <v>325149</v>
      </c>
      <c r="B779" s="90" t="s">
        <v>3212</v>
      </c>
      <c r="C779" s="90" t="s">
        <v>508</v>
      </c>
      <c r="D779" s="90" t="s">
        <v>3213</v>
      </c>
      <c r="E779" s="90" t="s">
        <v>1339</v>
      </c>
      <c r="F779" s="90" t="s">
        <v>3214</v>
      </c>
      <c r="G779" t="s">
        <v>512</v>
      </c>
    </row>
    <row r="780" spans="1:7" x14ac:dyDescent="0.25">
      <c r="A780" s="114">
        <v>325153</v>
      </c>
      <c r="B780" s="90" t="s">
        <v>3215</v>
      </c>
      <c r="C780" s="90" t="s">
        <v>508</v>
      </c>
      <c r="D780" s="90" t="s">
        <v>3216</v>
      </c>
      <c r="E780" s="90" t="s">
        <v>3217</v>
      </c>
      <c r="F780" s="90" t="s">
        <v>3218</v>
      </c>
      <c r="G780" t="s">
        <v>512</v>
      </c>
    </row>
    <row r="781" spans="1:7" x14ac:dyDescent="0.25">
      <c r="A781" s="114">
        <v>325230</v>
      </c>
      <c r="B781" s="90" t="s">
        <v>3219</v>
      </c>
      <c r="C781" s="90" t="s">
        <v>508</v>
      </c>
      <c r="D781" s="90" t="s">
        <v>3220</v>
      </c>
      <c r="E781" s="90" t="s">
        <v>3221</v>
      </c>
      <c r="F781" s="90" t="s">
        <v>3222</v>
      </c>
      <c r="G781" t="s">
        <v>512</v>
      </c>
    </row>
    <row r="782" spans="1:7" x14ac:dyDescent="0.25">
      <c r="A782" s="114">
        <v>325231</v>
      </c>
      <c r="B782" s="90" t="s">
        <v>3223</v>
      </c>
      <c r="C782" s="90" t="s">
        <v>508</v>
      </c>
      <c r="D782" s="90" t="s">
        <v>3224</v>
      </c>
      <c r="E782" s="90" t="s">
        <v>2821</v>
      </c>
      <c r="F782" s="90" t="s">
        <v>3225</v>
      </c>
      <c r="G782" t="s">
        <v>512</v>
      </c>
    </row>
    <row r="783" spans="1:7" x14ac:dyDescent="0.25">
      <c r="A783" s="114">
        <v>325233</v>
      </c>
      <c r="B783" s="90" t="s">
        <v>3226</v>
      </c>
      <c r="C783" s="90" t="s">
        <v>508</v>
      </c>
      <c r="D783" s="90" t="s">
        <v>3227</v>
      </c>
      <c r="E783" s="90" t="s">
        <v>3228</v>
      </c>
      <c r="F783" s="90" t="s">
        <v>3229</v>
      </c>
      <c r="G783" t="s">
        <v>512</v>
      </c>
    </row>
    <row r="784" spans="1:7" x14ac:dyDescent="0.25">
      <c r="A784" s="114">
        <v>325298</v>
      </c>
      <c r="B784" s="90" t="s">
        <v>3230</v>
      </c>
      <c r="C784" s="90" t="s">
        <v>508</v>
      </c>
      <c r="D784" s="90" t="s">
        <v>3231</v>
      </c>
      <c r="E784" s="90" t="s">
        <v>1256</v>
      </c>
      <c r="F784" s="90" t="s">
        <v>3232</v>
      </c>
      <c r="G784" t="s">
        <v>512</v>
      </c>
    </row>
    <row r="785" spans="1:7" x14ac:dyDescent="0.25">
      <c r="A785" s="114">
        <v>325334</v>
      </c>
      <c r="B785" s="90" t="s">
        <v>3233</v>
      </c>
      <c r="C785" s="90" t="s">
        <v>508</v>
      </c>
      <c r="D785" s="90" t="s">
        <v>3234</v>
      </c>
      <c r="E785" s="90" t="s">
        <v>3235</v>
      </c>
      <c r="F785" s="90" t="s">
        <v>3236</v>
      </c>
      <c r="G785" t="s">
        <v>512</v>
      </c>
    </row>
    <row r="786" spans="1:7" x14ac:dyDescent="0.25">
      <c r="A786" s="114">
        <v>325335</v>
      </c>
      <c r="B786" s="90" t="s">
        <v>3237</v>
      </c>
      <c r="C786" s="90" t="s">
        <v>508</v>
      </c>
      <c r="D786" s="90" t="s">
        <v>3238</v>
      </c>
      <c r="E786" s="90" t="s">
        <v>3239</v>
      </c>
      <c r="F786" s="90" t="s">
        <v>3240</v>
      </c>
      <c r="G786" t="s">
        <v>512</v>
      </c>
    </row>
    <row r="787" spans="1:7" x14ac:dyDescent="0.25">
      <c r="A787" s="114">
        <v>325353</v>
      </c>
      <c r="B787" s="90" t="s">
        <v>3241</v>
      </c>
      <c r="C787" s="90" t="s">
        <v>508</v>
      </c>
      <c r="D787" s="90" t="s">
        <v>3242</v>
      </c>
      <c r="E787" s="90" t="s">
        <v>2012</v>
      </c>
      <c r="F787" s="90" t="s">
        <v>3243</v>
      </c>
      <c r="G787" t="s">
        <v>512</v>
      </c>
    </row>
    <row r="788" spans="1:7" x14ac:dyDescent="0.25">
      <c r="A788" s="114">
        <v>325395</v>
      </c>
      <c r="B788" s="90" t="s">
        <v>3244</v>
      </c>
      <c r="C788" s="90" t="s">
        <v>508</v>
      </c>
      <c r="D788" s="90" t="s">
        <v>3245</v>
      </c>
      <c r="E788" s="90" t="s">
        <v>3246</v>
      </c>
      <c r="F788" s="90" t="s">
        <v>3247</v>
      </c>
      <c r="G788" t="s">
        <v>512</v>
      </c>
    </row>
    <row r="789" spans="1:7" x14ac:dyDescent="0.25">
      <c r="A789" s="114">
        <v>325396</v>
      </c>
      <c r="B789" s="90" t="s">
        <v>3248</v>
      </c>
      <c r="C789" s="90" t="s">
        <v>508</v>
      </c>
      <c r="D789" s="90" t="s">
        <v>3249</v>
      </c>
      <c r="E789" s="90" t="s">
        <v>1380</v>
      </c>
      <c r="F789" s="90" t="s">
        <v>3250</v>
      </c>
      <c r="G789" t="s">
        <v>512</v>
      </c>
    </row>
    <row r="790" spans="1:7" x14ac:dyDescent="0.25">
      <c r="A790" s="114">
        <v>325448</v>
      </c>
      <c r="B790" s="90" t="s">
        <v>3251</v>
      </c>
      <c r="C790" s="90" t="s">
        <v>508</v>
      </c>
      <c r="D790" s="90" t="s">
        <v>3252</v>
      </c>
      <c r="E790" s="90" t="s">
        <v>3253</v>
      </c>
      <c r="F790" s="90" t="s">
        <v>3254</v>
      </c>
      <c r="G790" t="s">
        <v>512</v>
      </c>
    </row>
    <row r="791" spans="1:7" x14ac:dyDescent="0.25">
      <c r="A791" s="114">
        <v>325581</v>
      </c>
      <c r="B791" s="90" t="s">
        <v>1153</v>
      </c>
      <c r="C791" s="90" t="s">
        <v>508</v>
      </c>
      <c r="D791" s="90" t="s">
        <v>3255</v>
      </c>
      <c r="E791" s="90" t="s">
        <v>2096</v>
      </c>
      <c r="F791" s="90" t="s">
        <v>3256</v>
      </c>
      <c r="G791" t="s">
        <v>512</v>
      </c>
    </row>
    <row r="792" spans="1:7" x14ac:dyDescent="0.25">
      <c r="A792" s="114">
        <v>325605</v>
      </c>
      <c r="B792" s="90" t="s">
        <v>3257</v>
      </c>
      <c r="C792" s="90" t="s">
        <v>508</v>
      </c>
      <c r="D792" s="90" t="s">
        <v>3258</v>
      </c>
      <c r="E792" s="90" t="s">
        <v>3259</v>
      </c>
      <c r="F792" s="90" t="s">
        <v>3260</v>
      </c>
      <c r="G792" t="s">
        <v>512</v>
      </c>
    </row>
    <row r="793" spans="1:7" x14ac:dyDescent="0.25">
      <c r="A793" s="114">
        <v>325606</v>
      </c>
      <c r="B793" s="90" t="s">
        <v>2823</v>
      </c>
      <c r="C793" s="90" t="s">
        <v>508</v>
      </c>
      <c r="D793" s="90" t="s">
        <v>3261</v>
      </c>
      <c r="E793" s="90" t="s">
        <v>3262</v>
      </c>
      <c r="F793" s="90" t="s">
        <v>3263</v>
      </c>
      <c r="G793" t="s">
        <v>512</v>
      </c>
    </row>
    <row r="794" spans="1:7" x14ac:dyDescent="0.25">
      <c r="A794" s="114">
        <v>325607</v>
      </c>
      <c r="B794" s="90" t="s">
        <v>3264</v>
      </c>
      <c r="C794" s="90" t="s">
        <v>508</v>
      </c>
      <c r="D794" s="90" t="s">
        <v>3265</v>
      </c>
      <c r="E794" s="90" t="s">
        <v>3266</v>
      </c>
      <c r="F794" s="90" t="s">
        <v>3267</v>
      </c>
      <c r="G794" t="s">
        <v>512</v>
      </c>
    </row>
    <row r="795" spans="1:7" x14ac:dyDescent="0.25">
      <c r="A795" s="114">
        <v>325644</v>
      </c>
      <c r="B795" s="90" t="s">
        <v>3268</v>
      </c>
      <c r="C795" s="90" t="s">
        <v>508</v>
      </c>
      <c r="D795" s="90" t="s">
        <v>3269</v>
      </c>
      <c r="E795" s="90" t="s">
        <v>610</v>
      </c>
      <c r="F795" s="90" t="s">
        <v>3270</v>
      </c>
      <c r="G795" t="s">
        <v>512</v>
      </c>
    </row>
    <row r="796" spans="1:7" x14ac:dyDescent="0.25">
      <c r="A796" s="114">
        <v>325672</v>
      </c>
      <c r="B796" s="90" t="s">
        <v>3271</v>
      </c>
      <c r="C796" s="90" t="s">
        <v>508</v>
      </c>
      <c r="D796" s="90" t="s">
        <v>3272</v>
      </c>
      <c r="E796" s="90" t="s">
        <v>614</v>
      </c>
      <c r="F796" s="90" t="s">
        <v>3273</v>
      </c>
      <c r="G796" t="s">
        <v>512</v>
      </c>
    </row>
    <row r="797" spans="1:7" x14ac:dyDescent="0.25">
      <c r="A797" s="114">
        <v>325694</v>
      </c>
      <c r="B797" s="90" t="s">
        <v>1373</v>
      </c>
      <c r="C797" s="90" t="s">
        <v>508</v>
      </c>
      <c r="D797" s="90" t="s">
        <v>857</v>
      </c>
      <c r="E797" s="90" t="s">
        <v>742</v>
      </c>
      <c r="F797" s="90" t="s">
        <v>858</v>
      </c>
      <c r="G797" t="s">
        <v>512</v>
      </c>
    </row>
    <row r="798" spans="1:7" x14ac:dyDescent="0.25">
      <c r="A798" s="114">
        <v>325700</v>
      </c>
      <c r="B798" s="90" t="s">
        <v>3274</v>
      </c>
      <c r="C798" s="90" t="s">
        <v>508</v>
      </c>
      <c r="D798" s="90" t="s">
        <v>3275</v>
      </c>
      <c r="E798" s="90" t="s">
        <v>2246</v>
      </c>
      <c r="F798" s="90" t="s">
        <v>3276</v>
      </c>
      <c r="G798" t="s">
        <v>512</v>
      </c>
    </row>
    <row r="799" spans="1:7" x14ac:dyDescent="0.25">
      <c r="A799" s="114">
        <v>325718</v>
      </c>
      <c r="B799" s="90" t="s">
        <v>3042</v>
      </c>
      <c r="C799" s="90" t="s">
        <v>508</v>
      </c>
      <c r="D799" s="90" t="s">
        <v>3277</v>
      </c>
      <c r="E799" s="90" t="s">
        <v>3278</v>
      </c>
      <c r="F799" s="90" t="s">
        <v>3279</v>
      </c>
      <c r="G799" t="s">
        <v>512</v>
      </c>
    </row>
    <row r="800" spans="1:7" x14ac:dyDescent="0.25">
      <c r="A800" s="114">
        <v>325734</v>
      </c>
      <c r="B800" s="90" t="s">
        <v>3280</v>
      </c>
      <c r="C800" s="90" t="s">
        <v>508</v>
      </c>
      <c r="D800" s="90" t="s">
        <v>3281</v>
      </c>
      <c r="E800" s="90" t="s">
        <v>2532</v>
      </c>
      <c r="F800" s="90" t="s">
        <v>3282</v>
      </c>
      <c r="G800" t="s">
        <v>512</v>
      </c>
    </row>
    <row r="801" spans="1:7" x14ac:dyDescent="0.25">
      <c r="A801" s="114">
        <v>325766</v>
      </c>
      <c r="B801" s="90" t="s">
        <v>3283</v>
      </c>
      <c r="C801" s="90" t="s">
        <v>508</v>
      </c>
      <c r="D801" s="90" t="s">
        <v>3284</v>
      </c>
      <c r="E801" s="90" t="s">
        <v>3054</v>
      </c>
      <c r="F801" s="90" t="s">
        <v>3285</v>
      </c>
      <c r="G801" t="s">
        <v>512</v>
      </c>
    </row>
    <row r="802" spans="1:7" x14ac:dyDescent="0.25">
      <c r="A802" s="114">
        <v>325817</v>
      </c>
      <c r="B802" s="90" t="s">
        <v>3286</v>
      </c>
      <c r="C802" s="90" t="s">
        <v>508</v>
      </c>
      <c r="D802" s="90" t="s">
        <v>3287</v>
      </c>
      <c r="E802" s="90" t="s">
        <v>818</v>
      </c>
      <c r="F802" s="90" t="s">
        <v>3288</v>
      </c>
      <c r="G802" t="s">
        <v>512</v>
      </c>
    </row>
    <row r="803" spans="1:7" x14ac:dyDescent="0.25">
      <c r="A803" s="114">
        <v>325853</v>
      </c>
      <c r="B803" s="90" t="s">
        <v>3289</v>
      </c>
      <c r="C803" s="90" t="s">
        <v>508</v>
      </c>
      <c r="D803" s="90" t="s">
        <v>3290</v>
      </c>
      <c r="E803" s="90" t="s">
        <v>698</v>
      </c>
      <c r="F803" s="90" t="s">
        <v>3291</v>
      </c>
      <c r="G803" t="s">
        <v>512</v>
      </c>
    </row>
    <row r="804" spans="1:7" x14ac:dyDescent="0.25">
      <c r="A804" s="114">
        <v>325933</v>
      </c>
      <c r="B804" s="90" t="s">
        <v>3292</v>
      </c>
      <c r="C804" s="90" t="s">
        <v>508</v>
      </c>
      <c r="D804" s="90" t="s">
        <v>3293</v>
      </c>
      <c r="E804" s="90" t="s">
        <v>1489</v>
      </c>
      <c r="F804" s="90" t="s">
        <v>3294</v>
      </c>
      <c r="G804" t="s">
        <v>512</v>
      </c>
    </row>
    <row r="805" spans="1:7" x14ac:dyDescent="0.25">
      <c r="A805" s="114">
        <v>325939</v>
      </c>
      <c r="B805" s="90" t="s">
        <v>3295</v>
      </c>
      <c r="C805" s="90" t="s">
        <v>508</v>
      </c>
      <c r="D805" s="90" t="s">
        <v>3296</v>
      </c>
      <c r="E805" s="90" t="s">
        <v>3297</v>
      </c>
      <c r="F805" s="90" t="s">
        <v>3298</v>
      </c>
      <c r="G805" t="s">
        <v>512</v>
      </c>
    </row>
    <row r="806" spans="1:7" x14ac:dyDescent="0.25">
      <c r="A806" s="114">
        <v>325947</v>
      </c>
      <c r="B806" s="90" t="s">
        <v>2767</v>
      </c>
      <c r="C806" s="90" t="s">
        <v>508</v>
      </c>
      <c r="D806" s="90" t="s">
        <v>3299</v>
      </c>
      <c r="E806" s="90" t="s">
        <v>3300</v>
      </c>
      <c r="F806" s="90" t="s">
        <v>3301</v>
      </c>
      <c r="G806" t="s">
        <v>512</v>
      </c>
    </row>
    <row r="807" spans="1:7" x14ac:dyDescent="0.25">
      <c r="A807" s="114">
        <v>325968</v>
      </c>
      <c r="B807" s="90" t="s">
        <v>3302</v>
      </c>
      <c r="C807" s="90" t="s">
        <v>508</v>
      </c>
      <c r="D807" s="90" t="s">
        <v>3303</v>
      </c>
      <c r="E807" s="90" t="s">
        <v>3304</v>
      </c>
      <c r="F807" s="90" t="s">
        <v>3305</v>
      </c>
      <c r="G807" t="s">
        <v>512</v>
      </c>
    </row>
    <row r="808" spans="1:7" x14ac:dyDescent="0.25">
      <c r="A808" s="114">
        <v>325989</v>
      </c>
      <c r="B808" s="90" t="s">
        <v>3306</v>
      </c>
      <c r="C808" s="90" t="s">
        <v>508</v>
      </c>
      <c r="D808" s="90" t="s">
        <v>3307</v>
      </c>
      <c r="E808" s="90" t="s">
        <v>543</v>
      </c>
      <c r="F808" s="90" t="s">
        <v>3308</v>
      </c>
      <c r="G808" t="s">
        <v>512</v>
      </c>
    </row>
    <row r="809" spans="1:7" x14ac:dyDescent="0.25">
      <c r="A809" s="114">
        <v>326014</v>
      </c>
      <c r="B809" s="90" t="s">
        <v>3309</v>
      </c>
      <c r="C809" s="90" t="s">
        <v>508</v>
      </c>
      <c r="D809" s="90" t="s">
        <v>3310</v>
      </c>
      <c r="E809" s="90" t="s">
        <v>1550</v>
      </c>
      <c r="F809" s="90" t="s">
        <v>3311</v>
      </c>
      <c r="G809" t="s">
        <v>512</v>
      </c>
    </row>
    <row r="810" spans="1:7" x14ac:dyDescent="0.25">
      <c r="A810" s="114">
        <v>326089</v>
      </c>
      <c r="B810" s="90" t="s">
        <v>3312</v>
      </c>
      <c r="C810" s="90" t="s">
        <v>508</v>
      </c>
      <c r="D810" s="90" t="s">
        <v>3313</v>
      </c>
      <c r="E810" s="90" t="s">
        <v>3314</v>
      </c>
      <c r="F810" s="90" t="s">
        <v>3315</v>
      </c>
      <c r="G810" t="s">
        <v>512</v>
      </c>
    </row>
    <row r="811" spans="1:7" x14ac:dyDescent="0.25">
      <c r="A811" s="114">
        <v>326115</v>
      </c>
      <c r="B811" s="90" t="s">
        <v>3316</v>
      </c>
      <c r="C811" s="90" t="s">
        <v>508</v>
      </c>
      <c r="D811" s="90" t="s">
        <v>3317</v>
      </c>
      <c r="E811" s="90" t="s">
        <v>3318</v>
      </c>
      <c r="F811" s="90" t="s">
        <v>3319</v>
      </c>
      <c r="G811" t="s">
        <v>512</v>
      </c>
    </row>
    <row r="812" spans="1:7" x14ac:dyDescent="0.25">
      <c r="A812" s="114">
        <v>326132</v>
      </c>
      <c r="B812" s="90" t="s">
        <v>3320</v>
      </c>
      <c r="C812" s="90" t="s">
        <v>508</v>
      </c>
      <c r="D812" s="90" t="s">
        <v>3321</v>
      </c>
      <c r="E812" s="90" t="s">
        <v>3322</v>
      </c>
      <c r="F812" s="90" t="s">
        <v>3323</v>
      </c>
      <c r="G812" t="s">
        <v>512</v>
      </c>
    </row>
    <row r="813" spans="1:7" x14ac:dyDescent="0.25">
      <c r="A813" s="114">
        <v>326141</v>
      </c>
      <c r="B813" s="90" t="s">
        <v>1285</v>
      </c>
      <c r="C813" s="90" t="s">
        <v>508</v>
      </c>
      <c r="D813" s="90" t="s">
        <v>3324</v>
      </c>
      <c r="E813" s="90" t="s">
        <v>563</v>
      </c>
      <c r="F813" s="90" t="s">
        <v>3325</v>
      </c>
      <c r="G813" t="s">
        <v>512</v>
      </c>
    </row>
    <row r="814" spans="1:7" x14ac:dyDescent="0.25">
      <c r="A814" s="114">
        <v>326178</v>
      </c>
      <c r="B814" s="90" t="s">
        <v>3326</v>
      </c>
      <c r="C814" s="90" t="s">
        <v>508</v>
      </c>
      <c r="D814" s="90" t="s">
        <v>3327</v>
      </c>
      <c r="E814" s="90" t="s">
        <v>945</v>
      </c>
      <c r="F814" s="90" t="s">
        <v>3328</v>
      </c>
      <c r="G814" t="s">
        <v>512</v>
      </c>
    </row>
    <row r="815" spans="1:7" x14ac:dyDescent="0.25">
      <c r="A815" s="114">
        <v>326179</v>
      </c>
      <c r="B815" s="90" t="s">
        <v>3329</v>
      </c>
      <c r="C815" s="90" t="s">
        <v>508</v>
      </c>
      <c r="D815" s="90" t="s">
        <v>3330</v>
      </c>
      <c r="E815" s="90" t="s">
        <v>3331</v>
      </c>
      <c r="F815" s="90" t="s">
        <v>3332</v>
      </c>
      <c r="G815" t="s">
        <v>512</v>
      </c>
    </row>
    <row r="816" spans="1:7" x14ac:dyDescent="0.25">
      <c r="A816" s="114">
        <v>326180</v>
      </c>
      <c r="B816" s="90" t="s">
        <v>1029</v>
      </c>
      <c r="C816" s="90" t="s">
        <v>508</v>
      </c>
      <c r="D816" s="90" t="s">
        <v>3333</v>
      </c>
      <c r="E816" s="90" t="s">
        <v>2420</v>
      </c>
      <c r="F816" s="90" t="s">
        <v>3334</v>
      </c>
      <c r="G816" t="s">
        <v>512</v>
      </c>
    </row>
    <row r="817" spans="1:7" x14ac:dyDescent="0.25">
      <c r="A817" s="114">
        <v>326204</v>
      </c>
      <c r="B817" s="90" t="s">
        <v>3335</v>
      </c>
      <c r="C817" s="90" t="s">
        <v>508</v>
      </c>
      <c r="D817" s="90" t="s">
        <v>3336</v>
      </c>
      <c r="E817" s="90" t="s">
        <v>1256</v>
      </c>
      <c r="F817" s="90" t="s">
        <v>3337</v>
      </c>
      <c r="G817" t="s">
        <v>512</v>
      </c>
    </row>
    <row r="818" spans="1:7" x14ac:dyDescent="0.25">
      <c r="A818" s="114">
        <v>326205</v>
      </c>
      <c r="B818" s="90" t="s">
        <v>816</v>
      </c>
      <c r="C818" s="90" t="s">
        <v>508</v>
      </c>
      <c r="D818" s="90" t="s">
        <v>817</v>
      </c>
      <c r="E818" s="90" t="s">
        <v>818</v>
      </c>
      <c r="F818" s="90" t="s">
        <v>3338</v>
      </c>
      <c r="G818" t="s">
        <v>512</v>
      </c>
    </row>
    <row r="819" spans="1:7" x14ac:dyDescent="0.25">
      <c r="A819" s="114">
        <v>326233</v>
      </c>
      <c r="B819" s="90" t="s">
        <v>3339</v>
      </c>
      <c r="C819" s="90" t="s">
        <v>508</v>
      </c>
      <c r="D819" s="90" t="s">
        <v>1165</v>
      </c>
      <c r="E819" s="90" t="s">
        <v>539</v>
      </c>
      <c r="F819" s="90" t="s">
        <v>3340</v>
      </c>
      <c r="G819" t="s">
        <v>512</v>
      </c>
    </row>
    <row r="820" spans="1:7" x14ac:dyDescent="0.25">
      <c r="A820" s="114">
        <v>326243</v>
      </c>
      <c r="B820" s="90" t="s">
        <v>3341</v>
      </c>
      <c r="C820" s="90" t="s">
        <v>508</v>
      </c>
      <c r="D820" s="90" t="s">
        <v>3342</v>
      </c>
      <c r="E820" s="90" t="s">
        <v>2188</v>
      </c>
      <c r="F820" s="90" t="s">
        <v>3343</v>
      </c>
      <c r="G820" t="s">
        <v>512</v>
      </c>
    </row>
    <row r="821" spans="1:7" x14ac:dyDescent="0.25">
      <c r="A821" s="114">
        <v>326285</v>
      </c>
      <c r="B821" s="90" t="s">
        <v>3344</v>
      </c>
      <c r="C821" s="90" t="s">
        <v>508</v>
      </c>
      <c r="D821" s="90" t="s">
        <v>3345</v>
      </c>
      <c r="E821" s="90" t="s">
        <v>3346</v>
      </c>
      <c r="F821" s="90" t="s">
        <v>3347</v>
      </c>
      <c r="G821" t="s">
        <v>512</v>
      </c>
    </row>
    <row r="822" spans="1:7" x14ac:dyDescent="0.25">
      <c r="A822" s="114">
        <v>326290</v>
      </c>
      <c r="B822" s="90" t="s">
        <v>3348</v>
      </c>
      <c r="C822" s="90" t="s">
        <v>508</v>
      </c>
      <c r="D822" s="90" t="s">
        <v>3349</v>
      </c>
      <c r="E822" s="90" t="s">
        <v>3350</v>
      </c>
      <c r="F822" s="90" t="s">
        <v>3351</v>
      </c>
      <c r="G822" t="s">
        <v>512</v>
      </c>
    </row>
    <row r="823" spans="1:7" x14ac:dyDescent="0.25">
      <c r="A823" s="114">
        <v>326302</v>
      </c>
      <c r="B823" s="90" t="s">
        <v>3352</v>
      </c>
      <c r="C823" s="90" t="s">
        <v>508</v>
      </c>
      <c r="D823" s="90" t="s">
        <v>3353</v>
      </c>
      <c r="E823" s="90" t="s">
        <v>3354</v>
      </c>
      <c r="F823" s="90" t="s">
        <v>3355</v>
      </c>
      <c r="G823" t="s">
        <v>512</v>
      </c>
    </row>
    <row r="824" spans="1:7" x14ac:dyDescent="0.25">
      <c r="A824" s="114">
        <v>326320</v>
      </c>
      <c r="B824" s="90" t="s">
        <v>3356</v>
      </c>
      <c r="C824" s="90" t="s">
        <v>508</v>
      </c>
      <c r="D824" s="90" t="s">
        <v>3357</v>
      </c>
      <c r="E824" s="90" t="s">
        <v>811</v>
      </c>
      <c r="F824" s="90" t="s">
        <v>3358</v>
      </c>
      <c r="G824" t="s">
        <v>512</v>
      </c>
    </row>
    <row r="825" spans="1:7" x14ac:dyDescent="0.25">
      <c r="A825" s="114">
        <v>326321</v>
      </c>
      <c r="B825" s="90" t="s">
        <v>3359</v>
      </c>
      <c r="C825" s="90" t="s">
        <v>508</v>
      </c>
      <c r="D825" s="90" t="s">
        <v>3360</v>
      </c>
      <c r="E825" s="90" t="s">
        <v>3361</v>
      </c>
      <c r="F825" s="90" t="s">
        <v>3362</v>
      </c>
      <c r="G825" t="s">
        <v>512</v>
      </c>
    </row>
    <row r="826" spans="1:7" x14ac:dyDescent="0.25">
      <c r="A826" s="114">
        <v>326322</v>
      </c>
      <c r="B826" s="90" t="s">
        <v>3363</v>
      </c>
      <c r="C826" s="90" t="s">
        <v>508</v>
      </c>
      <c r="D826" s="90" t="s">
        <v>3364</v>
      </c>
      <c r="E826" s="90" t="s">
        <v>1687</v>
      </c>
      <c r="F826" s="90" t="s">
        <v>3365</v>
      </c>
      <c r="G826" t="s">
        <v>512</v>
      </c>
    </row>
    <row r="827" spans="1:7" x14ac:dyDescent="0.25">
      <c r="A827" s="114">
        <v>326367</v>
      </c>
      <c r="B827" s="90" t="s">
        <v>3366</v>
      </c>
      <c r="C827" s="90" t="s">
        <v>508</v>
      </c>
      <c r="D827" s="90" t="s">
        <v>3367</v>
      </c>
      <c r="E827" s="90" t="s">
        <v>3368</v>
      </c>
      <c r="F827" s="90" t="s">
        <v>3369</v>
      </c>
      <c r="G827" t="s">
        <v>512</v>
      </c>
    </row>
    <row r="828" spans="1:7" x14ac:dyDescent="0.25">
      <c r="A828" s="114">
        <v>326395</v>
      </c>
      <c r="B828" s="90" t="s">
        <v>3370</v>
      </c>
      <c r="C828" s="90" t="s">
        <v>508</v>
      </c>
      <c r="D828" s="90" t="s">
        <v>874</v>
      </c>
      <c r="E828" s="90" t="s">
        <v>875</v>
      </c>
      <c r="F828" s="90" t="s">
        <v>3371</v>
      </c>
      <c r="G828" t="s">
        <v>512</v>
      </c>
    </row>
    <row r="829" spans="1:7" x14ac:dyDescent="0.25">
      <c r="A829" s="114">
        <v>326407</v>
      </c>
      <c r="B829" s="90" t="s">
        <v>3372</v>
      </c>
      <c r="C829" s="90" t="s">
        <v>508</v>
      </c>
      <c r="D829" s="90" t="s">
        <v>3373</v>
      </c>
      <c r="E829" s="90" t="s">
        <v>3374</v>
      </c>
      <c r="F829" s="90" t="s">
        <v>3375</v>
      </c>
      <c r="G829" t="s">
        <v>512</v>
      </c>
    </row>
    <row r="830" spans="1:7" x14ac:dyDescent="0.25">
      <c r="A830" s="114">
        <v>326417</v>
      </c>
      <c r="B830" s="90" t="s">
        <v>3376</v>
      </c>
      <c r="C830" s="90" t="s">
        <v>508</v>
      </c>
      <c r="D830" s="90" t="s">
        <v>3377</v>
      </c>
      <c r="E830" s="90" t="s">
        <v>2325</v>
      </c>
      <c r="F830" s="90" t="s">
        <v>3378</v>
      </c>
      <c r="G830" t="s">
        <v>512</v>
      </c>
    </row>
    <row r="831" spans="1:7" x14ac:dyDescent="0.25">
      <c r="A831" s="114">
        <v>326418</v>
      </c>
      <c r="B831" s="90" t="s">
        <v>3379</v>
      </c>
      <c r="C831" s="90" t="s">
        <v>508</v>
      </c>
      <c r="D831" s="90" t="s">
        <v>3380</v>
      </c>
      <c r="E831" s="90" t="s">
        <v>2837</v>
      </c>
      <c r="F831" s="90" t="s">
        <v>3381</v>
      </c>
      <c r="G831" t="s">
        <v>512</v>
      </c>
    </row>
    <row r="832" spans="1:7" x14ac:dyDescent="0.25">
      <c r="A832" s="114">
        <v>326425</v>
      </c>
      <c r="B832" s="90" t="s">
        <v>3382</v>
      </c>
      <c r="C832" s="90" t="s">
        <v>508</v>
      </c>
      <c r="D832" s="90" t="s">
        <v>1484</v>
      </c>
      <c r="E832" s="90" t="s">
        <v>1485</v>
      </c>
      <c r="F832" s="90" t="s">
        <v>3383</v>
      </c>
      <c r="G832" t="s">
        <v>512</v>
      </c>
    </row>
    <row r="833" spans="1:7" x14ac:dyDescent="0.25">
      <c r="A833" s="114">
        <v>326426</v>
      </c>
      <c r="B833" s="90" t="s">
        <v>3384</v>
      </c>
      <c r="C833" s="90" t="s">
        <v>508</v>
      </c>
      <c r="D833" s="90" t="s">
        <v>3385</v>
      </c>
      <c r="E833" s="90" t="s">
        <v>563</v>
      </c>
      <c r="F833" s="90" t="s">
        <v>3386</v>
      </c>
      <c r="G833" t="s">
        <v>512</v>
      </c>
    </row>
    <row r="834" spans="1:7" x14ac:dyDescent="0.25">
      <c r="A834" s="114">
        <v>326427</v>
      </c>
      <c r="B834" s="90" t="s">
        <v>3387</v>
      </c>
      <c r="C834" s="90" t="s">
        <v>508</v>
      </c>
      <c r="D834" s="90" t="s">
        <v>3388</v>
      </c>
      <c r="E834" s="90" t="s">
        <v>610</v>
      </c>
      <c r="F834" s="90" t="s">
        <v>3389</v>
      </c>
      <c r="G834" t="s">
        <v>512</v>
      </c>
    </row>
    <row r="835" spans="1:7" x14ac:dyDescent="0.25">
      <c r="A835" s="114">
        <v>326464</v>
      </c>
      <c r="B835" s="90" t="s">
        <v>3390</v>
      </c>
      <c r="C835" s="90" t="s">
        <v>508</v>
      </c>
      <c r="D835" s="90" t="s">
        <v>3391</v>
      </c>
      <c r="E835" s="90" t="s">
        <v>2012</v>
      </c>
      <c r="F835" s="90" t="s">
        <v>3392</v>
      </c>
      <c r="G835" t="s">
        <v>512</v>
      </c>
    </row>
    <row r="836" spans="1:7" x14ac:dyDescent="0.25">
      <c r="A836" s="114">
        <v>326465</v>
      </c>
      <c r="B836" s="90" t="s">
        <v>3393</v>
      </c>
      <c r="C836" s="90" t="s">
        <v>508</v>
      </c>
      <c r="D836" s="90" t="s">
        <v>3394</v>
      </c>
      <c r="E836" s="90" t="s">
        <v>563</v>
      </c>
      <c r="F836" s="90" t="s">
        <v>3395</v>
      </c>
      <c r="G836" t="s">
        <v>512</v>
      </c>
    </row>
    <row r="837" spans="1:7" x14ac:dyDescent="0.25">
      <c r="A837" s="114">
        <v>326497</v>
      </c>
      <c r="B837" s="90" t="s">
        <v>3396</v>
      </c>
      <c r="C837" s="90" t="s">
        <v>508</v>
      </c>
      <c r="D837" s="90" t="s">
        <v>3397</v>
      </c>
      <c r="E837" s="90" t="s">
        <v>955</v>
      </c>
      <c r="F837" s="90" t="s">
        <v>3398</v>
      </c>
      <c r="G837" t="s">
        <v>512</v>
      </c>
    </row>
    <row r="838" spans="1:7" x14ac:dyDescent="0.25">
      <c r="A838" s="114">
        <v>326520</v>
      </c>
      <c r="B838" s="90" t="s">
        <v>3399</v>
      </c>
      <c r="C838" s="90" t="s">
        <v>508</v>
      </c>
      <c r="D838" s="90" t="s">
        <v>3400</v>
      </c>
      <c r="E838" s="90" t="s">
        <v>2659</v>
      </c>
      <c r="F838" s="90" t="s">
        <v>3401</v>
      </c>
      <c r="G838" t="s">
        <v>512</v>
      </c>
    </row>
    <row r="839" spans="1:7" x14ac:dyDescent="0.25">
      <c r="A839" s="114">
        <v>326559</v>
      </c>
      <c r="B839" s="90" t="s">
        <v>3402</v>
      </c>
      <c r="C839" s="90" t="s">
        <v>508</v>
      </c>
      <c r="D839" s="90" t="s">
        <v>3403</v>
      </c>
      <c r="E839" s="90" t="s">
        <v>3404</v>
      </c>
      <c r="F839" s="90" t="s">
        <v>3405</v>
      </c>
      <c r="G839" t="s">
        <v>512</v>
      </c>
    </row>
    <row r="840" spans="1:7" x14ac:dyDescent="0.25">
      <c r="A840" s="114">
        <v>326579</v>
      </c>
      <c r="B840" s="90" t="s">
        <v>3406</v>
      </c>
      <c r="C840" s="90" t="s">
        <v>508</v>
      </c>
      <c r="D840" s="90" t="s">
        <v>3407</v>
      </c>
      <c r="E840" s="90" t="s">
        <v>3408</v>
      </c>
      <c r="F840" s="90" t="s">
        <v>3409</v>
      </c>
      <c r="G840" t="s">
        <v>512</v>
      </c>
    </row>
    <row r="841" spans="1:7" x14ac:dyDescent="0.25">
      <c r="A841" s="114">
        <v>326586</v>
      </c>
      <c r="B841" s="90" t="s">
        <v>3410</v>
      </c>
      <c r="C841" s="90" t="s">
        <v>508</v>
      </c>
      <c r="D841" s="90" t="s">
        <v>3411</v>
      </c>
      <c r="E841" s="90" t="s">
        <v>3412</v>
      </c>
      <c r="F841" s="90" t="s">
        <v>3413</v>
      </c>
      <c r="G841" t="s">
        <v>512</v>
      </c>
    </row>
    <row r="842" spans="1:7" x14ac:dyDescent="0.25">
      <c r="A842" s="114">
        <v>326588</v>
      </c>
      <c r="B842" s="90" t="s">
        <v>3230</v>
      </c>
      <c r="C842" s="90" t="s">
        <v>508</v>
      </c>
      <c r="D842" s="90" t="s">
        <v>3414</v>
      </c>
      <c r="E842" s="90" t="s">
        <v>1256</v>
      </c>
      <c r="F842" s="90" t="s">
        <v>3415</v>
      </c>
      <c r="G842" t="s">
        <v>512</v>
      </c>
    </row>
    <row r="843" spans="1:7" x14ac:dyDescent="0.25">
      <c r="A843" s="114">
        <v>326589</v>
      </c>
      <c r="B843" s="90" t="s">
        <v>3416</v>
      </c>
      <c r="C843" s="90" t="s">
        <v>508</v>
      </c>
      <c r="D843" s="90" t="s">
        <v>3417</v>
      </c>
      <c r="E843" s="90" t="s">
        <v>1256</v>
      </c>
      <c r="F843" s="90" t="s">
        <v>3418</v>
      </c>
      <c r="G843" t="s">
        <v>512</v>
      </c>
    </row>
    <row r="844" spans="1:7" x14ac:dyDescent="0.25">
      <c r="A844" s="114">
        <v>326594</v>
      </c>
      <c r="B844" s="90" t="s">
        <v>3419</v>
      </c>
      <c r="C844" s="90" t="s">
        <v>508</v>
      </c>
      <c r="D844" s="90" t="s">
        <v>3420</v>
      </c>
      <c r="E844" s="90" t="s">
        <v>777</v>
      </c>
      <c r="F844" s="90" t="s">
        <v>3421</v>
      </c>
      <c r="G844" t="s">
        <v>512</v>
      </c>
    </row>
    <row r="845" spans="1:7" x14ac:dyDescent="0.25">
      <c r="A845" s="114">
        <v>326595</v>
      </c>
      <c r="B845" s="90" t="s">
        <v>3422</v>
      </c>
      <c r="C845" s="90" t="s">
        <v>508</v>
      </c>
      <c r="D845" s="90" t="s">
        <v>3423</v>
      </c>
      <c r="E845" s="90" t="s">
        <v>3424</v>
      </c>
      <c r="F845" s="90" t="s">
        <v>3425</v>
      </c>
      <c r="G845" t="s">
        <v>512</v>
      </c>
    </row>
    <row r="846" spans="1:7" x14ac:dyDescent="0.25">
      <c r="A846" s="114">
        <v>326617</v>
      </c>
      <c r="B846" s="90" t="s">
        <v>3426</v>
      </c>
      <c r="C846" s="90" t="s">
        <v>508</v>
      </c>
      <c r="D846" s="90" t="s">
        <v>3427</v>
      </c>
      <c r="E846" s="90" t="s">
        <v>3428</v>
      </c>
      <c r="F846" s="90" t="s">
        <v>3429</v>
      </c>
      <c r="G846" t="s">
        <v>512</v>
      </c>
    </row>
    <row r="847" spans="1:7" x14ac:dyDescent="0.25">
      <c r="A847" s="114">
        <v>326641</v>
      </c>
      <c r="B847" s="90" t="s">
        <v>3430</v>
      </c>
      <c r="C847" s="90" t="s">
        <v>508</v>
      </c>
      <c r="D847" s="90" t="s">
        <v>3431</v>
      </c>
      <c r="E847" s="90" t="s">
        <v>3054</v>
      </c>
      <c r="F847" s="90" t="s">
        <v>3432</v>
      </c>
      <c r="G847" t="s">
        <v>512</v>
      </c>
    </row>
    <row r="848" spans="1:7" x14ac:dyDescent="0.25">
      <c r="A848" s="114">
        <v>326684</v>
      </c>
      <c r="B848" s="90" t="s">
        <v>3433</v>
      </c>
      <c r="C848" s="90" t="s">
        <v>508</v>
      </c>
      <c r="D848" s="90" t="s">
        <v>3434</v>
      </c>
      <c r="E848" s="90" t="s">
        <v>920</v>
      </c>
      <c r="F848" s="90" t="s">
        <v>3435</v>
      </c>
      <c r="G848" t="s">
        <v>512</v>
      </c>
    </row>
    <row r="849" spans="1:7" x14ac:dyDescent="0.25">
      <c r="A849" s="114">
        <v>326743</v>
      </c>
      <c r="B849" s="90" t="s">
        <v>3436</v>
      </c>
      <c r="C849" s="90" t="s">
        <v>508</v>
      </c>
      <c r="D849" s="90" t="s">
        <v>3437</v>
      </c>
      <c r="E849" s="90" t="s">
        <v>695</v>
      </c>
      <c r="F849" s="90" t="s">
        <v>3438</v>
      </c>
      <c r="G849" t="s">
        <v>512</v>
      </c>
    </row>
    <row r="850" spans="1:7" x14ac:dyDescent="0.25">
      <c r="A850" s="114">
        <v>326747</v>
      </c>
      <c r="B850" s="90" t="s">
        <v>3439</v>
      </c>
      <c r="C850" s="90" t="s">
        <v>508</v>
      </c>
      <c r="D850" s="90" t="s">
        <v>3440</v>
      </c>
      <c r="E850" s="90" t="s">
        <v>3346</v>
      </c>
      <c r="F850" s="90" t="s">
        <v>3441</v>
      </c>
      <c r="G850" t="s">
        <v>512</v>
      </c>
    </row>
    <row r="851" spans="1:7" x14ac:dyDescent="0.25">
      <c r="A851" s="114">
        <v>326762</v>
      </c>
      <c r="B851" s="90" t="s">
        <v>25</v>
      </c>
      <c r="C851" s="90" t="s">
        <v>508</v>
      </c>
      <c r="D851" s="90" t="s">
        <v>3442</v>
      </c>
      <c r="E851" s="90" t="s">
        <v>563</v>
      </c>
      <c r="F851" s="90" t="s">
        <v>3443</v>
      </c>
      <c r="G851" t="s">
        <v>512</v>
      </c>
    </row>
    <row r="852" spans="1:7" x14ac:dyDescent="0.25">
      <c r="A852" s="114">
        <v>326763</v>
      </c>
      <c r="B852" s="90" t="s">
        <v>3444</v>
      </c>
      <c r="C852" s="90" t="s">
        <v>508</v>
      </c>
      <c r="D852" s="90" t="s">
        <v>3445</v>
      </c>
      <c r="E852" s="90" t="s">
        <v>3143</v>
      </c>
      <c r="F852" s="90" t="s">
        <v>3446</v>
      </c>
      <c r="G852" t="s">
        <v>512</v>
      </c>
    </row>
    <row r="853" spans="1:7" x14ac:dyDescent="0.25">
      <c r="A853" s="114">
        <v>326783</v>
      </c>
      <c r="B853" s="90" t="s">
        <v>3447</v>
      </c>
      <c r="C853" s="90" t="s">
        <v>508</v>
      </c>
      <c r="D853" s="90" t="s">
        <v>3448</v>
      </c>
      <c r="E853" s="90" t="s">
        <v>3449</v>
      </c>
      <c r="F853" s="90" t="s">
        <v>3450</v>
      </c>
      <c r="G853" t="s">
        <v>512</v>
      </c>
    </row>
    <row r="854" spans="1:7" x14ac:dyDescent="0.25">
      <c r="A854" s="114">
        <v>326803</v>
      </c>
      <c r="B854" s="90" t="s">
        <v>3451</v>
      </c>
      <c r="C854" s="90" t="s">
        <v>508</v>
      </c>
      <c r="D854" s="90" t="s">
        <v>3452</v>
      </c>
      <c r="E854" s="90" t="s">
        <v>2188</v>
      </c>
      <c r="F854" s="90" t="s">
        <v>3453</v>
      </c>
      <c r="G854" t="s">
        <v>512</v>
      </c>
    </row>
    <row r="855" spans="1:7" x14ac:dyDescent="0.25">
      <c r="A855" s="114">
        <v>326804</v>
      </c>
      <c r="B855" s="90" t="s">
        <v>3454</v>
      </c>
      <c r="C855" s="90" t="s">
        <v>508</v>
      </c>
      <c r="D855" s="90" t="s">
        <v>3455</v>
      </c>
      <c r="E855" s="90" t="s">
        <v>675</v>
      </c>
      <c r="F855" s="90" t="s">
        <v>3456</v>
      </c>
      <c r="G855" t="s">
        <v>512</v>
      </c>
    </row>
    <row r="856" spans="1:7" x14ac:dyDescent="0.25">
      <c r="A856" s="114">
        <v>326941</v>
      </c>
      <c r="B856" s="90" t="s">
        <v>3457</v>
      </c>
      <c r="C856" s="90" t="s">
        <v>508</v>
      </c>
      <c r="D856" s="90" t="s">
        <v>3458</v>
      </c>
      <c r="E856" s="90" t="s">
        <v>1256</v>
      </c>
      <c r="F856" s="90" t="s">
        <v>3459</v>
      </c>
      <c r="G856" t="s">
        <v>512</v>
      </c>
    </row>
    <row r="857" spans="1:7" x14ac:dyDescent="0.25">
      <c r="A857" s="114">
        <v>326949</v>
      </c>
      <c r="B857" s="90" t="s">
        <v>3460</v>
      </c>
      <c r="C857" s="90" t="s">
        <v>508</v>
      </c>
      <c r="D857" s="90" t="s">
        <v>3461</v>
      </c>
      <c r="E857" s="90" t="s">
        <v>1600</v>
      </c>
      <c r="F857" s="90" t="s">
        <v>3462</v>
      </c>
      <c r="G857" t="s">
        <v>512</v>
      </c>
    </row>
    <row r="858" spans="1:7" x14ac:dyDescent="0.25">
      <c r="A858" s="114">
        <v>326965</v>
      </c>
      <c r="B858" s="90" t="s">
        <v>2767</v>
      </c>
      <c r="C858" s="90" t="s">
        <v>508</v>
      </c>
      <c r="D858" s="90" t="s">
        <v>3463</v>
      </c>
      <c r="E858" s="90" t="s">
        <v>1489</v>
      </c>
      <c r="F858" s="90" t="s">
        <v>3464</v>
      </c>
      <c r="G858" t="s">
        <v>512</v>
      </c>
    </row>
    <row r="859" spans="1:7" x14ac:dyDescent="0.25">
      <c r="A859" s="114">
        <v>326967</v>
      </c>
      <c r="B859" s="90" t="s">
        <v>3465</v>
      </c>
      <c r="C859" s="90" t="s">
        <v>508</v>
      </c>
      <c r="D859" s="90" t="s">
        <v>3466</v>
      </c>
      <c r="E859" s="90" t="s">
        <v>614</v>
      </c>
      <c r="F859" s="90" t="s">
        <v>3467</v>
      </c>
      <c r="G859" t="s">
        <v>512</v>
      </c>
    </row>
    <row r="860" spans="1:7" x14ac:dyDescent="0.25">
      <c r="A860" s="114">
        <v>326982</v>
      </c>
      <c r="B860" s="90" t="s">
        <v>3468</v>
      </c>
      <c r="C860" s="90" t="s">
        <v>508</v>
      </c>
      <c r="D860" s="90" t="s">
        <v>3469</v>
      </c>
      <c r="E860" s="90" t="s">
        <v>941</v>
      </c>
      <c r="F860" s="90" t="s">
        <v>3470</v>
      </c>
      <c r="G860" t="s">
        <v>512</v>
      </c>
    </row>
    <row r="861" spans="1:7" x14ac:dyDescent="0.25">
      <c r="A861" s="114">
        <v>326990</v>
      </c>
      <c r="B861" s="90" t="s">
        <v>3471</v>
      </c>
      <c r="C861" s="90" t="s">
        <v>508</v>
      </c>
      <c r="D861" s="90" t="s">
        <v>3472</v>
      </c>
      <c r="E861" s="90" t="s">
        <v>1982</v>
      </c>
      <c r="F861" s="90" t="s">
        <v>3473</v>
      </c>
      <c r="G861" t="s">
        <v>512</v>
      </c>
    </row>
    <row r="862" spans="1:7" x14ac:dyDescent="0.25">
      <c r="A862" s="114">
        <v>327008</v>
      </c>
      <c r="B862" s="90" t="s">
        <v>3474</v>
      </c>
      <c r="C862" s="90" t="s">
        <v>508</v>
      </c>
      <c r="D862" s="90" t="s">
        <v>1759</v>
      </c>
      <c r="E862" s="90" t="s">
        <v>1760</v>
      </c>
      <c r="F862" s="90" t="s">
        <v>3475</v>
      </c>
      <c r="G862" t="s">
        <v>512</v>
      </c>
    </row>
    <row r="863" spans="1:7" x14ac:dyDescent="0.25">
      <c r="A863" s="114">
        <v>327073</v>
      </c>
      <c r="B863" s="90" t="s">
        <v>3237</v>
      </c>
      <c r="C863" s="90" t="s">
        <v>508</v>
      </c>
      <c r="D863" s="90" t="s">
        <v>3476</v>
      </c>
      <c r="E863" s="90" t="s">
        <v>3477</v>
      </c>
      <c r="F863" s="90" t="s">
        <v>3478</v>
      </c>
      <c r="G863" t="s">
        <v>512</v>
      </c>
    </row>
    <row r="864" spans="1:7" x14ac:dyDescent="0.25">
      <c r="A864" s="114">
        <v>327081</v>
      </c>
      <c r="B864" s="90" t="s">
        <v>3479</v>
      </c>
      <c r="C864" s="90" t="s">
        <v>508</v>
      </c>
      <c r="D864" s="90" t="s">
        <v>3480</v>
      </c>
      <c r="E864" s="90" t="s">
        <v>2346</v>
      </c>
      <c r="F864" s="90" t="s">
        <v>3481</v>
      </c>
      <c r="G864" t="s">
        <v>512</v>
      </c>
    </row>
    <row r="865" spans="1:7" x14ac:dyDescent="0.25">
      <c r="A865" s="114">
        <v>327091</v>
      </c>
      <c r="B865" s="90" t="s">
        <v>3482</v>
      </c>
      <c r="C865" s="90" t="s">
        <v>508</v>
      </c>
      <c r="D865" s="90" t="s">
        <v>1488</v>
      </c>
      <c r="E865" s="90" t="s">
        <v>1489</v>
      </c>
      <c r="F865" s="90" t="s">
        <v>3483</v>
      </c>
      <c r="G865" t="s">
        <v>512</v>
      </c>
    </row>
    <row r="866" spans="1:7" x14ac:dyDescent="0.25">
      <c r="A866" s="114">
        <v>327137</v>
      </c>
      <c r="B866" s="90" t="s">
        <v>3484</v>
      </c>
      <c r="C866" s="90" t="s">
        <v>508</v>
      </c>
      <c r="D866" s="90" t="s">
        <v>3485</v>
      </c>
      <c r="E866" s="90" t="s">
        <v>2771</v>
      </c>
      <c r="F866" s="90" t="s">
        <v>3486</v>
      </c>
      <c r="G866" t="s">
        <v>512</v>
      </c>
    </row>
    <row r="867" spans="1:7" x14ac:dyDescent="0.25">
      <c r="A867" s="114">
        <v>327143</v>
      </c>
      <c r="B867" s="90" t="s">
        <v>3487</v>
      </c>
      <c r="C867" s="90" t="s">
        <v>508</v>
      </c>
      <c r="D867" s="90" t="s">
        <v>3488</v>
      </c>
      <c r="E867" s="90" t="s">
        <v>555</v>
      </c>
      <c r="F867" s="90" t="s">
        <v>3489</v>
      </c>
      <c r="G867" t="s">
        <v>512</v>
      </c>
    </row>
    <row r="868" spans="1:7" x14ac:dyDescent="0.25">
      <c r="A868" s="114">
        <v>327144</v>
      </c>
      <c r="B868" s="90" t="s">
        <v>3490</v>
      </c>
      <c r="C868" s="90" t="s">
        <v>508</v>
      </c>
      <c r="D868" s="90" t="s">
        <v>3491</v>
      </c>
      <c r="E868" s="90" t="s">
        <v>3492</v>
      </c>
      <c r="F868" s="90" t="s">
        <v>3493</v>
      </c>
      <c r="G868" t="s">
        <v>512</v>
      </c>
    </row>
    <row r="869" spans="1:7" x14ac:dyDescent="0.25">
      <c r="A869" s="114">
        <v>327154</v>
      </c>
      <c r="B869" s="90" t="s">
        <v>3494</v>
      </c>
      <c r="C869" s="90" t="s">
        <v>508</v>
      </c>
      <c r="D869" s="90" t="s">
        <v>3495</v>
      </c>
      <c r="E869" s="90" t="s">
        <v>3354</v>
      </c>
      <c r="F869" s="90" t="s">
        <v>3496</v>
      </c>
      <c r="G869" t="s">
        <v>512</v>
      </c>
    </row>
    <row r="870" spans="1:7" x14ac:dyDescent="0.25">
      <c r="A870" s="114">
        <v>327162</v>
      </c>
      <c r="B870" s="90" t="s">
        <v>666</v>
      </c>
      <c r="C870" s="90" t="s">
        <v>508</v>
      </c>
      <c r="D870" s="90" t="s">
        <v>3497</v>
      </c>
      <c r="E870" s="90" t="s">
        <v>3498</v>
      </c>
      <c r="F870" s="90" t="s">
        <v>3499</v>
      </c>
      <c r="G870" t="s">
        <v>512</v>
      </c>
    </row>
    <row r="871" spans="1:7" x14ac:dyDescent="0.25">
      <c r="A871" s="114">
        <v>327169</v>
      </c>
      <c r="B871" s="90" t="s">
        <v>3500</v>
      </c>
      <c r="C871" s="90" t="s">
        <v>508</v>
      </c>
      <c r="D871" s="90" t="s">
        <v>3501</v>
      </c>
      <c r="E871" s="90" t="s">
        <v>3502</v>
      </c>
      <c r="F871" s="90" t="s">
        <v>3503</v>
      </c>
      <c r="G871" t="s">
        <v>512</v>
      </c>
    </row>
    <row r="872" spans="1:7" x14ac:dyDescent="0.25">
      <c r="A872" s="114">
        <v>327192</v>
      </c>
      <c r="B872" s="90" t="s">
        <v>3504</v>
      </c>
      <c r="C872" s="90" t="s">
        <v>508</v>
      </c>
      <c r="D872" s="90" t="s">
        <v>3505</v>
      </c>
      <c r="E872" s="90" t="s">
        <v>695</v>
      </c>
      <c r="F872" s="90" t="s">
        <v>3506</v>
      </c>
      <c r="G872" t="s">
        <v>512</v>
      </c>
    </row>
    <row r="873" spans="1:7" x14ac:dyDescent="0.25">
      <c r="A873" s="114">
        <v>327193</v>
      </c>
      <c r="B873" s="90" t="s">
        <v>3507</v>
      </c>
      <c r="C873" s="90" t="s">
        <v>508</v>
      </c>
      <c r="D873" s="90" t="s">
        <v>3508</v>
      </c>
      <c r="E873" s="90" t="s">
        <v>3509</v>
      </c>
      <c r="F873" s="90" t="s">
        <v>3510</v>
      </c>
      <c r="G873" t="s">
        <v>512</v>
      </c>
    </row>
    <row r="874" spans="1:7" x14ac:dyDescent="0.25">
      <c r="A874" s="114">
        <v>327194</v>
      </c>
      <c r="B874" s="90" t="s">
        <v>1487</v>
      </c>
      <c r="C874" s="90" t="s">
        <v>508</v>
      </c>
      <c r="D874" s="90" t="s">
        <v>3511</v>
      </c>
      <c r="E874" s="90" t="s">
        <v>1489</v>
      </c>
      <c r="F874" s="90" t="s">
        <v>3512</v>
      </c>
      <c r="G874" t="s">
        <v>512</v>
      </c>
    </row>
    <row r="875" spans="1:7" x14ac:dyDescent="0.25">
      <c r="A875" s="114">
        <v>327195</v>
      </c>
      <c r="B875" s="90" t="s">
        <v>3513</v>
      </c>
      <c r="C875" s="90" t="s">
        <v>508</v>
      </c>
      <c r="D875" s="90" t="s">
        <v>3514</v>
      </c>
      <c r="E875" s="90" t="s">
        <v>583</v>
      </c>
      <c r="F875" s="90" t="s">
        <v>3515</v>
      </c>
      <c r="G875" t="s">
        <v>512</v>
      </c>
    </row>
    <row r="876" spans="1:7" x14ac:dyDescent="0.25">
      <c r="A876" s="114">
        <v>327199</v>
      </c>
      <c r="B876" s="90" t="s">
        <v>3516</v>
      </c>
      <c r="C876" s="90" t="s">
        <v>508</v>
      </c>
      <c r="D876" s="90" t="s">
        <v>3517</v>
      </c>
      <c r="E876" s="90" t="s">
        <v>3518</v>
      </c>
      <c r="F876" s="90" t="s">
        <v>3519</v>
      </c>
      <c r="G876" t="s">
        <v>512</v>
      </c>
    </row>
    <row r="877" spans="1:7" x14ac:dyDescent="0.25">
      <c r="A877" s="114">
        <v>327210</v>
      </c>
      <c r="B877" s="90" t="s">
        <v>3520</v>
      </c>
      <c r="C877" s="90" t="s">
        <v>508</v>
      </c>
      <c r="D877" s="90" t="s">
        <v>3521</v>
      </c>
      <c r="E877" s="90" t="s">
        <v>2265</v>
      </c>
      <c r="F877" s="90" t="s">
        <v>3522</v>
      </c>
      <c r="G877" t="s">
        <v>512</v>
      </c>
    </row>
    <row r="878" spans="1:7" x14ac:dyDescent="0.25">
      <c r="A878" s="114">
        <v>327213</v>
      </c>
      <c r="B878" s="90" t="s">
        <v>3523</v>
      </c>
      <c r="C878" s="90" t="s">
        <v>508</v>
      </c>
      <c r="D878" s="90" t="s">
        <v>3524</v>
      </c>
      <c r="E878" s="90" t="s">
        <v>777</v>
      </c>
      <c r="F878" s="90" t="s">
        <v>3525</v>
      </c>
      <c r="G878" t="s">
        <v>512</v>
      </c>
    </row>
    <row r="879" spans="1:7" x14ac:dyDescent="0.25">
      <c r="A879" s="114">
        <v>327214</v>
      </c>
      <c r="B879" s="90" t="s">
        <v>3526</v>
      </c>
      <c r="C879" s="90" t="s">
        <v>508</v>
      </c>
      <c r="D879" s="90" t="s">
        <v>3527</v>
      </c>
      <c r="E879" s="90" t="s">
        <v>3054</v>
      </c>
      <c r="F879" s="90" t="s">
        <v>3528</v>
      </c>
      <c r="G879" t="s">
        <v>512</v>
      </c>
    </row>
    <row r="880" spans="1:7" x14ac:dyDescent="0.25">
      <c r="A880" s="114">
        <v>327221</v>
      </c>
      <c r="B880" s="90" t="s">
        <v>3529</v>
      </c>
      <c r="C880" s="90" t="s">
        <v>508</v>
      </c>
      <c r="D880" s="90" t="s">
        <v>3530</v>
      </c>
      <c r="E880" s="90" t="s">
        <v>3531</v>
      </c>
      <c r="F880" s="90" t="s">
        <v>3532</v>
      </c>
      <c r="G880" t="s">
        <v>512</v>
      </c>
    </row>
    <row r="881" spans="1:7" x14ac:dyDescent="0.25">
      <c r="A881" s="114">
        <v>327231</v>
      </c>
      <c r="B881" s="90" t="s">
        <v>3533</v>
      </c>
      <c r="C881" s="90" t="s">
        <v>508</v>
      </c>
      <c r="D881" s="90" t="s">
        <v>3534</v>
      </c>
      <c r="E881" s="90" t="s">
        <v>3535</v>
      </c>
      <c r="F881" s="90" t="s">
        <v>3536</v>
      </c>
      <c r="G881" t="s">
        <v>512</v>
      </c>
    </row>
    <row r="882" spans="1:7" x14ac:dyDescent="0.25">
      <c r="A882" s="114">
        <v>327247</v>
      </c>
      <c r="B882" s="90" t="s">
        <v>3537</v>
      </c>
      <c r="C882" s="90" t="s">
        <v>508</v>
      </c>
      <c r="D882" s="90" t="s">
        <v>3538</v>
      </c>
      <c r="E882" s="90" t="s">
        <v>1049</v>
      </c>
      <c r="F882" s="90" t="s">
        <v>3539</v>
      </c>
      <c r="G882" t="s">
        <v>512</v>
      </c>
    </row>
    <row r="883" spans="1:7" x14ac:dyDescent="0.25">
      <c r="A883" s="114">
        <v>327299</v>
      </c>
      <c r="B883" s="90" t="s">
        <v>3540</v>
      </c>
      <c r="C883" s="90" t="s">
        <v>508</v>
      </c>
      <c r="D883" s="90" t="s">
        <v>3541</v>
      </c>
      <c r="E883" s="90" t="s">
        <v>614</v>
      </c>
      <c r="F883" s="90" t="s">
        <v>3542</v>
      </c>
      <c r="G883" t="s">
        <v>512</v>
      </c>
    </row>
    <row r="884" spans="1:7" x14ac:dyDescent="0.25">
      <c r="A884" s="114">
        <v>327311</v>
      </c>
      <c r="B884" s="90" t="s">
        <v>3543</v>
      </c>
      <c r="C884" s="90" t="s">
        <v>508</v>
      </c>
      <c r="D884" s="90" t="s">
        <v>3544</v>
      </c>
      <c r="E884" s="90" t="s">
        <v>3545</v>
      </c>
      <c r="F884" s="90" t="s">
        <v>3546</v>
      </c>
      <c r="G884" t="s">
        <v>512</v>
      </c>
    </row>
    <row r="885" spans="1:7" x14ac:dyDescent="0.25">
      <c r="A885" s="114">
        <v>327312</v>
      </c>
      <c r="B885" s="90" t="s">
        <v>3547</v>
      </c>
      <c r="C885" s="90" t="s">
        <v>508</v>
      </c>
      <c r="D885" s="90" t="s">
        <v>3548</v>
      </c>
      <c r="E885" s="90" t="s">
        <v>675</v>
      </c>
      <c r="F885" s="90" t="s">
        <v>3549</v>
      </c>
      <c r="G885" t="s">
        <v>512</v>
      </c>
    </row>
    <row r="886" spans="1:7" x14ac:dyDescent="0.25">
      <c r="A886" s="114">
        <v>327333</v>
      </c>
      <c r="B886" s="90" t="s">
        <v>3550</v>
      </c>
      <c r="C886" s="90" t="s">
        <v>508</v>
      </c>
      <c r="D886" s="90" t="s">
        <v>3551</v>
      </c>
      <c r="E886" s="90" t="s">
        <v>955</v>
      </c>
      <c r="F886" s="90" t="s">
        <v>3552</v>
      </c>
      <c r="G886" t="s">
        <v>512</v>
      </c>
    </row>
    <row r="887" spans="1:7" x14ac:dyDescent="0.25">
      <c r="A887" s="114">
        <v>327368</v>
      </c>
      <c r="B887" s="90" t="s">
        <v>3553</v>
      </c>
      <c r="C887" s="90" t="s">
        <v>508</v>
      </c>
      <c r="D887" s="90" t="s">
        <v>3554</v>
      </c>
      <c r="E887" s="90" t="s">
        <v>2747</v>
      </c>
      <c r="F887" s="90" t="s">
        <v>3555</v>
      </c>
      <c r="G887" t="s">
        <v>512</v>
      </c>
    </row>
    <row r="888" spans="1:7" x14ac:dyDescent="0.25">
      <c r="A888" s="114">
        <v>327387</v>
      </c>
      <c r="B888" s="90" t="s">
        <v>3556</v>
      </c>
      <c r="C888" s="90" t="s">
        <v>508</v>
      </c>
      <c r="D888" s="90" t="s">
        <v>3557</v>
      </c>
      <c r="E888" s="90" t="s">
        <v>675</v>
      </c>
      <c r="F888" s="90" t="s">
        <v>3558</v>
      </c>
      <c r="G888" t="s">
        <v>512</v>
      </c>
    </row>
    <row r="889" spans="1:7" x14ac:dyDescent="0.25">
      <c r="A889" s="114">
        <v>327407</v>
      </c>
      <c r="B889" s="90" t="s">
        <v>3559</v>
      </c>
      <c r="C889" s="90" t="s">
        <v>508</v>
      </c>
      <c r="D889" s="90" t="s">
        <v>3560</v>
      </c>
      <c r="E889" s="90" t="s">
        <v>3561</v>
      </c>
      <c r="F889" s="90" t="s">
        <v>3562</v>
      </c>
      <c r="G889" t="s">
        <v>512</v>
      </c>
    </row>
    <row r="890" spans="1:7" x14ac:dyDescent="0.25">
      <c r="A890" s="114">
        <v>327418</v>
      </c>
      <c r="B890" s="90" t="s">
        <v>1349</v>
      </c>
      <c r="C890" s="90" t="s">
        <v>508</v>
      </c>
      <c r="D890" s="90" t="s">
        <v>3563</v>
      </c>
      <c r="E890" s="90" t="s">
        <v>3564</v>
      </c>
      <c r="F890" s="90" t="s">
        <v>3565</v>
      </c>
      <c r="G890" t="s">
        <v>512</v>
      </c>
    </row>
    <row r="891" spans="1:7" x14ac:dyDescent="0.25">
      <c r="A891" s="114">
        <v>327419</v>
      </c>
      <c r="B891" s="90" t="s">
        <v>3566</v>
      </c>
      <c r="C891" s="90" t="s">
        <v>508</v>
      </c>
      <c r="D891" s="90" t="s">
        <v>3567</v>
      </c>
      <c r="E891" s="90" t="s">
        <v>3568</v>
      </c>
      <c r="F891" s="90" t="s">
        <v>3569</v>
      </c>
      <c r="G891" t="s">
        <v>512</v>
      </c>
    </row>
    <row r="892" spans="1:7" x14ac:dyDescent="0.25">
      <c r="A892" s="114">
        <v>327429</v>
      </c>
      <c r="B892" s="90" t="s">
        <v>3570</v>
      </c>
      <c r="C892" s="90" t="s">
        <v>508</v>
      </c>
      <c r="D892" s="90" t="s">
        <v>3571</v>
      </c>
      <c r="E892" s="90" t="s">
        <v>3572</v>
      </c>
      <c r="F892" s="90" t="s">
        <v>3573</v>
      </c>
      <c r="G892" t="s">
        <v>512</v>
      </c>
    </row>
    <row r="893" spans="1:7" x14ac:dyDescent="0.25">
      <c r="A893" s="114">
        <v>327435</v>
      </c>
      <c r="B893" s="90" t="s">
        <v>3574</v>
      </c>
      <c r="C893" s="90" t="s">
        <v>508</v>
      </c>
      <c r="D893" s="90" t="s">
        <v>688</v>
      </c>
      <c r="E893" s="90" t="s">
        <v>539</v>
      </c>
      <c r="F893" s="90" t="s">
        <v>3575</v>
      </c>
      <c r="G893" t="s">
        <v>512</v>
      </c>
    </row>
    <row r="894" spans="1:7" x14ac:dyDescent="0.25">
      <c r="A894" s="114">
        <v>327459</v>
      </c>
      <c r="B894" s="90" t="s">
        <v>3576</v>
      </c>
      <c r="C894" s="90" t="s">
        <v>508</v>
      </c>
      <c r="D894" s="90" t="s">
        <v>538</v>
      </c>
      <c r="E894" s="90" t="s">
        <v>539</v>
      </c>
      <c r="F894" s="90" t="s">
        <v>3577</v>
      </c>
      <c r="G894" t="s">
        <v>512</v>
      </c>
    </row>
    <row r="895" spans="1:7" x14ac:dyDescent="0.25">
      <c r="A895" s="114">
        <v>327460</v>
      </c>
      <c r="B895" s="90" t="s">
        <v>3578</v>
      </c>
      <c r="C895" s="90" t="s">
        <v>508</v>
      </c>
      <c r="D895" s="90" t="s">
        <v>3579</v>
      </c>
      <c r="E895" s="90" t="s">
        <v>3578</v>
      </c>
      <c r="F895" s="90" t="s">
        <v>3580</v>
      </c>
      <c r="G895" t="s">
        <v>512</v>
      </c>
    </row>
    <row r="896" spans="1:7" x14ac:dyDescent="0.25">
      <c r="A896" s="114">
        <v>327486</v>
      </c>
      <c r="B896" s="90" t="s">
        <v>3581</v>
      </c>
      <c r="C896" s="90" t="s">
        <v>508</v>
      </c>
      <c r="D896" s="90" t="s">
        <v>3582</v>
      </c>
      <c r="E896" s="90" t="s">
        <v>1240</v>
      </c>
      <c r="F896" s="90" t="s">
        <v>3583</v>
      </c>
      <c r="G896" t="s">
        <v>512</v>
      </c>
    </row>
    <row r="897" spans="1:7" x14ac:dyDescent="0.25">
      <c r="A897" s="114">
        <v>327512</v>
      </c>
      <c r="B897" s="90" t="s">
        <v>3584</v>
      </c>
      <c r="C897" s="90" t="s">
        <v>508</v>
      </c>
      <c r="D897" s="90" t="s">
        <v>3585</v>
      </c>
      <c r="E897" s="90" t="s">
        <v>3586</v>
      </c>
      <c r="F897" s="90" t="s">
        <v>3587</v>
      </c>
      <c r="G897" t="s">
        <v>512</v>
      </c>
    </row>
    <row r="898" spans="1:7" x14ac:dyDescent="0.25">
      <c r="A898" s="114">
        <v>327535</v>
      </c>
      <c r="B898" s="90" t="s">
        <v>3588</v>
      </c>
      <c r="C898" s="90" t="s">
        <v>508</v>
      </c>
      <c r="D898" s="90" t="s">
        <v>3589</v>
      </c>
      <c r="E898" s="90" t="s">
        <v>3590</v>
      </c>
      <c r="F898" s="90" t="s">
        <v>3591</v>
      </c>
      <c r="G898" t="s">
        <v>512</v>
      </c>
    </row>
    <row r="899" spans="1:7" x14ac:dyDescent="0.25">
      <c r="A899" s="114">
        <v>327541</v>
      </c>
      <c r="B899" s="90" t="s">
        <v>3592</v>
      </c>
      <c r="C899" s="90" t="s">
        <v>508</v>
      </c>
      <c r="D899" s="90" t="s">
        <v>3593</v>
      </c>
      <c r="E899" s="90" t="s">
        <v>3477</v>
      </c>
      <c r="F899" s="90" t="s">
        <v>3594</v>
      </c>
      <c r="G899" t="s">
        <v>512</v>
      </c>
    </row>
    <row r="900" spans="1:7" x14ac:dyDescent="0.25">
      <c r="A900" s="114">
        <v>327564</v>
      </c>
      <c r="B900" s="90" t="s">
        <v>2081</v>
      </c>
      <c r="C900" s="90" t="s">
        <v>508</v>
      </c>
      <c r="D900" s="90" t="s">
        <v>3595</v>
      </c>
      <c r="E900" s="90" t="s">
        <v>3404</v>
      </c>
      <c r="F900" s="90" t="s">
        <v>3596</v>
      </c>
      <c r="G900" t="s">
        <v>512</v>
      </c>
    </row>
    <row r="901" spans="1:7" x14ac:dyDescent="0.25">
      <c r="A901" s="114">
        <v>327640</v>
      </c>
      <c r="B901" s="90" t="s">
        <v>3597</v>
      </c>
      <c r="C901" s="90" t="s">
        <v>508</v>
      </c>
      <c r="D901" s="90" t="s">
        <v>3521</v>
      </c>
      <c r="E901" s="90" t="s">
        <v>2265</v>
      </c>
      <c r="F901" s="90" t="s">
        <v>3522</v>
      </c>
      <c r="G901" t="s">
        <v>512</v>
      </c>
    </row>
    <row r="902" spans="1:7" x14ac:dyDescent="0.25">
      <c r="A902" s="114">
        <v>327657</v>
      </c>
      <c r="B902" s="90" t="s">
        <v>3598</v>
      </c>
      <c r="C902" s="90" t="s">
        <v>508</v>
      </c>
      <c r="D902" s="90" t="s">
        <v>3599</v>
      </c>
      <c r="E902" s="90" t="s">
        <v>583</v>
      </c>
      <c r="F902" s="90" t="s">
        <v>3600</v>
      </c>
      <c r="G902" t="s">
        <v>512</v>
      </c>
    </row>
    <row r="903" spans="1:7" x14ac:dyDescent="0.25">
      <c r="A903" s="114">
        <v>327671</v>
      </c>
      <c r="B903" s="90" t="s">
        <v>3601</v>
      </c>
      <c r="C903" s="90" t="s">
        <v>508</v>
      </c>
      <c r="D903" s="90" t="s">
        <v>3602</v>
      </c>
      <c r="E903" s="90" t="s">
        <v>1279</v>
      </c>
      <c r="F903" s="90" t="s">
        <v>3603</v>
      </c>
      <c r="G903" t="s">
        <v>512</v>
      </c>
    </row>
    <row r="904" spans="1:7" x14ac:dyDescent="0.25">
      <c r="A904" s="114">
        <v>327676</v>
      </c>
      <c r="B904" s="90" t="s">
        <v>3604</v>
      </c>
      <c r="C904" s="90" t="s">
        <v>508</v>
      </c>
      <c r="D904" s="90" t="s">
        <v>3605</v>
      </c>
      <c r="E904" s="90" t="s">
        <v>3606</v>
      </c>
      <c r="F904" s="90" t="s">
        <v>3607</v>
      </c>
      <c r="G904" t="s">
        <v>512</v>
      </c>
    </row>
    <row r="905" spans="1:7" x14ac:dyDescent="0.25">
      <c r="A905" s="114">
        <v>327684</v>
      </c>
      <c r="B905" s="90" t="s">
        <v>3326</v>
      </c>
      <c r="C905" s="90" t="s">
        <v>508</v>
      </c>
      <c r="D905" s="90" t="s">
        <v>3608</v>
      </c>
      <c r="E905" s="90" t="s">
        <v>3609</v>
      </c>
      <c r="F905" s="90" t="s">
        <v>3610</v>
      </c>
      <c r="G905" t="s">
        <v>512</v>
      </c>
    </row>
    <row r="906" spans="1:7" x14ac:dyDescent="0.25">
      <c r="A906" s="114">
        <v>327691</v>
      </c>
      <c r="B906" s="90" t="s">
        <v>3611</v>
      </c>
      <c r="C906" s="90" t="s">
        <v>508</v>
      </c>
      <c r="D906" s="90" t="s">
        <v>3612</v>
      </c>
      <c r="E906" s="90" t="s">
        <v>2191</v>
      </c>
      <c r="F906" s="90" t="s">
        <v>3613</v>
      </c>
      <c r="G906" t="s">
        <v>512</v>
      </c>
    </row>
    <row r="907" spans="1:7" x14ac:dyDescent="0.25">
      <c r="A907" s="114">
        <v>327695</v>
      </c>
      <c r="B907" s="90" t="s">
        <v>3614</v>
      </c>
      <c r="C907" s="90" t="s">
        <v>508</v>
      </c>
      <c r="D907" s="90" t="s">
        <v>3615</v>
      </c>
      <c r="E907" s="90" t="s">
        <v>945</v>
      </c>
      <c r="F907" s="90" t="s">
        <v>3616</v>
      </c>
      <c r="G907" t="s">
        <v>512</v>
      </c>
    </row>
    <row r="908" spans="1:7" x14ac:dyDescent="0.25">
      <c r="A908" s="114">
        <v>327717</v>
      </c>
      <c r="B908" s="90" t="s">
        <v>3617</v>
      </c>
      <c r="C908" s="90" t="s">
        <v>508</v>
      </c>
      <c r="D908" s="90" t="s">
        <v>3618</v>
      </c>
      <c r="E908" s="90" t="s">
        <v>3564</v>
      </c>
      <c r="F908" s="90" t="s">
        <v>3619</v>
      </c>
      <c r="G908" t="s">
        <v>512</v>
      </c>
    </row>
    <row r="909" spans="1:7" x14ac:dyDescent="0.25">
      <c r="A909" s="114">
        <v>327734</v>
      </c>
      <c r="B909" s="90" t="s">
        <v>3620</v>
      </c>
      <c r="C909" s="90" t="s">
        <v>508</v>
      </c>
      <c r="D909" s="90" t="s">
        <v>3621</v>
      </c>
      <c r="E909" s="90" t="s">
        <v>3622</v>
      </c>
      <c r="F909" s="90" t="s">
        <v>3623</v>
      </c>
      <c r="G909" t="s">
        <v>512</v>
      </c>
    </row>
    <row r="910" spans="1:7" x14ac:dyDescent="0.25">
      <c r="A910" s="114">
        <v>327766</v>
      </c>
      <c r="B910" s="90" t="s">
        <v>3624</v>
      </c>
      <c r="C910" s="90" t="s">
        <v>508</v>
      </c>
      <c r="D910" s="90" t="s">
        <v>3625</v>
      </c>
      <c r="E910" s="90" t="s">
        <v>1892</v>
      </c>
      <c r="F910" s="90" t="s">
        <v>3626</v>
      </c>
      <c r="G910" t="s">
        <v>512</v>
      </c>
    </row>
    <row r="911" spans="1:7" x14ac:dyDescent="0.25">
      <c r="A911" s="114">
        <v>327780</v>
      </c>
      <c r="B911" s="90" t="s">
        <v>3627</v>
      </c>
      <c r="C911" s="90" t="s">
        <v>508</v>
      </c>
      <c r="D911" s="90" t="s">
        <v>3628</v>
      </c>
      <c r="E911" s="90" t="s">
        <v>1425</v>
      </c>
      <c r="F911" s="90" t="s">
        <v>3629</v>
      </c>
      <c r="G911" t="s">
        <v>512</v>
      </c>
    </row>
    <row r="912" spans="1:7" x14ac:dyDescent="0.25">
      <c r="A912" s="114">
        <v>327859</v>
      </c>
      <c r="B912" s="90" t="s">
        <v>3630</v>
      </c>
      <c r="C912" s="90" t="s">
        <v>508</v>
      </c>
      <c r="D912" s="90" t="s">
        <v>3631</v>
      </c>
      <c r="E912" s="90" t="s">
        <v>3632</v>
      </c>
      <c r="F912" s="90" t="s">
        <v>3633</v>
      </c>
      <c r="G912" t="s">
        <v>512</v>
      </c>
    </row>
    <row r="913" spans="1:7" x14ac:dyDescent="0.25">
      <c r="A913" s="114">
        <v>327880</v>
      </c>
      <c r="B913" s="90" t="s">
        <v>3634</v>
      </c>
      <c r="C913" s="90" t="s">
        <v>508</v>
      </c>
      <c r="D913" s="90" t="s">
        <v>1428</v>
      </c>
      <c r="E913" s="90" t="s">
        <v>695</v>
      </c>
      <c r="F913" s="90" t="s">
        <v>3635</v>
      </c>
      <c r="G913" t="s">
        <v>512</v>
      </c>
    </row>
    <row r="914" spans="1:7" x14ac:dyDescent="0.25">
      <c r="A914" s="114">
        <v>327881</v>
      </c>
      <c r="B914" s="90" t="s">
        <v>3636</v>
      </c>
      <c r="C914" s="90" t="s">
        <v>508</v>
      </c>
      <c r="D914" s="90" t="s">
        <v>3637</v>
      </c>
      <c r="E914" s="90" t="s">
        <v>3638</v>
      </c>
      <c r="F914" s="90" t="s">
        <v>3639</v>
      </c>
      <c r="G914" t="s">
        <v>512</v>
      </c>
    </row>
    <row r="915" spans="1:7" x14ac:dyDescent="0.25">
      <c r="A915" s="114">
        <v>327887</v>
      </c>
      <c r="B915" s="90" t="s">
        <v>3640</v>
      </c>
      <c r="C915" s="90" t="s">
        <v>508</v>
      </c>
      <c r="D915" s="90" t="s">
        <v>3641</v>
      </c>
      <c r="E915" s="90" t="s">
        <v>3642</v>
      </c>
      <c r="F915" s="90" t="s">
        <v>3643</v>
      </c>
      <c r="G915" t="s">
        <v>512</v>
      </c>
    </row>
    <row r="916" spans="1:7" x14ac:dyDescent="0.25">
      <c r="A916" s="114">
        <v>327901</v>
      </c>
      <c r="B916" s="90" t="s">
        <v>1668</v>
      </c>
      <c r="C916" s="90" t="s">
        <v>508</v>
      </c>
      <c r="D916" s="90" t="s">
        <v>3644</v>
      </c>
      <c r="E916" s="90" t="s">
        <v>3645</v>
      </c>
      <c r="F916" s="90" t="s">
        <v>3646</v>
      </c>
      <c r="G916" t="s">
        <v>512</v>
      </c>
    </row>
    <row r="917" spans="1:7" x14ac:dyDescent="0.25">
      <c r="A917" s="114">
        <v>327914</v>
      </c>
      <c r="B917" s="90" t="s">
        <v>3647</v>
      </c>
      <c r="C917" s="90" t="s">
        <v>508</v>
      </c>
      <c r="D917" s="90" t="s">
        <v>3648</v>
      </c>
      <c r="E917" s="90" t="s">
        <v>698</v>
      </c>
      <c r="F917" s="90" t="s">
        <v>3649</v>
      </c>
      <c r="G917" t="s">
        <v>512</v>
      </c>
    </row>
    <row r="918" spans="1:7" x14ac:dyDescent="0.25">
      <c r="A918" s="114">
        <v>327921</v>
      </c>
      <c r="B918" s="90" t="s">
        <v>3650</v>
      </c>
      <c r="C918" s="90" t="s">
        <v>508</v>
      </c>
      <c r="D918" s="90" t="s">
        <v>3651</v>
      </c>
      <c r="E918" s="90" t="s">
        <v>3652</v>
      </c>
      <c r="F918" s="90" t="s">
        <v>3653</v>
      </c>
      <c r="G918" t="s">
        <v>512</v>
      </c>
    </row>
    <row r="919" spans="1:7" x14ac:dyDescent="0.25">
      <c r="A919" s="114">
        <v>327962</v>
      </c>
      <c r="B919" s="90" t="s">
        <v>3654</v>
      </c>
      <c r="C919" s="90" t="s">
        <v>508</v>
      </c>
      <c r="D919" s="90" t="s">
        <v>3655</v>
      </c>
      <c r="E919" s="90" t="s">
        <v>818</v>
      </c>
      <c r="F919" s="90" t="s">
        <v>3656</v>
      </c>
      <c r="G919" t="s">
        <v>512</v>
      </c>
    </row>
    <row r="920" spans="1:7" x14ac:dyDescent="0.25">
      <c r="A920" s="114">
        <v>328007</v>
      </c>
      <c r="B920" s="90" t="s">
        <v>3657</v>
      </c>
      <c r="C920" s="90" t="s">
        <v>508</v>
      </c>
      <c r="D920" s="90" t="s">
        <v>3330</v>
      </c>
      <c r="E920" s="90" t="s">
        <v>3658</v>
      </c>
      <c r="F920" s="90" t="s">
        <v>3659</v>
      </c>
      <c r="G920" t="s">
        <v>512</v>
      </c>
    </row>
    <row r="921" spans="1:7" x14ac:dyDescent="0.25">
      <c r="A921" s="114">
        <v>328011</v>
      </c>
      <c r="B921" s="90" t="s">
        <v>3660</v>
      </c>
      <c r="C921" s="90" t="s">
        <v>508</v>
      </c>
      <c r="D921" s="90" t="s">
        <v>3661</v>
      </c>
      <c r="E921" s="90" t="s">
        <v>3662</v>
      </c>
      <c r="F921" s="90" t="s">
        <v>3663</v>
      </c>
      <c r="G921" t="s">
        <v>512</v>
      </c>
    </row>
    <row r="922" spans="1:7" x14ac:dyDescent="0.25">
      <c r="A922" s="114">
        <v>328015</v>
      </c>
      <c r="B922" s="90" t="s">
        <v>3664</v>
      </c>
      <c r="C922" s="90" t="s">
        <v>508</v>
      </c>
      <c r="D922" s="90" t="s">
        <v>3665</v>
      </c>
      <c r="E922" s="90" t="s">
        <v>583</v>
      </c>
      <c r="F922" s="90" t="s">
        <v>3666</v>
      </c>
      <c r="G922" t="s">
        <v>512</v>
      </c>
    </row>
    <row r="923" spans="1:7" x14ac:dyDescent="0.25">
      <c r="A923" s="114">
        <v>328018</v>
      </c>
      <c r="B923" s="90" t="s">
        <v>3667</v>
      </c>
      <c r="C923" s="90" t="s">
        <v>508</v>
      </c>
      <c r="D923" s="90" t="s">
        <v>3668</v>
      </c>
      <c r="E923" s="90" t="s">
        <v>3669</v>
      </c>
      <c r="F923" s="90" t="s">
        <v>3670</v>
      </c>
      <c r="G923" t="s">
        <v>512</v>
      </c>
    </row>
    <row r="924" spans="1:7" x14ac:dyDescent="0.25">
      <c r="A924" s="114">
        <v>328071</v>
      </c>
      <c r="B924" s="90" t="s">
        <v>3671</v>
      </c>
      <c r="C924" s="90" t="s">
        <v>508</v>
      </c>
      <c r="D924" s="90" t="s">
        <v>3672</v>
      </c>
      <c r="E924" s="90" t="s">
        <v>3673</v>
      </c>
      <c r="F924" s="90" t="s">
        <v>3674</v>
      </c>
      <c r="G924" t="s">
        <v>512</v>
      </c>
    </row>
    <row r="925" spans="1:7" x14ac:dyDescent="0.25">
      <c r="A925" s="114">
        <v>328126</v>
      </c>
      <c r="B925" s="90" t="s">
        <v>3675</v>
      </c>
      <c r="C925" s="90" t="s">
        <v>508</v>
      </c>
      <c r="D925" s="90" t="s">
        <v>3676</v>
      </c>
      <c r="E925" s="90" t="s">
        <v>3235</v>
      </c>
      <c r="F925" s="90" t="s">
        <v>3677</v>
      </c>
      <c r="G925" t="s">
        <v>512</v>
      </c>
    </row>
    <row r="926" spans="1:7" x14ac:dyDescent="0.25">
      <c r="A926" s="114">
        <v>328184</v>
      </c>
      <c r="B926" s="90" t="s">
        <v>3678</v>
      </c>
      <c r="C926" s="90" t="s">
        <v>508</v>
      </c>
      <c r="D926" s="90" t="s">
        <v>3679</v>
      </c>
      <c r="E926" s="90" t="s">
        <v>3680</v>
      </c>
      <c r="F926" s="90" t="s">
        <v>3681</v>
      </c>
      <c r="G926" t="s">
        <v>512</v>
      </c>
    </row>
    <row r="927" spans="1:7" x14ac:dyDescent="0.25">
      <c r="A927" s="114">
        <v>328334</v>
      </c>
      <c r="B927" s="90" t="s">
        <v>3682</v>
      </c>
      <c r="C927" s="90" t="s">
        <v>508</v>
      </c>
      <c r="D927" s="90" t="s">
        <v>3683</v>
      </c>
      <c r="E927" s="90" t="s">
        <v>3684</v>
      </c>
      <c r="F927" s="90" t="s">
        <v>3685</v>
      </c>
      <c r="G927" t="s">
        <v>512</v>
      </c>
    </row>
    <row r="928" spans="1:7" x14ac:dyDescent="0.25">
      <c r="A928" s="114">
        <v>328362</v>
      </c>
      <c r="B928" s="90" t="s">
        <v>1102</v>
      </c>
      <c r="C928" s="90" t="s">
        <v>508</v>
      </c>
      <c r="D928" s="90" t="s">
        <v>1968</v>
      </c>
      <c r="E928" s="90" t="s">
        <v>3686</v>
      </c>
      <c r="F928" s="90" t="s">
        <v>3687</v>
      </c>
      <c r="G928" t="s">
        <v>512</v>
      </c>
    </row>
    <row r="929" spans="1:7" x14ac:dyDescent="0.25">
      <c r="A929" s="114">
        <v>328377</v>
      </c>
      <c r="B929" s="90" t="s">
        <v>3688</v>
      </c>
      <c r="C929" s="90" t="s">
        <v>508</v>
      </c>
      <c r="D929" s="90" t="s">
        <v>3689</v>
      </c>
      <c r="E929" s="90" t="s">
        <v>818</v>
      </c>
      <c r="F929" s="90" t="s">
        <v>3690</v>
      </c>
      <c r="G929" t="s">
        <v>512</v>
      </c>
    </row>
    <row r="930" spans="1:7" x14ac:dyDescent="0.25">
      <c r="A930" s="114">
        <v>328443</v>
      </c>
      <c r="B930" s="90" t="s">
        <v>3691</v>
      </c>
      <c r="C930" s="90" t="s">
        <v>508</v>
      </c>
      <c r="D930" s="90" t="s">
        <v>3692</v>
      </c>
      <c r="E930" s="90" t="s">
        <v>3693</v>
      </c>
      <c r="F930" s="90" t="s">
        <v>3694</v>
      </c>
      <c r="G930" t="s">
        <v>512</v>
      </c>
    </row>
    <row r="931" spans="1:7" x14ac:dyDescent="0.25">
      <c r="A931" s="114">
        <v>328759</v>
      </c>
      <c r="B931" s="90" t="s">
        <v>3215</v>
      </c>
      <c r="C931" s="90" t="s">
        <v>508</v>
      </c>
      <c r="D931" s="90" t="s">
        <v>3695</v>
      </c>
      <c r="E931" s="90" t="s">
        <v>3696</v>
      </c>
      <c r="F931" s="90" t="s">
        <v>3697</v>
      </c>
      <c r="G931" t="s">
        <v>512</v>
      </c>
    </row>
    <row r="932" spans="1:7" x14ac:dyDescent="0.25">
      <c r="A932" s="114">
        <v>328801</v>
      </c>
      <c r="B932" s="90" t="s">
        <v>3698</v>
      </c>
      <c r="C932" s="90" t="s">
        <v>508</v>
      </c>
      <c r="D932" s="90" t="s">
        <v>3699</v>
      </c>
      <c r="E932" s="90" t="s">
        <v>3700</v>
      </c>
      <c r="F932" s="90" t="s">
        <v>3701</v>
      </c>
      <c r="G932" t="s">
        <v>512</v>
      </c>
    </row>
    <row r="933" spans="1:7" x14ac:dyDescent="0.25">
      <c r="A933" s="114">
        <v>328827</v>
      </c>
      <c r="B933" s="90" t="s">
        <v>3176</v>
      </c>
      <c r="C933" s="90" t="s">
        <v>508</v>
      </c>
      <c r="D933" s="90" t="s">
        <v>3702</v>
      </c>
      <c r="E933" s="90" t="s">
        <v>3703</v>
      </c>
      <c r="F933" s="90" t="s">
        <v>3704</v>
      </c>
      <c r="G933" t="s">
        <v>512</v>
      </c>
    </row>
    <row r="934" spans="1:7" x14ac:dyDescent="0.25">
      <c r="A934" s="114">
        <v>328851</v>
      </c>
      <c r="B934" s="90" t="s">
        <v>3705</v>
      </c>
      <c r="C934" s="90" t="s">
        <v>508</v>
      </c>
      <c r="D934" s="90" t="s">
        <v>3706</v>
      </c>
      <c r="E934" s="90" t="s">
        <v>3707</v>
      </c>
      <c r="F934" s="90" t="s">
        <v>3708</v>
      </c>
      <c r="G934" t="s">
        <v>512</v>
      </c>
    </row>
    <row r="935" spans="1:7" x14ac:dyDescent="0.25">
      <c r="A935" s="114">
        <v>328852</v>
      </c>
      <c r="B935" s="90" t="s">
        <v>3709</v>
      </c>
      <c r="C935" s="90" t="s">
        <v>508</v>
      </c>
      <c r="D935" s="90" t="s">
        <v>3710</v>
      </c>
      <c r="E935" s="90" t="s">
        <v>3711</v>
      </c>
      <c r="F935" s="90" t="s">
        <v>3712</v>
      </c>
      <c r="G935" t="s">
        <v>512</v>
      </c>
    </row>
    <row r="936" spans="1:7" x14ac:dyDescent="0.25">
      <c r="A936" s="114">
        <v>328888</v>
      </c>
      <c r="B936" s="90" t="s">
        <v>3713</v>
      </c>
      <c r="C936" s="90" t="s">
        <v>508</v>
      </c>
      <c r="D936" s="90" t="s">
        <v>3458</v>
      </c>
      <c r="E936" s="90" t="s">
        <v>1256</v>
      </c>
      <c r="F936" s="90" t="s">
        <v>3714</v>
      </c>
      <c r="G936" t="s">
        <v>512</v>
      </c>
    </row>
    <row r="937" spans="1:7" x14ac:dyDescent="0.25">
      <c r="A937" s="114">
        <v>328930</v>
      </c>
      <c r="B937" s="90" t="s">
        <v>3715</v>
      </c>
      <c r="C937" s="90" t="s">
        <v>508</v>
      </c>
      <c r="D937" s="90" t="s">
        <v>3716</v>
      </c>
      <c r="E937" s="90" t="s">
        <v>3717</v>
      </c>
      <c r="F937" s="90" t="s">
        <v>3718</v>
      </c>
      <c r="G937" t="s">
        <v>512</v>
      </c>
    </row>
    <row r="938" spans="1:7" x14ac:dyDescent="0.25">
      <c r="A938" s="114">
        <v>328933</v>
      </c>
      <c r="B938" s="90" t="s">
        <v>3719</v>
      </c>
      <c r="C938" s="90" t="s">
        <v>508</v>
      </c>
      <c r="D938" s="90" t="s">
        <v>3720</v>
      </c>
      <c r="E938" s="90" t="s">
        <v>583</v>
      </c>
      <c r="F938" s="90" t="s">
        <v>3721</v>
      </c>
      <c r="G938" t="s">
        <v>512</v>
      </c>
    </row>
    <row r="939" spans="1:7" x14ac:dyDescent="0.25">
      <c r="A939" s="114">
        <v>328939</v>
      </c>
      <c r="B939" s="90" t="s">
        <v>3722</v>
      </c>
      <c r="C939" s="90" t="s">
        <v>508</v>
      </c>
      <c r="D939" s="90" t="s">
        <v>3723</v>
      </c>
      <c r="E939" s="90" t="s">
        <v>818</v>
      </c>
      <c r="F939" s="90" t="s">
        <v>3724</v>
      </c>
      <c r="G939" t="s">
        <v>512</v>
      </c>
    </row>
    <row r="940" spans="1:7" x14ac:dyDescent="0.25">
      <c r="A940" s="114">
        <v>329092</v>
      </c>
      <c r="B940" s="90" t="s">
        <v>3725</v>
      </c>
      <c r="C940" s="90" t="s">
        <v>508</v>
      </c>
      <c r="D940" s="90" t="s">
        <v>3726</v>
      </c>
      <c r="E940" s="90" t="s">
        <v>3727</v>
      </c>
      <c r="F940" s="90" t="s">
        <v>3725</v>
      </c>
      <c r="G940" t="s">
        <v>512</v>
      </c>
    </row>
    <row r="941" spans="1:7" x14ac:dyDescent="0.25">
      <c r="A941" s="114">
        <v>329158</v>
      </c>
      <c r="B941" s="90" t="s">
        <v>3728</v>
      </c>
      <c r="C941" s="90" t="s">
        <v>508</v>
      </c>
      <c r="D941" s="90" t="s">
        <v>3729</v>
      </c>
      <c r="E941" s="90" t="s">
        <v>818</v>
      </c>
      <c r="F941" s="90" t="s">
        <v>3728</v>
      </c>
      <c r="G941" t="s">
        <v>512</v>
      </c>
    </row>
    <row r="942" spans="1:7" x14ac:dyDescent="0.25">
      <c r="A942" s="114">
        <v>329203</v>
      </c>
      <c r="B942" s="90" t="s">
        <v>3730</v>
      </c>
      <c r="C942" s="90" t="s">
        <v>508</v>
      </c>
      <c r="D942" s="90" t="s">
        <v>3731</v>
      </c>
      <c r="E942" s="90" t="s">
        <v>3732</v>
      </c>
      <c r="F942" s="90" t="s">
        <v>3733</v>
      </c>
      <c r="G942" t="s">
        <v>512</v>
      </c>
    </row>
    <row r="943" spans="1:7" x14ac:dyDescent="0.25">
      <c r="A943" s="114">
        <v>329228</v>
      </c>
      <c r="B943" s="90" t="s">
        <v>3734</v>
      </c>
      <c r="C943" s="90" t="s">
        <v>508</v>
      </c>
      <c r="D943" s="90" t="s">
        <v>3735</v>
      </c>
      <c r="E943" s="90" t="s">
        <v>3314</v>
      </c>
      <c r="F943" s="90" t="s">
        <v>3736</v>
      </c>
      <c r="G943" t="s">
        <v>512</v>
      </c>
    </row>
    <row r="944" spans="1:7" x14ac:dyDescent="0.25">
      <c r="A944" s="114">
        <v>329270</v>
      </c>
      <c r="B944" s="90" t="s">
        <v>614</v>
      </c>
      <c r="C944" s="90" t="s">
        <v>508</v>
      </c>
      <c r="D944" s="90" t="s">
        <v>3737</v>
      </c>
      <c r="E944" s="90" t="s">
        <v>3738</v>
      </c>
      <c r="F944" s="90" t="s">
        <v>3739</v>
      </c>
      <c r="G944" t="s">
        <v>512</v>
      </c>
    </row>
    <row r="945" spans="1:7" x14ac:dyDescent="0.25">
      <c r="A945" s="114">
        <v>329413</v>
      </c>
      <c r="B945" s="90" t="s">
        <v>3740</v>
      </c>
      <c r="C945" s="90" t="s">
        <v>508</v>
      </c>
      <c r="D945" s="90" t="s">
        <v>3741</v>
      </c>
      <c r="E945" s="90" t="s">
        <v>3742</v>
      </c>
      <c r="F945" s="90" t="s">
        <v>3743</v>
      </c>
      <c r="G945" t="s">
        <v>512</v>
      </c>
    </row>
    <row r="946" spans="1:7" x14ac:dyDescent="0.25">
      <c r="A946" s="114">
        <v>329507</v>
      </c>
      <c r="B946" s="90" t="s">
        <v>3744</v>
      </c>
      <c r="C946" s="90" t="s">
        <v>508</v>
      </c>
      <c r="D946" s="90" t="s">
        <v>3745</v>
      </c>
      <c r="E946" s="90" t="s">
        <v>972</v>
      </c>
      <c r="F946" s="90" t="s">
        <v>3746</v>
      </c>
      <c r="G946" t="s">
        <v>512</v>
      </c>
    </row>
    <row r="947" spans="1:7" x14ac:dyDescent="0.25">
      <c r="A947" s="114">
        <v>329728</v>
      </c>
      <c r="B947" s="90" t="s">
        <v>3747</v>
      </c>
      <c r="C947" s="90" t="s">
        <v>508</v>
      </c>
      <c r="D947" s="90" t="s">
        <v>3748</v>
      </c>
      <c r="E947" s="90" t="s">
        <v>547</v>
      </c>
      <c r="F947" s="90" t="s">
        <v>3749</v>
      </c>
      <c r="G947" t="s">
        <v>512</v>
      </c>
    </row>
    <row r="948" spans="1:7" x14ac:dyDescent="0.25">
      <c r="A948" s="114">
        <v>329765</v>
      </c>
      <c r="B948" s="90" t="s">
        <v>3750</v>
      </c>
      <c r="C948" s="90" t="s">
        <v>508</v>
      </c>
      <c r="D948" s="90" t="s">
        <v>3751</v>
      </c>
      <c r="E948" s="90" t="s">
        <v>583</v>
      </c>
      <c r="F948" s="90" t="s">
        <v>3750</v>
      </c>
      <c r="G948" t="s">
        <v>512</v>
      </c>
    </row>
    <row r="949" spans="1:7" x14ac:dyDescent="0.25">
      <c r="A949" s="114">
        <v>329782</v>
      </c>
      <c r="B949" s="90" t="s">
        <v>3752</v>
      </c>
      <c r="C949" s="90" t="s">
        <v>508</v>
      </c>
      <c r="D949" s="90" t="s">
        <v>3753</v>
      </c>
      <c r="E949" s="90" t="s">
        <v>547</v>
      </c>
      <c r="F949" s="90" t="s">
        <v>3754</v>
      </c>
      <c r="G949" t="s">
        <v>512</v>
      </c>
    </row>
    <row r="950" spans="1:7" x14ac:dyDescent="0.25">
      <c r="A950" s="114">
        <v>329885</v>
      </c>
      <c r="B950" s="90" t="s">
        <v>3755</v>
      </c>
      <c r="C950" s="90" t="s">
        <v>508</v>
      </c>
      <c r="D950" s="90" t="s">
        <v>3756</v>
      </c>
      <c r="E950" s="90" t="s">
        <v>3757</v>
      </c>
      <c r="F950" s="90" t="s">
        <v>3758</v>
      </c>
      <c r="G950" t="s">
        <v>512</v>
      </c>
    </row>
    <row r="951" spans="1:7" x14ac:dyDescent="0.25">
      <c r="A951" s="114">
        <v>329900</v>
      </c>
      <c r="B951" s="90" t="s">
        <v>3759</v>
      </c>
      <c r="C951" s="90" t="s">
        <v>508</v>
      </c>
      <c r="D951" s="90" t="s">
        <v>3760</v>
      </c>
      <c r="E951" s="90" t="s">
        <v>3662</v>
      </c>
      <c r="F951" s="90" t="s">
        <v>3761</v>
      </c>
      <c r="G951" t="s">
        <v>512</v>
      </c>
    </row>
    <row r="952" spans="1:7" x14ac:dyDescent="0.25">
      <c r="A952" s="114">
        <v>330229</v>
      </c>
      <c r="B952" s="90" t="s">
        <v>3762</v>
      </c>
      <c r="C952" s="90" t="s">
        <v>508</v>
      </c>
      <c r="D952" s="90" t="s">
        <v>3763</v>
      </c>
      <c r="E952" s="90" t="s">
        <v>3764</v>
      </c>
      <c r="F952" s="90" t="s">
        <v>3762</v>
      </c>
      <c r="G952" t="s">
        <v>512</v>
      </c>
    </row>
    <row r="953" spans="1:7" x14ac:dyDescent="0.25">
      <c r="A953" s="114">
        <v>330244</v>
      </c>
      <c r="B953" s="90" t="s">
        <v>3765</v>
      </c>
      <c r="C953" s="90" t="s">
        <v>508</v>
      </c>
      <c r="D953" s="90" t="s">
        <v>3766</v>
      </c>
      <c r="E953" s="90" t="s">
        <v>3767</v>
      </c>
      <c r="F953" s="90" t="s">
        <v>3768</v>
      </c>
      <c r="G953" t="s">
        <v>512</v>
      </c>
    </row>
    <row r="954" spans="1:7" x14ac:dyDescent="0.25">
      <c r="A954" s="114">
        <v>330263</v>
      </c>
      <c r="B954" s="90" t="s">
        <v>3769</v>
      </c>
      <c r="C954" s="90" t="s">
        <v>508</v>
      </c>
      <c r="D954" s="90" t="s">
        <v>3770</v>
      </c>
      <c r="E954" s="90" t="s">
        <v>3771</v>
      </c>
      <c r="F954" s="90" t="s">
        <v>3772</v>
      </c>
      <c r="G954" t="s">
        <v>512</v>
      </c>
    </row>
    <row r="955" spans="1:7" x14ac:dyDescent="0.25">
      <c r="A955" s="114">
        <v>330276</v>
      </c>
      <c r="B955" s="90" t="s">
        <v>3773</v>
      </c>
      <c r="C955" s="90" t="s">
        <v>508</v>
      </c>
      <c r="D955" s="90" t="s">
        <v>3774</v>
      </c>
      <c r="E955" s="90" t="s">
        <v>2837</v>
      </c>
      <c r="F955" s="90" t="s">
        <v>3775</v>
      </c>
      <c r="G955" t="s">
        <v>512</v>
      </c>
    </row>
    <row r="956" spans="1:7" x14ac:dyDescent="0.25">
      <c r="A956" s="114">
        <v>330291</v>
      </c>
      <c r="B956" s="90" t="s">
        <v>3776</v>
      </c>
      <c r="C956" s="90" t="s">
        <v>508</v>
      </c>
      <c r="D956" s="90" t="s">
        <v>3777</v>
      </c>
      <c r="E956" s="90" t="s">
        <v>3778</v>
      </c>
      <c r="F956" s="90" t="s">
        <v>3779</v>
      </c>
      <c r="G956" t="s">
        <v>512</v>
      </c>
    </row>
    <row r="957" spans="1:7" x14ac:dyDescent="0.25">
      <c r="A957" s="114">
        <v>330307</v>
      </c>
      <c r="B957" s="90" t="s">
        <v>3780</v>
      </c>
      <c r="C957" s="90" t="s">
        <v>508</v>
      </c>
      <c r="D957" s="90" t="s">
        <v>3781</v>
      </c>
      <c r="E957" s="90" t="s">
        <v>695</v>
      </c>
      <c r="F957" s="90" t="s">
        <v>3782</v>
      </c>
      <c r="G957" t="s">
        <v>512</v>
      </c>
    </row>
    <row r="958" spans="1:7" x14ac:dyDescent="0.25">
      <c r="A958" s="114">
        <v>330310</v>
      </c>
      <c r="B958" s="90" t="s">
        <v>3783</v>
      </c>
      <c r="C958" s="90" t="s">
        <v>508</v>
      </c>
      <c r="D958" s="90" t="s">
        <v>3784</v>
      </c>
      <c r="E958" s="90" t="s">
        <v>3785</v>
      </c>
      <c r="F958" s="90" t="s">
        <v>3786</v>
      </c>
      <c r="G958" t="s">
        <v>512</v>
      </c>
    </row>
    <row r="959" spans="1:7" x14ac:dyDescent="0.25">
      <c r="A959" s="114">
        <v>330350</v>
      </c>
      <c r="B959" s="90" t="s">
        <v>3787</v>
      </c>
      <c r="C959" s="90" t="s">
        <v>508</v>
      </c>
      <c r="D959" s="90" t="s">
        <v>3788</v>
      </c>
      <c r="E959" s="90" t="s">
        <v>3789</v>
      </c>
      <c r="F959" s="90" t="s">
        <v>3790</v>
      </c>
      <c r="G959" t="s">
        <v>512</v>
      </c>
    </row>
    <row r="960" spans="1:7" x14ac:dyDescent="0.25">
      <c r="A960" s="114">
        <v>330357</v>
      </c>
      <c r="B960" s="90" t="s">
        <v>517</v>
      </c>
      <c r="C960" s="90" t="s">
        <v>508</v>
      </c>
      <c r="D960" s="90" t="s">
        <v>3791</v>
      </c>
      <c r="E960" s="90" t="s">
        <v>2705</v>
      </c>
      <c r="F960" s="90" t="s">
        <v>3792</v>
      </c>
      <c r="G960" t="s">
        <v>512</v>
      </c>
    </row>
    <row r="961" spans="1:7" x14ac:dyDescent="0.25">
      <c r="A961" s="114">
        <v>330459</v>
      </c>
      <c r="B961" s="90" t="s">
        <v>3793</v>
      </c>
      <c r="C961" s="90" t="s">
        <v>508</v>
      </c>
      <c r="D961" s="90" t="s">
        <v>3794</v>
      </c>
      <c r="E961" s="90" t="s">
        <v>3795</v>
      </c>
      <c r="F961" s="90" t="s">
        <v>3796</v>
      </c>
      <c r="G961" t="s">
        <v>512</v>
      </c>
    </row>
    <row r="962" spans="1:7" x14ac:dyDescent="0.25">
      <c r="A962" s="114">
        <v>330609</v>
      </c>
      <c r="B962" s="90" t="s">
        <v>3773</v>
      </c>
      <c r="C962" s="90" t="s">
        <v>508</v>
      </c>
      <c r="D962" s="90" t="s">
        <v>3797</v>
      </c>
      <c r="E962" s="90" t="s">
        <v>2837</v>
      </c>
      <c r="F962" s="90" t="s">
        <v>3775</v>
      </c>
      <c r="G962" t="s">
        <v>512</v>
      </c>
    </row>
    <row r="963" spans="1:7" x14ac:dyDescent="0.25">
      <c r="A963" s="114">
        <v>330651</v>
      </c>
      <c r="B963" s="90" t="s">
        <v>3798</v>
      </c>
      <c r="C963" s="90" t="s">
        <v>508</v>
      </c>
      <c r="D963" s="90" t="s">
        <v>3799</v>
      </c>
      <c r="E963" s="90" t="s">
        <v>3800</v>
      </c>
      <c r="F963" s="90" t="s">
        <v>3801</v>
      </c>
      <c r="G963" t="s">
        <v>512</v>
      </c>
    </row>
    <row r="964" spans="1:7" x14ac:dyDescent="0.25">
      <c r="A964" s="114">
        <v>330740</v>
      </c>
      <c r="B964" s="90" t="s">
        <v>3802</v>
      </c>
      <c r="C964" s="90" t="s">
        <v>508</v>
      </c>
      <c r="D964" s="90" t="s">
        <v>3803</v>
      </c>
      <c r="E964" s="90" t="s">
        <v>3354</v>
      </c>
      <c r="F964" s="90" t="s">
        <v>3804</v>
      </c>
      <c r="G964" t="s">
        <v>512</v>
      </c>
    </row>
    <row r="965" spans="1:7" x14ac:dyDescent="0.25">
      <c r="A965" s="114">
        <v>330822</v>
      </c>
      <c r="B965" s="90" t="s">
        <v>2993</v>
      </c>
      <c r="C965" s="90" t="s">
        <v>508</v>
      </c>
      <c r="D965" s="90" t="s">
        <v>3805</v>
      </c>
      <c r="E965" s="90" t="s">
        <v>995</v>
      </c>
      <c r="F965" s="90" t="s">
        <v>2995</v>
      </c>
      <c r="G965" t="s">
        <v>512</v>
      </c>
    </row>
    <row r="966" spans="1:7" x14ac:dyDescent="0.25">
      <c r="A966" s="114">
        <v>330863</v>
      </c>
      <c r="B966" s="90" t="s">
        <v>3806</v>
      </c>
      <c r="C966" s="90" t="s">
        <v>508</v>
      </c>
      <c r="D966" s="90" t="s">
        <v>3807</v>
      </c>
      <c r="E966" s="90" t="s">
        <v>3808</v>
      </c>
      <c r="F966" s="90" t="s">
        <v>3809</v>
      </c>
      <c r="G966" t="s">
        <v>512</v>
      </c>
    </row>
    <row r="967" spans="1:7" x14ac:dyDescent="0.25">
      <c r="A967" s="114">
        <v>330889</v>
      </c>
      <c r="B967" s="90" t="s">
        <v>3810</v>
      </c>
      <c r="C967" s="90" t="s">
        <v>508</v>
      </c>
      <c r="D967" s="90" t="s">
        <v>3811</v>
      </c>
      <c r="E967" s="90" t="s">
        <v>3812</v>
      </c>
      <c r="F967" s="90" t="s">
        <v>3813</v>
      </c>
      <c r="G967" t="s">
        <v>512</v>
      </c>
    </row>
    <row r="968" spans="1:7" x14ac:dyDescent="0.25">
      <c r="A968" s="114">
        <v>330964</v>
      </c>
      <c r="B968" s="90" t="s">
        <v>3814</v>
      </c>
      <c r="C968" s="90" t="s">
        <v>508</v>
      </c>
      <c r="D968" s="90" t="s">
        <v>3815</v>
      </c>
      <c r="E968" s="90" t="s">
        <v>2893</v>
      </c>
      <c r="F968" s="90" t="s">
        <v>3816</v>
      </c>
      <c r="G968" t="s">
        <v>512</v>
      </c>
    </row>
    <row r="969" spans="1:7" x14ac:dyDescent="0.25">
      <c r="A969" s="114">
        <v>331025</v>
      </c>
      <c r="B969" s="90" t="s">
        <v>3817</v>
      </c>
      <c r="C969" s="90" t="s">
        <v>508</v>
      </c>
      <c r="D969" s="90" t="s">
        <v>3818</v>
      </c>
      <c r="E969" s="90" t="s">
        <v>3819</v>
      </c>
      <c r="F969" s="90" t="s">
        <v>3820</v>
      </c>
      <c r="G969" t="s">
        <v>512</v>
      </c>
    </row>
    <row r="970" spans="1:7" x14ac:dyDescent="0.25">
      <c r="A970" s="114">
        <v>331099</v>
      </c>
      <c r="B970" s="90" t="s">
        <v>3821</v>
      </c>
      <c r="C970" s="90" t="s">
        <v>508</v>
      </c>
      <c r="D970" s="90" t="s">
        <v>3822</v>
      </c>
      <c r="E970" s="90" t="s">
        <v>1194</v>
      </c>
      <c r="F970" s="90" t="s">
        <v>3823</v>
      </c>
      <c r="G970" t="s">
        <v>512</v>
      </c>
    </row>
    <row r="971" spans="1:7" x14ac:dyDescent="0.25">
      <c r="A971" s="114">
        <v>331150</v>
      </c>
      <c r="B971" s="90" t="s">
        <v>3824</v>
      </c>
      <c r="C971" s="90" t="s">
        <v>508</v>
      </c>
      <c r="D971" s="90" t="s">
        <v>3825</v>
      </c>
      <c r="E971" s="90" t="s">
        <v>2073</v>
      </c>
      <c r="F971" s="90" t="s">
        <v>3826</v>
      </c>
      <c r="G971" t="s">
        <v>512</v>
      </c>
    </row>
    <row r="972" spans="1:7" x14ac:dyDescent="0.25">
      <c r="A972" s="114">
        <v>331336</v>
      </c>
      <c r="B972" s="90" t="s">
        <v>3827</v>
      </c>
      <c r="C972" s="90" t="s">
        <v>508</v>
      </c>
      <c r="D972" s="90" t="s">
        <v>3828</v>
      </c>
      <c r="E972" s="90" t="s">
        <v>2837</v>
      </c>
      <c r="F972" s="90" t="s">
        <v>3829</v>
      </c>
      <c r="G972" t="s">
        <v>512</v>
      </c>
    </row>
    <row r="973" spans="1:7" x14ac:dyDescent="0.25">
      <c r="A973" s="114">
        <v>331383</v>
      </c>
      <c r="B973" s="90" t="s">
        <v>3830</v>
      </c>
      <c r="C973" s="90" t="s">
        <v>508</v>
      </c>
      <c r="D973" s="90" t="s">
        <v>3831</v>
      </c>
      <c r="E973" s="90" t="s">
        <v>3832</v>
      </c>
      <c r="F973" s="90" t="s">
        <v>3833</v>
      </c>
      <c r="G973" t="s">
        <v>512</v>
      </c>
    </row>
    <row r="974" spans="1:7" x14ac:dyDescent="0.25">
      <c r="A974" s="114">
        <v>331395</v>
      </c>
      <c r="B974" s="90" t="s">
        <v>3834</v>
      </c>
      <c r="C974" s="90" t="s">
        <v>508</v>
      </c>
      <c r="D974" s="90" t="s">
        <v>3835</v>
      </c>
      <c r="E974" s="90" t="s">
        <v>3836</v>
      </c>
      <c r="F974" s="90" t="s">
        <v>3837</v>
      </c>
      <c r="G974" t="s">
        <v>512</v>
      </c>
    </row>
    <row r="975" spans="1:7" x14ac:dyDescent="0.25">
      <c r="A975" s="114">
        <v>331540</v>
      </c>
      <c r="B975" s="90" t="s">
        <v>3838</v>
      </c>
      <c r="C975" s="90" t="s">
        <v>508</v>
      </c>
      <c r="D975" s="90" t="s">
        <v>3839</v>
      </c>
      <c r="E975" s="90" t="s">
        <v>3840</v>
      </c>
      <c r="F975" s="90" t="s">
        <v>3841</v>
      </c>
      <c r="G975" t="s">
        <v>859</v>
      </c>
    </row>
    <row r="976" spans="1:7" x14ac:dyDescent="0.25">
      <c r="A976" s="114">
        <v>331636</v>
      </c>
      <c r="B976" s="90" t="s">
        <v>3842</v>
      </c>
      <c r="C976" s="90" t="s">
        <v>508</v>
      </c>
      <c r="D976" s="90" t="s">
        <v>3843</v>
      </c>
      <c r="E976" s="90" t="s">
        <v>3844</v>
      </c>
      <c r="F976" s="90" t="s">
        <v>3845</v>
      </c>
      <c r="G976" t="s">
        <v>512</v>
      </c>
    </row>
    <row r="977" spans="1:7" x14ac:dyDescent="0.25">
      <c r="A977" s="114">
        <v>331665</v>
      </c>
      <c r="B977" s="90" t="s">
        <v>3846</v>
      </c>
      <c r="C977" s="90" t="s">
        <v>508</v>
      </c>
      <c r="D977" s="90" t="s">
        <v>3847</v>
      </c>
      <c r="E977" s="90" t="s">
        <v>2210</v>
      </c>
      <c r="F977" s="90" t="s">
        <v>3848</v>
      </c>
      <c r="G977" t="s">
        <v>512</v>
      </c>
    </row>
    <row r="978" spans="1:7" x14ac:dyDescent="0.25">
      <c r="A978" s="114">
        <v>331716</v>
      </c>
      <c r="B978" s="90" t="s">
        <v>3849</v>
      </c>
      <c r="C978" s="90" t="s">
        <v>508</v>
      </c>
      <c r="D978" s="90" t="s">
        <v>3850</v>
      </c>
      <c r="E978" s="90" t="s">
        <v>1625</v>
      </c>
      <c r="F978" s="90" t="s">
        <v>3851</v>
      </c>
      <c r="G978" t="s">
        <v>512</v>
      </c>
    </row>
    <row r="979" spans="1:7" x14ac:dyDescent="0.25">
      <c r="A979" s="114">
        <v>331739</v>
      </c>
      <c r="B979" s="90" t="s">
        <v>3852</v>
      </c>
      <c r="C979" s="90" t="s">
        <v>508</v>
      </c>
      <c r="D979" s="90" t="s">
        <v>3853</v>
      </c>
      <c r="E979" s="90" t="s">
        <v>565</v>
      </c>
      <c r="F979" s="90" t="s">
        <v>3854</v>
      </c>
      <c r="G979" t="s">
        <v>512</v>
      </c>
    </row>
    <row r="980" spans="1:7" x14ac:dyDescent="0.25">
      <c r="A980" s="114">
        <v>331745</v>
      </c>
      <c r="B980" s="90" t="s">
        <v>3855</v>
      </c>
      <c r="C980" s="90" t="s">
        <v>508</v>
      </c>
      <c r="D980" s="90" t="s">
        <v>3856</v>
      </c>
      <c r="E980" s="90" t="s">
        <v>614</v>
      </c>
      <c r="F980" s="90" t="s">
        <v>3857</v>
      </c>
      <c r="G980" t="s">
        <v>512</v>
      </c>
    </row>
    <row r="981" spans="1:7" x14ac:dyDescent="0.25">
      <c r="A981" s="114">
        <v>331774</v>
      </c>
      <c r="B981" s="90" t="s">
        <v>3858</v>
      </c>
      <c r="C981" s="90" t="s">
        <v>508</v>
      </c>
      <c r="D981" s="90" t="s">
        <v>3859</v>
      </c>
      <c r="E981" s="90" t="s">
        <v>3860</v>
      </c>
      <c r="F981" s="90" t="s">
        <v>3861</v>
      </c>
      <c r="G981" t="s">
        <v>512</v>
      </c>
    </row>
    <row r="982" spans="1:7" x14ac:dyDescent="0.25">
      <c r="A982" s="114">
        <v>332079</v>
      </c>
      <c r="B982" s="90" t="s">
        <v>3862</v>
      </c>
      <c r="C982" s="90" t="s">
        <v>508</v>
      </c>
      <c r="D982" s="90" t="s">
        <v>3760</v>
      </c>
      <c r="E982" s="90" t="s">
        <v>3863</v>
      </c>
      <c r="F982" s="90" t="s">
        <v>3864</v>
      </c>
      <c r="G982" t="s">
        <v>512</v>
      </c>
    </row>
    <row r="983" spans="1:7" x14ac:dyDescent="0.25">
      <c r="A983" s="114">
        <v>332119</v>
      </c>
      <c r="B983" s="90" t="s">
        <v>3865</v>
      </c>
      <c r="C983" s="90" t="s">
        <v>508</v>
      </c>
      <c r="D983" s="90" t="s">
        <v>3866</v>
      </c>
      <c r="E983" s="90" t="s">
        <v>3867</v>
      </c>
      <c r="F983" s="90" t="s">
        <v>3868</v>
      </c>
      <c r="G983" t="s">
        <v>512</v>
      </c>
    </row>
    <row r="984" spans="1:7" x14ac:dyDescent="0.25">
      <c r="A984" s="114">
        <v>332136</v>
      </c>
      <c r="B984" s="90" t="s">
        <v>3869</v>
      </c>
      <c r="C984" s="90" t="s">
        <v>508</v>
      </c>
      <c r="D984" s="90" t="s">
        <v>3870</v>
      </c>
      <c r="E984" s="90" t="s">
        <v>3871</v>
      </c>
      <c r="F984" s="90" t="s">
        <v>3872</v>
      </c>
      <c r="G984" t="s">
        <v>512</v>
      </c>
    </row>
    <row r="985" spans="1:7" x14ac:dyDescent="0.25">
      <c r="A985" s="114">
        <v>332145</v>
      </c>
      <c r="B985" s="90" t="s">
        <v>3873</v>
      </c>
      <c r="C985" s="90" t="s">
        <v>508</v>
      </c>
      <c r="D985" s="90" t="s">
        <v>3874</v>
      </c>
      <c r="E985" s="90" t="s">
        <v>3875</v>
      </c>
      <c r="F985" s="90" t="s">
        <v>3876</v>
      </c>
      <c r="G985" t="s">
        <v>512</v>
      </c>
    </row>
    <row r="986" spans="1:7" x14ac:dyDescent="0.25">
      <c r="A986" s="114">
        <v>332250</v>
      </c>
      <c r="B986" s="90" t="s">
        <v>3877</v>
      </c>
      <c r="C986" s="90" t="s">
        <v>508</v>
      </c>
      <c r="D986" s="90" t="s">
        <v>3878</v>
      </c>
      <c r="E986" s="90" t="s">
        <v>3879</v>
      </c>
      <c r="F986" s="90" t="s">
        <v>3880</v>
      </c>
      <c r="G986" t="s">
        <v>512</v>
      </c>
    </row>
    <row r="987" spans="1:7" x14ac:dyDescent="0.25">
      <c r="A987" s="114">
        <v>332284</v>
      </c>
      <c r="B987" s="90" t="s">
        <v>3588</v>
      </c>
      <c r="C987" s="90" t="s">
        <v>508</v>
      </c>
      <c r="D987" s="90" t="s">
        <v>3881</v>
      </c>
      <c r="E987" s="90" t="s">
        <v>2866</v>
      </c>
      <c r="F987" s="90" t="s">
        <v>3882</v>
      </c>
      <c r="G987" t="s">
        <v>512</v>
      </c>
    </row>
    <row r="988" spans="1:7" x14ac:dyDescent="0.25">
      <c r="A988" s="114">
        <v>332289</v>
      </c>
      <c r="B988" s="90" t="s">
        <v>3883</v>
      </c>
      <c r="C988" s="90" t="s">
        <v>508</v>
      </c>
      <c r="D988" s="90" t="s">
        <v>3884</v>
      </c>
      <c r="E988" s="90" t="s">
        <v>3885</v>
      </c>
      <c r="F988" s="90" t="s">
        <v>3886</v>
      </c>
      <c r="G988" t="s">
        <v>512</v>
      </c>
    </row>
    <row r="989" spans="1:7" x14ac:dyDescent="0.25">
      <c r="A989" s="114">
        <v>332323</v>
      </c>
      <c r="B989" s="90" t="s">
        <v>3887</v>
      </c>
      <c r="C989" s="90" t="s">
        <v>508</v>
      </c>
      <c r="D989" s="90" t="s">
        <v>3888</v>
      </c>
      <c r="E989" s="90" t="s">
        <v>3889</v>
      </c>
      <c r="F989" s="90" t="s">
        <v>3890</v>
      </c>
      <c r="G989" t="s">
        <v>512</v>
      </c>
    </row>
    <row r="990" spans="1:7" x14ac:dyDescent="0.25">
      <c r="A990" s="114">
        <v>332391</v>
      </c>
      <c r="B990" s="90" t="s">
        <v>3891</v>
      </c>
      <c r="C990" s="90" t="s">
        <v>508</v>
      </c>
      <c r="D990" s="90" t="s">
        <v>3892</v>
      </c>
      <c r="E990" s="90" t="s">
        <v>3893</v>
      </c>
      <c r="F990" s="90" t="s">
        <v>3894</v>
      </c>
      <c r="G990" t="s">
        <v>512</v>
      </c>
    </row>
    <row r="991" spans="1:7" x14ac:dyDescent="0.25">
      <c r="A991" s="114">
        <v>332416</v>
      </c>
      <c r="B991" s="90" t="s">
        <v>3895</v>
      </c>
      <c r="C991" s="90" t="s">
        <v>508</v>
      </c>
      <c r="D991" s="90" t="s">
        <v>3896</v>
      </c>
      <c r="E991" s="90" t="s">
        <v>3897</v>
      </c>
      <c r="F991" s="90" t="s">
        <v>3898</v>
      </c>
      <c r="G991" t="s">
        <v>512</v>
      </c>
    </row>
    <row r="992" spans="1:7" x14ac:dyDescent="0.25">
      <c r="A992" s="114">
        <v>332422</v>
      </c>
      <c r="B992" s="90" t="s">
        <v>2816</v>
      </c>
      <c r="C992" s="90" t="s">
        <v>508</v>
      </c>
      <c r="D992" s="90" t="s">
        <v>3899</v>
      </c>
      <c r="E992" s="90" t="s">
        <v>3900</v>
      </c>
      <c r="F992" s="90" t="s">
        <v>3901</v>
      </c>
      <c r="G992" t="s">
        <v>512</v>
      </c>
    </row>
    <row r="993" spans="1:7" x14ac:dyDescent="0.25">
      <c r="A993" s="114">
        <v>332457</v>
      </c>
      <c r="B993" s="90" t="s">
        <v>3902</v>
      </c>
      <c r="C993" s="90" t="s">
        <v>508</v>
      </c>
      <c r="D993" s="90" t="s">
        <v>3903</v>
      </c>
      <c r="E993" s="90" t="s">
        <v>986</v>
      </c>
      <c r="F993" s="90" t="s">
        <v>3904</v>
      </c>
      <c r="G993" t="s">
        <v>512</v>
      </c>
    </row>
    <row r="994" spans="1:7" x14ac:dyDescent="0.25">
      <c r="A994" s="114">
        <v>332523</v>
      </c>
      <c r="B994" s="90" t="s">
        <v>476</v>
      </c>
      <c r="C994" s="90" t="s">
        <v>508</v>
      </c>
      <c r="D994" s="90" t="s">
        <v>3905</v>
      </c>
      <c r="E994" s="90" t="s">
        <v>883</v>
      </c>
      <c r="F994" s="90" t="s">
        <v>3906</v>
      </c>
      <c r="G994" t="s">
        <v>512</v>
      </c>
    </row>
    <row r="995" spans="1:7" x14ac:dyDescent="0.25">
      <c r="A995" s="114">
        <v>332554</v>
      </c>
      <c r="B995" s="90" t="s">
        <v>3907</v>
      </c>
      <c r="C995" s="90" t="s">
        <v>508</v>
      </c>
      <c r="D995" s="90" t="s">
        <v>3908</v>
      </c>
      <c r="E995" s="90" t="s">
        <v>2524</v>
      </c>
      <c r="F995" s="90" t="s">
        <v>3909</v>
      </c>
      <c r="G995" t="s">
        <v>512</v>
      </c>
    </row>
    <row r="996" spans="1:7" x14ac:dyDescent="0.25">
      <c r="A996" s="114">
        <v>332675</v>
      </c>
      <c r="B996" s="90" t="s">
        <v>3910</v>
      </c>
      <c r="C996" s="90" t="s">
        <v>508</v>
      </c>
      <c r="D996" s="90" t="s">
        <v>3911</v>
      </c>
      <c r="E996" s="90" t="s">
        <v>3912</v>
      </c>
      <c r="F996" s="90" t="s">
        <v>3913</v>
      </c>
      <c r="G996" t="s">
        <v>512</v>
      </c>
    </row>
    <row r="997" spans="1:7" x14ac:dyDescent="0.25">
      <c r="A997" s="114">
        <v>332698</v>
      </c>
      <c r="B997" s="90" t="s">
        <v>3914</v>
      </c>
      <c r="C997" s="90" t="s">
        <v>508</v>
      </c>
      <c r="D997" s="90" t="s">
        <v>3915</v>
      </c>
      <c r="E997" s="90" t="s">
        <v>995</v>
      </c>
      <c r="F997" s="90" t="s">
        <v>3916</v>
      </c>
      <c r="G997" t="s">
        <v>512</v>
      </c>
    </row>
    <row r="998" spans="1:7" x14ac:dyDescent="0.25">
      <c r="A998" s="114">
        <v>332714</v>
      </c>
      <c r="B998" s="90" t="s">
        <v>3917</v>
      </c>
      <c r="C998" s="90" t="s">
        <v>508</v>
      </c>
      <c r="D998" s="90" t="s">
        <v>3918</v>
      </c>
      <c r="E998" s="90" t="s">
        <v>1181</v>
      </c>
      <c r="F998" s="90" t="s">
        <v>3919</v>
      </c>
      <c r="G998" t="s">
        <v>512</v>
      </c>
    </row>
    <row r="999" spans="1:7" x14ac:dyDescent="0.25">
      <c r="A999" s="114">
        <v>332720</v>
      </c>
      <c r="B999" s="90" t="s">
        <v>3920</v>
      </c>
      <c r="C999" s="90" t="s">
        <v>508</v>
      </c>
      <c r="D999" s="90" t="s">
        <v>3921</v>
      </c>
      <c r="E999" s="90" t="s">
        <v>2321</v>
      </c>
      <c r="F999" s="90" t="s">
        <v>3922</v>
      </c>
      <c r="G999" t="s">
        <v>512</v>
      </c>
    </row>
    <row r="1000" spans="1:7" x14ac:dyDescent="0.25">
      <c r="A1000" s="114">
        <v>332748</v>
      </c>
      <c r="B1000" s="90" t="s">
        <v>3923</v>
      </c>
      <c r="C1000" s="90" t="s">
        <v>508</v>
      </c>
      <c r="D1000" s="90" t="s">
        <v>3924</v>
      </c>
      <c r="E1000" s="90" t="s">
        <v>2694</v>
      </c>
      <c r="F1000" s="90" t="s">
        <v>3925</v>
      </c>
      <c r="G1000" t="s">
        <v>512</v>
      </c>
    </row>
    <row r="1001" spans="1:7" x14ac:dyDescent="0.25">
      <c r="A1001" s="114">
        <v>332827</v>
      </c>
      <c r="B1001" s="90" t="s">
        <v>3926</v>
      </c>
      <c r="C1001" s="90" t="s">
        <v>508</v>
      </c>
      <c r="D1001" s="90" t="s">
        <v>3927</v>
      </c>
      <c r="E1001" s="90" t="s">
        <v>3928</v>
      </c>
      <c r="F1001" s="90" t="s">
        <v>3929</v>
      </c>
      <c r="G1001" t="s">
        <v>512</v>
      </c>
    </row>
    <row r="1002" spans="1:7" x14ac:dyDescent="0.25">
      <c r="A1002" s="114">
        <v>332910</v>
      </c>
      <c r="B1002" s="90" t="s">
        <v>3930</v>
      </c>
      <c r="C1002" s="90" t="s">
        <v>508</v>
      </c>
      <c r="D1002" s="90" t="s">
        <v>3931</v>
      </c>
      <c r="E1002" s="90" t="s">
        <v>3932</v>
      </c>
      <c r="F1002" s="90" t="s">
        <v>3933</v>
      </c>
      <c r="G1002" t="s">
        <v>512</v>
      </c>
    </row>
    <row r="1003" spans="1:7" x14ac:dyDescent="0.25">
      <c r="A1003" s="114">
        <v>333014</v>
      </c>
      <c r="B1003" s="90" t="s">
        <v>3934</v>
      </c>
      <c r="C1003" s="90" t="s">
        <v>508</v>
      </c>
      <c r="D1003" s="90" t="s">
        <v>3935</v>
      </c>
      <c r="E1003" s="90" t="s">
        <v>1448</v>
      </c>
      <c r="F1003" s="90" t="s">
        <v>3936</v>
      </c>
      <c r="G1003" t="s">
        <v>512</v>
      </c>
    </row>
    <row r="1004" spans="1:7" x14ac:dyDescent="0.25">
      <c r="A1004" s="114">
        <v>333035</v>
      </c>
      <c r="B1004" s="90" t="s">
        <v>3937</v>
      </c>
      <c r="C1004" s="90" t="s">
        <v>508</v>
      </c>
      <c r="D1004" s="90" t="s">
        <v>3938</v>
      </c>
      <c r="E1004" s="90" t="s">
        <v>3071</v>
      </c>
      <c r="F1004" s="90" t="s">
        <v>820</v>
      </c>
      <c r="G1004" t="s">
        <v>512</v>
      </c>
    </row>
    <row r="1005" spans="1:7" x14ac:dyDescent="0.25">
      <c r="A1005" s="114">
        <v>333044</v>
      </c>
      <c r="B1005" s="90" t="s">
        <v>3939</v>
      </c>
      <c r="C1005" s="90" t="s">
        <v>508</v>
      </c>
      <c r="D1005" s="90" t="s">
        <v>3940</v>
      </c>
      <c r="E1005" s="90" t="s">
        <v>2373</v>
      </c>
      <c r="F1005" s="90" t="s">
        <v>3941</v>
      </c>
      <c r="G1005" t="s">
        <v>512</v>
      </c>
    </row>
    <row r="1006" spans="1:7" x14ac:dyDescent="0.25">
      <c r="A1006" s="114">
        <v>333059</v>
      </c>
      <c r="B1006" s="90" t="s">
        <v>3942</v>
      </c>
      <c r="C1006" s="90" t="s">
        <v>508</v>
      </c>
      <c r="D1006" s="90" t="s">
        <v>3943</v>
      </c>
      <c r="E1006" s="90" t="s">
        <v>2292</v>
      </c>
      <c r="F1006" s="90" t="s">
        <v>3944</v>
      </c>
      <c r="G1006" t="s">
        <v>512</v>
      </c>
    </row>
    <row r="1007" spans="1:7" x14ac:dyDescent="0.25">
      <c r="A1007" s="114">
        <v>333100</v>
      </c>
      <c r="B1007" s="90" t="s">
        <v>3945</v>
      </c>
      <c r="C1007" s="90" t="s">
        <v>508</v>
      </c>
      <c r="D1007" s="90" t="s">
        <v>3946</v>
      </c>
      <c r="E1007" s="90" t="s">
        <v>3947</v>
      </c>
      <c r="F1007" s="90" t="s">
        <v>3948</v>
      </c>
      <c r="G1007" t="s">
        <v>512</v>
      </c>
    </row>
    <row r="1008" spans="1:7" x14ac:dyDescent="0.25">
      <c r="A1008" s="114">
        <v>333201</v>
      </c>
      <c r="B1008" s="90" t="s">
        <v>3949</v>
      </c>
      <c r="C1008" s="90" t="s">
        <v>508</v>
      </c>
      <c r="D1008" s="90" t="s">
        <v>3950</v>
      </c>
      <c r="E1008" s="90" t="s">
        <v>3951</v>
      </c>
      <c r="F1008" s="90" t="s">
        <v>3952</v>
      </c>
      <c r="G1008" t="s">
        <v>512</v>
      </c>
    </row>
    <row r="1009" spans="1:7" x14ac:dyDescent="0.25">
      <c r="A1009" s="114">
        <v>333205</v>
      </c>
      <c r="B1009" s="90" t="s">
        <v>3953</v>
      </c>
      <c r="C1009" s="90" t="s">
        <v>508</v>
      </c>
      <c r="D1009" s="90" t="s">
        <v>3954</v>
      </c>
      <c r="E1009" s="90" t="s">
        <v>923</v>
      </c>
      <c r="F1009" s="90" t="s">
        <v>3955</v>
      </c>
      <c r="G1009" t="s">
        <v>512</v>
      </c>
    </row>
    <row r="1010" spans="1:7" x14ac:dyDescent="0.25">
      <c r="A1010" s="114">
        <v>333209</v>
      </c>
      <c r="B1010" s="90" t="s">
        <v>666</v>
      </c>
      <c r="C1010" s="90" t="s">
        <v>508</v>
      </c>
      <c r="D1010" s="90" t="s">
        <v>3956</v>
      </c>
      <c r="E1010" s="90" t="s">
        <v>3957</v>
      </c>
      <c r="F1010" s="90" t="s">
        <v>3958</v>
      </c>
      <c r="G1010" t="s">
        <v>512</v>
      </c>
    </row>
    <row r="1011" spans="1:7" x14ac:dyDescent="0.25">
      <c r="A1011" s="114">
        <v>333215</v>
      </c>
      <c r="B1011" s="90" t="s">
        <v>3959</v>
      </c>
      <c r="C1011" s="90" t="s">
        <v>508</v>
      </c>
      <c r="D1011" s="90" t="s">
        <v>3960</v>
      </c>
      <c r="E1011" s="90" t="s">
        <v>3961</v>
      </c>
      <c r="F1011" s="90" t="s">
        <v>3962</v>
      </c>
      <c r="G1011" t="s">
        <v>512</v>
      </c>
    </row>
    <row r="1012" spans="1:7" x14ac:dyDescent="0.25">
      <c r="A1012" s="114">
        <v>333234</v>
      </c>
      <c r="B1012" s="90" t="s">
        <v>3963</v>
      </c>
      <c r="C1012" s="90" t="s">
        <v>508</v>
      </c>
      <c r="D1012" s="90" t="s">
        <v>3964</v>
      </c>
      <c r="E1012" s="90" t="s">
        <v>3965</v>
      </c>
      <c r="F1012" s="90" t="s">
        <v>3966</v>
      </c>
      <c r="G1012" t="s">
        <v>512</v>
      </c>
    </row>
    <row r="1013" spans="1:7" x14ac:dyDescent="0.25">
      <c r="A1013" s="114">
        <v>333246</v>
      </c>
      <c r="B1013" s="90" t="s">
        <v>3967</v>
      </c>
      <c r="C1013" s="90" t="s">
        <v>508</v>
      </c>
      <c r="D1013" s="90" t="s">
        <v>3968</v>
      </c>
      <c r="E1013" s="90" t="s">
        <v>3969</v>
      </c>
      <c r="F1013" s="90" t="s">
        <v>3970</v>
      </c>
      <c r="G1013" t="s">
        <v>512</v>
      </c>
    </row>
    <row r="1014" spans="1:7" x14ac:dyDescent="0.25">
      <c r="A1014" s="114">
        <v>333257</v>
      </c>
      <c r="B1014" s="90" t="s">
        <v>3971</v>
      </c>
      <c r="C1014" s="90" t="s">
        <v>508</v>
      </c>
      <c r="D1014" s="90" t="s">
        <v>3972</v>
      </c>
      <c r="E1014" s="90" t="s">
        <v>1190</v>
      </c>
      <c r="F1014" s="90" t="s">
        <v>3973</v>
      </c>
      <c r="G1014" t="s">
        <v>512</v>
      </c>
    </row>
    <row r="1015" spans="1:7" x14ac:dyDescent="0.25">
      <c r="A1015" s="114">
        <v>333278</v>
      </c>
      <c r="B1015" s="90" t="s">
        <v>3974</v>
      </c>
      <c r="C1015" s="90" t="s">
        <v>508</v>
      </c>
      <c r="D1015" s="90" t="s">
        <v>3975</v>
      </c>
      <c r="E1015" s="90" t="s">
        <v>3976</v>
      </c>
      <c r="F1015" s="90" t="s">
        <v>257</v>
      </c>
      <c r="G1015" t="s">
        <v>512</v>
      </c>
    </row>
    <row r="1016" spans="1:7" x14ac:dyDescent="0.25">
      <c r="A1016" s="114">
        <v>333282</v>
      </c>
      <c r="B1016" s="90" t="s">
        <v>901</v>
      </c>
      <c r="C1016" s="90" t="s">
        <v>508</v>
      </c>
      <c r="D1016" s="90" t="s">
        <v>3977</v>
      </c>
      <c r="E1016" s="90" t="s">
        <v>1631</v>
      </c>
      <c r="F1016" s="90" t="s">
        <v>3978</v>
      </c>
      <c r="G1016" t="s">
        <v>512</v>
      </c>
    </row>
    <row r="1017" spans="1:7" x14ac:dyDescent="0.25">
      <c r="A1017" s="114">
        <v>333287</v>
      </c>
      <c r="B1017" s="90" t="s">
        <v>3979</v>
      </c>
      <c r="C1017" s="90" t="s">
        <v>508</v>
      </c>
      <c r="D1017" s="90" t="s">
        <v>3980</v>
      </c>
      <c r="E1017" s="90" t="s">
        <v>3981</v>
      </c>
      <c r="F1017" s="90" t="s">
        <v>3982</v>
      </c>
      <c r="G1017" t="s">
        <v>512</v>
      </c>
    </row>
    <row r="1018" spans="1:7" x14ac:dyDescent="0.25">
      <c r="A1018" s="114">
        <v>333289</v>
      </c>
      <c r="B1018" s="90" t="s">
        <v>3983</v>
      </c>
      <c r="C1018" s="90" t="s">
        <v>508</v>
      </c>
      <c r="D1018" s="90" t="s">
        <v>3984</v>
      </c>
      <c r="E1018" s="90" t="s">
        <v>517</v>
      </c>
      <c r="F1018" s="90" t="s">
        <v>3985</v>
      </c>
      <c r="G1018" t="s">
        <v>512</v>
      </c>
    </row>
    <row r="1019" spans="1:7" x14ac:dyDescent="0.25">
      <c r="A1019" s="114">
        <v>333293</v>
      </c>
      <c r="B1019" s="90" t="s">
        <v>3986</v>
      </c>
      <c r="C1019" s="90" t="s">
        <v>508</v>
      </c>
      <c r="D1019" s="90" t="s">
        <v>3987</v>
      </c>
      <c r="E1019" s="90" t="s">
        <v>748</v>
      </c>
      <c r="F1019" s="90" t="s">
        <v>3988</v>
      </c>
      <c r="G1019" t="s">
        <v>512</v>
      </c>
    </row>
    <row r="1020" spans="1:7" x14ac:dyDescent="0.25">
      <c r="A1020" s="114">
        <v>333333</v>
      </c>
      <c r="B1020" s="90" t="s">
        <v>693</v>
      </c>
      <c r="C1020" s="90" t="s">
        <v>508</v>
      </c>
      <c r="D1020" s="90" t="s">
        <v>3989</v>
      </c>
      <c r="E1020" s="90" t="s">
        <v>3990</v>
      </c>
      <c r="F1020" s="90" t="s">
        <v>3991</v>
      </c>
      <c r="G1020" t="s">
        <v>512</v>
      </c>
    </row>
    <row r="1021" spans="1:7" x14ac:dyDescent="0.25">
      <c r="A1021" s="114">
        <v>333336</v>
      </c>
      <c r="B1021" s="90" t="s">
        <v>802</v>
      </c>
      <c r="C1021" s="90" t="s">
        <v>508</v>
      </c>
      <c r="D1021" s="90" t="s">
        <v>3992</v>
      </c>
      <c r="E1021" s="90" t="s">
        <v>583</v>
      </c>
      <c r="F1021" s="90" t="s">
        <v>804</v>
      </c>
      <c r="G1021" t="s">
        <v>512</v>
      </c>
    </row>
    <row r="1022" spans="1:7" x14ac:dyDescent="0.25">
      <c r="A1022" s="114">
        <v>333380</v>
      </c>
      <c r="B1022" s="90" t="s">
        <v>3993</v>
      </c>
      <c r="C1022" s="90" t="s">
        <v>508</v>
      </c>
      <c r="D1022" s="90" t="s">
        <v>3994</v>
      </c>
      <c r="E1022" s="90" t="s">
        <v>583</v>
      </c>
      <c r="F1022" s="90" t="s">
        <v>3995</v>
      </c>
      <c r="G1022" t="s">
        <v>512</v>
      </c>
    </row>
    <row r="1023" spans="1:7" x14ac:dyDescent="0.25">
      <c r="A1023" s="114">
        <v>333381</v>
      </c>
      <c r="B1023" s="90" t="s">
        <v>3996</v>
      </c>
      <c r="C1023" s="90" t="s">
        <v>508</v>
      </c>
      <c r="D1023" s="90" t="s">
        <v>3997</v>
      </c>
      <c r="E1023" s="90" t="s">
        <v>583</v>
      </c>
      <c r="F1023" s="90" t="s">
        <v>3998</v>
      </c>
      <c r="G1023" t="s">
        <v>512</v>
      </c>
    </row>
    <row r="1024" spans="1:7" x14ac:dyDescent="0.25">
      <c r="A1024" s="114">
        <v>333382</v>
      </c>
      <c r="B1024" s="90" t="s">
        <v>3999</v>
      </c>
      <c r="C1024" s="90" t="s">
        <v>508</v>
      </c>
      <c r="D1024" s="90" t="s">
        <v>4000</v>
      </c>
      <c r="E1024" s="90" t="s">
        <v>4001</v>
      </c>
      <c r="F1024" s="90" t="s">
        <v>4002</v>
      </c>
      <c r="G1024" t="s">
        <v>512</v>
      </c>
    </row>
    <row r="1025" spans="1:7" x14ac:dyDescent="0.25">
      <c r="A1025" s="114">
        <v>333427</v>
      </c>
      <c r="B1025" s="90" t="s">
        <v>1401</v>
      </c>
      <c r="C1025" s="90" t="s">
        <v>508</v>
      </c>
      <c r="D1025" s="90" t="s">
        <v>4003</v>
      </c>
      <c r="E1025" s="90" t="s">
        <v>3054</v>
      </c>
      <c r="F1025" s="90" t="s">
        <v>4004</v>
      </c>
      <c r="G1025" t="s">
        <v>512</v>
      </c>
    </row>
    <row r="1026" spans="1:7" x14ac:dyDescent="0.25">
      <c r="A1026" s="114">
        <v>333447</v>
      </c>
      <c r="B1026" s="90" t="s">
        <v>4005</v>
      </c>
      <c r="C1026" s="90" t="s">
        <v>508</v>
      </c>
      <c r="D1026" s="90" t="s">
        <v>4006</v>
      </c>
      <c r="E1026" s="90" t="s">
        <v>4007</v>
      </c>
      <c r="F1026" s="90" t="s">
        <v>4005</v>
      </c>
      <c r="G1026" t="s">
        <v>512</v>
      </c>
    </row>
    <row r="1027" spans="1:7" x14ac:dyDescent="0.25">
      <c r="A1027" s="114">
        <v>333472</v>
      </c>
      <c r="B1027" s="90" t="s">
        <v>4008</v>
      </c>
      <c r="C1027" s="90" t="s">
        <v>508</v>
      </c>
      <c r="D1027" s="90" t="s">
        <v>4009</v>
      </c>
      <c r="E1027" s="90" t="s">
        <v>1194</v>
      </c>
      <c r="F1027" s="90" t="s">
        <v>4010</v>
      </c>
      <c r="G1027" t="s">
        <v>512</v>
      </c>
    </row>
    <row r="1028" spans="1:7" x14ac:dyDescent="0.25">
      <c r="A1028" s="114">
        <v>333504</v>
      </c>
      <c r="B1028" s="90" t="s">
        <v>4011</v>
      </c>
      <c r="C1028" s="90" t="s">
        <v>508</v>
      </c>
      <c r="D1028" s="90" t="s">
        <v>4012</v>
      </c>
      <c r="E1028" s="90" t="s">
        <v>4013</v>
      </c>
      <c r="F1028" s="90" t="s">
        <v>4014</v>
      </c>
      <c r="G1028" t="s">
        <v>512</v>
      </c>
    </row>
    <row r="1029" spans="1:7" x14ac:dyDescent="0.25">
      <c r="A1029" s="114">
        <v>333505</v>
      </c>
      <c r="B1029" s="90" t="s">
        <v>4015</v>
      </c>
      <c r="C1029" s="90" t="s">
        <v>508</v>
      </c>
      <c r="D1029" s="90" t="s">
        <v>3977</v>
      </c>
      <c r="E1029" s="90" t="s">
        <v>1631</v>
      </c>
      <c r="F1029" s="90" t="s">
        <v>4016</v>
      </c>
      <c r="G1029" t="s">
        <v>512</v>
      </c>
    </row>
    <row r="1030" spans="1:7" x14ac:dyDescent="0.25">
      <c r="A1030" s="114">
        <v>333519</v>
      </c>
      <c r="B1030" s="90" t="s">
        <v>4017</v>
      </c>
      <c r="C1030" s="90" t="s">
        <v>508</v>
      </c>
      <c r="D1030" s="90" t="s">
        <v>4018</v>
      </c>
      <c r="E1030" s="90" t="s">
        <v>2492</v>
      </c>
      <c r="F1030" s="90" t="s">
        <v>4019</v>
      </c>
      <c r="G1030" t="s">
        <v>512</v>
      </c>
    </row>
    <row r="1031" spans="1:7" x14ac:dyDescent="0.25">
      <c r="A1031" s="114">
        <v>333524</v>
      </c>
      <c r="B1031" s="90" t="s">
        <v>4020</v>
      </c>
      <c r="C1031" s="90" t="s">
        <v>508</v>
      </c>
      <c r="D1031" s="90" t="s">
        <v>3139</v>
      </c>
      <c r="E1031" s="90" t="s">
        <v>1256</v>
      </c>
      <c r="F1031" s="90" t="s">
        <v>4021</v>
      </c>
      <c r="G1031" t="s">
        <v>512</v>
      </c>
    </row>
    <row r="1032" spans="1:7" x14ac:dyDescent="0.25">
      <c r="A1032" s="114">
        <v>333529</v>
      </c>
      <c r="B1032" s="90" t="s">
        <v>4022</v>
      </c>
      <c r="C1032" s="90" t="s">
        <v>508</v>
      </c>
      <c r="D1032" s="90" t="s">
        <v>4023</v>
      </c>
      <c r="E1032" s="90" t="s">
        <v>4024</v>
      </c>
      <c r="F1032" s="90" t="s">
        <v>4025</v>
      </c>
      <c r="G1032" t="s">
        <v>512</v>
      </c>
    </row>
    <row r="1033" spans="1:7" x14ac:dyDescent="0.25">
      <c r="A1033" s="114">
        <v>333575</v>
      </c>
      <c r="B1033" s="90" t="s">
        <v>4026</v>
      </c>
      <c r="C1033" s="90" t="s">
        <v>508</v>
      </c>
      <c r="D1033" s="90" t="s">
        <v>4027</v>
      </c>
      <c r="E1033" s="90" t="s">
        <v>3246</v>
      </c>
      <c r="F1033" s="90" t="s">
        <v>4028</v>
      </c>
      <c r="G1033" t="s">
        <v>512</v>
      </c>
    </row>
    <row r="1034" spans="1:7" x14ac:dyDescent="0.25">
      <c r="A1034" s="114">
        <v>333591</v>
      </c>
      <c r="B1034" s="90" t="s">
        <v>4029</v>
      </c>
      <c r="C1034" s="90" t="s">
        <v>508</v>
      </c>
      <c r="D1034" s="90" t="s">
        <v>4030</v>
      </c>
      <c r="E1034" s="90" t="s">
        <v>3897</v>
      </c>
      <c r="F1034" s="90" t="s">
        <v>4031</v>
      </c>
      <c r="G1034" t="s">
        <v>512</v>
      </c>
    </row>
    <row r="1035" spans="1:7" x14ac:dyDescent="0.25">
      <c r="A1035" s="114">
        <v>333623</v>
      </c>
      <c r="B1035" s="90" t="s">
        <v>4032</v>
      </c>
      <c r="C1035" s="90" t="s">
        <v>508</v>
      </c>
      <c r="D1035" s="90" t="s">
        <v>4033</v>
      </c>
      <c r="E1035" s="90" t="s">
        <v>4034</v>
      </c>
      <c r="F1035" s="90" t="s">
        <v>4035</v>
      </c>
      <c r="G1035" t="s">
        <v>512</v>
      </c>
    </row>
    <row r="1036" spans="1:7" x14ac:dyDescent="0.25">
      <c r="A1036" s="114">
        <v>333651</v>
      </c>
      <c r="B1036" s="90" t="s">
        <v>4036</v>
      </c>
      <c r="C1036" s="90" t="s">
        <v>508</v>
      </c>
      <c r="D1036" s="90" t="s">
        <v>4037</v>
      </c>
      <c r="E1036" s="90" t="s">
        <v>614</v>
      </c>
      <c r="F1036" s="90" t="s">
        <v>4038</v>
      </c>
      <c r="G1036" t="s">
        <v>512</v>
      </c>
    </row>
    <row r="1037" spans="1:7" x14ac:dyDescent="0.25">
      <c r="A1037" s="114">
        <v>333701</v>
      </c>
      <c r="B1037" s="90" t="s">
        <v>4039</v>
      </c>
      <c r="C1037" s="90" t="s">
        <v>508</v>
      </c>
      <c r="D1037" s="90" t="s">
        <v>4040</v>
      </c>
      <c r="E1037" s="90" t="s">
        <v>583</v>
      </c>
      <c r="F1037" s="90" t="s">
        <v>4041</v>
      </c>
      <c r="G1037" t="s">
        <v>512</v>
      </c>
    </row>
    <row r="1038" spans="1:7" x14ac:dyDescent="0.25">
      <c r="A1038" s="114">
        <v>333713</v>
      </c>
      <c r="B1038" s="90" t="s">
        <v>4042</v>
      </c>
      <c r="C1038" s="90" t="s">
        <v>508</v>
      </c>
      <c r="D1038" s="90" t="s">
        <v>4043</v>
      </c>
      <c r="E1038" s="90" t="s">
        <v>4044</v>
      </c>
      <c r="F1038" s="90" t="s">
        <v>4045</v>
      </c>
      <c r="G1038" t="s">
        <v>512</v>
      </c>
    </row>
    <row r="1039" spans="1:7" x14ac:dyDescent="0.25">
      <c r="A1039" s="114">
        <v>333714</v>
      </c>
      <c r="B1039" s="90" t="s">
        <v>4046</v>
      </c>
      <c r="C1039" s="90" t="s">
        <v>508</v>
      </c>
      <c r="D1039" s="90" t="s">
        <v>4047</v>
      </c>
      <c r="E1039" s="90" t="s">
        <v>4048</v>
      </c>
      <c r="F1039" s="90" t="s">
        <v>4049</v>
      </c>
      <c r="G1039" t="s">
        <v>512</v>
      </c>
    </row>
    <row r="1040" spans="1:7" x14ac:dyDescent="0.25">
      <c r="A1040" s="114">
        <v>333718</v>
      </c>
      <c r="B1040" s="90" t="s">
        <v>4050</v>
      </c>
      <c r="C1040" s="90" t="s">
        <v>508</v>
      </c>
      <c r="D1040" s="90" t="s">
        <v>4051</v>
      </c>
      <c r="E1040" s="90" t="s">
        <v>4052</v>
      </c>
      <c r="F1040" s="90" t="s">
        <v>4053</v>
      </c>
      <c r="G1040" t="s">
        <v>512</v>
      </c>
    </row>
    <row r="1041" spans="1:7" x14ac:dyDescent="0.25">
      <c r="A1041" s="114">
        <v>333780</v>
      </c>
      <c r="B1041" s="90" t="s">
        <v>4054</v>
      </c>
      <c r="C1041" s="90" t="s">
        <v>508</v>
      </c>
      <c r="D1041" s="90" t="s">
        <v>4055</v>
      </c>
      <c r="E1041" s="90" t="s">
        <v>3037</v>
      </c>
      <c r="F1041" s="90" t="s">
        <v>4056</v>
      </c>
      <c r="G1041" t="s">
        <v>512</v>
      </c>
    </row>
    <row r="1042" spans="1:7" x14ac:dyDescent="0.25">
      <c r="A1042" s="114">
        <v>333785</v>
      </c>
      <c r="B1042" s="90" t="s">
        <v>4057</v>
      </c>
      <c r="C1042" s="90" t="s">
        <v>508</v>
      </c>
      <c r="D1042" s="90" t="s">
        <v>4058</v>
      </c>
      <c r="E1042" s="90" t="s">
        <v>910</v>
      </c>
      <c r="F1042" s="90" t="s">
        <v>4059</v>
      </c>
      <c r="G1042" t="s">
        <v>512</v>
      </c>
    </row>
    <row r="1043" spans="1:7" x14ac:dyDescent="0.25">
      <c r="A1043" s="114">
        <v>333867</v>
      </c>
      <c r="B1043" s="90" t="s">
        <v>4060</v>
      </c>
      <c r="C1043" s="90" t="s">
        <v>508</v>
      </c>
      <c r="D1043" s="90" t="s">
        <v>4061</v>
      </c>
      <c r="E1043" s="90" t="s">
        <v>2492</v>
      </c>
      <c r="F1043" s="90" t="s">
        <v>4062</v>
      </c>
      <c r="G1043" t="s">
        <v>512</v>
      </c>
    </row>
    <row r="1044" spans="1:7" x14ac:dyDescent="0.25">
      <c r="A1044" s="114">
        <v>333877</v>
      </c>
      <c r="B1044" s="90" t="s">
        <v>4063</v>
      </c>
      <c r="C1044" s="90" t="s">
        <v>508</v>
      </c>
      <c r="D1044" s="90" t="s">
        <v>1428</v>
      </c>
      <c r="E1044" s="90" t="s">
        <v>695</v>
      </c>
      <c r="F1044" s="90" t="s">
        <v>4064</v>
      </c>
      <c r="G1044" t="s">
        <v>512</v>
      </c>
    </row>
    <row r="1045" spans="1:7" x14ac:dyDescent="0.25">
      <c r="A1045" s="114">
        <v>333906</v>
      </c>
      <c r="B1045" s="90" t="s">
        <v>873</v>
      </c>
      <c r="C1045" s="90" t="s">
        <v>508</v>
      </c>
      <c r="D1045" s="90" t="s">
        <v>4065</v>
      </c>
      <c r="E1045" s="90" t="s">
        <v>583</v>
      </c>
      <c r="F1045" s="90" t="s">
        <v>4066</v>
      </c>
      <c r="G1045" t="s">
        <v>512</v>
      </c>
    </row>
    <row r="1046" spans="1:7" x14ac:dyDescent="0.25">
      <c r="A1046" s="114">
        <v>333973</v>
      </c>
      <c r="B1046" s="90" t="s">
        <v>4067</v>
      </c>
      <c r="C1046" s="90" t="s">
        <v>508</v>
      </c>
      <c r="D1046" s="90" t="s">
        <v>4068</v>
      </c>
      <c r="E1046" s="90" t="s">
        <v>4069</v>
      </c>
      <c r="F1046" s="90" t="s">
        <v>4070</v>
      </c>
      <c r="G1046" t="s">
        <v>512</v>
      </c>
    </row>
    <row r="1047" spans="1:7" x14ac:dyDescent="0.25">
      <c r="A1047" s="114">
        <v>334006</v>
      </c>
      <c r="B1047" s="90" t="s">
        <v>4071</v>
      </c>
      <c r="C1047" s="90" t="s">
        <v>508</v>
      </c>
      <c r="D1047" s="90" t="s">
        <v>4072</v>
      </c>
      <c r="E1047" s="90" t="s">
        <v>1525</v>
      </c>
      <c r="F1047" s="90" t="s">
        <v>4073</v>
      </c>
      <c r="G1047" t="s">
        <v>512</v>
      </c>
    </row>
    <row r="1048" spans="1:7" x14ac:dyDescent="0.25">
      <c r="A1048" s="114">
        <v>334061</v>
      </c>
      <c r="B1048" s="90" t="s">
        <v>4074</v>
      </c>
      <c r="C1048" s="90" t="s">
        <v>508</v>
      </c>
      <c r="D1048" s="90" t="s">
        <v>4075</v>
      </c>
      <c r="E1048" s="90" t="s">
        <v>4076</v>
      </c>
      <c r="F1048" s="90" t="s">
        <v>4077</v>
      </c>
      <c r="G1048" t="s">
        <v>512</v>
      </c>
    </row>
    <row r="1049" spans="1:7" x14ac:dyDescent="0.25">
      <c r="A1049" s="114">
        <v>334157</v>
      </c>
      <c r="B1049" s="90" t="s">
        <v>4078</v>
      </c>
      <c r="C1049" s="90" t="s">
        <v>508</v>
      </c>
      <c r="D1049" s="90" t="s">
        <v>4079</v>
      </c>
      <c r="E1049" s="90" t="s">
        <v>4080</v>
      </c>
      <c r="F1049" s="90" t="s">
        <v>4078</v>
      </c>
      <c r="G1049" t="s">
        <v>512</v>
      </c>
    </row>
    <row r="1050" spans="1:7" x14ac:dyDescent="0.25">
      <c r="A1050" s="114">
        <v>334203</v>
      </c>
      <c r="B1050" s="90" t="s">
        <v>4081</v>
      </c>
      <c r="C1050" s="90" t="s">
        <v>508</v>
      </c>
      <c r="D1050" s="90" t="s">
        <v>4082</v>
      </c>
      <c r="E1050" s="90" t="s">
        <v>3071</v>
      </c>
      <c r="F1050" s="90" t="s">
        <v>4083</v>
      </c>
      <c r="G1050" t="s">
        <v>512</v>
      </c>
    </row>
    <row r="1051" spans="1:7" x14ac:dyDescent="0.25">
      <c r="A1051" s="114">
        <v>334217</v>
      </c>
      <c r="B1051" s="90" t="s">
        <v>4084</v>
      </c>
      <c r="C1051" s="90" t="s">
        <v>508</v>
      </c>
      <c r="D1051" s="90" t="s">
        <v>566</v>
      </c>
      <c r="E1051" s="90" t="s">
        <v>567</v>
      </c>
      <c r="F1051" s="90" t="s">
        <v>4085</v>
      </c>
      <c r="G1051" t="s">
        <v>512</v>
      </c>
    </row>
    <row r="1052" spans="1:7" x14ac:dyDescent="0.25">
      <c r="A1052" s="114">
        <v>334260</v>
      </c>
      <c r="B1052" s="90" t="s">
        <v>4086</v>
      </c>
      <c r="C1052" s="90" t="s">
        <v>508</v>
      </c>
      <c r="D1052" s="90" t="s">
        <v>4087</v>
      </c>
      <c r="E1052" s="90" t="s">
        <v>2687</v>
      </c>
      <c r="F1052" s="90" t="s">
        <v>4088</v>
      </c>
      <c r="G1052" t="s">
        <v>859</v>
      </c>
    </row>
    <row r="1053" spans="1:7" x14ac:dyDescent="0.25">
      <c r="A1053" s="114">
        <v>334329</v>
      </c>
      <c r="B1053" s="90" t="s">
        <v>4089</v>
      </c>
      <c r="C1053" s="90" t="s">
        <v>508</v>
      </c>
      <c r="D1053" s="90" t="s">
        <v>4090</v>
      </c>
      <c r="E1053" s="90" t="s">
        <v>626</v>
      </c>
      <c r="F1053" s="90" t="s">
        <v>4091</v>
      </c>
      <c r="G1053" t="s">
        <v>512</v>
      </c>
    </row>
    <row r="1054" spans="1:7" x14ac:dyDescent="0.25">
      <c r="A1054" s="114">
        <v>334336</v>
      </c>
      <c r="B1054" s="90" t="s">
        <v>4092</v>
      </c>
      <c r="C1054" s="90" t="s">
        <v>508</v>
      </c>
      <c r="D1054" s="90" t="s">
        <v>4093</v>
      </c>
      <c r="E1054" s="90" t="s">
        <v>4094</v>
      </c>
      <c r="F1054" s="90" t="s">
        <v>4095</v>
      </c>
      <c r="G1054" t="s">
        <v>512</v>
      </c>
    </row>
    <row r="1055" spans="1:7" x14ac:dyDescent="0.25">
      <c r="A1055" s="114">
        <v>334373</v>
      </c>
      <c r="B1055" s="90" t="s">
        <v>4096</v>
      </c>
      <c r="C1055" s="90" t="s">
        <v>508</v>
      </c>
      <c r="D1055" s="90" t="s">
        <v>4097</v>
      </c>
      <c r="E1055" s="90" t="s">
        <v>910</v>
      </c>
      <c r="F1055" s="90" t="s">
        <v>4098</v>
      </c>
      <c r="G1055" t="s">
        <v>512</v>
      </c>
    </row>
    <row r="1056" spans="1:7" x14ac:dyDescent="0.25">
      <c r="A1056" s="114">
        <v>334379</v>
      </c>
      <c r="B1056" s="90" t="s">
        <v>4099</v>
      </c>
      <c r="C1056" s="90" t="s">
        <v>508</v>
      </c>
      <c r="D1056" s="90" t="s">
        <v>4100</v>
      </c>
      <c r="E1056" s="90" t="s">
        <v>901</v>
      </c>
      <c r="F1056" s="90" t="s">
        <v>4101</v>
      </c>
      <c r="G1056" t="s">
        <v>512</v>
      </c>
    </row>
    <row r="1057" spans="1:7" x14ac:dyDescent="0.25">
      <c r="A1057" s="114">
        <v>334411</v>
      </c>
      <c r="B1057" s="90" t="s">
        <v>4102</v>
      </c>
      <c r="C1057" s="90" t="s">
        <v>508</v>
      </c>
      <c r="D1057" s="90" t="s">
        <v>3859</v>
      </c>
      <c r="E1057" s="90" t="s">
        <v>2976</v>
      </c>
      <c r="F1057" s="90" t="s">
        <v>4103</v>
      </c>
      <c r="G1057" t="s">
        <v>512</v>
      </c>
    </row>
    <row r="1058" spans="1:7" x14ac:dyDescent="0.25">
      <c r="A1058" s="114">
        <v>334419</v>
      </c>
      <c r="B1058" s="90" t="s">
        <v>4104</v>
      </c>
      <c r="C1058" s="90" t="s">
        <v>508</v>
      </c>
      <c r="D1058" s="90" t="s">
        <v>3896</v>
      </c>
      <c r="E1058" s="90" t="s">
        <v>4105</v>
      </c>
      <c r="F1058" s="90" t="s">
        <v>4106</v>
      </c>
      <c r="G1058" t="s">
        <v>512</v>
      </c>
    </row>
    <row r="1059" spans="1:7" x14ac:dyDescent="0.25">
      <c r="A1059" s="114">
        <v>334437</v>
      </c>
      <c r="B1059" s="90" t="s">
        <v>4107</v>
      </c>
      <c r="C1059" s="90" t="s">
        <v>508</v>
      </c>
      <c r="D1059" s="90" t="s">
        <v>4108</v>
      </c>
      <c r="E1059" s="90" t="s">
        <v>4109</v>
      </c>
      <c r="F1059" s="90" t="s">
        <v>4110</v>
      </c>
      <c r="G1059" t="s">
        <v>512</v>
      </c>
    </row>
    <row r="1060" spans="1:7" x14ac:dyDescent="0.25">
      <c r="A1060" s="114">
        <v>334449</v>
      </c>
      <c r="B1060" s="90" t="s">
        <v>4111</v>
      </c>
      <c r="C1060" s="90" t="s">
        <v>508</v>
      </c>
      <c r="D1060" s="90" t="s">
        <v>4112</v>
      </c>
      <c r="E1060" s="90" t="s">
        <v>3037</v>
      </c>
      <c r="F1060" s="90" t="s">
        <v>4113</v>
      </c>
      <c r="G1060" t="s">
        <v>512</v>
      </c>
    </row>
    <row r="1061" spans="1:7" x14ac:dyDescent="0.25">
      <c r="A1061" s="114">
        <v>334472</v>
      </c>
      <c r="B1061" s="90" t="s">
        <v>4114</v>
      </c>
      <c r="C1061" s="90" t="s">
        <v>508</v>
      </c>
      <c r="D1061" s="90" t="s">
        <v>4115</v>
      </c>
      <c r="E1061" s="90" t="s">
        <v>3897</v>
      </c>
      <c r="F1061" s="90" t="s">
        <v>4116</v>
      </c>
      <c r="G1061" t="s">
        <v>512</v>
      </c>
    </row>
    <row r="1062" spans="1:7" x14ac:dyDescent="0.25">
      <c r="A1062" s="114">
        <v>334474</v>
      </c>
      <c r="B1062" s="90" t="s">
        <v>4117</v>
      </c>
      <c r="C1062" s="90" t="s">
        <v>508</v>
      </c>
      <c r="D1062" s="90" t="s">
        <v>4118</v>
      </c>
      <c r="E1062" s="90" t="s">
        <v>4119</v>
      </c>
      <c r="F1062" s="90" t="s">
        <v>4120</v>
      </c>
      <c r="G1062" t="s">
        <v>512</v>
      </c>
    </row>
    <row r="1063" spans="1:7" x14ac:dyDescent="0.25">
      <c r="A1063" s="114">
        <v>334490</v>
      </c>
      <c r="B1063" s="90" t="s">
        <v>4121</v>
      </c>
      <c r="C1063" s="90" t="s">
        <v>508</v>
      </c>
      <c r="D1063" s="90" t="s">
        <v>1748</v>
      </c>
      <c r="E1063" s="90" t="s">
        <v>1749</v>
      </c>
      <c r="F1063" s="90" t="s">
        <v>4122</v>
      </c>
      <c r="G1063" t="s">
        <v>512</v>
      </c>
    </row>
    <row r="1064" spans="1:7" x14ac:dyDescent="0.25">
      <c r="A1064" s="114">
        <v>334503</v>
      </c>
      <c r="B1064" s="90" t="s">
        <v>4123</v>
      </c>
      <c r="C1064" s="90" t="s">
        <v>508</v>
      </c>
      <c r="D1064" s="90" t="s">
        <v>4124</v>
      </c>
      <c r="E1064" s="90" t="s">
        <v>4125</v>
      </c>
      <c r="F1064" s="90" t="s">
        <v>4126</v>
      </c>
      <c r="G1064" t="s">
        <v>512</v>
      </c>
    </row>
    <row r="1065" spans="1:7" x14ac:dyDescent="0.25">
      <c r="A1065" s="114">
        <v>334519</v>
      </c>
      <c r="B1065" s="90" t="s">
        <v>4127</v>
      </c>
      <c r="C1065" s="90" t="s">
        <v>508</v>
      </c>
      <c r="D1065" s="90" t="s">
        <v>4128</v>
      </c>
      <c r="E1065" s="90" t="s">
        <v>3013</v>
      </c>
      <c r="F1065" s="90" t="s">
        <v>4129</v>
      </c>
      <c r="G1065" t="s">
        <v>512</v>
      </c>
    </row>
    <row r="1066" spans="1:7" x14ac:dyDescent="0.25">
      <c r="A1066" s="114">
        <v>334558</v>
      </c>
      <c r="B1066" s="90" t="s">
        <v>4130</v>
      </c>
      <c r="C1066" s="90" t="s">
        <v>508</v>
      </c>
      <c r="D1066" s="90" t="s">
        <v>4131</v>
      </c>
      <c r="E1066" s="90" t="s">
        <v>583</v>
      </c>
      <c r="F1066" s="90" t="s">
        <v>4132</v>
      </c>
      <c r="G1066" t="s">
        <v>512</v>
      </c>
    </row>
    <row r="1067" spans="1:7" x14ac:dyDescent="0.25">
      <c r="A1067" s="114">
        <v>334577</v>
      </c>
      <c r="B1067" s="90" t="s">
        <v>4133</v>
      </c>
      <c r="C1067" s="90" t="s">
        <v>508</v>
      </c>
      <c r="D1067" s="90" t="s">
        <v>4134</v>
      </c>
      <c r="E1067" s="90" t="s">
        <v>610</v>
      </c>
      <c r="F1067" s="90" t="s">
        <v>4135</v>
      </c>
      <c r="G1067" t="s">
        <v>512</v>
      </c>
    </row>
    <row r="1068" spans="1:7" x14ac:dyDescent="0.25">
      <c r="A1068" s="114">
        <v>334591</v>
      </c>
      <c r="B1068" s="90" t="s">
        <v>4136</v>
      </c>
      <c r="C1068" s="90" t="s">
        <v>508</v>
      </c>
      <c r="D1068" s="90" t="s">
        <v>4137</v>
      </c>
      <c r="E1068" s="90" t="s">
        <v>1194</v>
      </c>
      <c r="F1068" s="90" t="s">
        <v>4138</v>
      </c>
      <c r="G1068" t="s">
        <v>512</v>
      </c>
    </row>
    <row r="1069" spans="1:7" x14ac:dyDescent="0.25">
      <c r="A1069" s="114">
        <v>334603</v>
      </c>
      <c r="B1069" s="90" t="s">
        <v>4139</v>
      </c>
      <c r="C1069" s="90" t="s">
        <v>508</v>
      </c>
      <c r="D1069" s="90" t="s">
        <v>4140</v>
      </c>
      <c r="E1069" s="90" t="s">
        <v>3346</v>
      </c>
      <c r="F1069" s="90" t="s">
        <v>4141</v>
      </c>
      <c r="G1069" t="s">
        <v>512</v>
      </c>
    </row>
    <row r="1070" spans="1:7" x14ac:dyDescent="0.25">
      <c r="A1070" s="114">
        <v>334606</v>
      </c>
      <c r="B1070" s="90" t="s">
        <v>4142</v>
      </c>
      <c r="C1070" s="90" t="s">
        <v>508</v>
      </c>
      <c r="D1070" s="90" t="s">
        <v>4143</v>
      </c>
      <c r="E1070" s="90" t="s">
        <v>4144</v>
      </c>
      <c r="F1070" s="90" t="s">
        <v>4145</v>
      </c>
      <c r="G1070" t="s">
        <v>512</v>
      </c>
    </row>
    <row r="1071" spans="1:7" x14ac:dyDescent="0.25">
      <c r="A1071" s="114">
        <v>334618</v>
      </c>
      <c r="B1071" s="90" t="s">
        <v>4146</v>
      </c>
      <c r="C1071" s="90" t="s">
        <v>508</v>
      </c>
      <c r="D1071" s="90" t="s">
        <v>4147</v>
      </c>
      <c r="E1071" s="90" t="s">
        <v>4148</v>
      </c>
      <c r="F1071" s="90" t="s">
        <v>4149</v>
      </c>
      <c r="G1071" t="s">
        <v>512</v>
      </c>
    </row>
    <row r="1072" spans="1:7" x14ac:dyDescent="0.25">
      <c r="A1072" s="114">
        <v>334619</v>
      </c>
      <c r="B1072" s="90" t="s">
        <v>4150</v>
      </c>
      <c r="C1072" s="90" t="s">
        <v>508</v>
      </c>
      <c r="D1072" s="90" t="s">
        <v>4151</v>
      </c>
      <c r="E1072" s="90" t="s">
        <v>1089</v>
      </c>
      <c r="F1072" s="90" t="s">
        <v>4152</v>
      </c>
      <c r="G1072" t="s">
        <v>512</v>
      </c>
    </row>
    <row r="1073" spans="1:7" x14ac:dyDescent="0.25">
      <c r="A1073" s="114">
        <v>334650</v>
      </c>
      <c r="B1073" s="90" t="s">
        <v>4153</v>
      </c>
      <c r="C1073" s="90" t="s">
        <v>508</v>
      </c>
      <c r="D1073" s="90" t="s">
        <v>4154</v>
      </c>
      <c r="E1073" s="90" t="s">
        <v>4155</v>
      </c>
      <c r="F1073" s="90" t="s">
        <v>4156</v>
      </c>
      <c r="G1073" t="s">
        <v>512</v>
      </c>
    </row>
    <row r="1074" spans="1:7" x14ac:dyDescent="0.25">
      <c r="A1074" s="114">
        <v>334658</v>
      </c>
      <c r="B1074" s="90" t="s">
        <v>4157</v>
      </c>
      <c r="C1074" s="90" t="s">
        <v>508</v>
      </c>
      <c r="D1074" s="90" t="s">
        <v>4158</v>
      </c>
      <c r="E1074" s="90" t="s">
        <v>4159</v>
      </c>
      <c r="F1074" s="90" t="s">
        <v>4160</v>
      </c>
      <c r="G1074" t="s">
        <v>512</v>
      </c>
    </row>
    <row r="1075" spans="1:7" x14ac:dyDescent="0.25">
      <c r="A1075" s="114">
        <v>334722</v>
      </c>
      <c r="B1075" s="90" t="s">
        <v>4161</v>
      </c>
      <c r="C1075" s="90" t="s">
        <v>508</v>
      </c>
      <c r="D1075" s="90" t="s">
        <v>4093</v>
      </c>
      <c r="E1075" s="90" t="s">
        <v>4162</v>
      </c>
      <c r="F1075" s="90" t="s">
        <v>4163</v>
      </c>
      <c r="G1075" t="s">
        <v>512</v>
      </c>
    </row>
    <row r="1076" spans="1:7" x14ac:dyDescent="0.25">
      <c r="A1076" s="114">
        <v>334732</v>
      </c>
      <c r="B1076" s="90" t="s">
        <v>4164</v>
      </c>
      <c r="C1076" s="90" t="s">
        <v>508</v>
      </c>
      <c r="D1076" s="90" t="s">
        <v>4165</v>
      </c>
      <c r="E1076" s="90" t="s">
        <v>4166</v>
      </c>
      <c r="F1076" s="90" t="s">
        <v>4167</v>
      </c>
      <c r="G1076" t="s">
        <v>512</v>
      </c>
    </row>
    <row r="1077" spans="1:7" x14ac:dyDescent="0.25">
      <c r="A1077" s="114">
        <v>334759</v>
      </c>
      <c r="B1077" s="90" t="s">
        <v>4168</v>
      </c>
      <c r="C1077" s="90" t="s">
        <v>508</v>
      </c>
      <c r="D1077" s="90" t="s">
        <v>4169</v>
      </c>
      <c r="E1077" s="90" t="s">
        <v>4170</v>
      </c>
      <c r="F1077" s="90" t="s">
        <v>4171</v>
      </c>
      <c r="G1077" t="s">
        <v>512</v>
      </c>
    </row>
    <row r="1078" spans="1:7" x14ac:dyDescent="0.25">
      <c r="A1078" s="114">
        <v>334793</v>
      </c>
      <c r="B1078" s="90" t="s">
        <v>4172</v>
      </c>
      <c r="C1078" s="90" t="s">
        <v>508</v>
      </c>
      <c r="D1078" s="90" t="s">
        <v>4173</v>
      </c>
      <c r="E1078" s="90" t="s">
        <v>2469</v>
      </c>
      <c r="F1078" s="90" t="s">
        <v>4174</v>
      </c>
      <c r="G1078" t="s">
        <v>512</v>
      </c>
    </row>
    <row r="1079" spans="1:7" x14ac:dyDescent="0.25">
      <c r="A1079" s="114">
        <v>334819</v>
      </c>
      <c r="B1079" s="90" t="s">
        <v>4175</v>
      </c>
      <c r="C1079" s="90" t="s">
        <v>508</v>
      </c>
      <c r="D1079" s="90" t="s">
        <v>4176</v>
      </c>
      <c r="E1079" s="90" t="s">
        <v>4177</v>
      </c>
      <c r="F1079" s="90" t="s">
        <v>4178</v>
      </c>
      <c r="G1079" t="s">
        <v>512</v>
      </c>
    </row>
    <row r="1080" spans="1:7" x14ac:dyDescent="0.25">
      <c r="A1080" s="114">
        <v>334837</v>
      </c>
      <c r="B1080" s="90" t="s">
        <v>4179</v>
      </c>
      <c r="C1080" s="90" t="s">
        <v>508</v>
      </c>
      <c r="D1080" s="90" t="s">
        <v>4180</v>
      </c>
      <c r="E1080" s="90" t="s">
        <v>3662</v>
      </c>
      <c r="F1080" s="90" t="s">
        <v>4181</v>
      </c>
      <c r="G1080" t="s">
        <v>512</v>
      </c>
    </row>
    <row r="1081" spans="1:7" x14ac:dyDescent="0.25">
      <c r="A1081" s="114">
        <v>334910</v>
      </c>
      <c r="B1081" s="90" t="s">
        <v>581</v>
      </c>
      <c r="C1081" s="90" t="s">
        <v>508</v>
      </c>
      <c r="D1081" s="90" t="s">
        <v>4182</v>
      </c>
      <c r="E1081" s="90" t="s">
        <v>822</v>
      </c>
      <c r="F1081" s="90" t="s">
        <v>584</v>
      </c>
      <c r="G1081" t="s">
        <v>512</v>
      </c>
    </row>
    <row r="1082" spans="1:7" x14ac:dyDescent="0.25">
      <c r="A1082" s="114">
        <v>334918</v>
      </c>
      <c r="B1082" s="90" t="s">
        <v>4183</v>
      </c>
      <c r="C1082" s="90" t="s">
        <v>508</v>
      </c>
      <c r="D1082" s="90" t="s">
        <v>4184</v>
      </c>
      <c r="E1082" s="90" t="s">
        <v>4185</v>
      </c>
      <c r="F1082" s="90" t="s">
        <v>4186</v>
      </c>
      <c r="G1082" t="s">
        <v>512</v>
      </c>
    </row>
    <row r="1083" spans="1:7" x14ac:dyDescent="0.25">
      <c r="A1083" s="114">
        <v>334924</v>
      </c>
      <c r="B1083" s="90" t="s">
        <v>4187</v>
      </c>
      <c r="C1083" s="90" t="s">
        <v>508</v>
      </c>
      <c r="D1083" s="90" t="s">
        <v>4188</v>
      </c>
      <c r="E1083" s="90" t="s">
        <v>4189</v>
      </c>
      <c r="F1083" s="90" t="s">
        <v>4190</v>
      </c>
      <c r="G1083" t="s">
        <v>512</v>
      </c>
    </row>
    <row r="1084" spans="1:7" x14ac:dyDescent="0.25">
      <c r="A1084" s="114">
        <v>334938</v>
      </c>
      <c r="B1084" s="90" t="s">
        <v>3124</v>
      </c>
      <c r="C1084" s="90" t="s">
        <v>508</v>
      </c>
      <c r="D1084" s="90" t="s">
        <v>4191</v>
      </c>
      <c r="E1084" s="90" t="s">
        <v>4192</v>
      </c>
      <c r="F1084" s="90" t="s">
        <v>4193</v>
      </c>
      <c r="G1084" t="s">
        <v>512</v>
      </c>
    </row>
    <row r="1085" spans="1:7" x14ac:dyDescent="0.25">
      <c r="A1085" s="114">
        <v>334948</v>
      </c>
      <c r="B1085" s="90" t="s">
        <v>4194</v>
      </c>
      <c r="C1085" s="90" t="s">
        <v>508</v>
      </c>
      <c r="D1085" s="90" t="s">
        <v>4195</v>
      </c>
      <c r="E1085" s="90" t="s">
        <v>563</v>
      </c>
      <c r="F1085" s="90" t="s">
        <v>4196</v>
      </c>
      <c r="G1085" t="s">
        <v>512</v>
      </c>
    </row>
    <row r="1086" spans="1:7" x14ac:dyDescent="0.25">
      <c r="A1086" s="114">
        <v>334992</v>
      </c>
      <c r="B1086" s="90" t="s">
        <v>4197</v>
      </c>
      <c r="C1086" s="90" t="s">
        <v>508</v>
      </c>
      <c r="D1086" s="90" t="s">
        <v>4198</v>
      </c>
      <c r="E1086" s="90" t="s">
        <v>583</v>
      </c>
      <c r="F1086" s="90" t="s">
        <v>786</v>
      </c>
      <c r="G1086" t="s">
        <v>512</v>
      </c>
    </row>
    <row r="1087" spans="1:7" x14ac:dyDescent="0.25">
      <c r="A1087" s="114">
        <v>334996</v>
      </c>
      <c r="B1087" s="90" t="s">
        <v>4199</v>
      </c>
      <c r="C1087" s="90" t="s">
        <v>508</v>
      </c>
      <c r="D1087" s="90" t="s">
        <v>3458</v>
      </c>
      <c r="E1087" s="90" t="s">
        <v>1256</v>
      </c>
      <c r="F1087" s="90" t="s">
        <v>4200</v>
      </c>
      <c r="G1087" t="s">
        <v>512</v>
      </c>
    </row>
    <row r="1088" spans="1:7" x14ac:dyDescent="0.25">
      <c r="A1088" s="114">
        <v>335001</v>
      </c>
      <c r="B1088" s="90" t="s">
        <v>4201</v>
      </c>
      <c r="C1088" s="90" t="s">
        <v>508</v>
      </c>
      <c r="D1088" s="90" t="s">
        <v>4202</v>
      </c>
      <c r="E1088" s="90" t="s">
        <v>4203</v>
      </c>
      <c r="F1088" s="90" t="s">
        <v>4204</v>
      </c>
      <c r="G1088" t="s">
        <v>512</v>
      </c>
    </row>
    <row r="1089" spans="1:7" x14ac:dyDescent="0.25">
      <c r="A1089" s="114">
        <v>335019</v>
      </c>
      <c r="B1089" s="90" t="s">
        <v>4205</v>
      </c>
      <c r="C1089" s="90" t="s">
        <v>508</v>
      </c>
      <c r="D1089" s="90" t="s">
        <v>4206</v>
      </c>
      <c r="E1089" s="90" t="s">
        <v>583</v>
      </c>
      <c r="F1089" s="90" t="s">
        <v>4207</v>
      </c>
      <c r="G1089" t="s">
        <v>512</v>
      </c>
    </row>
    <row r="1090" spans="1:7" x14ac:dyDescent="0.25">
      <c r="A1090" s="114">
        <v>335022</v>
      </c>
      <c r="B1090" s="90" t="s">
        <v>4208</v>
      </c>
      <c r="C1090" s="90" t="s">
        <v>508</v>
      </c>
      <c r="D1090" s="90" t="s">
        <v>4209</v>
      </c>
      <c r="E1090" s="90" t="s">
        <v>583</v>
      </c>
      <c r="F1090" s="90" t="s">
        <v>4210</v>
      </c>
      <c r="G1090" t="s">
        <v>512</v>
      </c>
    </row>
    <row r="1091" spans="1:7" x14ac:dyDescent="0.25">
      <c r="A1091" s="114">
        <v>335112</v>
      </c>
      <c r="B1091" s="90" t="s">
        <v>4211</v>
      </c>
      <c r="C1091" s="90" t="s">
        <v>508</v>
      </c>
      <c r="D1091" s="90" t="s">
        <v>4212</v>
      </c>
      <c r="E1091" s="90" t="s">
        <v>1956</v>
      </c>
      <c r="F1091" s="90" t="s">
        <v>4213</v>
      </c>
      <c r="G1091" t="s">
        <v>512</v>
      </c>
    </row>
    <row r="1092" spans="1:7" x14ac:dyDescent="0.25">
      <c r="A1092" s="114">
        <v>335113</v>
      </c>
      <c r="B1092" s="90" t="s">
        <v>4214</v>
      </c>
      <c r="C1092" s="90" t="s">
        <v>508</v>
      </c>
      <c r="D1092" s="90" t="s">
        <v>4215</v>
      </c>
      <c r="E1092" s="90" t="s">
        <v>1670</v>
      </c>
      <c r="F1092" s="90" t="s">
        <v>4216</v>
      </c>
      <c r="G1092" t="s">
        <v>512</v>
      </c>
    </row>
    <row r="1093" spans="1:7" x14ac:dyDescent="0.25">
      <c r="A1093" s="114">
        <v>335129</v>
      </c>
      <c r="B1093" s="90" t="s">
        <v>4217</v>
      </c>
      <c r="C1093" s="90" t="s">
        <v>508</v>
      </c>
      <c r="D1093" s="90" t="s">
        <v>4218</v>
      </c>
      <c r="E1093" s="90" t="s">
        <v>4219</v>
      </c>
      <c r="F1093" s="90" t="s">
        <v>4220</v>
      </c>
      <c r="G1093" t="s">
        <v>512</v>
      </c>
    </row>
    <row r="1094" spans="1:7" x14ac:dyDescent="0.25">
      <c r="A1094" s="114">
        <v>335194</v>
      </c>
      <c r="B1094" s="90" t="s">
        <v>4221</v>
      </c>
      <c r="C1094" s="90" t="s">
        <v>508</v>
      </c>
      <c r="D1094" s="90" t="s">
        <v>4222</v>
      </c>
      <c r="E1094" s="90" t="s">
        <v>583</v>
      </c>
      <c r="F1094" s="90" t="s">
        <v>4223</v>
      </c>
      <c r="G1094" t="s">
        <v>859</v>
      </c>
    </row>
    <row r="1095" spans="1:7" x14ac:dyDescent="0.25">
      <c r="A1095" s="114">
        <v>335206</v>
      </c>
      <c r="B1095" s="90" t="s">
        <v>4224</v>
      </c>
      <c r="C1095" s="90" t="s">
        <v>508</v>
      </c>
      <c r="D1095" s="90" t="s">
        <v>4225</v>
      </c>
      <c r="E1095" s="90" t="s">
        <v>4226</v>
      </c>
      <c r="F1095" s="90" t="s">
        <v>4227</v>
      </c>
      <c r="G1095" t="s">
        <v>512</v>
      </c>
    </row>
    <row r="1096" spans="1:7" x14ac:dyDescent="0.25">
      <c r="A1096" s="114">
        <v>335318</v>
      </c>
      <c r="B1096" s="90" t="s">
        <v>4228</v>
      </c>
      <c r="C1096" s="90" t="s">
        <v>508</v>
      </c>
      <c r="D1096" s="90" t="s">
        <v>4229</v>
      </c>
      <c r="E1096" s="90" t="s">
        <v>3711</v>
      </c>
      <c r="F1096" s="90" t="s">
        <v>4230</v>
      </c>
      <c r="G1096" t="s">
        <v>512</v>
      </c>
    </row>
    <row r="1097" spans="1:7" x14ac:dyDescent="0.25">
      <c r="A1097" s="114">
        <v>335329</v>
      </c>
      <c r="B1097" s="90" t="s">
        <v>4231</v>
      </c>
      <c r="C1097" s="90" t="s">
        <v>508</v>
      </c>
      <c r="D1097" s="90" t="s">
        <v>4232</v>
      </c>
      <c r="E1097" s="90" t="s">
        <v>4233</v>
      </c>
      <c r="F1097" s="90" t="s">
        <v>4234</v>
      </c>
      <c r="G1097" t="s">
        <v>512</v>
      </c>
    </row>
    <row r="1098" spans="1:7" x14ac:dyDescent="0.25">
      <c r="A1098" s="114">
        <v>335408</v>
      </c>
      <c r="B1098" s="90" t="s">
        <v>4235</v>
      </c>
      <c r="C1098" s="90" t="s">
        <v>508</v>
      </c>
      <c r="D1098" s="90" t="s">
        <v>4236</v>
      </c>
      <c r="E1098" s="90" t="s">
        <v>1124</v>
      </c>
      <c r="F1098" s="90" t="s">
        <v>4237</v>
      </c>
      <c r="G1098" t="s">
        <v>512</v>
      </c>
    </row>
    <row r="1099" spans="1:7" x14ac:dyDescent="0.25">
      <c r="A1099" s="114">
        <v>335418</v>
      </c>
      <c r="B1099" s="90" t="s">
        <v>4238</v>
      </c>
      <c r="C1099" s="90" t="s">
        <v>508</v>
      </c>
      <c r="D1099" s="90" t="s">
        <v>878</v>
      </c>
      <c r="E1099" s="90" t="s">
        <v>879</v>
      </c>
      <c r="F1099" s="90" t="s">
        <v>4239</v>
      </c>
      <c r="G1099" t="s">
        <v>512</v>
      </c>
    </row>
    <row r="1100" spans="1:7" x14ac:dyDescent="0.25">
      <c r="A1100" s="114">
        <v>335421</v>
      </c>
      <c r="B1100" s="90" t="s">
        <v>4240</v>
      </c>
      <c r="C1100" s="90" t="s">
        <v>508</v>
      </c>
      <c r="D1100" s="90" t="s">
        <v>4241</v>
      </c>
      <c r="E1100" s="90" t="s">
        <v>2858</v>
      </c>
      <c r="F1100" s="90" t="s">
        <v>4242</v>
      </c>
      <c r="G1100" t="s">
        <v>512</v>
      </c>
    </row>
    <row r="1101" spans="1:7" x14ac:dyDescent="0.25">
      <c r="A1101" s="114">
        <v>335427</v>
      </c>
      <c r="B1101" s="90" t="s">
        <v>4194</v>
      </c>
      <c r="C1101" s="90" t="s">
        <v>508</v>
      </c>
      <c r="D1101" s="90" t="s">
        <v>4243</v>
      </c>
      <c r="E1101" s="90" t="s">
        <v>4244</v>
      </c>
      <c r="F1101" s="90" t="s">
        <v>4196</v>
      </c>
      <c r="G1101" t="s">
        <v>859</v>
      </c>
    </row>
    <row r="1102" spans="1:7" x14ac:dyDescent="0.25">
      <c r="A1102" s="114">
        <v>335433</v>
      </c>
      <c r="B1102" s="90" t="s">
        <v>4245</v>
      </c>
      <c r="C1102" s="90" t="s">
        <v>508</v>
      </c>
      <c r="D1102" s="90" t="s">
        <v>4246</v>
      </c>
      <c r="E1102" s="90" t="s">
        <v>3897</v>
      </c>
      <c r="F1102" s="90" t="s">
        <v>4247</v>
      </c>
      <c r="G1102" t="s">
        <v>859</v>
      </c>
    </row>
    <row r="1103" spans="1:7" x14ac:dyDescent="0.25">
      <c r="A1103" s="114">
        <v>335483</v>
      </c>
      <c r="B1103" s="90" t="s">
        <v>4248</v>
      </c>
      <c r="C1103" s="90" t="s">
        <v>508</v>
      </c>
      <c r="D1103" s="90" t="s">
        <v>4215</v>
      </c>
      <c r="E1103" s="90" t="s">
        <v>1670</v>
      </c>
      <c r="F1103" s="90" t="s">
        <v>4249</v>
      </c>
      <c r="G1103" t="s">
        <v>512</v>
      </c>
    </row>
    <row r="1104" spans="1:7" x14ac:dyDescent="0.25">
      <c r="A1104" s="114">
        <v>335499</v>
      </c>
      <c r="B1104" s="90" t="s">
        <v>4250</v>
      </c>
      <c r="C1104" s="90" t="s">
        <v>508</v>
      </c>
      <c r="D1104" s="90" t="s">
        <v>4251</v>
      </c>
      <c r="E1104" s="90" t="s">
        <v>1153</v>
      </c>
      <c r="F1104" s="90" t="s">
        <v>4252</v>
      </c>
      <c r="G1104" t="s">
        <v>512</v>
      </c>
    </row>
    <row r="1105" spans="1:7" x14ac:dyDescent="0.25">
      <c r="A1105" s="114">
        <v>335506</v>
      </c>
      <c r="B1105" s="90" t="s">
        <v>4253</v>
      </c>
      <c r="C1105" s="90" t="s">
        <v>508</v>
      </c>
      <c r="D1105" s="90" t="s">
        <v>4254</v>
      </c>
      <c r="E1105" s="90" t="s">
        <v>4255</v>
      </c>
      <c r="F1105" s="90" t="s">
        <v>4256</v>
      </c>
      <c r="G1105" t="s">
        <v>512</v>
      </c>
    </row>
    <row r="1106" spans="1:7" x14ac:dyDescent="0.25">
      <c r="A1106" s="114">
        <v>335547</v>
      </c>
      <c r="B1106" s="90" t="s">
        <v>4257</v>
      </c>
      <c r="C1106" s="90" t="s">
        <v>508</v>
      </c>
      <c r="D1106" s="90" t="s">
        <v>4258</v>
      </c>
      <c r="E1106" s="90" t="s">
        <v>4259</v>
      </c>
      <c r="F1106" s="90" t="s">
        <v>4260</v>
      </c>
      <c r="G1106" t="s">
        <v>512</v>
      </c>
    </row>
    <row r="1107" spans="1:7" x14ac:dyDescent="0.25">
      <c r="A1107" s="114">
        <v>335582</v>
      </c>
      <c r="B1107" s="90" t="s">
        <v>4261</v>
      </c>
      <c r="C1107" s="90" t="s">
        <v>508</v>
      </c>
      <c r="D1107" s="90" t="s">
        <v>4262</v>
      </c>
      <c r="E1107" s="90" t="s">
        <v>698</v>
      </c>
      <c r="F1107" s="90" t="s">
        <v>4263</v>
      </c>
      <c r="G1107" t="s">
        <v>512</v>
      </c>
    </row>
    <row r="1108" spans="1:7" x14ac:dyDescent="0.25">
      <c r="A1108" s="114">
        <v>335608</v>
      </c>
      <c r="B1108" s="90" t="s">
        <v>4264</v>
      </c>
      <c r="C1108" s="90" t="s">
        <v>508</v>
      </c>
      <c r="D1108" s="90" t="s">
        <v>4265</v>
      </c>
      <c r="E1108" s="90" t="s">
        <v>583</v>
      </c>
      <c r="F1108" s="90" t="s">
        <v>4266</v>
      </c>
      <c r="G1108" t="s">
        <v>512</v>
      </c>
    </row>
    <row r="1109" spans="1:7" x14ac:dyDescent="0.25">
      <c r="A1109" s="114">
        <v>335627</v>
      </c>
      <c r="B1109" s="90" t="s">
        <v>4267</v>
      </c>
      <c r="C1109" s="90" t="s">
        <v>508</v>
      </c>
      <c r="D1109" s="90" t="s">
        <v>4268</v>
      </c>
      <c r="E1109" s="90" t="s">
        <v>4269</v>
      </c>
      <c r="F1109" s="90" t="s">
        <v>4270</v>
      </c>
      <c r="G1109" t="s">
        <v>512</v>
      </c>
    </row>
    <row r="1110" spans="1:7" x14ac:dyDescent="0.25">
      <c r="A1110" s="114">
        <v>335658</v>
      </c>
      <c r="B1110" s="90" t="s">
        <v>4271</v>
      </c>
      <c r="C1110" s="90" t="s">
        <v>508</v>
      </c>
      <c r="D1110" s="90" t="s">
        <v>4272</v>
      </c>
      <c r="E1110" s="90" t="s">
        <v>698</v>
      </c>
      <c r="F1110" s="90" t="s">
        <v>4273</v>
      </c>
      <c r="G1110" t="s">
        <v>512</v>
      </c>
    </row>
    <row r="1111" spans="1:7" x14ac:dyDescent="0.25">
      <c r="A1111" s="114">
        <v>335659</v>
      </c>
      <c r="B1111" s="90" t="s">
        <v>4274</v>
      </c>
      <c r="C1111" s="90" t="s">
        <v>508</v>
      </c>
      <c r="D1111" s="90" t="s">
        <v>4275</v>
      </c>
      <c r="E1111" s="90" t="s">
        <v>4276</v>
      </c>
      <c r="F1111" s="90" t="s">
        <v>4277</v>
      </c>
      <c r="G1111" t="s">
        <v>512</v>
      </c>
    </row>
    <row r="1112" spans="1:7" x14ac:dyDescent="0.25">
      <c r="A1112" s="114">
        <v>335661</v>
      </c>
      <c r="B1112" s="90" t="s">
        <v>4278</v>
      </c>
      <c r="C1112" s="90" t="s">
        <v>508</v>
      </c>
      <c r="D1112" s="90" t="s">
        <v>1532</v>
      </c>
      <c r="E1112" s="90" t="s">
        <v>4279</v>
      </c>
      <c r="F1112" s="90" t="s">
        <v>4278</v>
      </c>
      <c r="G1112" t="s">
        <v>512</v>
      </c>
    </row>
    <row r="1113" spans="1:7" x14ac:dyDescent="0.25">
      <c r="A1113" s="114">
        <v>335667</v>
      </c>
      <c r="B1113" s="90" t="s">
        <v>4280</v>
      </c>
      <c r="C1113" s="90" t="s">
        <v>508</v>
      </c>
      <c r="D1113" s="90" t="s">
        <v>4281</v>
      </c>
      <c r="E1113" s="90" t="s">
        <v>563</v>
      </c>
      <c r="F1113" s="90" t="s">
        <v>4282</v>
      </c>
      <c r="G1113" t="s">
        <v>512</v>
      </c>
    </row>
    <row r="1114" spans="1:7" x14ac:dyDescent="0.25">
      <c r="A1114" s="114">
        <v>335709</v>
      </c>
      <c r="B1114" s="90" t="s">
        <v>4283</v>
      </c>
      <c r="C1114" s="90" t="s">
        <v>508</v>
      </c>
      <c r="D1114" s="90" t="s">
        <v>4030</v>
      </c>
      <c r="E1114" s="90" t="s">
        <v>3897</v>
      </c>
      <c r="F1114" s="90" t="s">
        <v>4284</v>
      </c>
      <c r="G1114" t="s">
        <v>512</v>
      </c>
    </row>
    <row r="1115" spans="1:7" x14ac:dyDescent="0.25">
      <c r="A1115" s="114">
        <v>335740</v>
      </c>
      <c r="B1115" s="90" t="s">
        <v>4285</v>
      </c>
      <c r="C1115" s="90" t="s">
        <v>508</v>
      </c>
      <c r="D1115" s="90" t="s">
        <v>4286</v>
      </c>
      <c r="E1115" s="90" t="s">
        <v>4287</v>
      </c>
      <c r="F1115" s="90" t="s">
        <v>4288</v>
      </c>
      <c r="G1115" t="s">
        <v>512</v>
      </c>
    </row>
    <row r="1116" spans="1:7" x14ac:dyDescent="0.25">
      <c r="A1116" s="114">
        <v>335768</v>
      </c>
      <c r="B1116" s="90" t="s">
        <v>4289</v>
      </c>
      <c r="C1116" s="90" t="s">
        <v>508</v>
      </c>
      <c r="D1116" s="90" t="s">
        <v>4290</v>
      </c>
      <c r="E1116" s="90" t="s">
        <v>714</v>
      </c>
      <c r="F1116" s="90" t="s">
        <v>4291</v>
      </c>
      <c r="G1116" t="s">
        <v>512</v>
      </c>
    </row>
    <row r="1117" spans="1:7" x14ac:dyDescent="0.25">
      <c r="A1117" s="114">
        <v>335771</v>
      </c>
      <c r="B1117" s="90" t="s">
        <v>4292</v>
      </c>
      <c r="C1117" s="90" t="s">
        <v>508</v>
      </c>
      <c r="D1117" s="90" t="s">
        <v>4293</v>
      </c>
      <c r="E1117" s="90" t="s">
        <v>1715</v>
      </c>
      <c r="F1117" s="90" t="s">
        <v>4294</v>
      </c>
      <c r="G1117" t="s">
        <v>512</v>
      </c>
    </row>
    <row r="1118" spans="1:7" x14ac:dyDescent="0.25">
      <c r="A1118" s="114">
        <v>335775</v>
      </c>
      <c r="B1118" s="90" t="s">
        <v>4295</v>
      </c>
      <c r="C1118" s="90" t="s">
        <v>508</v>
      </c>
      <c r="D1118" s="90" t="s">
        <v>4296</v>
      </c>
      <c r="E1118" s="90" t="s">
        <v>1153</v>
      </c>
      <c r="F1118" s="90" t="s">
        <v>4297</v>
      </c>
      <c r="G1118" t="s">
        <v>512</v>
      </c>
    </row>
    <row r="1119" spans="1:7" x14ac:dyDescent="0.25">
      <c r="A1119" s="114">
        <v>335797</v>
      </c>
      <c r="B1119" s="90" t="s">
        <v>3024</v>
      </c>
      <c r="C1119" s="90" t="s">
        <v>508</v>
      </c>
      <c r="D1119" s="90" t="s">
        <v>4298</v>
      </c>
      <c r="E1119" s="90" t="s">
        <v>3026</v>
      </c>
      <c r="F1119" s="90" t="s">
        <v>4299</v>
      </c>
      <c r="G1119" t="s">
        <v>512</v>
      </c>
    </row>
    <row r="1120" spans="1:7" x14ac:dyDescent="0.25">
      <c r="A1120" s="114">
        <v>335810</v>
      </c>
      <c r="B1120" s="90" t="s">
        <v>4255</v>
      </c>
      <c r="C1120" s="90" t="s">
        <v>508</v>
      </c>
      <c r="D1120" s="90" t="s">
        <v>4300</v>
      </c>
      <c r="E1120" s="90" t="s">
        <v>4301</v>
      </c>
      <c r="F1120" s="90" t="s">
        <v>4302</v>
      </c>
      <c r="G1120" t="s">
        <v>512</v>
      </c>
    </row>
    <row r="1121" spans="1:7" x14ac:dyDescent="0.25">
      <c r="A1121" s="114">
        <v>335818</v>
      </c>
      <c r="B1121" s="90" t="s">
        <v>4303</v>
      </c>
      <c r="C1121" s="90" t="s">
        <v>508</v>
      </c>
      <c r="D1121" s="90" t="s">
        <v>4304</v>
      </c>
      <c r="E1121" s="90" t="s">
        <v>4305</v>
      </c>
      <c r="F1121" s="90" t="s">
        <v>4306</v>
      </c>
      <c r="G1121" t="s">
        <v>512</v>
      </c>
    </row>
    <row r="1122" spans="1:7" x14ac:dyDescent="0.25">
      <c r="A1122" s="114">
        <v>335819</v>
      </c>
      <c r="B1122" s="90" t="s">
        <v>4307</v>
      </c>
      <c r="C1122" s="90" t="s">
        <v>508</v>
      </c>
      <c r="D1122" s="90" t="s">
        <v>3896</v>
      </c>
      <c r="E1122" s="90" t="s">
        <v>3897</v>
      </c>
      <c r="F1122" s="90" t="s">
        <v>4307</v>
      </c>
      <c r="G1122" t="s">
        <v>512</v>
      </c>
    </row>
    <row r="1123" spans="1:7" x14ac:dyDescent="0.25">
      <c r="A1123" s="114">
        <v>335825</v>
      </c>
      <c r="B1123" s="90" t="s">
        <v>4308</v>
      </c>
      <c r="C1123" s="90" t="s">
        <v>508</v>
      </c>
      <c r="D1123" s="90" t="s">
        <v>4309</v>
      </c>
      <c r="E1123" s="90" t="s">
        <v>1756</v>
      </c>
      <c r="F1123" s="90" t="s">
        <v>4310</v>
      </c>
      <c r="G1123" t="s">
        <v>512</v>
      </c>
    </row>
    <row r="1124" spans="1:7" x14ac:dyDescent="0.25">
      <c r="A1124" s="114">
        <v>335960</v>
      </c>
      <c r="B1124" s="90" t="s">
        <v>4311</v>
      </c>
      <c r="C1124" s="90" t="s">
        <v>508</v>
      </c>
      <c r="D1124" s="90" t="s">
        <v>4312</v>
      </c>
      <c r="E1124" s="90" t="s">
        <v>547</v>
      </c>
      <c r="F1124" s="90" t="s">
        <v>259</v>
      </c>
      <c r="G1124" t="s">
        <v>512</v>
      </c>
    </row>
    <row r="1125" spans="1:7" x14ac:dyDescent="0.25">
      <c r="A1125" s="114">
        <v>336064</v>
      </c>
      <c r="B1125" s="90" t="s">
        <v>4313</v>
      </c>
      <c r="C1125" s="90" t="s">
        <v>508</v>
      </c>
      <c r="D1125" s="90" t="s">
        <v>4314</v>
      </c>
      <c r="E1125" s="90" t="s">
        <v>583</v>
      </c>
      <c r="F1125" s="90" t="s">
        <v>4315</v>
      </c>
      <c r="G1125" t="s">
        <v>512</v>
      </c>
    </row>
    <row r="1126" spans="1:7" x14ac:dyDescent="0.25">
      <c r="A1126" s="114">
        <v>336073</v>
      </c>
      <c r="B1126" s="90" t="s">
        <v>4316</v>
      </c>
      <c r="C1126" s="90" t="s">
        <v>508</v>
      </c>
      <c r="D1126" s="90" t="s">
        <v>3139</v>
      </c>
      <c r="E1126" s="90" t="s">
        <v>1256</v>
      </c>
      <c r="F1126" s="90" t="s">
        <v>4317</v>
      </c>
      <c r="G1126" t="s">
        <v>512</v>
      </c>
    </row>
    <row r="1127" spans="1:7" x14ac:dyDescent="0.25">
      <c r="A1127" s="114">
        <v>336097</v>
      </c>
      <c r="B1127" s="90" t="s">
        <v>4318</v>
      </c>
      <c r="C1127" s="90" t="s">
        <v>508</v>
      </c>
      <c r="D1127" s="90" t="s">
        <v>4319</v>
      </c>
      <c r="E1127" s="90" t="s">
        <v>610</v>
      </c>
      <c r="F1127" s="90" t="s">
        <v>4318</v>
      </c>
      <c r="G1127" t="s">
        <v>512</v>
      </c>
    </row>
    <row r="1128" spans="1:7" x14ac:dyDescent="0.25">
      <c r="A1128" s="114">
        <v>336137</v>
      </c>
      <c r="B1128" s="90" t="s">
        <v>4320</v>
      </c>
      <c r="C1128" s="90" t="s">
        <v>508</v>
      </c>
      <c r="D1128" s="90" t="s">
        <v>4321</v>
      </c>
      <c r="E1128" s="90" t="s">
        <v>583</v>
      </c>
      <c r="F1128" s="90" t="s">
        <v>4322</v>
      </c>
      <c r="G1128" t="s">
        <v>512</v>
      </c>
    </row>
    <row r="1129" spans="1:7" x14ac:dyDescent="0.25">
      <c r="A1129" s="114">
        <v>336142</v>
      </c>
      <c r="B1129" s="90" t="s">
        <v>4323</v>
      </c>
      <c r="C1129" s="90" t="s">
        <v>508</v>
      </c>
      <c r="D1129" s="90" t="s">
        <v>4324</v>
      </c>
      <c r="E1129" s="90" t="s">
        <v>4325</v>
      </c>
      <c r="F1129" s="90" t="s">
        <v>4326</v>
      </c>
      <c r="G1129" t="s">
        <v>512</v>
      </c>
    </row>
    <row r="1130" spans="1:7" x14ac:dyDescent="0.25">
      <c r="A1130" s="114">
        <v>336143</v>
      </c>
      <c r="B1130" s="90" t="s">
        <v>4327</v>
      </c>
      <c r="C1130" s="90" t="s">
        <v>508</v>
      </c>
      <c r="D1130" s="90" t="s">
        <v>4328</v>
      </c>
      <c r="E1130" s="90" t="s">
        <v>614</v>
      </c>
      <c r="F1130" s="90" t="s">
        <v>4329</v>
      </c>
      <c r="G1130" t="s">
        <v>512</v>
      </c>
    </row>
    <row r="1131" spans="1:7" x14ac:dyDescent="0.25">
      <c r="A1131" s="114">
        <v>336163</v>
      </c>
      <c r="B1131" s="90" t="s">
        <v>4330</v>
      </c>
      <c r="C1131" s="90" t="s">
        <v>508</v>
      </c>
      <c r="D1131" s="90" t="s">
        <v>4331</v>
      </c>
      <c r="E1131" s="90" t="s">
        <v>2538</v>
      </c>
      <c r="F1131" s="90" t="s">
        <v>4332</v>
      </c>
      <c r="G1131" t="s">
        <v>512</v>
      </c>
    </row>
    <row r="1132" spans="1:7" x14ac:dyDescent="0.25">
      <c r="A1132" s="114">
        <v>336190</v>
      </c>
      <c r="B1132" s="90" t="s">
        <v>4333</v>
      </c>
      <c r="C1132" s="90" t="s">
        <v>508</v>
      </c>
      <c r="D1132" s="90" t="s">
        <v>4334</v>
      </c>
      <c r="E1132" s="90" t="s">
        <v>4335</v>
      </c>
      <c r="F1132" s="90" t="s">
        <v>4336</v>
      </c>
      <c r="G1132" t="s">
        <v>512</v>
      </c>
    </row>
    <row r="1133" spans="1:7" x14ac:dyDescent="0.25">
      <c r="A1133" s="114">
        <v>336197</v>
      </c>
      <c r="B1133" s="90" t="s">
        <v>4337</v>
      </c>
      <c r="C1133" s="90" t="s">
        <v>508</v>
      </c>
      <c r="D1133" s="90" t="s">
        <v>4338</v>
      </c>
      <c r="E1133" s="90" t="s">
        <v>4339</v>
      </c>
      <c r="F1133" s="90" t="s">
        <v>4340</v>
      </c>
      <c r="G1133" t="s">
        <v>512</v>
      </c>
    </row>
    <row r="1134" spans="1:7" x14ac:dyDescent="0.25">
      <c r="A1134" s="114">
        <v>336208</v>
      </c>
      <c r="B1134" s="90" t="s">
        <v>4341</v>
      </c>
      <c r="C1134" s="90" t="s">
        <v>508</v>
      </c>
      <c r="D1134" s="90" t="s">
        <v>4342</v>
      </c>
      <c r="E1134" s="90" t="s">
        <v>4343</v>
      </c>
      <c r="F1134" s="90" t="s">
        <v>4344</v>
      </c>
      <c r="G1134" t="s">
        <v>512</v>
      </c>
    </row>
    <row r="1135" spans="1:7" x14ac:dyDescent="0.25">
      <c r="A1135" s="114">
        <v>336259</v>
      </c>
      <c r="B1135" s="90" t="s">
        <v>4345</v>
      </c>
      <c r="C1135" s="90" t="s">
        <v>508</v>
      </c>
      <c r="D1135" s="90" t="s">
        <v>4346</v>
      </c>
      <c r="E1135" s="90" t="s">
        <v>563</v>
      </c>
      <c r="F1135" s="90" t="s">
        <v>4347</v>
      </c>
      <c r="G1135" t="s">
        <v>512</v>
      </c>
    </row>
    <row r="1136" spans="1:7" x14ac:dyDescent="0.25">
      <c r="A1136" s="114">
        <v>336265</v>
      </c>
      <c r="B1136" s="90" t="s">
        <v>875</v>
      </c>
      <c r="C1136" s="90" t="s">
        <v>508</v>
      </c>
      <c r="D1136" s="90" t="s">
        <v>4348</v>
      </c>
      <c r="E1136" s="90" t="s">
        <v>742</v>
      </c>
      <c r="F1136" s="90" t="s">
        <v>4349</v>
      </c>
      <c r="G1136" t="s">
        <v>512</v>
      </c>
    </row>
    <row r="1137" spans="1:7" x14ac:dyDescent="0.25">
      <c r="A1137" s="114">
        <v>336284</v>
      </c>
      <c r="B1137" s="90" t="s">
        <v>4350</v>
      </c>
      <c r="C1137" s="90" t="s">
        <v>508</v>
      </c>
      <c r="D1137" s="90" t="s">
        <v>4351</v>
      </c>
      <c r="E1137" s="90" t="s">
        <v>1593</v>
      </c>
      <c r="F1137" s="90" t="s">
        <v>4350</v>
      </c>
      <c r="G1137" t="s">
        <v>512</v>
      </c>
    </row>
    <row r="1138" spans="1:7" x14ac:dyDescent="0.25">
      <c r="A1138" s="114">
        <v>336286</v>
      </c>
      <c r="B1138" s="90" t="s">
        <v>4352</v>
      </c>
      <c r="C1138" s="90" t="s">
        <v>508</v>
      </c>
      <c r="D1138" s="90" t="s">
        <v>4353</v>
      </c>
      <c r="E1138" s="90" t="s">
        <v>2976</v>
      </c>
      <c r="F1138" s="90" t="s">
        <v>4354</v>
      </c>
      <c r="G1138" t="s">
        <v>512</v>
      </c>
    </row>
    <row r="1139" spans="1:7" x14ac:dyDescent="0.25">
      <c r="A1139" s="114">
        <v>336330</v>
      </c>
      <c r="B1139" s="90" t="s">
        <v>4355</v>
      </c>
      <c r="C1139" s="90" t="s">
        <v>508</v>
      </c>
      <c r="D1139" s="90" t="s">
        <v>4356</v>
      </c>
      <c r="E1139" s="90" t="s">
        <v>517</v>
      </c>
      <c r="F1139" s="90" t="s">
        <v>4357</v>
      </c>
      <c r="G1139" t="s">
        <v>512</v>
      </c>
    </row>
    <row r="1140" spans="1:7" x14ac:dyDescent="0.25">
      <c r="A1140" s="114">
        <v>336338</v>
      </c>
      <c r="B1140" s="90" t="s">
        <v>4358</v>
      </c>
      <c r="C1140" s="90" t="s">
        <v>508</v>
      </c>
      <c r="D1140" s="90" t="s">
        <v>4359</v>
      </c>
      <c r="E1140" s="90" t="s">
        <v>4360</v>
      </c>
      <c r="F1140" s="90" t="s">
        <v>4361</v>
      </c>
      <c r="G1140" t="s">
        <v>512</v>
      </c>
    </row>
    <row r="1141" spans="1:7" x14ac:dyDescent="0.25">
      <c r="A1141" s="114">
        <v>336357</v>
      </c>
      <c r="B1141" s="90" t="s">
        <v>4362</v>
      </c>
      <c r="C1141" s="90" t="s">
        <v>508</v>
      </c>
      <c r="D1141" s="90" t="s">
        <v>4363</v>
      </c>
      <c r="E1141" s="90" t="s">
        <v>3897</v>
      </c>
      <c r="F1141" s="90" t="s">
        <v>4364</v>
      </c>
      <c r="G1141" t="s">
        <v>512</v>
      </c>
    </row>
    <row r="1142" spans="1:7" x14ac:dyDescent="0.25">
      <c r="A1142" s="114">
        <v>336371</v>
      </c>
      <c r="B1142" s="90" t="s">
        <v>4365</v>
      </c>
      <c r="C1142" s="90" t="s">
        <v>508</v>
      </c>
      <c r="D1142" s="90" t="s">
        <v>4366</v>
      </c>
      <c r="E1142" s="90" t="s">
        <v>2885</v>
      </c>
      <c r="F1142" s="90" t="s">
        <v>4367</v>
      </c>
      <c r="G1142" t="s">
        <v>512</v>
      </c>
    </row>
    <row r="1143" spans="1:7" x14ac:dyDescent="0.25">
      <c r="A1143" s="114">
        <v>336375</v>
      </c>
      <c r="B1143" s="90" t="s">
        <v>4368</v>
      </c>
      <c r="C1143" s="90" t="s">
        <v>508</v>
      </c>
      <c r="D1143" s="90" t="s">
        <v>4075</v>
      </c>
      <c r="E1143" s="90" t="s">
        <v>1194</v>
      </c>
      <c r="F1143" s="90" t="s">
        <v>4369</v>
      </c>
      <c r="G1143" t="s">
        <v>512</v>
      </c>
    </row>
    <row r="1144" spans="1:7" x14ac:dyDescent="0.25">
      <c r="A1144" s="114">
        <v>336412</v>
      </c>
      <c r="B1144" s="90" t="s">
        <v>4370</v>
      </c>
      <c r="C1144" s="90" t="s">
        <v>508</v>
      </c>
      <c r="D1144" s="90" t="s">
        <v>3805</v>
      </c>
      <c r="E1144" s="90" t="s">
        <v>995</v>
      </c>
      <c r="F1144" s="90" t="s">
        <v>4371</v>
      </c>
      <c r="G1144" t="s">
        <v>512</v>
      </c>
    </row>
    <row r="1145" spans="1:7" x14ac:dyDescent="0.25">
      <c r="A1145" s="114">
        <v>336420</v>
      </c>
      <c r="B1145" s="90" t="s">
        <v>4372</v>
      </c>
      <c r="C1145" s="90" t="s">
        <v>508</v>
      </c>
      <c r="D1145" s="90" t="s">
        <v>3847</v>
      </c>
      <c r="E1145" s="90" t="s">
        <v>2210</v>
      </c>
      <c r="F1145" s="90" t="s">
        <v>4373</v>
      </c>
      <c r="G1145" t="s">
        <v>512</v>
      </c>
    </row>
    <row r="1146" spans="1:7" x14ac:dyDescent="0.25">
      <c r="A1146" s="114">
        <v>336431</v>
      </c>
      <c r="B1146" s="90" t="s">
        <v>4374</v>
      </c>
      <c r="C1146" s="90" t="s">
        <v>508</v>
      </c>
      <c r="D1146" s="90" t="s">
        <v>4215</v>
      </c>
      <c r="E1146" s="90" t="s">
        <v>1670</v>
      </c>
      <c r="F1146" s="90" t="s">
        <v>4375</v>
      </c>
      <c r="G1146" t="s">
        <v>512</v>
      </c>
    </row>
    <row r="1147" spans="1:7" x14ac:dyDescent="0.25">
      <c r="A1147" s="114">
        <v>336441</v>
      </c>
      <c r="B1147" s="90" t="s">
        <v>4376</v>
      </c>
      <c r="C1147" s="90" t="s">
        <v>508</v>
      </c>
      <c r="D1147" s="90" t="s">
        <v>4377</v>
      </c>
      <c r="E1147" s="90" t="s">
        <v>4378</v>
      </c>
      <c r="F1147" s="90" t="s">
        <v>4379</v>
      </c>
      <c r="G1147" t="s">
        <v>512</v>
      </c>
    </row>
    <row r="1148" spans="1:7" x14ac:dyDescent="0.25">
      <c r="A1148" s="114">
        <v>336490</v>
      </c>
      <c r="B1148" s="90" t="s">
        <v>4380</v>
      </c>
      <c r="C1148" s="90" t="s">
        <v>508</v>
      </c>
      <c r="D1148" s="90" t="s">
        <v>4381</v>
      </c>
      <c r="E1148" s="90" t="s">
        <v>4382</v>
      </c>
      <c r="F1148" s="90" t="s">
        <v>4383</v>
      </c>
      <c r="G1148" t="s">
        <v>512</v>
      </c>
    </row>
    <row r="1149" spans="1:7" x14ac:dyDescent="0.25">
      <c r="A1149" s="114">
        <v>336507</v>
      </c>
      <c r="B1149" s="90" t="s">
        <v>4384</v>
      </c>
      <c r="C1149" s="90" t="s">
        <v>508</v>
      </c>
      <c r="D1149" s="90" t="s">
        <v>4385</v>
      </c>
      <c r="E1149" s="90" t="s">
        <v>1425</v>
      </c>
      <c r="F1149" s="90" t="s">
        <v>4386</v>
      </c>
      <c r="G1149" t="s">
        <v>512</v>
      </c>
    </row>
    <row r="1150" spans="1:7" x14ac:dyDescent="0.25">
      <c r="A1150" s="114">
        <v>336545</v>
      </c>
      <c r="B1150" s="90" t="s">
        <v>4387</v>
      </c>
      <c r="C1150" s="90" t="s">
        <v>508</v>
      </c>
      <c r="D1150" s="90" t="s">
        <v>4388</v>
      </c>
      <c r="E1150" s="90" t="s">
        <v>4389</v>
      </c>
      <c r="F1150" s="90" t="s">
        <v>4390</v>
      </c>
      <c r="G1150" t="s">
        <v>512</v>
      </c>
    </row>
    <row r="1151" spans="1:7" x14ac:dyDescent="0.25">
      <c r="A1151" s="114">
        <v>336559</v>
      </c>
      <c r="B1151" s="90" t="s">
        <v>4391</v>
      </c>
      <c r="C1151" s="90" t="s">
        <v>508</v>
      </c>
      <c r="D1151" s="90" t="s">
        <v>4392</v>
      </c>
      <c r="E1151" s="90" t="s">
        <v>610</v>
      </c>
      <c r="F1151" s="90" t="s">
        <v>4393</v>
      </c>
      <c r="G1151" t="s">
        <v>512</v>
      </c>
    </row>
    <row r="1152" spans="1:7" x14ac:dyDescent="0.25">
      <c r="A1152" s="114">
        <v>336566</v>
      </c>
      <c r="B1152" s="90" t="s">
        <v>4394</v>
      </c>
      <c r="C1152" s="90" t="s">
        <v>508</v>
      </c>
      <c r="D1152" s="90" t="s">
        <v>4395</v>
      </c>
      <c r="E1152" s="90" t="s">
        <v>517</v>
      </c>
      <c r="F1152" s="90" t="s">
        <v>4394</v>
      </c>
      <c r="G1152" t="s">
        <v>512</v>
      </c>
    </row>
    <row r="1153" spans="1:7" x14ac:dyDescent="0.25">
      <c r="A1153" s="114">
        <v>336606</v>
      </c>
      <c r="B1153" s="90" t="s">
        <v>4396</v>
      </c>
      <c r="C1153" s="90" t="s">
        <v>508</v>
      </c>
      <c r="D1153" s="90" t="s">
        <v>4397</v>
      </c>
      <c r="E1153" s="90" t="s">
        <v>4398</v>
      </c>
      <c r="F1153" s="90" t="s">
        <v>4399</v>
      </c>
      <c r="G1153" t="s">
        <v>512</v>
      </c>
    </row>
    <row r="1154" spans="1:7" x14ac:dyDescent="0.25">
      <c r="A1154" s="114">
        <v>336622</v>
      </c>
      <c r="B1154" s="90" t="s">
        <v>4400</v>
      </c>
      <c r="C1154" s="90" t="s">
        <v>508</v>
      </c>
      <c r="D1154" s="90" t="s">
        <v>4401</v>
      </c>
      <c r="E1154" s="90" t="s">
        <v>4402</v>
      </c>
      <c r="F1154" s="90" t="s">
        <v>4403</v>
      </c>
      <c r="G1154" t="s">
        <v>512</v>
      </c>
    </row>
    <row r="1155" spans="1:7" x14ac:dyDescent="0.25">
      <c r="A1155" s="114">
        <v>336655</v>
      </c>
      <c r="B1155" s="90" t="s">
        <v>4404</v>
      </c>
      <c r="C1155" s="90" t="s">
        <v>508</v>
      </c>
      <c r="D1155" s="90" t="s">
        <v>4405</v>
      </c>
      <c r="E1155" s="90" t="s">
        <v>1801</v>
      </c>
      <c r="F1155" s="90" t="s">
        <v>4406</v>
      </c>
      <c r="G1155" t="s">
        <v>512</v>
      </c>
    </row>
    <row r="1156" spans="1:7" x14ac:dyDescent="0.25">
      <c r="A1156" s="114">
        <v>336667</v>
      </c>
      <c r="B1156" s="90" t="s">
        <v>4407</v>
      </c>
      <c r="C1156" s="90" t="s">
        <v>508</v>
      </c>
      <c r="D1156" s="90" t="s">
        <v>4408</v>
      </c>
      <c r="E1156" s="90" t="s">
        <v>4409</v>
      </c>
      <c r="F1156" s="90" t="s">
        <v>4410</v>
      </c>
      <c r="G1156" t="s">
        <v>512</v>
      </c>
    </row>
    <row r="1157" spans="1:7" x14ac:dyDescent="0.25">
      <c r="A1157" s="114">
        <v>336685</v>
      </c>
      <c r="B1157" s="90" t="s">
        <v>4175</v>
      </c>
      <c r="C1157" s="90" t="s">
        <v>508</v>
      </c>
      <c r="D1157" s="90" t="s">
        <v>4176</v>
      </c>
      <c r="E1157" s="90" t="s">
        <v>4177</v>
      </c>
      <c r="F1157" s="90" t="s">
        <v>4411</v>
      </c>
      <c r="G1157" t="s">
        <v>512</v>
      </c>
    </row>
    <row r="1158" spans="1:7" x14ac:dyDescent="0.25">
      <c r="A1158" s="114">
        <v>336710</v>
      </c>
      <c r="B1158" s="90" t="s">
        <v>4412</v>
      </c>
      <c r="C1158" s="90" t="s">
        <v>508</v>
      </c>
      <c r="D1158" s="90" t="s">
        <v>4413</v>
      </c>
      <c r="E1158" s="90" t="s">
        <v>2901</v>
      </c>
      <c r="F1158" s="90" t="s">
        <v>4414</v>
      </c>
      <c r="G1158" t="s">
        <v>859</v>
      </c>
    </row>
    <row r="1159" spans="1:7" x14ac:dyDescent="0.25">
      <c r="A1159" s="114">
        <v>336721</v>
      </c>
      <c r="B1159" s="90" t="s">
        <v>4415</v>
      </c>
      <c r="C1159" s="90" t="s">
        <v>508</v>
      </c>
      <c r="D1159" s="90" t="s">
        <v>842</v>
      </c>
      <c r="E1159" s="90" t="s">
        <v>843</v>
      </c>
      <c r="F1159" s="90" t="s">
        <v>4416</v>
      </c>
      <c r="G1159" t="s">
        <v>512</v>
      </c>
    </row>
    <row r="1160" spans="1:7" x14ac:dyDescent="0.25">
      <c r="A1160" s="114">
        <v>336724</v>
      </c>
      <c r="B1160" s="90" t="s">
        <v>4417</v>
      </c>
      <c r="C1160" s="90" t="s">
        <v>508</v>
      </c>
      <c r="D1160" s="90" t="s">
        <v>4418</v>
      </c>
      <c r="E1160" s="90" t="s">
        <v>2346</v>
      </c>
      <c r="F1160" s="90" t="s">
        <v>4419</v>
      </c>
      <c r="G1160" t="s">
        <v>512</v>
      </c>
    </row>
    <row r="1161" spans="1:7" x14ac:dyDescent="0.25">
      <c r="A1161" s="114">
        <v>336729</v>
      </c>
      <c r="B1161" s="90" t="s">
        <v>4420</v>
      </c>
      <c r="C1161" s="90" t="s">
        <v>508</v>
      </c>
      <c r="D1161" s="90" t="s">
        <v>4421</v>
      </c>
      <c r="E1161" s="90" t="s">
        <v>818</v>
      </c>
      <c r="F1161" s="90" t="s">
        <v>4422</v>
      </c>
      <c r="G1161" t="s">
        <v>512</v>
      </c>
    </row>
    <row r="1162" spans="1:7" x14ac:dyDescent="0.25">
      <c r="A1162" s="114">
        <v>336757</v>
      </c>
      <c r="B1162" s="90" t="s">
        <v>4423</v>
      </c>
      <c r="C1162" s="90" t="s">
        <v>508</v>
      </c>
      <c r="D1162" s="90" t="s">
        <v>4424</v>
      </c>
      <c r="E1162" s="90" t="s">
        <v>3947</v>
      </c>
      <c r="F1162" s="90" t="s">
        <v>4425</v>
      </c>
      <c r="G1162" t="s">
        <v>512</v>
      </c>
    </row>
    <row r="1163" spans="1:7" x14ac:dyDescent="0.25">
      <c r="A1163" s="114">
        <v>336759</v>
      </c>
      <c r="B1163" s="90" t="s">
        <v>4426</v>
      </c>
      <c r="C1163" s="90" t="s">
        <v>508</v>
      </c>
      <c r="D1163" s="90" t="s">
        <v>4427</v>
      </c>
      <c r="E1163" s="90" t="s">
        <v>1593</v>
      </c>
      <c r="F1163" s="90" t="s">
        <v>4428</v>
      </c>
      <c r="G1163" t="s">
        <v>512</v>
      </c>
    </row>
    <row r="1164" spans="1:7" x14ac:dyDescent="0.25">
      <c r="A1164" s="114">
        <v>336777</v>
      </c>
      <c r="B1164" s="90" t="s">
        <v>4429</v>
      </c>
      <c r="C1164" s="90" t="s">
        <v>508</v>
      </c>
      <c r="D1164" s="90" t="s">
        <v>4430</v>
      </c>
      <c r="E1164" s="90" t="s">
        <v>4431</v>
      </c>
      <c r="F1164" s="90" t="s">
        <v>4432</v>
      </c>
      <c r="G1164" t="s">
        <v>512</v>
      </c>
    </row>
    <row r="1165" spans="1:7" x14ac:dyDescent="0.25">
      <c r="A1165" s="114">
        <v>336784</v>
      </c>
      <c r="B1165" s="90" t="s">
        <v>4433</v>
      </c>
      <c r="C1165" s="90" t="s">
        <v>508</v>
      </c>
      <c r="D1165" s="90" t="s">
        <v>1918</v>
      </c>
      <c r="E1165" s="90" t="s">
        <v>1771</v>
      </c>
      <c r="F1165" s="90" t="s">
        <v>4434</v>
      </c>
      <c r="G1165" t="s">
        <v>512</v>
      </c>
    </row>
    <row r="1166" spans="1:7" x14ac:dyDescent="0.25">
      <c r="A1166" s="114">
        <v>336802</v>
      </c>
      <c r="B1166" s="90" t="s">
        <v>3089</v>
      </c>
      <c r="C1166" s="90" t="s">
        <v>508</v>
      </c>
      <c r="D1166" s="90" t="s">
        <v>4435</v>
      </c>
      <c r="E1166" s="90" t="s">
        <v>4436</v>
      </c>
      <c r="F1166" s="90" t="s">
        <v>4437</v>
      </c>
      <c r="G1166" t="s">
        <v>512</v>
      </c>
    </row>
    <row r="1167" spans="1:7" x14ac:dyDescent="0.25">
      <c r="A1167" s="114">
        <v>336830</v>
      </c>
      <c r="B1167" s="90" t="s">
        <v>4438</v>
      </c>
      <c r="C1167" s="90" t="s">
        <v>508</v>
      </c>
      <c r="D1167" s="90" t="s">
        <v>4439</v>
      </c>
      <c r="E1167" s="90" t="s">
        <v>3711</v>
      </c>
      <c r="F1167" s="90" t="s">
        <v>4440</v>
      </c>
      <c r="G1167" t="s">
        <v>512</v>
      </c>
    </row>
    <row r="1168" spans="1:7" x14ac:dyDescent="0.25">
      <c r="A1168" s="114">
        <v>336850</v>
      </c>
      <c r="B1168" s="90" t="s">
        <v>4441</v>
      </c>
      <c r="C1168" s="90" t="s">
        <v>508</v>
      </c>
      <c r="D1168" s="90" t="s">
        <v>4442</v>
      </c>
      <c r="E1168" s="90" t="s">
        <v>1571</v>
      </c>
      <c r="F1168" s="90" t="s">
        <v>4443</v>
      </c>
      <c r="G1168" t="s">
        <v>512</v>
      </c>
    </row>
    <row r="1169" spans="1:7" x14ac:dyDescent="0.25">
      <c r="A1169" s="114">
        <v>336856</v>
      </c>
      <c r="B1169" s="90" t="s">
        <v>4444</v>
      </c>
      <c r="C1169" s="90" t="s">
        <v>508</v>
      </c>
      <c r="D1169" s="90" t="s">
        <v>4445</v>
      </c>
      <c r="E1169" s="90" t="s">
        <v>818</v>
      </c>
      <c r="F1169" s="90" t="s">
        <v>4446</v>
      </c>
      <c r="G1169" t="s">
        <v>512</v>
      </c>
    </row>
    <row r="1170" spans="1:7" x14ac:dyDescent="0.25">
      <c r="A1170" s="114">
        <v>336906</v>
      </c>
      <c r="B1170" s="90" t="s">
        <v>4447</v>
      </c>
      <c r="C1170" s="90" t="s">
        <v>508</v>
      </c>
      <c r="D1170" s="90" t="s">
        <v>4448</v>
      </c>
      <c r="E1170" s="90" t="s">
        <v>614</v>
      </c>
      <c r="F1170" s="90" t="s">
        <v>4449</v>
      </c>
      <c r="G1170" t="s">
        <v>512</v>
      </c>
    </row>
    <row r="1171" spans="1:7" x14ac:dyDescent="0.25">
      <c r="A1171" s="114">
        <v>336920</v>
      </c>
      <c r="B1171" s="90" t="s">
        <v>4450</v>
      </c>
      <c r="C1171" s="90" t="s">
        <v>508</v>
      </c>
      <c r="D1171" s="90" t="s">
        <v>4451</v>
      </c>
      <c r="E1171" s="90" t="s">
        <v>2016</v>
      </c>
      <c r="F1171" s="90" t="s">
        <v>4452</v>
      </c>
      <c r="G1171" t="s">
        <v>512</v>
      </c>
    </row>
    <row r="1172" spans="1:7" x14ac:dyDescent="0.25">
      <c r="A1172" s="114">
        <v>336937</v>
      </c>
      <c r="B1172" s="90" t="s">
        <v>2850</v>
      </c>
      <c r="C1172" s="90" t="s">
        <v>508</v>
      </c>
      <c r="D1172" s="90" t="s">
        <v>4453</v>
      </c>
      <c r="E1172" s="90" t="s">
        <v>798</v>
      </c>
      <c r="F1172" s="90" t="s">
        <v>4454</v>
      </c>
      <c r="G1172" t="s">
        <v>512</v>
      </c>
    </row>
    <row r="1173" spans="1:7" x14ac:dyDescent="0.25">
      <c r="A1173" s="114">
        <v>336948</v>
      </c>
      <c r="B1173" s="90" t="s">
        <v>4455</v>
      </c>
      <c r="C1173" s="90" t="s">
        <v>508</v>
      </c>
      <c r="D1173" s="90" t="s">
        <v>4324</v>
      </c>
      <c r="E1173" s="90" t="s">
        <v>4456</v>
      </c>
      <c r="F1173" s="90" t="s">
        <v>4457</v>
      </c>
      <c r="G1173" t="s">
        <v>512</v>
      </c>
    </row>
    <row r="1174" spans="1:7" x14ac:dyDescent="0.25">
      <c r="A1174" s="114">
        <v>336959</v>
      </c>
      <c r="B1174" s="90" t="s">
        <v>4458</v>
      </c>
      <c r="C1174" s="90" t="s">
        <v>508</v>
      </c>
      <c r="D1174" s="90" t="s">
        <v>4459</v>
      </c>
      <c r="E1174" s="90" t="s">
        <v>2694</v>
      </c>
      <c r="F1174" s="90" t="s">
        <v>4458</v>
      </c>
      <c r="G1174" t="s">
        <v>512</v>
      </c>
    </row>
    <row r="1175" spans="1:7" x14ac:dyDescent="0.25">
      <c r="A1175" s="114">
        <v>336970</v>
      </c>
      <c r="B1175" s="90" t="s">
        <v>4460</v>
      </c>
      <c r="C1175" s="90" t="s">
        <v>508</v>
      </c>
      <c r="D1175" s="90" t="s">
        <v>4461</v>
      </c>
      <c r="E1175" s="90" t="s">
        <v>4462</v>
      </c>
      <c r="F1175" s="90" t="s">
        <v>4463</v>
      </c>
      <c r="G1175" t="s">
        <v>512</v>
      </c>
    </row>
    <row r="1176" spans="1:7" x14ac:dyDescent="0.25">
      <c r="A1176" s="114">
        <v>336979</v>
      </c>
      <c r="B1176" s="90" t="s">
        <v>4464</v>
      </c>
      <c r="C1176" s="90" t="s">
        <v>508</v>
      </c>
      <c r="D1176" s="90" t="s">
        <v>4465</v>
      </c>
      <c r="E1176" s="90" t="s">
        <v>4466</v>
      </c>
      <c r="F1176" s="90" t="s">
        <v>4467</v>
      </c>
      <c r="G1176" t="s">
        <v>512</v>
      </c>
    </row>
    <row r="1177" spans="1:7" x14ac:dyDescent="0.25">
      <c r="A1177" s="114">
        <v>336986</v>
      </c>
      <c r="B1177" s="90" t="s">
        <v>4468</v>
      </c>
      <c r="C1177" s="90" t="s">
        <v>508</v>
      </c>
      <c r="D1177" s="90" t="s">
        <v>4388</v>
      </c>
      <c r="E1177" s="90" t="s">
        <v>2901</v>
      </c>
      <c r="F1177" s="90" t="s">
        <v>4469</v>
      </c>
      <c r="G1177" t="s">
        <v>512</v>
      </c>
    </row>
    <row r="1178" spans="1:7" x14ac:dyDescent="0.25">
      <c r="A1178" s="114">
        <v>337047</v>
      </c>
      <c r="B1178" s="90" t="s">
        <v>4470</v>
      </c>
      <c r="C1178" s="90" t="s">
        <v>508</v>
      </c>
      <c r="D1178" s="90" t="s">
        <v>4471</v>
      </c>
      <c r="E1178" s="90" t="s">
        <v>583</v>
      </c>
      <c r="F1178" s="90" t="s">
        <v>4470</v>
      </c>
      <c r="G1178" t="s">
        <v>512</v>
      </c>
    </row>
    <row r="1179" spans="1:7" x14ac:dyDescent="0.25">
      <c r="A1179" s="114">
        <v>337073</v>
      </c>
      <c r="B1179" s="90" t="s">
        <v>4472</v>
      </c>
      <c r="C1179" s="90" t="s">
        <v>508</v>
      </c>
      <c r="D1179" s="90" t="s">
        <v>4473</v>
      </c>
      <c r="E1179" s="90" t="s">
        <v>583</v>
      </c>
      <c r="F1179" s="90" t="s">
        <v>4474</v>
      </c>
      <c r="G1179" t="s">
        <v>512</v>
      </c>
    </row>
    <row r="1180" spans="1:7" x14ac:dyDescent="0.25">
      <c r="A1180" s="114">
        <v>337077</v>
      </c>
      <c r="B1180" s="90" t="s">
        <v>4475</v>
      </c>
      <c r="C1180" s="90" t="s">
        <v>508</v>
      </c>
      <c r="D1180" s="90" t="s">
        <v>4476</v>
      </c>
      <c r="E1180" s="90" t="s">
        <v>714</v>
      </c>
      <c r="F1180" s="90" t="s">
        <v>4477</v>
      </c>
      <c r="G1180" t="s">
        <v>512</v>
      </c>
    </row>
    <row r="1181" spans="1:7" x14ac:dyDescent="0.25">
      <c r="A1181" s="114">
        <v>337109</v>
      </c>
      <c r="B1181" s="90" t="s">
        <v>4478</v>
      </c>
      <c r="C1181" s="90" t="s">
        <v>508</v>
      </c>
      <c r="D1181" s="90" t="s">
        <v>4479</v>
      </c>
      <c r="E1181" s="90" t="s">
        <v>4480</v>
      </c>
      <c r="F1181" s="90" t="s">
        <v>4481</v>
      </c>
      <c r="G1181" t="s">
        <v>512</v>
      </c>
    </row>
    <row r="1182" spans="1:7" x14ac:dyDescent="0.25">
      <c r="A1182" s="114">
        <v>337117</v>
      </c>
      <c r="B1182" s="90" t="s">
        <v>4482</v>
      </c>
      <c r="C1182" s="90" t="s">
        <v>508</v>
      </c>
      <c r="D1182" s="90" t="s">
        <v>4483</v>
      </c>
      <c r="E1182" s="90" t="s">
        <v>4484</v>
      </c>
      <c r="F1182" s="90" t="s">
        <v>4485</v>
      </c>
      <c r="G1182" t="s">
        <v>512</v>
      </c>
    </row>
    <row r="1183" spans="1:7" x14ac:dyDescent="0.25">
      <c r="A1183" s="114">
        <v>337199</v>
      </c>
      <c r="B1183" s="90" t="s">
        <v>4486</v>
      </c>
      <c r="C1183" s="90" t="s">
        <v>508</v>
      </c>
      <c r="D1183" s="90" t="s">
        <v>4487</v>
      </c>
      <c r="E1183" s="90" t="s">
        <v>4488</v>
      </c>
      <c r="F1183" s="90" t="s">
        <v>4489</v>
      </c>
      <c r="G1183" t="s">
        <v>512</v>
      </c>
    </row>
    <row r="1184" spans="1:7" x14ac:dyDescent="0.25">
      <c r="A1184" s="114">
        <v>337218</v>
      </c>
      <c r="B1184" s="90" t="s">
        <v>4490</v>
      </c>
      <c r="C1184" s="90" t="s">
        <v>508</v>
      </c>
      <c r="D1184" s="90" t="s">
        <v>4491</v>
      </c>
      <c r="E1184" s="90" t="s">
        <v>583</v>
      </c>
      <c r="F1184" s="90" t="s">
        <v>4492</v>
      </c>
      <c r="G1184" t="s">
        <v>512</v>
      </c>
    </row>
    <row r="1185" spans="1:7" x14ac:dyDescent="0.25">
      <c r="A1185" s="114">
        <v>337225</v>
      </c>
      <c r="B1185" s="90" t="s">
        <v>4493</v>
      </c>
      <c r="C1185" s="90" t="s">
        <v>508</v>
      </c>
      <c r="D1185" s="90" t="s">
        <v>4494</v>
      </c>
      <c r="E1185" s="90" t="s">
        <v>1593</v>
      </c>
      <c r="F1185" s="90" t="s">
        <v>4495</v>
      </c>
      <c r="G1185" t="s">
        <v>512</v>
      </c>
    </row>
    <row r="1186" spans="1:7" x14ac:dyDescent="0.25">
      <c r="A1186" s="114">
        <v>337277</v>
      </c>
      <c r="B1186" s="90" t="s">
        <v>4496</v>
      </c>
      <c r="C1186" s="90" t="s">
        <v>508</v>
      </c>
      <c r="D1186" s="90" t="s">
        <v>4497</v>
      </c>
      <c r="E1186" s="90" t="s">
        <v>798</v>
      </c>
      <c r="F1186" s="90" t="s">
        <v>4498</v>
      </c>
      <c r="G1186" t="s">
        <v>512</v>
      </c>
    </row>
    <row r="1187" spans="1:7" x14ac:dyDescent="0.25">
      <c r="A1187" s="114">
        <v>337354</v>
      </c>
      <c r="B1187" s="90" t="s">
        <v>4499</v>
      </c>
      <c r="C1187" s="90" t="s">
        <v>508</v>
      </c>
      <c r="D1187" s="90" t="s">
        <v>4500</v>
      </c>
      <c r="E1187" s="90" t="s">
        <v>4501</v>
      </c>
      <c r="F1187" s="90" t="s">
        <v>4502</v>
      </c>
      <c r="G1187" t="s">
        <v>512</v>
      </c>
    </row>
    <row r="1188" spans="1:7" x14ac:dyDescent="0.25">
      <c r="A1188" s="114">
        <v>337361</v>
      </c>
      <c r="B1188" s="90" t="s">
        <v>4503</v>
      </c>
      <c r="C1188" s="90" t="s">
        <v>508</v>
      </c>
      <c r="D1188" s="90" t="s">
        <v>4504</v>
      </c>
      <c r="E1188" s="90" t="s">
        <v>894</v>
      </c>
      <c r="F1188" s="90" t="s">
        <v>4503</v>
      </c>
      <c r="G1188" t="s">
        <v>512</v>
      </c>
    </row>
    <row r="1189" spans="1:7" x14ac:dyDescent="0.25">
      <c r="A1189" s="114">
        <v>337407</v>
      </c>
      <c r="B1189" s="90" t="s">
        <v>4505</v>
      </c>
      <c r="C1189" s="90" t="s">
        <v>508</v>
      </c>
      <c r="D1189" s="90" t="s">
        <v>4506</v>
      </c>
      <c r="E1189" s="90" t="s">
        <v>4507</v>
      </c>
      <c r="F1189" s="90" t="s">
        <v>4508</v>
      </c>
      <c r="G1189" t="s">
        <v>512</v>
      </c>
    </row>
    <row r="1190" spans="1:7" x14ac:dyDescent="0.25">
      <c r="A1190" s="114">
        <v>337415</v>
      </c>
      <c r="B1190" s="90" t="s">
        <v>4509</v>
      </c>
      <c r="C1190" s="90" t="s">
        <v>508</v>
      </c>
      <c r="D1190" s="90" t="s">
        <v>4510</v>
      </c>
      <c r="E1190" s="90" t="s">
        <v>2694</v>
      </c>
      <c r="F1190" s="90" t="s">
        <v>4511</v>
      </c>
      <c r="G1190" t="s">
        <v>859</v>
      </c>
    </row>
    <row r="1191" spans="1:7" x14ac:dyDescent="0.25">
      <c r="A1191" s="114">
        <v>337471</v>
      </c>
      <c r="B1191" s="90" t="s">
        <v>4512</v>
      </c>
      <c r="C1191" s="90" t="s">
        <v>508</v>
      </c>
      <c r="D1191" s="90" t="s">
        <v>4513</v>
      </c>
      <c r="E1191" s="90" t="s">
        <v>3545</v>
      </c>
      <c r="F1191" s="90" t="s">
        <v>4514</v>
      </c>
      <c r="G1191" t="s">
        <v>512</v>
      </c>
    </row>
    <row r="1192" spans="1:7" x14ac:dyDescent="0.25">
      <c r="A1192" s="114">
        <v>337473</v>
      </c>
      <c r="B1192" s="90" t="s">
        <v>4515</v>
      </c>
      <c r="C1192" s="90" t="s">
        <v>508</v>
      </c>
      <c r="D1192" s="90" t="s">
        <v>4516</v>
      </c>
      <c r="E1192" s="90" t="s">
        <v>519</v>
      </c>
      <c r="F1192" s="90" t="s">
        <v>4517</v>
      </c>
      <c r="G1192" t="s">
        <v>512</v>
      </c>
    </row>
    <row r="1193" spans="1:7" x14ac:dyDescent="0.25">
      <c r="A1193" s="114">
        <v>337498</v>
      </c>
      <c r="B1193" s="90" t="s">
        <v>4074</v>
      </c>
      <c r="C1193" s="90" t="s">
        <v>508</v>
      </c>
      <c r="D1193" s="90" t="s">
        <v>4518</v>
      </c>
      <c r="E1193" s="90" t="s">
        <v>4519</v>
      </c>
      <c r="F1193" s="90" t="s">
        <v>4077</v>
      </c>
      <c r="G1193" t="s">
        <v>512</v>
      </c>
    </row>
    <row r="1194" spans="1:7" x14ac:dyDescent="0.25">
      <c r="A1194" s="114">
        <v>337599</v>
      </c>
      <c r="B1194" s="90" t="s">
        <v>4520</v>
      </c>
      <c r="C1194" s="90" t="s">
        <v>508</v>
      </c>
      <c r="D1194" s="90" t="s">
        <v>4521</v>
      </c>
      <c r="E1194" s="90" t="s">
        <v>4522</v>
      </c>
      <c r="F1194" s="90" t="s">
        <v>4523</v>
      </c>
      <c r="G1194" t="s">
        <v>512</v>
      </c>
    </row>
    <row r="1195" spans="1:7" x14ac:dyDescent="0.25">
      <c r="A1195" s="114">
        <v>337634</v>
      </c>
      <c r="B1195" s="90" t="s">
        <v>4524</v>
      </c>
      <c r="C1195" s="90" t="s">
        <v>508</v>
      </c>
      <c r="D1195" s="90" t="s">
        <v>4525</v>
      </c>
      <c r="E1195" s="90" t="s">
        <v>4526</v>
      </c>
      <c r="F1195" s="90" t="s">
        <v>4527</v>
      </c>
      <c r="G1195" t="s">
        <v>512</v>
      </c>
    </row>
    <row r="1196" spans="1:7" x14ac:dyDescent="0.25">
      <c r="A1196" s="114">
        <v>337675</v>
      </c>
      <c r="B1196" s="90" t="s">
        <v>1803</v>
      </c>
      <c r="C1196" s="90" t="s">
        <v>508</v>
      </c>
      <c r="D1196" s="90" t="s">
        <v>4528</v>
      </c>
      <c r="E1196" s="90" t="s">
        <v>4529</v>
      </c>
      <c r="F1196" s="90" t="s">
        <v>4530</v>
      </c>
      <c r="G1196" t="s">
        <v>512</v>
      </c>
    </row>
    <row r="1197" spans="1:7" x14ac:dyDescent="0.25">
      <c r="A1197" s="114">
        <v>337726</v>
      </c>
      <c r="B1197" s="90" t="s">
        <v>4531</v>
      </c>
      <c r="C1197" s="90" t="s">
        <v>508</v>
      </c>
      <c r="D1197" s="90" t="s">
        <v>3231</v>
      </c>
      <c r="E1197" s="90" t="s">
        <v>1256</v>
      </c>
      <c r="F1197" s="90" t="s">
        <v>4531</v>
      </c>
      <c r="G1197" t="s">
        <v>512</v>
      </c>
    </row>
    <row r="1198" spans="1:7" x14ac:dyDescent="0.25">
      <c r="A1198" s="114">
        <v>337764</v>
      </c>
      <c r="B1198" s="90" t="s">
        <v>4532</v>
      </c>
      <c r="C1198" s="90" t="s">
        <v>508</v>
      </c>
      <c r="D1198" s="90" t="s">
        <v>1293</v>
      </c>
      <c r="E1198" s="90" t="s">
        <v>1294</v>
      </c>
      <c r="F1198" s="90" t="s">
        <v>4532</v>
      </c>
      <c r="G1198" t="s">
        <v>512</v>
      </c>
    </row>
    <row r="1199" spans="1:7" x14ac:dyDescent="0.25">
      <c r="A1199" s="114">
        <v>337776</v>
      </c>
      <c r="B1199" s="90" t="s">
        <v>4533</v>
      </c>
      <c r="C1199" s="90" t="s">
        <v>508</v>
      </c>
      <c r="D1199" s="90" t="s">
        <v>4534</v>
      </c>
      <c r="E1199" s="90" t="s">
        <v>2571</v>
      </c>
      <c r="F1199" s="90" t="s">
        <v>4535</v>
      </c>
      <c r="G1199" t="s">
        <v>512</v>
      </c>
    </row>
    <row r="1200" spans="1:7" x14ac:dyDescent="0.25">
      <c r="A1200" s="114">
        <v>337798</v>
      </c>
      <c r="B1200" s="90" t="s">
        <v>700</v>
      </c>
      <c r="C1200" s="90" t="s">
        <v>508</v>
      </c>
      <c r="D1200" s="90" t="s">
        <v>4536</v>
      </c>
      <c r="E1200" s="90" t="s">
        <v>1194</v>
      </c>
      <c r="F1200" s="90" t="s">
        <v>4537</v>
      </c>
      <c r="G1200" t="s">
        <v>512</v>
      </c>
    </row>
    <row r="1201" spans="1:7" x14ac:dyDescent="0.25">
      <c r="A1201" s="114">
        <v>337905</v>
      </c>
      <c r="B1201" s="90" t="s">
        <v>4538</v>
      </c>
      <c r="C1201" s="90" t="s">
        <v>508</v>
      </c>
      <c r="D1201" s="90" t="s">
        <v>4539</v>
      </c>
      <c r="E1201" s="90" t="s">
        <v>748</v>
      </c>
      <c r="F1201" s="90" t="s">
        <v>4540</v>
      </c>
      <c r="G1201" t="s">
        <v>512</v>
      </c>
    </row>
    <row r="1202" spans="1:7" x14ac:dyDescent="0.25">
      <c r="A1202" s="114">
        <v>337908</v>
      </c>
      <c r="B1202" s="90" t="s">
        <v>3379</v>
      </c>
      <c r="C1202" s="90" t="s">
        <v>508</v>
      </c>
      <c r="D1202" s="90" t="s">
        <v>4541</v>
      </c>
      <c r="E1202" s="90" t="s">
        <v>1256</v>
      </c>
      <c r="F1202" s="90" t="s">
        <v>3381</v>
      </c>
      <c r="G1202" t="s">
        <v>512</v>
      </c>
    </row>
    <row r="1203" spans="1:7" x14ac:dyDescent="0.25">
      <c r="A1203" s="114">
        <v>337913</v>
      </c>
      <c r="B1203" s="90" t="s">
        <v>4542</v>
      </c>
      <c r="C1203" s="90" t="s">
        <v>508</v>
      </c>
      <c r="D1203" s="90" t="s">
        <v>4543</v>
      </c>
      <c r="E1203" s="90" t="s">
        <v>2144</v>
      </c>
      <c r="F1203" s="90" t="s">
        <v>4544</v>
      </c>
      <c r="G1203" t="s">
        <v>512</v>
      </c>
    </row>
    <row r="1204" spans="1:7" x14ac:dyDescent="0.25">
      <c r="A1204" s="114">
        <v>337919</v>
      </c>
      <c r="B1204" s="90" t="s">
        <v>4280</v>
      </c>
      <c r="C1204" s="90" t="s">
        <v>508</v>
      </c>
      <c r="D1204" s="90" t="s">
        <v>4545</v>
      </c>
      <c r="E1204" s="90" t="s">
        <v>583</v>
      </c>
      <c r="F1204" s="90" t="s">
        <v>4282</v>
      </c>
      <c r="G1204" t="s">
        <v>512</v>
      </c>
    </row>
    <row r="1205" spans="1:7" x14ac:dyDescent="0.25">
      <c r="A1205" s="114">
        <v>337967</v>
      </c>
      <c r="B1205" s="90" t="s">
        <v>4546</v>
      </c>
      <c r="C1205" s="90" t="s">
        <v>508</v>
      </c>
      <c r="D1205" s="90" t="s">
        <v>4547</v>
      </c>
      <c r="E1205" s="90" t="s">
        <v>2144</v>
      </c>
      <c r="F1205" s="90" t="s">
        <v>4548</v>
      </c>
      <c r="G1205" t="s">
        <v>512</v>
      </c>
    </row>
    <row r="1206" spans="1:7" x14ac:dyDescent="0.25">
      <c r="A1206" s="114">
        <v>337981</v>
      </c>
      <c r="B1206" s="90" t="s">
        <v>4549</v>
      </c>
      <c r="C1206" s="90" t="s">
        <v>508</v>
      </c>
      <c r="D1206" s="90" t="s">
        <v>4550</v>
      </c>
      <c r="E1206" s="90" t="s">
        <v>4551</v>
      </c>
      <c r="F1206" s="90" t="s">
        <v>4552</v>
      </c>
      <c r="G1206" t="s">
        <v>512</v>
      </c>
    </row>
    <row r="1207" spans="1:7" x14ac:dyDescent="0.25">
      <c r="A1207" s="114">
        <v>338009</v>
      </c>
      <c r="B1207" s="90" t="s">
        <v>4194</v>
      </c>
      <c r="C1207" s="90" t="s">
        <v>508</v>
      </c>
      <c r="D1207" s="90" t="s">
        <v>4553</v>
      </c>
      <c r="E1207" s="90" t="s">
        <v>3990</v>
      </c>
      <c r="F1207" s="90" t="s">
        <v>4554</v>
      </c>
      <c r="G1207" t="s">
        <v>512</v>
      </c>
    </row>
    <row r="1208" spans="1:7" x14ac:dyDescent="0.25">
      <c r="A1208" s="114">
        <v>338069</v>
      </c>
      <c r="B1208" s="90" t="s">
        <v>4555</v>
      </c>
      <c r="C1208" s="90" t="s">
        <v>508</v>
      </c>
      <c r="D1208" s="90" t="s">
        <v>4556</v>
      </c>
      <c r="E1208" s="90" t="s">
        <v>1256</v>
      </c>
      <c r="F1208" s="90" t="s">
        <v>4557</v>
      </c>
      <c r="G1208" t="s">
        <v>512</v>
      </c>
    </row>
    <row r="1209" spans="1:7" x14ac:dyDescent="0.25">
      <c r="A1209" s="114">
        <v>338074</v>
      </c>
      <c r="B1209" s="90" t="s">
        <v>4558</v>
      </c>
      <c r="C1209" s="90" t="s">
        <v>508</v>
      </c>
      <c r="D1209" s="90" t="s">
        <v>4559</v>
      </c>
      <c r="E1209" s="90" t="s">
        <v>4560</v>
      </c>
      <c r="F1209" s="90" t="s">
        <v>4561</v>
      </c>
      <c r="G1209" t="s">
        <v>512</v>
      </c>
    </row>
    <row r="1210" spans="1:7" x14ac:dyDescent="0.25">
      <c r="A1210" s="114">
        <v>338087</v>
      </c>
      <c r="B1210" s="90" t="s">
        <v>4562</v>
      </c>
      <c r="C1210" s="90" t="s">
        <v>508</v>
      </c>
      <c r="D1210" s="90" t="s">
        <v>4563</v>
      </c>
      <c r="E1210" s="90" t="s">
        <v>4564</v>
      </c>
      <c r="F1210" s="90" t="s">
        <v>4562</v>
      </c>
      <c r="G1210" t="s">
        <v>512</v>
      </c>
    </row>
    <row r="1211" spans="1:7" x14ac:dyDescent="0.25">
      <c r="A1211" s="114">
        <v>338096</v>
      </c>
      <c r="B1211" s="90" t="s">
        <v>4565</v>
      </c>
      <c r="C1211" s="90" t="s">
        <v>508</v>
      </c>
      <c r="D1211" s="90" t="s">
        <v>4566</v>
      </c>
      <c r="E1211" s="90" t="s">
        <v>626</v>
      </c>
      <c r="F1211" s="90" t="s">
        <v>4567</v>
      </c>
      <c r="G1211" t="s">
        <v>512</v>
      </c>
    </row>
    <row r="1212" spans="1:7" x14ac:dyDescent="0.25">
      <c r="A1212" s="114">
        <v>338103</v>
      </c>
      <c r="B1212" s="90" t="s">
        <v>1045</v>
      </c>
      <c r="C1212" s="90" t="s">
        <v>508</v>
      </c>
      <c r="D1212" s="90" t="s">
        <v>4568</v>
      </c>
      <c r="E1212" s="90" t="s">
        <v>798</v>
      </c>
      <c r="F1212" s="90" t="s">
        <v>4569</v>
      </c>
      <c r="G1212" t="s">
        <v>512</v>
      </c>
    </row>
    <row r="1213" spans="1:7" x14ac:dyDescent="0.25">
      <c r="A1213" s="114">
        <v>338122</v>
      </c>
      <c r="B1213" s="90" t="s">
        <v>4570</v>
      </c>
      <c r="C1213" s="90" t="s">
        <v>508</v>
      </c>
      <c r="D1213" s="90" t="s">
        <v>4571</v>
      </c>
      <c r="E1213" s="90" t="s">
        <v>698</v>
      </c>
      <c r="F1213" s="90" t="s">
        <v>4572</v>
      </c>
      <c r="G1213" t="s">
        <v>512</v>
      </c>
    </row>
    <row r="1214" spans="1:7" x14ac:dyDescent="0.25">
      <c r="A1214" s="114">
        <v>338151</v>
      </c>
      <c r="B1214" s="90" t="s">
        <v>4573</v>
      </c>
      <c r="C1214" s="90" t="s">
        <v>508</v>
      </c>
      <c r="D1214" s="90" t="s">
        <v>4574</v>
      </c>
      <c r="E1214" s="90" t="s">
        <v>945</v>
      </c>
      <c r="F1214" s="90" t="s">
        <v>4575</v>
      </c>
      <c r="G1214" t="s">
        <v>512</v>
      </c>
    </row>
    <row r="1215" spans="1:7" x14ac:dyDescent="0.25">
      <c r="A1215" s="114">
        <v>338170</v>
      </c>
      <c r="B1215" s="90" t="s">
        <v>2125</v>
      </c>
      <c r="C1215" s="90" t="s">
        <v>508</v>
      </c>
      <c r="D1215" s="90" t="s">
        <v>4576</v>
      </c>
      <c r="E1215" s="90" t="s">
        <v>2492</v>
      </c>
      <c r="F1215" s="90" t="s">
        <v>4577</v>
      </c>
      <c r="G1215" t="s">
        <v>512</v>
      </c>
    </row>
    <row r="1216" spans="1:7" x14ac:dyDescent="0.25">
      <c r="A1216" s="114">
        <v>338252</v>
      </c>
      <c r="B1216" s="90" t="s">
        <v>4578</v>
      </c>
      <c r="C1216" s="90" t="s">
        <v>508</v>
      </c>
      <c r="D1216" s="90" t="s">
        <v>4579</v>
      </c>
      <c r="E1216" s="90" t="s">
        <v>2210</v>
      </c>
      <c r="F1216" s="90" t="s">
        <v>4580</v>
      </c>
      <c r="G1216" t="s">
        <v>512</v>
      </c>
    </row>
    <row r="1217" spans="1:7" x14ac:dyDescent="0.25">
      <c r="A1217" s="114">
        <v>338263</v>
      </c>
      <c r="B1217" s="90" t="s">
        <v>3348</v>
      </c>
      <c r="C1217" s="90" t="s">
        <v>508</v>
      </c>
      <c r="D1217" s="90" t="s">
        <v>4581</v>
      </c>
      <c r="E1217" s="90" t="s">
        <v>4582</v>
      </c>
      <c r="F1217" s="90" t="s">
        <v>4583</v>
      </c>
      <c r="G1217" t="s">
        <v>512</v>
      </c>
    </row>
    <row r="1218" spans="1:7" x14ac:dyDescent="0.25">
      <c r="A1218" s="114">
        <v>338267</v>
      </c>
      <c r="B1218" s="90" t="s">
        <v>4584</v>
      </c>
      <c r="C1218" s="90" t="s">
        <v>508</v>
      </c>
      <c r="D1218" s="90" t="s">
        <v>4585</v>
      </c>
      <c r="E1218" s="90" t="s">
        <v>4501</v>
      </c>
      <c r="F1218" s="90" t="s">
        <v>4586</v>
      </c>
      <c r="G1218" t="s">
        <v>512</v>
      </c>
    </row>
    <row r="1219" spans="1:7" x14ac:dyDescent="0.25">
      <c r="A1219" s="114">
        <v>338299</v>
      </c>
      <c r="B1219" s="90" t="s">
        <v>4587</v>
      </c>
      <c r="C1219" s="90" t="s">
        <v>508</v>
      </c>
      <c r="D1219" s="90" t="s">
        <v>4588</v>
      </c>
      <c r="E1219" s="90" t="s">
        <v>4589</v>
      </c>
      <c r="F1219" s="90" t="s">
        <v>4590</v>
      </c>
      <c r="G1219" t="s">
        <v>512</v>
      </c>
    </row>
    <row r="1220" spans="1:7" x14ac:dyDescent="0.25">
      <c r="A1220" s="114">
        <v>338328</v>
      </c>
      <c r="B1220" s="90" t="s">
        <v>4591</v>
      </c>
      <c r="C1220" s="90" t="s">
        <v>508</v>
      </c>
      <c r="D1220" s="90" t="s">
        <v>2491</v>
      </c>
      <c r="E1220" s="90" t="s">
        <v>2492</v>
      </c>
      <c r="F1220" s="90" t="s">
        <v>4592</v>
      </c>
      <c r="G1220" t="s">
        <v>512</v>
      </c>
    </row>
    <row r="1221" spans="1:7" x14ac:dyDescent="0.25">
      <c r="A1221" s="114">
        <v>338345</v>
      </c>
      <c r="B1221" s="90" t="s">
        <v>4593</v>
      </c>
      <c r="C1221" s="90" t="s">
        <v>508</v>
      </c>
      <c r="D1221" s="90" t="s">
        <v>4594</v>
      </c>
      <c r="E1221" s="90" t="s">
        <v>4595</v>
      </c>
      <c r="F1221" s="90" t="s">
        <v>4596</v>
      </c>
      <c r="G1221" t="s">
        <v>512</v>
      </c>
    </row>
    <row r="1222" spans="1:7" x14ac:dyDescent="0.25">
      <c r="A1222" s="114">
        <v>338374</v>
      </c>
      <c r="B1222" s="90" t="s">
        <v>4597</v>
      </c>
      <c r="C1222" s="90" t="s">
        <v>508</v>
      </c>
      <c r="D1222" s="90" t="s">
        <v>4598</v>
      </c>
      <c r="E1222" s="90" t="s">
        <v>4599</v>
      </c>
      <c r="F1222" s="90" t="s">
        <v>4600</v>
      </c>
      <c r="G1222" t="s">
        <v>512</v>
      </c>
    </row>
    <row r="1223" spans="1:7" x14ac:dyDescent="0.25">
      <c r="A1223" s="114">
        <v>338383</v>
      </c>
      <c r="B1223" s="90" t="s">
        <v>4601</v>
      </c>
      <c r="C1223" s="90" t="s">
        <v>508</v>
      </c>
      <c r="D1223" s="90" t="s">
        <v>4602</v>
      </c>
      <c r="E1223" s="90" t="s">
        <v>2976</v>
      </c>
      <c r="F1223" s="90" t="s">
        <v>4603</v>
      </c>
      <c r="G1223" t="s">
        <v>512</v>
      </c>
    </row>
    <row r="1224" spans="1:7" x14ac:dyDescent="0.25">
      <c r="A1224" s="114">
        <v>338440</v>
      </c>
      <c r="B1224" s="90" t="s">
        <v>4604</v>
      </c>
      <c r="C1224" s="90" t="s">
        <v>508</v>
      </c>
      <c r="D1224" s="90" t="s">
        <v>4605</v>
      </c>
      <c r="E1224" s="90" t="s">
        <v>1067</v>
      </c>
      <c r="F1224" s="90" t="s">
        <v>4606</v>
      </c>
      <c r="G1224" t="s">
        <v>512</v>
      </c>
    </row>
    <row r="1225" spans="1:7" x14ac:dyDescent="0.25">
      <c r="A1225" s="114">
        <v>338470</v>
      </c>
      <c r="B1225" s="90" t="s">
        <v>4607</v>
      </c>
      <c r="C1225" s="90" t="s">
        <v>508</v>
      </c>
      <c r="D1225" s="90" t="s">
        <v>3665</v>
      </c>
      <c r="E1225" s="90" t="s">
        <v>583</v>
      </c>
      <c r="F1225" s="90" t="s">
        <v>4608</v>
      </c>
      <c r="G1225" t="s">
        <v>512</v>
      </c>
    </row>
    <row r="1226" spans="1:7" x14ac:dyDescent="0.25">
      <c r="A1226" s="114">
        <v>338474</v>
      </c>
      <c r="B1226" s="90" t="s">
        <v>4609</v>
      </c>
      <c r="C1226" s="90" t="s">
        <v>508</v>
      </c>
      <c r="D1226" s="90" t="s">
        <v>4610</v>
      </c>
      <c r="E1226" s="90" t="s">
        <v>551</v>
      </c>
      <c r="F1226" s="90" t="s">
        <v>4611</v>
      </c>
      <c r="G1226" t="s">
        <v>512</v>
      </c>
    </row>
    <row r="1227" spans="1:7" x14ac:dyDescent="0.25">
      <c r="A1227" s="114">
        <v>338511</v>
      </c>
      <c r="B1227" s="90" t="s">
        <v>4612</v>
      </c>
      <c r="C1227" s="90" t="s">
        <v>508</v>
      </c>
      <c r="D1227" s="90" t="s">
        <v>3805</v>
      </c>
      <c r="E1227" s="90" t="s">
        <v>995</v>
      </c>
      <c r="F1227" s="90" t="s">
        <v>4613</v>
      </c>
      <c r="G1227" t="s">
        <v>512</v>
      </c>
    </row>
    <row r="1228" spans="1:7" x14ac:dyDescent="0.25">
      <c r="A1228" s="114">
        <v>338568</v>
      </c>
      <c r="B1228" s="90" t="s">
        <v>4614</v>
      </c>
      <c r="C1228" s="90" t="s">
        <v>508</v>
      </c>
      <c r="D1228" s="90" t="s">
        <v>4615</v>
      </c>
      <c r="E1228" s="90" t="s">
        <v>4616</v>
      </c>
      <c r="F1228" s="90" t="s">
        <v>4617</v>
      </c>
      <c r="G1228" t="s">
        <v>512</v>
      </c>
    </row>
    <row r="1229" spans="1:7" x14ac:dyDescent="0.25">
      <c r="A1229" s="114">
        <v>338584</v>
      </c>
      <c r="B1229" s="90" t="s">
        <v>4618</v>
      </c>
      <c r="C1229" s="90" t="s">
        <v>508</v>
      </c>
      <c r="D1229" s="90" t="s">
        <v>4619</v>
      </c>
      <c r="E1229" s="90" t="s">
        <v>1771</v>
      </c>
      <c r="F1229" s="90" t="s">
        <v>4620</v>
      </c>
      <c r="G1229" t="s">
        <v>512</v>
      </c>
    </row>
    <row r="1230" spans="1:7" x14ac:dyDescent="0.25">
      <c r="A1230" s="114">
        <v>338601</v>
      </c>
      <c r="B1230" s="90" t="s">
        <v>4621</v>
      </c>
      <c r="C1230" s="90" t="s">
        <v>508</v>
      </c>
      <c r="D1230" s="90" t="s">
        <v>4622</v>
      </c>
      <c r="E1230" s="90" t="s">
        <v>4623</v>
      </c>
      <c r="F1230" s="90" t="s">
        <v>4624</v>
      </c>
      <c r="G1230" t="s">
        <v>512</v>
      </c>
    </row>
    <row r="1231" spans="1:7" x14ac:dyDescent="0.25">
      <c r="A1231" s="114">
        <v>338613</v>
      </c>
      <c r="B1231" s="90" t="s">
        <v>4625</v>
      </c>
      <c r="C1231" s="90" t="s">
        <v>508</v>
      </c>
      <c r="D1231" s="90" t="s">
        <v>4626</v>
      </c>
      <c r="E1231" s="90" t="s">
        <v>4162</v>
      </c>
      <c r="F1231" s="90" t="s">
        <v>4627</v>
      </c>
      <c r="G1231" t="s">
        <v>512</v>
      </c>
    </row>
    <row r="1232" spans="1:7" x14ac:dyDescent="0.25">
      <c r="A1232" s="114">
        <v>338614</v>
      </c>
      <c r="B1232" s="90" t="s">
        <v>4628</v>
      </c>
      <c r="C1232" s="90" t="s">
        <v>508</v>
      </c>
      <c r="D1232" s="90" t="s">
        <v>4629</v>
      </c>
      <c r="E1232" s="90" t="s">
        <v>2837</v>
      </c>
      <c r="F1232" s="90" t="s">
        <v>4630</v>
      </c>
      <c r="G1232" t="s">
        <v>512</v>
      </c>
    </row>
    <row r="1233" spans="1:7" x14ac:dyDescent="0.25">
      <c r="A1233" s="114">
        <v>338629</v>
      </c>
      <c r="B1233" s="90" t="s">
        <v>4631</v>
      </c>
      <c r="C1233" s="90" t="s">
        <v>508</v>
      </c>
      <c r="D1233" s="90" t="s">
        <v>4632</v>
      </c>
      <c r="E1233" s="90" t="s">
        <v>4623</v>
      </c>
      <c r="F1233" s="90" t="s">
        <v>4633</v>
      </c>
      <c r="G1233" t="s">
        <v>512</v>
      </c>
    </row>
    <row r="1234" spans="1:7" x14ac:dyDescent="0.25">
      <c r="A1234" s="114">
        <v>338632</v>
      </c>
      <c r="B1234" s="90" t="s">
        <v>4634</v>
      </c>
      <c r="C1234" s="90" t="s">
        <v>508</v>
      </c>
      <c r="D1234" s="90" t="s">
        <v>4635</v>
      </c>
      <c r="E1234" s="90" t="s">
        <v>2065</v>
      </c>
      <c r="F1234" s="90" t="s">
        <v>4636</v>
      </c>
      <c r="G1234" t="s">
        <v>512</v>
      </c>
    </row>
    <row r="1235" spans="1:7" x14ac:dyDescent="0.25">
      <c r="A1235" s="114">
        <v>338636</v>
      </c>
      <c r="B1235" s="90" t="s">
        <v>4637</v>
      </c>
      <c r="C1235" s="90" t="s">
        <v>508</v>
      </c>
      <c r="D1235" s="90" t="s">
        <v>4638</v>
      </c>
      <c r="E1235" s="90" t="s">
        <v>3071</v>
      </c>
      <c r="F1235" s="90" t="s">
        <v>4639</v>
      </c>
      <c r="G1235" t="s">
        <v>512</v>
      </c>
    </row>
    <row r="1236" spans="1:7" x14ac:dyDescent="0.25">
      <c r="A1236" s="114">
        <v>338654</v>
      </c>
      <c r="B1236" s="90" t="s">
        <v>4640</v>
      </c>
      <c r="C1236" s="90" t="s">
        <v>508</v>
      </c>
      <c r="D1236" s="90" t="s">
        <v>4641</v>
      </c>
      <c r="E1236" s="90" t="s">
        <v>4642</v>
      </c>
      <c r="F1236" s="90" t="s">
        <v>4643</v>
      </c>
      <c r="G1236" t="s">
        <v>512</v>
      </c>
    </row>
    <row r="1237" spans="1:7" x14ac:dyDescent="0.25">
      <c r="A1237" s="114">
        <v>338710</v>
      </c>
      <c r="B1237" s="90" t="s">
        <v>3947</v>
      </c>
      <c r="C1237" s="90" t="s">
        <v>508</v>
      </c>
      <c r="D1237" s="90" t="s">
        <v>4622</v>
      </c>
      <c r="E1237" s="90" t="s">
        <v>4599</v>
      </c>
      <c r="F1237" s="90" t="s">
        <v>4644</v>
      </c>
      <c r="G1237" t="s">
        <v>512</v>
      </c>
    </row>
    <row r="1238" spans="1:7" x14ac:dyDescent="0.25">
      <c r="A1238" s="114">
        <v>338726</v>
      </c>
      <c r="B1238" s="90" t="s">
        <v>4645</v>
      </c>
      <c r="C1238" s="90" t="s">
        <v>508</v>
      </c>
      <c r="D1238" s="90" t="s">
        <v>4646</v>
      </c>
      <c r="E1238" s="90" t="s">
        <v>4162</v>
      </c>
      <c r="F1238" s="90" t="s">
        <v>4647</v>
      </c>
      <c r="G1238" t="s">
        <v>512</v>
      </c>
    </row>
    <row r="1239" spans="1:7" x14ac:dyDescent="0.25">
      <c r="A1239" s="114">
        <v>338741</v>
      </c>
      <c r="B1239" s="90" t="s">
        <v>4648</v>
      </c>
      <c r="C1239" s="90" t="s">
        <v>508</v>
      </c>
      <c r="D1239" s="90" t="s">
        <v>4649</v>
      </c>
      <c r="E1239" s="90" t="s">
        <v>4650</v>
      </c>
      <c r="F1239" s="90" t="s">
        <v>4651</v>
      </c>
      <c r="G1239" t="s">
        <v>512</v>
      </c>
    </row>
    <row r="1240" spans="1:7" x14ac:dyDescent="0.25">
      <c r="A1240" s="114">
        <v>338753</v>
      </c>
      <c r="B1240" s="90" t="s">
        <v>4652</v>
      </c>
      <c r="C1240" s="90" t="s">
        <v>508</v>
      </c>
      <c r="D1240" s="90" t="s">
        <v>4653</v>
      </c>
      <c r="E1240" s="90" t="s">
        <v>4654</v>
      </c>
      <c r="F1240" s="90" t="s">
        <v>4655</v>
      </c>
      <c r="G1240" t="s">
        <v>512</v>
      </c>
    </row>
    <row r="1241" spans="1:7" x14ac:dyDescent="0.25">
      <c r="A1241" s="114">
        <v>338791</v>
      </c>
      <c r="B1241" s="90" t="s">
        <v>4656</v>
      </c>
      <c r="C1241" s="90" t="s">
        <v>508</v>
      </c>
      <c r="D1241" s="90" t="s">
        <v>4657</v>
      </c>
      <c r="E1241" s="90" t="s">
        <v>941</v>
      </c>
      <c r="F1241" s="90" t="s">
        <v>4658</v>
      </c>
      <c r="G1241" t="s">
        <v>512</v>
      </c>
    </row>
    <row r="1242" spans="1:7" x14ac:dyDescent="0.25">
      <c r="A1242" s="114">
        <v>338799</v>
      </c>
      <c r="B1242" s="90" t="s">
        <v>4659</v>
      </c>
      <c r="C1242" s="90" t="s">
        <v>508</v>
      </c>
      <c r="D1242" s="90" t="s">
        <v>4660</v>
      </c>
      <c r="E1242" s="90" t="s">
        <v>4661</v>
      </c>
      <c r="F1242" s="90" t="s">
        <v>4662</v>
      </c>
      <c r="G1242" t="s">
        <v>512</v>
      </c>
    </row>
    <row r="1243" spans="1:7" x14ac:dyDescent="0.25">
      <c r="A1243" s="114">
        <v>338821</v>
      </c>
      <c r="B1243" s="90" t="s">
        <v>3717</v>
      </c>
      <c r="C1243" s="90" t="s">
        <v>508</v>
      </c>
      <c r="D1243" s="90" t="s">
        <v>4663</v>
      </c>
      <c r="E1243" s="90" t="s">
        <v>583</v>
      </c>
      <c r="F1243" s="90" t="s">
        <v>4664</v>
      </c>
      <c r="G1243" t="s">
        <v>512</v>
      </c>
    </row>
    <row r="1244" spans="1:7" x14ac:dyDescent="0.25">
      <c r="A1244" s="114">
        <v>338827</v>
      </c>
      <c r="B1244" s="90" t="s">
        <v>4665</v>
      </c>
      <c r="C1244" s="90" t="s">
        <v>508</v>
      </c>
      <c r="D1244" s="90" t="s">
        <v>4666</v>
      </c>
      <c r="E1244" s="90" t="s">
        <v>4667</v>
      </c>
      <c r="F1244" s="90" t="s">
        <v>4668</v>
      </c>
      <c r="G1244" t="s">
        <v>512</v>
      </c>
    </row>
    <row r="1245" spans="1:7" x14ac:dyDescent="0.25">
      <c r="A1245" s="114">
        <v>338834</v>
      </c>
      <c r="B1245" s="90" t="s">
        <v>4669</v>
      </c>
      <c r="C1245" s="90" t="s">
        <v>508</v>
      </c>
      <c r="D1245" s="90" t="s">
        <v>4670</v>
      </c>
      <c r="E1245" s="90" t="s">
        <v>4431</v>
      </c>
      <c r="F1245" s="90" t="s">
        <v>4671</v>
      </c>
      <c r="G1245" t="s">
        <v>512</v>
      </c>
    </row>
    <row r="1246" spans="1:7" x14ac:dyDescent="0.25">
      <c r="A1246" s="114">
        <v>338866</v>
      </c>
      <c r="B1246" s="90" t="s">
        <v>4672</v>
      </c>
      <c r="C1246" s="90" t="s">
        <v>508</v>
      </c>
      <c r="D1246" s="90" t="s">
        <v>4673</v>
      </c>
      <c r="E1246" s="90" t="s">
        <v>626</v>
      </c>
      <c r="F1246" s="90" t="s">
        <v>4674</v>
      </c>
      <c r="G1246" t="s">
        <v>512</v>
      </c>
    </row>
    <row r="1247" spans="1:7" x14ac:dyDescent="0.25">
      <c r="A1247" s="114">
        <v>338871</v>
      </c>
      <c r="B1247" s="90" t="s">
        <v>4675</v>
      </c>
      <c r="C1247" s="90" t="s">
        <v>508</v>
      </c>
      <c r="D1247" s="90" t="s">
        <v>4676</v>
      </c>
      <c r="E1247" s="90" t="s">
        <v>610</v>
      </c>
      <c r="F1247" s="90" t="s">
        <v>4677</v>
      </c>
      <c r="G1247" t="s">
        <v>512</v>
      </c>
    </row>
    <row r="1248" spans="1:7" x14ac:dyDescent="0.25">
      <c r="A1248" s="114">
        <v>338878</v>
      </c>
      <c r="B1248" s="90" t="s">
        <v>2885</v>
      </c>
      <c r="C1248" s="90" t="s">
        <v>508</v>
      </c>
      <c r="D1248" s="90" t="s">
        <v>4678</v>
      </c>
      <c r="E1248" s="90" t="s">
        <v>4679</v>
      </c>
      <c r="F1248" s="90" t="s">
        <v>4680</v>
      </c>
      <c r="G1248" t="s">
        <v>512</v>
      </c>
    </row>
    <row r="1249" spans="1:7" x14ac:dyDescent="0.25">
      <c r="A1249" s="114">
        <v>338891</v>
      </c>
      <c r="B1249" s="90" t="s">
        <v>4681</v>
      </c>
      <c r="C1249" s="90" t="s">
        <v>508</v>
      </c>
      <c r="D1249" s="90" t="s">
        <v>4682</v>
      </c>
      <c r="E1249" s="90" t="s">
        <v>818</v>
      </c>
      <c r="F1249" s="90" t="s">
        <v>4683</v>
      </c>
      <c r="G1249" t="s">
        <v>512</v>
      </c>
    </row>
    <row r="1250" spans="1:7" x14ac:dyDescent="0.25">
      <c r="A1250" s="114">
        <v>338906</v>
      </c>
      <c r="B1250" s="90" t="s">
        <v>4684</v>
      </c>
      <c r="C1250" s="90" t="s">
        <v>508</v>
      </c>
      <c r="D1250" s="90" t="s">
        <v>4685</v>
      </c>
      <c r="E1250" s="90" t="s">
        <v>4686</v>
      </c>
      <c r="F1250" s="90" t="s">
        <v>4687</v>
      </c>
      <c r="G1250" t="s">
        <v>512</v>
      </c>
    </row>
    <row r="1251" spans="1:7" x14ac:dyDescent="0.25">
      <c r="A1251" s="114">
        <v>338914</v>
      </c>
      <c r="B1251" s="90" t="s">
        <v>4688</v>
      </c>
      <c r="C1251" s="90" t="s">
        <v>508</v>
      </c>
      <c r="D1251" s="90" t="s">
        <v>4689</v>
      </c>
      <c r="E1251" s="90" t="s">
        <v>4080</v>
      </c>
      <c r="F1251" s="90" t="s">
        <v>4647</v>
      </c>
      <c r="G1251" t="s">
        <v>512</v>
      </c>
    </row>
    <row r="1252" spans="1:7" x14ac:dyDescent="0.25">
      <c r="A1252" s="114">
        <v>338918</v>
      </c>
      <c r="B1252" s="90" t="s">
        <v>4690</v>
      </c>
      <c r="C1252" s="90" t="s">
        <v>508</v>
      </c>
      <c r="D1252" s="90" t="s">
        <v>4691</v>
      </c>
      <c r="E1252" s="90" t="s">
        <v>2305</v>
      </c>
      <c r="F1252" s="90" t="s">
        <v>4692</v>
      </c>
      <c r="G1252" t="s">
        <v>512</v>
      </c>
    </row>
    <row r="1253" spans="1:7" x14ac:dyDescent="0.25">
      <c r="A1253" s="114">
        <v>338959</v>
      </c>
      <c r="B1253" s="90" t="s">
        <v>3671</v>
      </c>
      <c r="C1253" s="90" t="s">
        <v>508</v>
      </c>
      <c r="D1253" s="90" t="s">
        <v>3672</v>
      </c>
      <c r="E1253" s="90" t="s">
        <v>4693</v>
      </c>
      <c r="F1253" s="90" t="s">
        <v>4694</v>
      </c>
      <c r="G1253" t="s">
        <v>512</v>
      </c>
    </row>
    <row r="1254" spans="1:7" x14ac:dyDescent="0.25">
      <c r="A1254" s="114">
        <v>338961</v>
      </c>
      <c r="B1254" s="90" t="s">
        <v>4695</v>
      </c>
      <c r="C1254" s="90" t="s">
        <v>508</v>
      </c>
      <c r="D1254" s="90" t="s">
        <v>4696</v>
      </c>
      <c r="E1254" s="90" t="s">
        <v>914</v>
      </c>
      <c r="F1254" s="90" t="s">
        <v>4697</v>
      </c>
      <c r="G1254" t="s">
        <v>512</v>
      </c>
    </row>
    <row r="1255" spans="1:7" x14ac:dyDescent="0.25">
      <c r="A1255" s="114">
        <v>338985</v>
      </c>
      <c r="B1255" s="90" t="s">
        <v>4698</v>
      </c>
      <c r="C1255" s="90" t="s">
        <v>508</v>
      </c>
      <c r="D1255" s="90" t="s">
        <v>4699</v>
      </c>
      <c r="E1255" s="90" t="s">
        <v>4700</v>
      </c>
      <c r="F1255" s="90" t="s">
        <v>4701</v>
      </c>
      <c r="G1255" t="s">
        <v>512</v>
      </c>
    </row>
    <row r="1256" spans="1:7" x14ac:dyDescent="0.25">
      <c r="A1256" s="114">
        <v>338989</v>
      </c>
      <c r="B1256" s="90" t="s">
        <v>4702</v>
      </c>
      <c r="C1256" s="90" t="s">
        <v>508</v>
      </c>
      <c r="D1256" s="90" t="s">
        <v>4703</v>
      </c>
      <c r="E1256" s="90" t="s">
        <v>2492</v>
      </c>
      <c r="F1256" s="90" t="s">
        <v>4704</v>
      </c>
      <c r="G1256" t="s">
        <v>512</v>
      </c>
    </row>
    <row r="1257" spans="1:7" x14ac:dyDescent="0.25">
      <c r="A1257" s="114">
        <v>339011</v>
      </c>
      <c r="B1257" s="90" t="s">
        <v>4705</v>
      </c>
      <c r="C1257" s="90" t="s">
        <v>508</v>
      </c>
      <c r="D1257" s="90" t="s">
        <v>4706</v>
      </c>
      <c r="E1257" s="90" t="s">
        <v>1650</v>
      </c>
      <c r="F1257" s="90" t="s">
        <v>4707</v>
      </c>
      <c r="G1257" t="s">
        <v>512</v>
      </c>
    </row>
    <row r="1258" spans="1:7" x14ac:dyDescent="0.25">
      <c r="A1258" s="114">
        <v>339015</v>
      </c>
      <c r="B1258" s="90" t="s">
        <v>4708</v>
      </c>
      <c r="C1258" s="90" t="s">
        <v>508</v>
      </c>
      <c r="D1258" s="90" t="s">
        <v>4709</v>
      </c>
      <c r="E1258" s="90" t="s">
        <v>614</v>
      </c>
      <c r="F1258" s="90" t="s">
        <v>4710</v>
      </c>
      <c r="G1258" t="s">
        <v>512</v>
      </c>
    </row>
    <row r="1259" spans="1:7" x14ac:dyDescent="0.25">
      <c r="A1259" s="114">
        <v>339028</v>
      </c>
      <c r="B1259" s="90" t="s">
        <v>4711</v>
      </c>
      <c r="C1259" s="90" t="s">
        <v>508</v>
      </c>
      <c r="D1259" s="90" t="s">
        <v>4712</v>
      </c>
      <c r="E1259" s="90" t="s">
        <v>945</v>
      </c>
      <c r="F1259" s="90" t="s">
        <v>4713</v>
      </c>
      <c r="G1259" t="s">
        <v>512</v>
      </c>
    </row>
    <row r="1260" spans="1:7" x14ac:dyDescent="0.25">
      <c r="A1260" s="114">
        <v>339053</v>
      </c>
      <c r="B1260" s="90" t="s">
        <v>4714</v>
      </c>
      <c r="C1260" s="90" t="s">
        <v>508</v>
      </c>
      <c r="D1260" s="90" t="s">
        <v>4715</v>
      </c>
      <c r="E1260" s="90" t="s">
        <v>807</v>
      </c>
      <c r="F1260" s="90" t="s">
        <v>4716</v>
      </c>
      <c r="G1260" t="s">
        <v>512</v>
      </c>
    </row>
    <row r="1261" spans="1:7" x14ac:dyDescent="0.25">
      <c r="A1261" s="114">
        <v>339082</v>
      </c>
      <c r="B1261" s="90" t="s">
        <v>4717</v>
      </c>
      <c r="C1261" s="90" t="s">
        <v>508</v>
      </c>
      <c r="D1261" s="90" t="s">
        <v>4718</v>
      </c>
      <c r="E1261" s="90" t="s">
        <v>3662</v>
      </c>
      <c r="F1261" s="90" t="s">
        <v>4719</v>
      </c>
      <c r="G1261" t="s">
        <v>512</v>
      </c>
    </row>
    <row r="1262" spans="1:7" x14ac:dyDescent="0.25">
      <c r="A1262" s="114">
        <v>339153</v>
      </c>
      <c r="B1262" s="90" t="s">
        <v>4720</v>
      </c>
      <c r="C1262" s="90" t="s">
        <v>508</v>
      </c>
      <c r="D1262" s="90" t="s">
        <v>4721</v>
      </c>
      <c r="E1262" s="90" t="s">
        <v>4722</v>
      </c>
      <c r="F1262" s="90" t="s">
        <v>4723</v>
      </c>
      <c r="G1262" t="s">
        <v>512</v>
      </c>
    </row>
    <row r="1263" spans="1:7" x14ac:dyDescent="0.25">
      <c r="A1263" s="114">
        <v>339183</v>
      </c>
      <c r="B1263" s="90" t="s">
        <v>4724</v>
      </c>
      <c r="C1263" s="90" t="s">
        <v>508</v>
      </c>
      <c r="D1263" s="90" t="s">
        <v>4725</v>
      </c>
      <c r="E1263" s="90" t="s">
        <v>3037</v>
      </c>
      <c r="F1263" s="90" t="s">
        <v>4726</v>
      </c>
      <c r="G1263" t="s">
        <v>512</v>
      </c>
    </row>
    <row r="1264" spans="1:7" x14ac:dyDescent="0.25">
      <c r="A1264" s="114">
        <v>339240</v>
      </c>
      <c r="B1264" s="90" t="s">
        <v>4727</v>
      </c>
      <c r="C1264" s="90" t="s">
        <v>508</v>
      </c>
      <c r="D1264" s="90" t="s">
        <v>4728</v>
      </c>
      <c r="E1264" s="90" t="s">
        <v>563</v>
      </c>
      <c r="F1264" s="90" t="s">
        <v>4729</v>
      </c>
      <c r="G1264" t="s">
        <v>512</v>
      </c>
    </row>
    <row r="1265" spans="1:7" x14ac:dyDescent="0.25">
      <c r="A1265" s="114">
        <v>339310</v>
      </c>
      <c r="B1265" s="90" t="s">
        <v>4042</v>
      </c>
      <c r="C1265" s="90" t="s">
        <v>508</v>
      </c>
      <c r="D1265" s="90" t="s">
        <v>4730</v>
      </c>
      <c r="E1265" s="90" t="s">
        <v>4731</v>
      </c>
      <c r="F1265" s="90" t="s">
        <v>4732</v>
      </c>
      <c r="G1265" t="s">
        <v>512</v>
      </c>
    </row>
    <row r="1266" spans="1:7" x14ac:dyDescent="0.25">
      <c r="A1266" s="114">
        <v>339312</v>
      </c>
      <c r="B1266" s="90" t="s">
        <v>4733</v>
      </c>
      <c r="C1266" s="90" t="s">
        <v>508</v>
      </c>
      <c r="D1266" s="90" t="s">
        <v>4734</v>
      </c>
      <c r="E1266" s="90" t="s">
        <v>4735</v>
      </c>
      <c r="F1266" s="90" t="s">
        <v>4736</v>
      </c>
      <c r="G1266" t="s">
        <v>512</v>
      </c>
    </row>
    <row r="1267" spans="1:7" x14ac:dyDescent="0.25">
      <c r="A1267" s="114">
        <v>339369</v>
      </c>
      <c r="B1267" s="90" t="s">
        <v>4737</v>
      </c>
      <c r="C1267" s="90" t="s">
        <v>508</v>
      </c>
      <c r="D1267" s="90" t="s">
        <v>4738</v>
      </c>
      <c r="E1267" s="90" t="s">
        <v>4739</v>
      </c>
      <c r="F1267" s="90" t="s">
        <v>4740</v>
      </c>
      <c r="G1267" t="s">
        <v>512</v>
      </c>
    </row>
    <row r="1268" spans="1:7" x14ac:dyDescent="0.25">
      <c r="A1268" s="114">
        <v>339412</v>
      </c>
      <c r="B1268" s="90" t="s">
        <v>3734</v>
      </c>
      <c r="C1268" s="90" t="s">
        <v>508</v>
      </c>
      <c r="D1268" s="90" t="s">
        <v>4741</v>
      </c>
      <c r="E1268" s="90" t="s">
        <v>547</v>
      </c>
      <c r="F1268" s="90" t="s">
        <v>4742</v>
      </c>
      <c r="G1268" t="s">
        <v>512</v>
      </c>
    </row>
    <row r="1269" spans="1:7" x14ac:dyDescent="0.25">
      <c r="A1269" s="114">
        <v>339419</v>
      </c>
      <c r="B1269" s="90" t="s">
        <v>4743</v>
      </c>
      <c r="C1269" s="90" t="s">
        <v>508</v>
      </c>
      <c r="D1269" s="90" t="s">
        <v>4744</v>
      </c>
      <c r="E1269" s="90" t="s">
        <v>4745</v>
      </c>
      <c r="F1269" s="90" t="s">
        <v>1712</v>
      </c>
      <c r="G1269" t="s">
        <v>512</v>
      </c>
    </row>
    <row r="1270" spans="1:7" x14ac:dyDescent="0.25">
      <c r="A1270" s="114">
        <v>339429</v>
      </c>
      <c r="B1270" s="90" t="s">
        <v>4746</v>
      </c>
      <c r="C1270" s="90" t="s">
        <v>508</v>
      </c>
      <c r="D1270" s="90" t="s">
        <v>4747</v>
      </c>
      <c r="E1270" s="90" t="s">
        <v>4746</v>
      </c>
      <c r="F1270" s="90" t="s">
        <v>4748</v>
      </c>
      <c r="G1270" t="s">
        <v>512</v>
      </c>
    </row>
    <row r="1271" spans="1:7" x14ac:dyDescent="0.25">
      <c r="A1271" s="114">
        <v>339439</v>
      </c>
      <c r="B1271" s="90" t="s">
        <v>4618</v>
      </c>
      <c r="C1271" s="90" t="s">
        <v>508</v>
      </c>
      <c r="D1271" s="90" t="s">
        <v>2848</v>
      </c>
      <c r="E1271" s="90" t="s">
        <v>1571</v>
      </c>
      <c r="F1271" s="90" t="s">
        <v>4749</v>
      </c>
      <c r="G1271" t="s">
        <v>512</v>
      </c>
    </row>
    <row r="1272" spans="1:7" x14ac:dyDescent="0.25">
      <c r="A1272" s="114">
        <v>339447</v>
      </c>
      <c r="B1272" s="90" t="s">
        <v>4750</v>
      </c>
      <c r="C1272" s="90" t="s">
        <v>508</v>
      </c>
      <c r="D1272" s="90" t="s">
        <v>4115</v>
      </c>
      <c r="E1272" s="90" t="s">
        <v>3897</v>
      </c>
      <c r="F1272" s="90" t="s">
        <v>4751</v>
      </c>
      <c r="G1272" t="s">
        <v>512</v>
      </c>
    </row>
    <row r="1273" spans="1:7" x14ac:dyDescent="0.25">
      <c r="A1273" s="114">
        <v>339490</v>
      </c>
      <c r="B1273" s="90" t="s">
        <v>4752</v>
      </c>
      <c r="C1273" s="90" t="s">
        <v>508</v>
      </c>
      <c r="D1273" s="90" t="s">
        <v>4753</v>
      </c>
      <c r="E1273" s="90" t="s">
        <v>2524</v>
      </c>
      <c r="F1273" s="90" t="s">
        <v>4754</v>
      </c>
      <c r="G1273" t="s">
        <v>512</v>
      </c>
    </row>
    <row r="1274" spans="1:7" x14ac:dyDescent="0.25">
      <c r="A1274" s="114">
        <v>339528</v>
      </c>
      <c r="B1274" s="90" t="s">
        <v>4755</v>
      </c>
      <c r="C1274" s="90" t="s">
        <v>508</v>
      </c>
      <c r="D1274" s="90" t="s">
        <v>4079</v>
      </c>
      <c r="E1274" s="90" t="s">
        <v>4080</v>
      </c>
      <c r="F1274" s="90" t="s">
        <v>4756</v>
      </c>
      <c r="G1274" t="s">
        <v>512</v>
      </c>
    </row>
    <row r="1275" spans="1:7" x14ac:dyDescent="0.25">
      <c r="A1275" s="114">
        <v>339529</v>
      </c>
      <c r="B1275" s="90" t="s">
        <v>4757</v>
      </c>
      <c r="C1275" s="90" t="s">
        <v>508</v>
      </c>
      <c r="D1275" s="90" t="s">
        <v>4758</v>
      </c>
      <c r="E1275" s="90" t="s">
        <v>4759</v>
      </c>
      <c r="F1275" s="90" t="s">
        <v>3841</v>
      </c>
      <c r="G1275" t="s">
        <v>512</v>
      </c>
    </row>
    <row r="1276" spans="1:7" x14ac:dyDescent="0.25">
      <c r="A1276" s="114">
        <v>339533</v>
      </c>
      <c r="B1276" s="90" t="s">
        <v>4760</v>
      </c>
      <c r="C1276" s="90" t="s">
        <v>508</v>
      </c>
      <c r="D1276" s="90" t="s">
        <v>4761</v>
      </c>
      <c r="E1276" s="90" t="s">
        <v>2897</v>
      </c>
      <c r="F1276" s="90" t="s">
        <v>4762</v>
      </c>
      <c r="G1276" t="s">
        <v>512</v>
      </c>
    </row>
    <row r="1277" spans="1:7" x14ac:dyDescent="0.25">
      <c r="A1277" s="114">
        <v>339539</v>
      </c>
      <c r="B1277" s="90" t="s">
        <v>4763</v>
      </c>
      <c r="C1277" s="90" t="s">
        <v>508</v>
      </c>
      <c r="D1277" s="90" t="s">
        <v>4764</v>
      </c>
      <c r="E1277" s="90" t="s">
        <v>907</v>
      </c>
      <c r="F1277" s="90" t="s">
        <v>4763</v>
      </c>
      <c r="G1277" t="s">
        <v>512</v>
      </c>
    </row>
    <row r="1278" spans="1:7" x14ac:dyDescent="0.25">
      <c r="A1278" s="114">
        <v>339558</v>
      </c>
      <c r="B1278" s="90" t="s">
        <v>4765</v>
      </c>
      <c r="C1278" s="90" t="s">
        <v>508</v>
      </c>
      <c r="D1278" s="90" t="s">
        <v>4766</v>
      </c>
      <c r="E1278" s="90" t="s">
        <v>1631</v>
      </c>
      <c r="F1278" s="90" t="s">
        <v>4767</v>
      </c>
      <c r="G1278" t="s">
        <v>512</v>
      </c>
    </row>
    <row r="1279" spans="1:7" x14ac:dyDescent="0.25">
      <c r="A1279" s="114">
        <v>339580</v>
      </c>
      <c r="B1279" s="90" t="s">
        <v>4768</v>
      </c>
      <c r="C1279" s="90" t="s">
        <v>508</v>
      </c>
      <c r="D1279" s="90" t="s">
        <v>4769</v>
      </c>
      <c r="E1279" s="90" t="s">
        <v>4770</v>
      </c>
      <c r="F1279" s="90" t="s">
        <v>4771</v>
      </c>
      <c r="G1279" t="s">
        <v>512</v>
      </c>
    </row>
    <row r="1280" spans="1:7" x14ac:dyDescent="0.25">
      <c r="A1280" s="114">
        <v>339616</v>
      </c>
      <c r="B1280" s="90" t="s">
        <v>4772</v>
      </c>
      <c r="C1280" s="90" t="s">
        <v>508</v>
      </c>
      <c r="D1280" s="90" t="s">
        <v>4773</v>
      </c>
      <c r="E1280" s="90" t="s">
        <v>4774</v>
      </c>
      <c r="F1280" s="90" t="s">
        <v>4775</v>
      </c>
      <c r="G1280" t="s">
        <v>512</v>
      </c>
    </row>
    <row r="1281" spans="1:7" x14ac:dyDescent="0.25">
      <c r="A1281" s="114">
        <v>339618</v>
      </c>
      <c r="B1281" s="90" t="s">
        <v>4776</v>
      </c>
      <c r="C1281" s="90" t="s">
        <v>508</v>
      </c>
      <c r="D1281" s="90" t="s">
        <v>4777</v>
      </c>
      <c r="E1281" s="90" t="s">
        <v>3167</v>
      </c>
      <c r="F1281" s="90" t="s">
        <v>4778</v>
      </c>
      <c r="G1281" t="s">
        <v>512</v>
      </c>
    </row>
    <row r="1282" spans="1:7" x14ac:dyDescent="0.25">
      <c r="A1282" s="114">
        <v>339635</v>
      </c>
      <c r="B1282" s="90" t="s">
        <v>4779</v>
      </c>
      <c r="C1282" s="90" t="s">
        <v>508</v>
      </c>
      <c r="D1282" s="90" t="s">
        <v>4780</v>
      </c>
      <c r="E1282" s="90" t="s">
        <v>1593</v>
      </c>
      <c r="F1282" s="90" t="s">
        <v>4781</v>
      </c>
      <c r="G1282" t="s">
        <v>512</v>
      </c>
    </row>
    <row r="1283" spans="1:7" x14ac:dyDescent="0.25">
      <c r="A1283" s="114">
        <v>339636</v>
      </c>
      <c r="B1283" s="90" t="s">
        <v>4782</v>
      </c>
      <c r="C1283" s="90" t="s">
        <v>508</v>
      </c>
      <c r="D1283" s="90" t="s">
        <v>4783</v>
      </c>
      <c r="E1283" s="90" t="s">
        <v>4784</v>
      </c>
      <c r="F1283" s="90" t="s">
        <v>4785</v>
      </c>
      <c r="G1283" t="s">
        <v>512</v>
      </c>
    </row>
    <row r="1284" spans="1:7" x14ac:dyDescent="0.25">
      <c r="A1284" s="114">
        <v>339669</v>
      </c>
      <c r="B1284" s="90" t="s">
        <v>4786</v>
      </c>
      <c r="C1284" s="90" t="s">
        <v>508</v>
      </c>
      <c r="D1284" s="90" t="s">
        <v>4787</v>
      </c>
      <c r="E1284" s="90" t="s">
        <v>4788</v>
      </c>
      <c r="F1284" s="90" t="s">
        <v>4647</v>
      </c>
      <c r="G1284" t="s">
        <v>512</v>
      </c>
    </row>
    <row r="1285" spans="1:7" x14ac:dyDescent="0.25">
      <c r="A1285" s="114">
        <v>339681</v>
      </c>
      <c r="B1285" s="90" t="s">
        <v>700</v>
      </c>
      <c r="C1285" s="90" t="s">
        <v>508</v>
      </c>
      <c r="D1285" s="90" t="s">
        <v>4789</v>
      </c>
      <c r="E1285" s="90" t="s">
        <v>718</v>
      </c>
      <c r="F1285" s="90" t="s">
        <v>4790</v>
      </c>
      <c r="G1285" t="s">
        <v>512</v>
      </c>
    </row>
    <row r="1286" spans="1:7" x14ac:dyDescent="0.25">
      <c r="A1286" s="114">
        <v>339685</v>
      </c>
      <c r="B1286" s="90" t="s">
        <v>4791</v>
      </c>
      <c r="C1286" s="90" t="s">
        <v>508</v>
      </c>
      <c r="D1286" s="90" t="s">
        <v>4571</v>
      </c>
      <c r="E1286" s="90" t="s">
        <v>698</v>
      </c>
      <c r="F1286" s="90" t="s">
        <v>4792</v>
      </c>
      <c r="G1286" t="s">
        <v>512</v>
      </c>
    </row>
    <row r="1287" spans="1:7" x14ac:dyDescent="0.25">
      <c r="A1287" s="114">
        <v>339693</v>
      </c>
      <c r="B1287" s="90" t="s">
        <v>4327</v>
      </c>
      <c r="C1287" s="90" t="s">
        <v>508</v>
      </c>
      <c r="D1287" s="90" t="s">
        <v>4328</v>
      </c>
      <c r="E1287" s="90" t="s">
        <v>614</v>
      </c>
      <c r="F1287" s="90" t="s">
        <v>4329</v>
      </c>
      <c r="G1287" t="s">
        <v>859</v>
      </c>
    </row>
    <row r="1288" spans="1:7" x14ac:dyDescent="0.25">
      <c r="A1288" s="114">
        <v>339727</v>
      </c>
      <c r="B1288" s="90" t="s">
        <v>4793</v>
      </c>
      <c r="C1288" s="90" t="s">
        <v>508</v>
      </c>
      <c r="D1288" s="90" t="s">
        <v>4794</v>
      </c>
      <c r="E1288" s="90" t="s">
        <v>1160</v>
      </c>
      <c r="F1288" s="90" t="s">
        <v>4795</v>
      </c>
      <c r="G1288" t="s">
        <v>512</v>
      </c>
    </row>
    <row r="1289" spans="1:7" x14ac:dyDescent="0.25">
      <c r="A1289" s="114">
        <v>339741</v>
      </c>
      <c r="B1289" s="90" t="s">
        <v>4796</v>
      </c>
      <c r="C1289" s="90" t="s">
        <v>508</v>
      </c>
      <c r="D1289" s="90" t="s">
        <v>4797</v>
      </c>
      <c r="E1289" s="90" t="s">
        <v>2250</v>
      </c>
      <c r="F1289" s="90" t="s">
        <v>4798</v>
      </c>
      <c r="G1289" t="s">
        <v>512</v>
      </c>
    </row>
    <row r="1290" spans="1:7" x14ac:dyDescent="0.25">
      <c r="A1290" s="114">
        <v>339820</v>
      </c>
      <c r="B1290" s="90" t="s">
        <v>4799</v>
      </c>
      <c r="C1290" s="90" t="s">
        <v>508</v>
      </c>
      <c r="D1290" s="90" t="s">
        <v>4800</v>
      </c>
      <c r="E1290" s="90" t="s">
        <v>3054</v>
      </c>
      <c r="F1290" s="90" t="s">
        <v>4801</v>
      </c>
      <c r="G1290" t="s">
        <v>512</v>
      </c>
    </row>
    <row r="1291" spans="1:7" x14ac:dyDescent="0.25">
      <c r="A1291" s="114">
        <v>339887</v>
      </c>
      <c r="B1291" s="90" t="s">
        <v>4802</v>
      </c>
      <c r="C1291" s="90" t="s">
        <v>508</v>
      </c>
      <c r="D1291" s="90" t="s">
        <v>4803</v>
      </c>
      <c r="E1291" s="90" t="s">
        <v>1089</v>
      </c>
      <c r="F1291" s="90" t="s">
        <v>4804</v>
      </c>
      <c r="G1291" t="s">
        <v>512</v>
      </c>
    </row>
    <row r="1292" spans="1:7" x14ac:dyDescent="0.25">
      <c r="A1292" s="114">
        <v>339927</v>
      </c>
      <c r="B1292" s="90" t="s">
        <v>4074</v>
      </c>
      <c r="C1292" s="90" t="s">
        <v>508</v>
      </c>
      <c r="D1292" s="90" t="s">
        <v>4805</v>
      </c>
      <c r="E1292" s="90" t="s">
        <v>517</v>
      </c>
      <c r="F1292" s="90" t="s">
        <v>4077</v>
      </c>
      <c r="G1292" t="s">
        <v>512</v>
      </c>
    </row>
    <row r="1293" spans="1:7" x14ac:dyDescent="0.25">
      <c r="A1293" s="114">
        <v>339945</v>
      </c>
      <c r="B1293" s="90" t="s">
        <v>4806</v>
      </c>
      <c r="C1293" s="90" t="s">
        <v>508</v>
      </c>
      <c r="D1293" s="90" t="s">
        <v>4807</v>
      </c>
      <c r="E1293" s="90" t="s">
        <v>4162</v>
      </c>
      <c r="F1293" s="90" t="s">
        <v>4808</v>
      </c>
      <c r="G1293" t="s">
        <v>512</v>
      </c>
    </row>
    <row r="1294" spans="1:7" x14ac:dyDescent="0.25">
      <c r="A1294" s="114">
        <v>339977</v>
      </c>
      <c r="B1294" s="90" t="s">
        <v>4809</v>
      </c>
      <c r="C1294" s="90" t="s">
        <v>508</v>
      </c>
      <c r="D1294" s="90" t="s">
        <v>4439</v>
      </c>
      <c r="E1294" s="90" t="s">
        <v>3711</v>
      </c>
      <c r="F1294" s="90" t="s">
        <v>4810</v>
      </c>
      <c r="G1294" t="s">
        <v>512</v>
      </c>
    </row>
    <row r="1295" spans="1:7" x14ac:dyDescent="0.25">
      <c r="A1295" s="114">
        <v>340014</v>
      </c>
      <c r="B1295" s="90" t="s">
        <v>4811</v>
      </c>
      <c r="C1295" s="90" t="s">
        <v>508</v>
      </c>
      <c r="D1295" s="90" t="s">
        <v>4812</v>
      </c>
      <c r="E1295" s="90" t="s">
        <v>1631</v>
      </c>
      <c r="F1295" s="90" t="s">
        <v>4813</v>
      </c>
      <c r="G1295" t="s">
        <v>512</v>
      </c>
    </row>
    <row r="1296" spans="1:7" x14ac:dyDescent="0.25">
      <c r="A1296" s="114">
        <v>340030</v>
      </c>
      <c r="B1296" s="90" t="s">
        <v>1627</v>
      </c>
      <c r="C1296" s="90" t="s">
        <v>508</v>
      </c>
      <c r="D1296" s="90" t="s">
        <v>4814</v>
      </c>
      <c r="E1296" s="90" t="s">
        <v>2901</v>
      </c>
      <c r="F1296" s="90" t="s">
        <v>4815</v>
      </c>
      <c r="G1296" t="s">
        <v>512</v>
      </c>
    </row>
    <row r="1297" spans="1:7" x14ac:dyDescent="0.25">
      <c r="A1297" s="114">
        <v>340043</v>
      </c>
      <c r="B1297" s="90" t="s">
        <v>4816</v>
      </c>
      <c r="C1297" s="90" t="s">
        <v>508</v>
      </c>
      <c r="D1297" s="90" t="s">
        <v>4817</v>
      </c>
      <c r="E1297" s="90" t="s">
        <v>4774</v>
      </c>
      <c r="F1297" s="90" t="s">
        <v>4818</v>
      </c>
      <c r="G1297" t="s">
        <v>512</v>
      </c>
    </row>
    <row r="1298" spans="1:7" x14ac:dyDescent="0.25">
      <c r="A1298" s="114">
        <v>340101</v>
      </c>
      <c r="B1298" s="90" t="s">
        <v>4819</v>
      </c>
      <c r="C1298" s="90" t="s">
        <v>508</v>
      </c>
      <c r="D1298" s="90" t="s">
        <v>4820</v>
      </c>
      <c r="E1298" s="90" t="s">
        <v>4821</v>
      </c>
      <c r="F1298" s="90" t="s">
        <v>4822</v>
      </c>
      <c r="G1298" t="s">
        <v>512</v>
      </c>
    </row>
    <row r="1299" spans="1:7" x14ac:dyDescent="0.25">
      <c r="A1299" s="114">
        <v>340118</v>
      </c>
      <c r="B1299" s="90" t="s">
        <v>4823</v>
      </c>
      <c r="C1299" s="90" t="s">
        <v>508</v>
      </c>
      <c r="D1299" s="90" t="s">
        <v>4824</v>
      </c>
      <c r="E1299" s="90" t="s">
        <v>4825</v>
      </c>
      <c r="F1299" s="90" t="s">
        <v>4826</v>
      </c>
      <c r="G1299" t="s">
        <v>512</v>
      </c>
    </row>
    <row r="1300" spans="1:7" x14ac:dyDescent="0.25">
      <c r="A1300" s="114">
        <v>340147</v>
      </c>
      <c r="B1300" s="90" t="s">
        <v>4827</v>
      </c>
      <c r="C1300" s="90" t="s">
        <v>508</v>
      </c>
      <c r="D1300" s="90" t="s">
        <v>4828</v>
      </c>
      <c r="E1300" s="90" t="s">
        <v>4829</v>
      </c>
      <c r="F1300" s="90" t="s">
        <v>4830</v>
      </c>
      <c r="G1300" t="s">
        <v>512</v>
      </c>
    </row>
    <row r="1301" spans="1:7" x14ac:dyDescent="0.25">
      <c r="A1301" s="114">
        <v>340166</v>
      </c>
      <c r="B1301" s="90" t="s">
        <v>2175</v>
      </c>
      <c r="C1301" s="90" t="s">
        <v>508</v>
      </c>
      <c r="D1301" s="90" t="s">
        <v>4831</v>
      </c>
      <c r="E1301" s="90" t="s">
        <v>4832</v>
      </c>
      <c r="F1301" s="90" t="s">
        <v>4833</v>
      </c>
      <c r="G1301" t="s">
        <v>512</v>
      </c>
    </row>
    <row r="1302" spans="1:7" x14ac:dyDescent="0.25">
      <c r="A1302" s="114">
        <v>340193</v>
      </c>
      <c r="B1302" s="90" t="s">
        <v>4834</v>
      </c>
      <c r="C1302" s="90" t="s">
        <v>508</v>
      </c>
      <c r="D1302" s="90" t="s">
        <v>4835</v>
      </c>
      <c r="E1302" s="90" t="s">
        <v>4836</v>
      </c>
      <c r="F1302" s="90" t="s">
        <v>4837</v>
      </c>
      <c r="G1302" t="s">
        <v>512</v>
      </c>
    </row>
    <row r="1303" spans="1:7" x14ac:dyDescent="0.25">
      <c r="A1303" s="114">
        <v>340252</v>
      </c>
      <c r="B1303" s="90" t="s">
        <v>4838</v>
      </c>
      <c r="C1303" s="90" t="s">
        <v>508</v>
      </c>
      <c r="D1303" s="90" t="s">
        <v>4839</v>
      </c>
      <c r="E1303" s="90" t="s">
        <v>4623</v>
      </c>
      <c r="F1303" s="90" t="s">
        <v>4840</v>
      </c>
      <c r="G1303" t="s">
        <v>512</v>
      </c>
    </row>
    <row r="1304" spans="1:7" x14ac:dyDescent="0.25">
      <c r="A1304" s="114">
        <v>340295</v>
      </c>
      <c r="B1304" s="90" t="s">
        <v>4841</v>
      </c>
      <c r="C1304" s="90" t="s">
        <v>508</v>
      </c>
      <c r="D1304" s="90" t="s">
        <v>4842</v>
      </c>
      <c r="E1304" s="90" t="s">
        <v>4599</v>
      </c>
      <c r="F1304" s="90" t="s">
        <v>4843</v>
      </c>
      <c r="G1304" t="s">
        <v>512</v>
      </c>
    </row>
    <row r="1305" spans="1:7" x14ac:dyDescent="0.25">
      <c r="A1305" s="114">
        <v>340333</v>
      </c>
      <c r="B1305" s="90" t="s">
        <v>4844</v>
      </c>
      <c r="C1305" s="90" t="s">
        <v>508</v>
      </c>
      <c r="D1305" s="90" t="s">
        <v>4845</v>
      </c>
      <c r="E1305" s="90" t="s">
        <v>2492</v>
      </c>
      <c r="F1305" s="90" t="s">
        <v>4846</v>
      </c>
      <c r="G1305" t="s">
        <v>512</v>
      </c>
    </row>
    <row r="1306" spans="1:7" x14ac:dyDescent="0.25">
      <c r="A1306" s="114">
        <v>340341</v>
      </c>
      <c r="B1306" s="90" t="s">
        <v>4847</v>
      </c>
      <c r="C1306" s="90" t="s">
        <v>508</v>
      </c>
      <c r="D1306" s="90" t="s">
        <v>4848</v>
      </c>
      <c r="E1306" s="90" t="s">
        <v>798</v>
      </c>
      <c r="F1306" s="90" t="s">
        <v>4849</v>
      </c>
      <c r="G1306" t="s">
        <v>512</v>
      </c>
    </row>
    <row r="1307" spans="1:7" x14ac:dyDescent="0.25">
      <c r="A1307" s="114">
        <v>340380</v>
      </c>
      <c r="B1307" s="90" t="s">
        <v>4850</v>
      </c>
      <c r="C1307" s="90" t="s">
        <v>508</v>
      </c>
      <c r="D1307" s="90" t="s">
        <v>4851</v>
      </c>
      <c r="E1307" s="90" t="s">
        <v>2532</v>
      </c>
      <c r="F1307" s="90" t="s">
        <v>4852</v>
      </c>
      <c r="G1307" t="s">
        <v>512</v>
      </c>
    </row>
    <row r="1308" spans="1:7" x14ac:dyDescent="0.25">
      <c r="A1308" s="114">
        <v>340381</v>
      </c>
      <c r="B1308" s="90" t="s">
        <v>4853</v>
      </c>
      <c r="C1308" s="90" t="s">
        <v>508</v>
      </c>
      <c r="D1308" s="90" t="s">
        <v>4854</v>
      </c>
      <c r="E1308" s="90" t="s">
        <v>1153</v>
      </c>
      <c r="F1308" s="90" t="s">
        <v>4855</v>
      </c>
      <c r="G1308" t="s">
        <v>512</v>
      </c>
    </row>
    <row r="1309" spans="1:7" x14ac:dyDescent="0.25">
      <c r="A1309" s="114">
        <v>340385</v>
      </c>
      <c r="B1309" s="90" t="s">
        <v>482</v>
      </c>
      <c r="C1309" s="90" t="s">
        <v>508</v>
      </c>
      <c r="D1309" s="90" t="s">
        <v>4856</v>
      </c>
      <c r="E1309" s="90" t="s">
        <v>4857</v>
      </c>
      <c r="F1309" s="90" t="s">
        <v>4858</v>
      </c>
      <c r="G1309" t="s">
        <v>512</v>
      </c>
    </row>
    <row r="1310" spans="1:7" x14ac:dyDescent="0.25">
      <c r="A1310" s="114">
        <v>340413</v>
      </c>
      <c r="B1310" s="90" t="s">
        <v>4859</v>
      </c>
      <c r="C1310" s="90" t="s">
        <v>508</v>
      </c>
      <c r="D1310" s="90" t="s">
        <v>4860</v>
      </c>
      <c r="E1310" s="90" t="s">
        <v>4861</v>
      </c>
      <c r="F1310" s="90" t="s">
        <v>4862</v>
      </c>
      <c r="G1310" t="s">
        <v>512</v>
      </c>
    </row>
    <row r="1311" spans="1:7" x14ac:dyDescent="0.25">
      <c r="A1311" s="114">
        <v>340417</v>
      </c>
      <c r="B1311" s="90" t="s">
        <v>4863</v>
      </c>
      <c r="C1311" s="90" t="s">
        <v>508</v>
      </c>
      <c r="D1311" s="90" t="s">
        <v>4864</v>
      </c>
      <c r="E1311" s="90" t="s">
        <v>4865</v>
      </c>
      <c r="F1311" s="90" t="s">
        <v>4866</v>
      </c>
      <c r="G1311" t="s">
        <v>512</v>
      </c>
    </row>
    <row r="1312" spans="1:7" x14ac:dyDescent="0.25">
      <c r="A1312" s="114">
        <v>340479</v>
      </c>
      <c r="B1312" s="90" t="s">
        <v>4867</v>
      </c>
      <c r="C1312" s="90" t="s">
        <v>508</v>
      </c>
      <c r="D1312" s="90" t="s">
        <v>4556</v>
      </c>
      <c r="E1312" s="90" t="s">
        <v>1256</v>
      </c>
      <c r="F1312" s="90" t="s">
        <v>4557</v>
      </c>
      <c r="G1312" t="s">
        <v>512</v>
      </c>
    </row>
    <row r="1313" spans="1:7" x14ac:dyDescent="0.25">
      <c r="A1313" s="114">
        <v>340490</v>
      </c>
      <c r="B1313" s="90" t="s">
        <v>4868</v>
      </c>
      <c r="C1313" s="90" t="s">
        <v>508</v>
      </c>
      <c r="D1313" s="90" t="s">
        <v>4869</v>
      </c>
      <c r="E1313" s="90" t="s">
        <v>4870</v>
      </c>
      <c r="F1313" s="90" t="s">
        <v>4871</v>
      </c>
      <c r="G1313" t="s">
        <v>512</v>
      </c>
    </row>
    <row r="1314" spans="1:7" x14ac:dyDescent="0.25">
      <c r="A1314" s="114">
        <v>340492</v>
      </c>
      <c r="B1314" s="90" t="s">
        <v>945</v>
      </c>
      <c r="C1314" s="90" t="s">
        <v>508</v>
      </c>
      <c r="D1314" s="90" t="s">
        <v>4872</v>
      </c>
      <c r="E1314" s="90" t="s">
        <v>945</v>
      </c>
      <c r="F1314" s="90" t="s">
        <v>4873</v>
      </c>
      <c r="G1314" t="s">
        <v>512</v>
      </c>
    </row>
    <row r="1315" spans="1:7" x14ac:dyDescent="0.25">
      <c r="A1315" s="114">
        <v>340526</v>
      </c>
      <c r="B1315" s="90" t="s">
        <v>4874</v>
      </c>
      <c r="C1315" s="90" t="s">
        <v>508</v>
      </c>
      <c r="D1315" s="90" t="s">
        <v>4875</v>
      </c>
      <c r="E1315" s="90" t="s">
        <v>4360</v>
      </c>
      <c r="F1315" s="90" t="s">
        <v>4876</v>
      </c>
      <c r="G1315" t="s">
        <v>512</v>
      </c>
    </row>
    <row r="1316" spans="1:7" x14ac:dyDescent="0.25">
      <c r="A1316" s="114">
        <v>340607</v>
      </c>
      <c r="B1316" s="90" t="s">
        <v>4877</v>
      </c>
      <c r="C1316" s="90" t="s">
        <v>508</v>
      </c>
      <c r="D1316" s="90" t="s">
        <v>4388</v>
      </c>
      <c r="E1316" s="90" t="s">
        <v>4878</v>
      </c>
      <c r="F1316" s="90" t="s">
        <v>4879</v>
      </c>
      <c r="G1316" t="s">
        <v>512</v>
      </c>
    </row>
    <row r="1317" spans="1:7" x14ac:dyDescent="0.25">
      <c r="A1317" s="114">
        <v>340609</v>
      </c>
      <c r="B1317" s="90" t="s">
        <v>4880</v>
      </c>
      <c r="C1317" s="90" t="s">
        <v>508</v>
      </c>
      <c r="D1317" s="90" t="s">
        <v>4881</v>
      </c>
      <c r="E1317" s="90" t="s">
        <v>583</v>
      </c>
      <c r="F1317" s="90" t="s">
        <v>4882</v>
      </c>
      <c r="G1317" t="s">
        <v>512</v>
      </c>
    </row>
    <row r="1318" spans="1:7" x14ac:dyDescent="0.25">
      <c r="A1318" s="114">
        <v>340617</v>
      </c>
      <c r="B1318" s="90" t="s">
        <v>4883</v>
      </c>
      <c r="C1318" s="90" t="s">
        <v>508</v>
      </c>
      <c r="D1318" s="90" t="s">
        <v>795</v>
      </c>
      <c r="E1318" s="90" t="s">
        <v>4884</v>
      </c>
      <c r="F1318" s="90" t="s">
        <v>4885</v>
      </c>
      <c r="G1318" t="s">
        <v>512</v>
      </c>
    </row>
    <row r="1319" spans="1:7" x14ac:dyDescent="0.25">
      <c r="A1319" s="114">
        <v>340643</v>
      </c>
      <c r="B1319" s="90" t="s">
        <v>905</v>
      </c>
      <c r="C1319" s="90" t="s">
        <v>508</v>
      </c>
      <c r="D1319" s="90" t="s">
        <v>4886</v>
      </c>
      <c r="E1319" s="90" t="s">
        <v>907</v>
      </c>
      <c r="F1319" s="90" t="s">
        <v>4887</v>
      </c>
      <c r="G1319" t="s">
        <v>512</v>
      </c>
    </row>
    <row r="1320" spans="1:7" x14ac:dyDescent="0.25">
      <c r="A1320" s="114">
        <v>340674</v>
      </c>
      <c r="B1320" s="90" t="s">
        <v>4888</v>
      </c>
      <c r="C1320" s="90" t="s">
        <v>508</v>
      </c>
      <c r="D1320" s="90" t="s">
        <v>4889</v>
      </c>
      <c r="E1320" s="90" t="s">
        <v>2188</v>
      </c>
      <c r="F1320" s="90" t="s">
        <v>4890</v>
      </c>
      <c r="G1320" t="s">
        <v>512</v>
      </c>
    </row>
    <row r="1321" spans="1:7" x14ac:dyDescent="0.25">
      <c r="A1321" s="114">
        <v>340676</v>
      </c>
      <c r="B1321" s="90" t="s">
        <v>4396</v>
      </c>
      <c r="C1321" s="90" t="s">
        <v>508</v>
      </c>
      <c r="D1321" s="90" t="s">
        <v>4891</v>
      </c>
      <c r="E1321" s="90" t="s">
        <v>4892</v>
      </c>
      <c r="F1321" s="90" t="s">
        <v>4399</v>
      </c>
      <c r="G1321" t="s">
        <v>512</v>
      </c>
    </row>
    <row r="1322" spans="1:7" x14ac:dyDescent="0.25">
      <c r="A1322" s="114">
        <v>340695</v>
      </c>
      <c r="B1322" s="90" t="s">
        <v>4893</v>
      </c>
      <c r="C1322" s="90" t="s">
        <v>508</v>
      </c>
      <c r="D1322" s="90" t="s">
        <v>4856</v>
      </c>
      <c r="E1322" s="90" t="s">
        <v>698</v>
      </c>
      <c r="F1322" s="90" t="s">
        <v>4893</v>
      </c>
      <c r="G1322" t="s">
        <v>512</v>
      </c>
    </row>
    <row r="1323" spans="1:7" x14ac:dyDescent="0.25">
      <c r="A1323" s="114">
        <v>340753</v>
      </c>
      <c r="B1323" s="90" t="s">
        <v>3640</v>
      </c>
      <c r="C1323" s="90" t="s">
        <v>508</v>
      </c>
      <c r="D1323" s="90" t="s">
        <v>4894</v>
      </c>
      <c r="E1323" s="90" t="s">
        <v>4895</v>
      </c>
      <c r="F1323" s="90" t="s">
        <v>4896</v>
      </c>
      <c r="G1323" t="s">
        <v>512</v>
      </c>
    </row>
    <row r="1324" spans="1:7" x14ac:dyDescent="0.25">
      <c r="A1324" s="114">
        <v>340764</v>
      </c>
      <c r="B1324" s="90" t="s">
        <v>3588</v>
      </c>
      <c r="C1324" s="90" t="s">
        <v>508</v>
      </c>
      <c r="D1324" s="90" t="s">
        <v>4897</v>
      </c>
      <c r="E1324" s="90" t="s">
        <v>4898</v>
      </c>
      <c r="F1324" s="90" t="s">
        <v>4899</v>
      </c>
      <c r="G1324" t="s">
        <v>512</v>
      </c>
    </row>
    <row r="1325" spans="1:7" x14ac:dyDescent="0.25">
      <c r="A1325" s="114">
        <v>340773</v>
      </c>
      <c r="B1325" s="90" t="s">
        <v>799</v>
      </c>
      <c r="C1325" s="90" t="s">
        <v>508</v>
      </c>
      <c r="D1325" s="90" t="s">
        <v>4900</v>
      </c>
      <c r="E1325" s="90" t="s">
        <v>610</v>
      </c>
      <c r="F1325" s="90" t="s">
        <v>4901</v>
      </c>
      <c r="G1325" t="s">
        <v>512</v>
      </c>
    </row>
    <row r="1326" spans="1:7" x14ac:dyDescent="0.25">
      <c r="A1326" s="114">
        <v>340776</v>
      </c>
      <c r="B1326" s="90" t="s">
        <v>4902</v>
      </c>
      <c r="C1326" s="90" t="s">
        <v>508</v>
      </c>
      <c r="D1326" s="90" t="s">
        <v>4903</v>
      </c>
      <c r="E1326" s="90" t="s">
        <v>610</v>
      </c>
      <c r="F1326" s="90" t="s">
        <v>4904</v>
      </c>
      <c r="G1326" t="s">
        <v>512</v>
      </c>
    </row>
    <row r="1327" spans="1:7" x14ac:dyDescent="0.25">
      <c r="A1327" s="114">
        <v>340817</v>
      </c>
      <c r="B1327" s="90" t="s">
        <v>4905</v>
      </c>
      <c r="C1327" s="90" t="s">
        <v>508</v>
      </c>
      <c r="D1327" s="90" t="s">
        <v>4906</v>
      </c>
      <c r="E1327" s="90" t="s">
        <v>4907</v>
      </c>
      <c r="F1327" s="90" t="s">
        <v>4908</v>
      </c>
      <c r="G1327" t="s">
        <v>512</v>
      </c>
    </row>
    <row r="1328" spans="1:7" x14ac:dyDescent="0.25">
      <c r="A1328" s="114">
        <v>340893</v>
      </c>
      <c r="B1328" s="90" t="s">
        <v>4909</v>
      </c>
      <c r="C1328" s="90" t="s">
        <v>508</v>
      </c>
      <c r="D1328" s="90" t="s">
        <v>4622</v>
      </c>
      <c r="E1328" s="90" t="s">
        <v>4599</v>
      </c>
      <c r="F1328" s="90" t="s">
        <v>4910</v>
      </c>
      <c r="G1328" t="s">
        <v>512</v>
      </c>
    </row>
    <row r="1329" spans="1:7" x14ac:dyDescent="0.25">
      <c r="A1329" s="114">
        <v>340912</v>
      </c>
      <c r="B1329" s="90" t="s">
        <v>4911</v>
      </c>
      <c r="C1329" s="90" t="s">
        <v>508</v>
      </c>
      <c r="D1329" s="90" t="s">
        <v>4912</v>
      </c>
      <c r="E1329" s="90" t="s">
        <v>4913</v>
      </c>
      <c r="F1329" s="90" t="s">
        <v>4911</v>
      </c>
      <c r="G1329" t="s">
        <v>512</v>
      </c>
    </row>
    <row r="1330" spans="1:7" x14ac:dyDescent="0.25">
      <c r="A1330" s="114">
        <v>340917</v>
      </c>
      <c r="B1330" s="90" t="s">
        <v>4914</v>
      </c>
      <c r="C1330" s="90" t="s">
        <v>508</v>
      </c>
      <c r="D1330" s="90" t="s">
        <v>4915</v>
      </c>
      <c r="E1330" s="90" t="s">
        <v>4916</v>
      </c>
      <c r="F1330" s="90" t="s">
        <v>4917</v>
      </c>
      <c r="G1330" t="s">
        <v>512</v>
      </c>
    </row>
    <row r="1331" spans="1:7" x14ac:dyDescent="0.25">
      <c r="A1331" s="114">
        <v>340939</v>
      </c>
      <c r="B1331" s="90" t="s">
        <v>4918</v>
      </c>
      <c r="C1331" s="90" t="s">
        <v>508</v>
      </c>
      <c r="D1331" s="90" t="s">
        <v>4814</v>
      </c>
      <c r="E1331" s="90" t="s">
        <v>4919</v>
      </c>
      <c r="F1331" s="90" t="s">
        <v>4920</v>
      </c>
      <c r="G1331" t="s">
        <v>512</v>
      </c>
    </row>
    <row r="1332" spans="1:7" x14ac:dyDescent="0.25">
      <c r="A1332" s="114">
        <v>341002</v>
      </c>
      <c r="B1332" s="90" t="s">
        <v>4921</v>
      </c>
      <c r="C1332" s="90" t="s">
        <v>508</v>
      </c>
      <c r="D1332" s="90" t="s">
        <v>4922</v>
      </c>
      <c r="E1332" s="90" t="s">
        <v>4923</v>
      </c>
      <c r="F1332" s="90" t="s">
        <v>4924</v>
      </c>
      <c r="G1332" t="s">
        <v>512</v>
      </c>
    </row>
    <row r="1333" spans="1:7" x14ac:dyDescent="0.25">
      <c r="A1333" s="114">
        <v>341007</v>
      </c>
      <c r="B1333" s="90" t="s">
        <v>4925</v>
      </c>
      <c r="C1333" s="90" t="s">
        <v>508</v>
      </c>
      <c r="D1333" s="90" t="s">
        <v>4926</v>
      </c>
      <c r="E1333" s="90" t="s">
        <v>583</v>
      </c>
      <c r="F1333" s="90" t="s">
        <v>4927</v>
      </c>
      <c r="G1333" t="s">
        <v>512</v>
      </c>
    </row>
    <row r="1334" spans="1:7" x14ac:dyDescent="0.25">
      <c r="A1334" s="114">
        <v>341120</v>
      </c>
      <c r="B1334" s="90" t="s">
        <v>4928</v>
      </c>
      <c r="C1334" s="90" t="s">
        <v>508</v>
      </c>
      <c r="D1334" s="90" t="s">
        <v>4929</v>
      </c>
      <c r="E1334" s="90" t="s">
        <v>1593</v>
      </c>
      <c r="F1334" s="90" t="s">
        <v>4930</v>
      </c>
      <c r="G1334" t="s">
        <v>512</v>
      </c>
    </row>
    <row r="1335" spans="1:7" x14ac:dyDescent="0.25">
      <c r="A1335" s="114">
        <v>341138</v>
      </c>
      <c r="B1335" s="90" t="s">
        <v>2492</v>
      </c>
      <c r="C1335" s="90" t="s">
        <v>508</v>
      </c>
      <c r="D1335" s="90" t="s">
        <v>4777</v>
      </c>
      <c r="E1335" s="90" t="s">
        <v>3167</v>
      </c>
      <c r="F1335" s="90" t="s">
        <v>4931</v>
      </c>
      <c r="G1335" t="s">
        <v>512</v>
      </c>
    </row>
    <row r="1336" spans="1:7" x14ac:dyDescent="0.25">
      <c r="A1336" s="114">
        <v>341144</v>
      </c>
      <c r="B1336" s="90" t="s">
        <v>4932</v>
      </c>
      <c r="C1336" s="90" t="s">
        <v>508</v>
      </c>
      <c r="D1336" s="90" t="s">
        <v>4933</v>
      </c>
      <c r="E1336" s="90" t="s">
        <v>1190</v>
      </c>
      <c r="F1336" s="90" t="s">
        <v>4934</v>
      </c>
      <c r="G1336" t="s">
        <v>512</v>
      </c>
    </row>
    <row r="1337" spans="1:7" x14ac:dyDescent="0.25">
      <c r="A1337" s="114">
        <v>341187</v>
      </c>
      <c r="B1337" s="90" t="s">
        <v>4935</v>
      </c>
      <c r="C1337" s="90" t="s">
        <v>508</v>
      </c>
      <c r="D1337" s="90" t="s">
        <v>4936</v>
      </c>
      <c r="E1337" s="90" t="s">
        <v>4937</v>
      </c>
      <c r="F1337" s="90" t="s">
        <v>4938</v>
      </c>
      <c r="G1337" t="s">
        <v>512</v>
      </c>
    </row>
    <row r="1338" spans="1:7" x14ac:dyDescent="0.25">
      <c r="A1338" s="114">
        <v>341201</v>
      </c>
      <c r="B1338" s="90" t="s">
        <v>2967</v>
      </c>
      <c r="C1338" s="90" t="s">
        <v>508</v>
      </c>
      <c r="D1338" s="90" t="s">
        <v>4939</v>
      </c>
      <c r="E1338" s="90" t="s">
        <v>563</v>
      </c>
      <c r="F1338" s="90" t="s">
        <v>4940</v>
      </c>
      <c r="G1338" t="s">
        <v>512</v>
      </c>
    </row>
    <row r="1339" spans="1:7" x14ac:dyDescent="0.25">
      <c r="A1339" s="114">
        <v>341211</v>
      </c>
      <c r="B1339" s="90" t="s">
        <v>4941</v>
      </c>
      <c r="C1339" s="90" t="s">
        <v>508</v>
      </c>
      <c r="D1339" s="90" t="s">
        <v>4942</v>
      </c>
      <c r="E1339" s="90" t="s">
        <v>4943</v>
      </c>
      <c r="F1339" s="90" t="s">
        <v>4944</v>
      </c>
      <c r="G1339" t="s">
        <v>512</v>
      </c>
    </row>
    <row r="1340" spans="1:7" x14ac:dyDescent="0.25">
      <c r="A1340" s="114">
        <v>341224</v>
      </c>
      <c r="B1340" s="90" t="s">
        <v>4945</v>
      </c>
      <c r="C1340" s="90" t="s">
        <v>508</v>
      </c>
      <c r="D1340" s="90" t="s">
        <v>4946</v>
      </c>
      <c r="E1340" s="90" t="s">
        <v>4947</v>
      </c>
      <c r="F1340" s="90" t="s">
        <v>4948</v>
      </c>
      <c r="G1340" t="s">
        <v>512</v>
      </c>
    </row>
    <row r="1341" spans="1:7" x14ac:dyDescent="0.25">
      <c r="A1341" s="114">
        <v>341276</v>
      </c>
      <c r="B1341" s="90" t="s">
        <v>4949</v>
      </c>
      <c r="C1341" s="90" t="s">
        <v>508</v>
      </c>
      <c r="D1341" s="90" t="s">
        <v>4541</v>
      </c>
      <c r="E1341" s="90" t="s">
        <v>1256</v>
      </c>
      <c r="F1341" s="90" t="s">
        <v>4950</v>
      </c>
      <c r="G1341" t="s">
        <v>512</v>
      </c>
    </row>
    <row r="1342" spans="1:7" x14ac:dyDescent="0.25">
      <c r="A1342" s="114">
        <v>341323</v>
      </c>
      <c r="B1342" s="90" t="s">
        <v>4951</v>
      </c>
      <c r="C1342" s="90" t="s">
        <v>508</v>
      </c>
      <c r="D1342" s="90" t="s">
        <v>4952</v>
      </c>
      <c r="E1342" s="90" t="s">
        <v>798</v>
      </c>
      <c r="F1342" s="90" t="s">
        <v>4953</v>
      </c>
      <c r="G1342" t="s">
        <v>512</v>
      </c>
    </row>
    <row r="1343" spans="1:7" x14ac:dyDescent="0.25">
      <c r="A1343" s="114">
        <v>341378</v>
      </c>
      <c r="B1343" s="90" t="s">
        <v>4954</v>
      </c>
      <c r="C1343" s="90" t="s">
        <v>508</v>
      </c>
      <c r="D1343" s="90" t="s">
        <v>4388</v>
      </c>
      <c r="E1343" s="90" t="s">
        <v>2901</v>
      </c>
      <c r="F1343" s="90" t="s">
        <v>4955</v>
      </c>
      <c r="G1343" t="s">
        <v>512</v>
      </c>
    </row>
    <row r="1344" spans="1:7" x14ac:dyDescent="0.25">
      <c r="A1344" s="114">
        <v>341460</v>
      </c>
      <c r="B1344" s="90" t="s">
        <v>4956</v>
      </c>
      <c r="C1344" s="90" t="s">
        <v>508</v>
      </c>
      <c r="D1344" s="90" t="s">
        <v>4957</v>
      </c>
      <c r="E1344" s="90" t="s">
        <v>4958</v>
      </c>
      <c r="F1344" s="90" t="s">
        <v>4959</v>
      </c>
      <c r="G1344" t="s">
        <v>512</v>
      </c>
    </row>
    <row r="1345" spans="1:7" x14ac:dyDescent="0.25">
      <c r="A1345" s="114">
        <v>341463</v>
      </c>
      <c r="B1345" s="90" t="s">
        <v>4960</v>
      </c>
      <c r="C1345" s="90" t="s">
        <v>508</v>
      </c>
      <c r="D1345" s="90" t="s">
        <v>4961</v>
      </c>
      <c r="E1345" s="90" t="s">
        <v>4962</v>
      </c>
      <c r="F1345" s="90" t="s">
        <v>4963</v>
      </c>
      <c r="G1345" t="s">
        <v>512</v>
      </c>
    </row>
    <row r="1346" spans="1:7" x14ac:dyDescent="0.25">
      <c r="A1346" s="114">
        <v>341500</v>
      </c>
      <c r="B1346" s="90" t="s">
        <v>4964</v>
      </c>
      <c r="C1346" s="90" t="s">
        <v>508</v>
      </c>
      <c r="D1346" s="90" t="s">
        <v>4965</v>
      </c>
      <c r="E1346" s="90" t="s">
        <v>4966</v>
      </c>
      <c r="F1346" s="90" t="s">
        <v>4967</v>
      </c>
      <c r="G1346" t="s">
        <v>512</v>
      </c>
    </row>
    <row r="1347" spans="1:7" x14ac:dyDescent="0.25">
      <c r="A1347" s="114">
        <v>341532</v>
      </c>
      <c r="B1347" s="90" t="s">
        <v>4968</v>
      </c>
      <c r="C1347" s="90" t="s">
        <v>508</v>
      </c>
      <c r="D1347" s="90" t="s">
        <v>4969</v>
      </c>
      <c r="E1347" s="90" t="s">
        <v>610</v>
      </c>
      <c r="F1347" s="90" t="s">
        <v>4970</v>
      </c>
      <c r="G1347" t="s">
        <v>512</v>
      </c>
    </row>
    <row r="1348" spans="1:7" x14ac:dyDescent="0.25">
      <c r="A1348" s="114">
        <v>341543</v>
      </c>
      <c r="B1348" s="90" t="s">
        <v>4971</v>
      </c>
      <c r="C1348" s="90" t="s">
        <v>508</v>
      </c>
      <c r="D1348" s="90" t="s">
        <v>4972</v>
      </c>
      <c r="E1348" s="90" t="s">
        <v>614</v>
      </c>
      <c r="F1348" s="90" t="s">
        <v>4973</v>
      </c>
      <c r="G1348" t="s">
        <v>512</v>
      </c>
    </row>
    <row r="1349" spans="1:7" x14ac:dyDescent="0.25">
      <c r="A1349" s="114">
        <v>341579</v>
      </c>
      <c r="B1349" s="90" t="s">
        <v>4974</v>
      </c>
      <c r="C1349" s="90" t="s">
        <v>508</v>
      </c>
      <c r="D1349" s="90" t="s">
        <v>4773</v>
      </c>
      <c r="E1349" s="90" t="s">
        <v>4774</v>
      </c>
      <c r="F1349" s="90" t="s">
        <v>4974</v>
      </c>
      <c r="G1349" t="s">
        <v>512</v>
      </c>
    </row>
    <row r="1350" spans="1:7" x14ac:dyDescent="0.25">
      <c r="A1350" s="114">
        <v>341594</v>
      </c>
      <c r="B1350" s="90" t="s">
        <v>4975</v>
      </c>
      <c r="C1350" s="90" t="s">
        <v>508</v>
      </c>
      <c r="D1350" s="90" t="s">
        <v>4324</v>
      </c>
      <c r="E1350" s="90" t="s">
        <v>4325</v>
      </c>
      <c r="F1350" s="90" t="s">
        <v>4976</v>
      </c>
      <c r="G1350" t="s">
        <v>512</v>
      </c>
    </row>
    <row r="1351" spans="1:7" x14ac:dyDescent="0.25">
      <c r="A1351" s="114">
        <v>341634</v>
      </c>
      <c r="B1351" s="90" t="s">
        <v>4977</v>
      </c>
      <c r="C1351" s="90" t="s">
        <v>508</v>
      </c>
      <c r="D1351" s="90" t="s">
        <v>1428</v>
      </c>
      <c r="E1351" s="90" t="s">
        <v>695</v>
      </c>
      <c r="F1351" s="90" t="s">
        <v>4978</v>
      </c>
      <c r="G1351" t="s">
        <v>512</v>
      </c>
    </row>
    <row r="1352" spans="1:7" x14ac:dyDescent="0.25">
      <c r="A1352" s="114">
        <v>341637</v>
      </c>
      <c r="B1352" s="90" t="s">
        <v>4979</v>
      </c>
      <c r="C1352" s="90" t="s">
        <v>508</v>
      </c>
      <c r="D1352" s="90" t="s">
        <v>4980</v>
      </c>
      <c r="E1352" s="90" t="s">
        <v>1485</v>
      </c>
      <c r="F1352" s="90" t="s">
        <v>4981</v>
      </c>
      <c r="G1352" t="s">
        <v>512</v>
      </c>
    </row>
    <row r="1353" spans="1:7" x14ac:dyDescent="0.25">
      <c r="A1353" s="114">
        <v>341736</v>
      </c>
      <c r="B1353" s="90" t="s">
        <v>4982</v>
      </c>
      <c r="C1353" s="90" t="s">
        <v>508</v>
      </c>
      <c r="D1353" s="90" t="s">
        <v>4983</v>
      </c>
      <c r="E1353" s="90" t="s">
        <v>2366</v>
      </c>
      <c r="F1353" s="90" t="s">
        <v>4984</v>
      </c>
      <c r="G1353" t="s">
        <v>512</v>
      </c>
    </row>
    <row r="1354" spans="1:7" x14ac:dyDescent="0.25">
      <c r="A1354" s="114">
        <v>341766</v>
      </c>
      <c r="B1354" s="90" t="s">
        <v>4985</v>
      </c>
      <c r="C1354" s="90" t="s">
        <v>508</v>
      </c>
      <c r="D1354" s="90" t="s">
        <v>4986</v>
      </c>
      <c r="E1354" s="90" t="s">
        <v>4937</v>
      </c>
      <c r="F1354" s="90" t="s">
        <v>4987</v>
      </c>
      <c r="G1354" t="s">
        <v>512</v>
      </c>
    </row>
    <row r="1355" spans="1:7" x14ac:dyDescent="0.25">
      <c r="A1355" s="114">
        <v>341816</v>
      </c>
      <c r="B1355" s="90" t="s">
        <v>4988</v>
      </c>
      <c r="C1355" s="90" t="s">
        <v>508</v>
      </c>
      <c r="D1355" s="90" t="s">
        <v>4989</v>
      </c>
      <c r="E1355" s="90" t="s">
        <v>3134</v>
      </c>
      <c r="F1355" s="90" t="s">
        <v>4990</v>
      </c>
      <c r="G1355" t="s">
        <v>512</v>
      </c>
    </row>
    <row r="1356" spans="1:7" x14ac:dyDescent="0.25">
      <c r="A1356" s="114">
        <v>341868</v>
      </c>
      <c r="B1356" s="90" t="s">
        <v>4991</v>
      </c>
      <c r="C1356" s="90" t="s">
        <v>508</v>
      </c>
      <c r="D1356" s="90" t="s">
        <v>4992</v>
      </c>
      <c r="E1356" s="90" t="s">
        <v>1631</v>
      </c>
      <c r="F1356" s="90" t="s">
        <v>4993</v>
      </c>
      <c r="G1356" t="s">
        <v>512</v>
      </c>
    </row>
    <row r="1357" spans="1:7" x14ac:dyDescent="0.25">
      <c r="A1357" s="114">
        <v>341871</v>
      </c>
      <c r="B1357" s="90" t="s">
        <v>4994</v>
      </c>
      <c r="C1357" s="90" t="s">
        <v>508</v>
      </c>
      <c r="D1357" s="90" t="s">
        <v>4995</v>
      </c>
      <c r="E1357" s="90" t="s">
        <v>972</v>
      </c>
      <c r="F1357" s="90" t="s">
        <v>4996</v>
      </c>
      <c r="G1357" t="s">
        <v>512</v>
      </c>
    </row>
    <row r="1358" spans="1:7" x14ac:dyDescent="0.25">
      <c r="A1358" s="114">
        <v>341898</v>
      </c>
      <c r="B1358" s="90" t="s">
        <v>4997</v>
      </c>
      <c r="C1358" s="90" t="s">
        <v>508</v>
      </c>
      <c r="D1358" s="90" t="s">
        <v>4998</v>
      </c>
      <c r="E1358" s="90" t="s">
        <v>4999</v>
      </c>
      <c r="F1358" s="90" t="s">
        <v>5000</v>
      </c>
      <c r="G1358" t="s">
        <v>512</v>
      </c>
    </row>
    <row r="1359" spans="1:7" x14ac:dyDescent="0.25">
      <c r="A1359" s="114">
        <v>341912</v>
      </c>
      <c r="B1359" s="90" t="s">
        <v>5001</v>
      </c>
      <c r="C1359" s="90" t="s">
        <v>508</v>
      </c>
      <c r="D1359" s="90" t="s">
        <v>5002</v>
      </c>
      <c r="E1359" s="90" t="s">
        <v>2195</v>
      </c>
      <c r="F1359" s="90" t="s">
        <v>5003</v>
      </c>
      <c r="G1359" t="s">
        <v>512</v>
      </c>
    </row>
    <row r="1360" spans="1:7" x14ac:dyDescent="0.25">
      <c r="A1360" s="114">
        <v>341940</v>
      </c>
      <c r="B1360" s="90" t="s">
        <v>5004</v>
      </c>
      <c r="C1360" s="90" t="s">
        <v>508</v>
      </c>
      <c r="D1360" s="90" t="s">
        <v>5005</v>
      </c>
      <c r="E1360" s="90" t="s">
        <v>5006</v>
      </c>
      <c r="F1360" s="90" t="s">
        <v>5007</v>
      </c>
      <c r="G1360" t="s">
        <v>512</v>
      </c>
    </row>
    <row r="1361" spans="1:7" x14ac:dyDescent="0.25">
      <c r="A1361" s="114">
        <v>341969</v>
      </c>
      <c r="B1361" s="90" t="s">
        <v>2644</v>
      </c>
      <c r="C1361" s="90" t="s">
        <v>508</v>
      </c>
      <c r="D1361" s="90" t="s">
        <v>5008</v>
      </c>
      <c r="E1361" s="90" t="s">
        <v>583</v>
      </c>
      <c r="F1361" s="90" t="s">
        <v>2646</v>
      </c>
      <c r="G1361" t="s">
        <v>512</v>
      </c>
    </row>
    <row r="1362" spans="1:7" x14ac:dyDescent="0.25">
      <c r="A1362" s="114">
        <v>341970</v>
      </c>
      <c r="B1362" s="90" t="s">
        <v>5009</v>
      </c>
      <c r="C1362" s="90" t="s">
        <v>508</v>
      </c>
      <c r="D1362" s="90" t="s">
        <v>5010</v>
      </c>
      <c r="E1362" s="90" t="s">
        <v>5011</v>
      </c>
      <c r="F1362" s="90" t="s">
        <v>5012</v>
      </c>
      <c r="G1362" t="s">
        <v>512</v>
      </c>
    </row>
    <row r="1363" spans="1:7" x14ac:dyDescent="0.25">
      <c r="A1363" s="114">
        <v>341991</v>
      </c>
      <c r="B1363" s="90" t="s">
        <v>5013</v>
      </c>
      <c r="C1363" s="90" t="s">
        <v>508</v>
      </c>
      <c r="D1363" s="90" t="s">
        <v>4388</v>
      </c>
      <c r="E1363" s="90" t="s">
        <v>2901</v>
      </c>
      <c r="F1363" s="90" t="s">
        <v>5014</v>
      </c>
      <c r="G1363" t="s">
        <v>512</v>
      </c>
    </row>
    <row r="1364" spans="1:7" x14ac:dyDescent="0.25">
      <c r="A1364" s="114">
        <v>341993</v>
      </c>
      <c r="B1364" s="90" t="s">
        <v>193</v>
      </c>
      <c r="C1364" s="90" t="s">
        <v>508</v>
      </c>
      <c r="D1364" s="90" t="s">
        <v>5015</v>
      </c>
      <c r="E1364" s="90" t="s">
        <v>1417</v>
      </c>
      <c r="F1364" s="90" t="s">
        <v>1418</v>
      </c>
      <c r="G1364" t="s">
        <v>859</v>
      </c>
    </row>
    <row r="1365" spans="1:7" x14ac:dyDescent="0.25">
      <c r="A1365" s="114">
        <v>341999</v>
      </c>
      <c r="B1365" s="90" t="s">
        <v>5016</v>
      </c>
      <c r="C1365" s="90" t="s">
        <v>508</v>
      </c>
      <c r="D1365" s="90" t="s">
        <v>5017</v>
      </c>
      <c r="E1365" s="90" t="s">
        <v>5018</v>
      </c>
      <c r="F1365" s="90" t="s">
        <v>5019</v>
      </c>
      <c r="G1365" t="s">
        <v>512</v>
      </c>
    </row>
    <row r="1366" spans="1:7" x14ac:dyDescent="0.25">
      <c r="A1366" s="114">
        <v>342039</v>
      </c>
      <c r="B1366" s="90" t="s">
        <v>5020</v>
      </c>
      <c r="C1366" s="90" t="s">
        <v>508</v>
      </c>
      <c r="D1366" s="90" t="s">
        <v>5021</v>
      </c>
      <c r="E1366" s="90" t="s">
        <v>5022</v>
      </c>
      <c r="F1366" s="90" t="s">
        <v>5023</v>
      </c>
      <c r="G1366" t="s">
        <v>512</v>
      </c>
    </row>
    <row r="1367" spans="1:7" x14ac:dyDescent="0.25">
      <c r="A1367" s="114">
        <v>342042</v>
      </c>
      <c r="B1367" s="90" t="s">
        <v>4616</v>
      </c>
      <c r="C1367" s="90" t="s">
        <v>508</v>
      </c>
      <c r="D1367" s="90" t="s">
        <v>5024</v>
      </c>
      <c r="E1367" s="90" t="s">
        <v>1221</v>
      </c>
      <c r="F1367" s="90" t="s">
        <v>5025</v>
      </c>
      <c r="G1367" t="s">
        <v>512</v>
      </c>
    </row>
    <row r="1368" spans="1:7" x14ac:dyDescent="0.25">
      <c r="A1368" s="114">
        <v>342114</v>
      </c>
      <c r="B1368" s="90" t="s">
        <v>5026</v>
      </c>
      <c r="C1368" s="90" t="s">
        <v>508</v>
      </c>
      <c r="D1368" s="90" t="s">
        <v>5027</v>
      </c>
      <c r="E1368" s="90" t="s">
        <v>5028</v>
      </c>
      <c r="F1368" s="90" t="s">
        <v>5029</v>
      </c>
      <c r="G1368" t="s">
        <v>512</v>
      </c>
    </row>
    <row r="1369" spans="1:7" x14ac:dyDescent="0.25">
      <c r="A1369" s="114">
        <v>342115</v>
      </c>
      <c r="B1369" s="90" t="s">
        <v>5030</v>
      </c>
      <c r="C1369" s="90" t="s">
        <v>508</v>
      </c>
      <c r="D1369" s="90" t="s">
        <v>5031</v>
      </c>
      <c r="E1369" s="90" t="s">
        <v>3071</v>
      </c>
      <c r="F1369" s="90" t="s">
        <v>3218</v>
      </c>
      <c r="G1369" t="s">
        <v>512</v>
      </c>
    </row>
    <row r="1370" spans="1:7" x14ac:dyDescent="0.25">
      <c r="A1370" s="114">
        <v>342131</v>
      </c>
      <c r="B1370" s="90" t="s">
        <v>5032</v>
      </c>
      <c r="C1370" s="90" t="s">
        <v>508</v>
      </c>
      <c r="D1370" s="90" t="s">
        <v>5033</v>
      </c>
      <c r="E1370" s="90" t="s">
        <v>5034</v>
      </c>
      <c r="F1370" s="90" t="s">
        <v>5035</v>
      </c>
      <c r="G1370" t="s">
        <v>512</v>
      </c>
    </row>
    <row r="1371" spans="1:7" x14ac:dyDescent="0.25">
      <c r="A1371" s="114">
        <v>342133</v>
      </c>
      <c r="B1371" s="90" t="s">
        <v>5036</v>
      </c>
      <c r="C1371" s="90" t="s">
        <v>508</v>
      </c>
      <c r="D1371" s="90" t="s">
        <v>4075</v>
      </c>
      <c r="E1371" s="90" t="s">
        <v>1194</v>
      </c>
      <c r="F1371" s="90" t="s">
        <v>5037</v>
      </c>
      <c r="G1371" t="s">
        <v>512</v>
      </c>
    </row>
    <row r="1372" spans="1:7" x14ac:dyDescent="0.25">
      <c r="A1372" s="114">
        <v>342135</v>
      </c>
      <c r="B1372" s="90" t="s">
        <v>3902</v>
      </c>
      <c r="C1372" s="90" t="s">
        <v>508</v>
      </c>
      <c r="D1372" s="90" t="s">
        <v>1207</v>
      </c>
      <c r="E1372" s="90" t="s">
        <v>583</v>
      </c>
      <c r="F1372" s="90" t="s">
        <v>3904</v>
      </c>
      <c r="G1372" t="s">
        <v>512</v>
      </c>
    </row>
    <row r="1373" spans="1:7" x14ac:dyDescent="0.25">
      <c r="A1373" s="114">
        <v>342150</v>
      </c>
      <c r="B1373" s="90" t="s">
        <v>5038</v>
      </c>
      <c r="C1373" s="90" t="s">
        <v>508</v>
      </c>
      <c r="D1373" s="90" t="s">
        <v>5039</v>
      </c>
      <c r="E1373" s="90" t="s">
        <v>5040</v>
      </c>
      <c r="F1373" s="90" t="s">
        <v>5041</v>
      </c>
      <c r="G1373" t="s">
        <v>512</v>
      </c>
    </row>
    <row r="1374" spans="1:7" x14ac:dyDescent="0.25">
      <c r="A1374" s="114">
        <v>342238</v>
      </c>
      <c r="B1374" s="90" t="s">
        <v>5042</v>
      </c>
      <c r="C1374" s="90" t="s">
        <v>508</v>
      </c>
      <c r="D1374" s="90" t="s">
        <v>5043</v>
      </c>
      <c r="E1374" s="90" t="s">
        <v>517</v>
      </c>
      <c r="F1374" s="90" t="s">
        <v>5044</v>
      </c>
      <c r="G1374" t="s">
        <v>512</v>
      </c>
    </row>
    <row r="1375" spans="1:7" x14ac:dyDescent="0.25">
      <c r="A1375" s="114">
        <v>342266</v>
      </c>
      <c r="B1375" s="90" t="s">
        <v>5045</v>
      </c>
      <c r="C1375" s="90" t="s">
        <v>508</v>
      </c>
      <c r="D1375" s="90" t="s">
        <v>5046</v>
      </c>
      <c r="E1375" s="90" t="s">
        <v>5047</v>
      </c>
      <c r="F1375" s="90" t="s">
        <v>5048</v>
      </c>
      <c r="G1375" t="s">
        <v>512</v>
      </c>
    </row>
    <row r="1376" spans="1:7" x14ac:dyDescent="0.25">
      <c r="A1376" s="114">
        <v>342280</v>
      </c>
      <c r="B1376" s="90" t="s">
        <v>5049</v>
      </c>
      <c r="C1376" s="90" t="s">
        <v>508</v>
      </c>
      <c r="D1376" s="90" t="s">
        <v>5050</v>
      </c>
      <c r="E1376" s="90" t="s">
        <v>5051</v>
      </c>
      <c r="F1376" s="90" t="s">
        <v>5052</v>
      </c>
      <c r="G1376" t="s">
        <v>512</v>
      </c>
    </row>
    <row r="1377" spans="1:7" x14ac:dyDescent="0.25">
      <c r="A1377" s="114">
        <v>342339</v>
      </c>
      <c r="B1377" s="90" t="s">
        <v>5053</v>
      </c>
      <c r="C1377" s="90" t="s">
        <v>508</v>
      </c>
      <c r="D1377" s="90" t="s">
        <v>5054</v>
      </c>
      <c r="E1377" s="90" t="s">
        <v>5055</v>
      </c>
      <c r="F1377" s="90" t="s">
        <v>5056</v>
      </c>
      <c r="G1377" t="s">
        <v>512</v>
      </c>
    </row>
    <row r="1378" spans="1:7" x14ac:dyDescent="0.25">
      <c r="A1378" s="114">
        <v>342375</v>
      </c>
      <c r="B1378" s="90" t="s">
        <v>5057</v>
      </c>
      <c r="C1378" s="90" t="s">
        <v>508</v>
      </c>
      <c r="D1378" s="90" t="s">
        <v>5058</v>
      </c>
      <c r="E1378" s="90" t="s">
        <v>5059</v>
      </c>
      <c r="F1378" s="90" t="s">
        <v>3970</v>
      </c>
      <c r="G1378" t="s">
        <v>512</v>
      </c>
    </row>
    <row r="1379" spans="1:7" x14ac:dyDescent="0.25">
      <c r="A1379" s="114">
        <v>342383</v>
      </c>
      <c r="B1379" s="90" t="s">
        <v>3124</v>
      </c>
      <c r="C1379" s="90" t="s">
        <v>508</v>
      </c>
      <c r="D1379" s="90" t="s">
        <v>4439</v>
      </c>
      <c r="E1379" s="90" t="s">
        <v>3711</v>
      </c>
      <c r="F1379" s="90" t="s">
        <v>5060</v>
      </c>
      <c r="G1379" t="s">
        <v>512</v>
      </c>
    </row>
    <row r="1380" spans="1:7" x14ac:dyDescent="0.25">
      <c r="A1380" s="114">
        <v>342408</v>
      </c>
      <c r="B1380" s="90" t="s">
        <v>4042</v>
      </c>
      <c r="C1380" s="90" t="s">
        <v>508</v>
      </c>
      <c r="D1380" s="90" t="s">
        <v>5061</v>
      </c>
      <c r="E1380" s="90" t="s">
        <v>4044</v>
      </c>
      <c r="F1380" s="90" t="s">
        <v>5062</v>
      </c>
      <c r="G1380" t="s">
        <v>512</v>
      </c>
    </row>
    <row r="1381" spans="1:7" x14ac:dyDescent="0.25">
      <c r="A1381" s="114">
        <v>342487</v>
      </c>
      <c r="B1381" s="90" t="s">
        <v>5063</v>
      </c>
      <c r="C1381" s="90" t="s">
        <v>508</v>
      </c>
      <c r="D1381" s="90" t="s">
        <v>3745</v>
      </c>
      <c r="E1381" s="90" t="s">
        <v>995</v>
      </c>
      <c r="F1381" s="90" t="s">
        <v>5064</v>
      </c>
      <c r="G1381" t="s">
        <v>512</v>
      </c>
    </row>
    <row r="1382" spans="1:7" x14ac:dyDescent="0.25">
      <c r="A1382" s="114">
        <v>342491</v>
      </c>
      <c r="B1382" s="90" t="s">
        <v>259</v>
      </c>
      <c r="C1382" s="90" t="s">
        <v>508</v>
      </c>
      <c r="D1382" s="90" t="s">
        <v>4388</v>
      </c>
      <c r="E1382" s="90" t="s">
        <v>2901</v>
      </c>
      <c r="F1382" s="90" t="s">
        <v>268</v>
      </c>
      <c r="G1382" t="s">
        <v>512</v>
      </c>
    </row>
    <row r="1383" spans="1:7" x14ac:dyDescent="0.25">
      <c r="A1383" s="114">
        <v>342509</v>
      </c>
      <c r="B1383" s="90" t="s">
        <v>5065</v>
      </c>
      <c r="C1383" s="90" t="s">
        <v>508</v>
      </c>
      <c r="D1383" s="90" t="s">
        <v>5066</v>
      </c>
      <c r="E1383" s="90" t="s">
        <v>5018</v>
      </c>
      <c r="F1383" s="90" t="s">
        <v>5067</v>
      </c>
      <c r="G1383" t="s">
        <v>512</v>
      </c>
    </row>
    <row r="1384" spans="1:7" x14ac:dyDescent="0.25">
      <c r="A1384" s="114">
        <v>342542</v>
      </c>
      <c r="B1384" s="90" t="s">
        <v>5068</v>
      </c>
      <c r="C1384" s="90" t="s">
        <v>508</v>
      </c>
      <c r="D1384" s="90" t="s">
        <v>4439</v>
      </c>
      <c r="E1384" s="90" t="s">
        <v>3711</v>
      </c>
      <c r="F1384" s="90" t="s">
        <v>5069</v>
      </c>
      <c r="G1384" t="s">
        <v>512</v>
      </c>
    </row>
    <row r="1385" spans="1:7" x14ac:dyDescent="0.25">
      <c r="A1385" s="114">
        <v>342543</v>
      </c>
      <c r="B1385" s="90" t="s">
        <v>5070</v>
      </c>
      <c r="C1385" s="90" t="s">
        <v>508</v>
      </c>
      <c r="D1385" s="90" t="s">
        <v>5071</v>
      </c>
      <c r="E1385" s="90" t="s">
        <v>5072</v>
      </c>
      <c r="F1385" s="90" t="s">
        <v>5073</v>
      </c>
      <c r="G1385" t="s">
        <v>512</v>
      </c>
    </row>
    <row r="1386" spans="1:7" x14ac:dyDescent="0.25">
      <c r="A1386" s="114">
        <v>342619</v>
      </c>
      <c r="B1386" s="90" t="s">
        <v>5074</v>
      </c>
      <c r="C1386" s="90" t="s">
        <v>508</v>
      </c>
      <c r="D1386" s="90" t="s">
        <v>5075</v>
      </c>
      <c r="E1386" s="90" t="s">
        <v>5076</v>
      </c>
      <c r="F1386" s="90" t="s">
        <v>5077</v>
      </c>
      <c r="G1386" t="s">
        <v>512</v>
      </c>
    </row>
    <row r="1387" spans="1:7" x14ac:dyDescent="0.25">
      <c r="A1387" s="114">
        <v>342630</v>
      </c>
      <c r="B1387" s="90" t="s">
        <v>5078</v>
      </c>
      <c r="C1387" s="90" t="s">
        <v>508</v>
      </c>
      <c r="D1387" s="90" t="s">
        <v>3791</v>
      </c>
      <c r="E1387" s="90" t="s">
        <v>5079</v>
      </c>
      <c r="F1387" s="90" t="s">
        <v>5080</v>
      </c>
      <c r="G1387" t="s">
        <v>512</v>
      </c>
    </row>
    <row r="1388" spans="1:7" x14ac:dyDescent="0.25">
      <c r="A1388" s="114">
        <v>342699</v>
      </c>
      <c r="B1388" s="90" t="s">
        <v>5081</v>
      </c>
      <c r="C1388" s="90" t="s">
        <v>508</v>
      </c>
      <c r="D1388" s="90" t="s">
        <v>5082</v>
      </c>
      <c r="E1388" s="90" t="s">
        <v>1593</v>
      </c>
      <c r="F1388" s="90" t="s">
        <v>5083</v>
      </c>
      <c r="G1388" t="s">
        <v>512</v>
      </c>
    </row>
    <row r="1389" spans="1:7" x14ac:dyDescent="0.25">
      <c r="A1389" s="114">
        <v>342709</v>
      </c>
      <c r="B1389" s="90" t="s">
        <v>5084</v>
      </c>
      <c r="C1389" s="90" t="s">
        <v>508</v>
      </c>
      <c r="D1389" s="90" t="s">
        <v>5085</v>
      </c>
      <c r="E1389" s="90" t="s">
        <v>610</v>
      </c>
      <c r="F1389" s="90" t="s">
        <v>5086</v>
      </c>
      <c r="G1389" t="s">
        <v>512</v>
      </c>
    </row>
    <row r="1390" spans="1:7" x14ac:dyDescent="0.25">
      <c r="A1390" s="114">
        <v>342737</v>
      </c>
      <c r="B1390" s="90" t="s">
        <v>5087</v>
      </c>
      <c r="C1390" s="90" t="s">
        <v>508</v>
      </c>
      <c r="D1390" s="90" t="s">
        <v>5088</v>
      </c>
      <c r="E1390" s="90" t="s">
        <v>2123</v>
      </c>
      <c r="F1390" s="90" t="s">
        <v>5089</v>
      </c>
      <c r="G1390" t="s">
        <v>512</v>
      </c>
    </row>
    <row r="1391" spans="1:7" x14ac:dyDescent="0.25">
      <c r="A1391" s="114">
        <v>342756</v>
      </c>
      <c r="B1391" s="90" t="s">
        <v>5090</v>
      </c>
      <c r="C1391" s="90" t="s">
        <v>508</v>
      </c>
      <c r="D1391" s="90" t="s">
        <v>5091</v>
      </c>
      <c r="E1391" s="90" t="s">
        <v>4650</v>
      </c>
      <c r="F1391" s="90" t="s">
        <v>5092</v>
      </c>
      <c r="G1391" t="s">
        <v>512</v>
      </c>
    </row>
    <row r="1392" spans="1:7" x14ac:dyDescent="0.25">
      <c r="A1392" s="114">
        <v>342761</v>
      </c>
      <c r="B1392" s="90" t="s">
        <v>5093</v>
      </c>
      <c r="C1392" s="90" t="s">
        <v>508</v>
      </c>
      <c r="D1392" s="90" t="s">
        <v>5094</v>
      </c>
      <c r="E1392" s="90" t="s">
        <v>982</v>
      </c>
      <c r="F1392" s="90" t="s">
        <v>5095</v>
      </c>
      <c r="G1392" t="s">
        <v>512</v>
      </c>
    </row>
    <row r="1393" spans="1:7" x14ac:dyDescent="0.25">
      <c r="A1393" s="114">
        <v>342805</v>
      </c>
      <c r="B1393" s="90" t="s">
        <v>5096</v>
      </c>
      <c r="C1393" s="90" t="s">
        <v>508</v>
      </c>
      <c r="D1393" s="90" t="s">
        <v>4023</v>
      </c>
      <c r="E1393" s="90" t="s">
        <v>4024</v>
      </c>
      <c r="F1393" s="90" t="s">
        <v>5097</v>
      </c>
      <c r="G1393" t="s">
        <v>512</v>
      </c>
    </row>
    <row r="1394" spans="1:7" x14ac:dyDescent="0.25">
      <c r="A1394" s="114">
        <v>342831</v>
      </c>
      <c r="B1394" s="90" t="s">
        <v>5098</v>
      </c>
      <c r="C1394" s="90" t="s">
        <v>508</v>
      </c>
      <c r="D1394" s="90" t="s">
        <v>5099</v>
      </c>
      <c r="E1394" s="90" t="s">
        <v>656</v>
      </c>
      <c r="F1394" s="90" t="s">
        <v>5100</v>
      </c>
      <c r="G1394" t="s">
        <v>512</v>
      </c>
    </row>
    <row r="1395" spans="1:7" x14ac:dyDescent="0.25">
      <c r="A1395" s="114">
        <v>342837</v>
      </c>
      <c r="B1395" s="90" t="s">
        <v>2081</v>
      </c>
      <c r="C1395" s="90" t="s">
        <v>508</v>
      </c>
      <c r="D1395" s="90" t="s">
        <v>5101</v>
      </c>
      <c r="E1395" s="90" t="s">
        <v>5102</v>
      </c>
      <c r="F1395" s="90" t="s">
        <v>5103</v>
      </c>
      <c r="G1395" t="s">
        <v>512</v>
      </c>
    </row>
    <row r="1396" spans="1:7" x14ac:dyDescent="0.25">
      <c r="A1396" s="114">
        <v>342838</v>
      </c>
      <c r="B1396" s="90" t="s">
        <v>5104</v>
      </c>
      <c r="C1396" s="90" t="s">
        <v>508</v>
      </c>
      <c r="D1396" s="90" t="s">
        <v>3672</v>
      </c>
      <c r="E1396" s="90" t="s">
        <v>5105</v>
      </c>
      <c r="F1396" s="90" t="s">
        <v>5106</v>
      </c>
      <c r="G1396" t="s">
        <v>512</v>
      </c>
    </row>
    <row r="1397" spans="1:7" x14ac:dyDescent="0.25">
      <c r="A1397" s="114">
        <v>342842</v>
      </c>
      <c r="B1397" s="90" t="s">
        <v>5107</v>
      </c>
      <c r="C1397" s="90" t="s">
        <v>508</v>
      </c>
      <c r="D1397" s="90" t="s">
        <v>4998</v>
      </c>
      <c r="E1397" s="90" t="s">
        <v>4999</v>
      </c>
      <c r="F1397" s="90" t="s">
        <v>5108</v>
      </c>
      <c r="G1397" t="s">
        <v>512</v>
      </c>
    </row>
    <row r="1398" spans="1:7" x14ac:dyDescent="0.25">
      <c r="A1398" s="114">
        <v>342849</v>
      </c>
      <c r="B1398" s="90" t="s">
        <v>5109</v>
      </c>
      <c r="C1398" s="90" t="s">
        <v>508</v>
      </c>
      <c r="D1398" s="90" t="s">
        <v>5110</v>
      </c>
      <c r="E1398" s="90" t="s">
        <v>547</v>
      </c>
      <c r="F1398" s="90" t="s">
        <v>5111</v>
      </c>
      <c r="G1398" t="s">
        <v>512</v>
      </c>
    </row>
    <row r="1399" spans="1:7" x14ac:dyDescent="0.25">
      <c r="A1399" s="114">
        <v>342855</v>
      </c>
      <c r="B1399" s="90" t="s">
        <v>5112</v>
      </c>
      <c r="C1399" s="90" t="s">
        <v>508</v>
      </c>
      <c r="D1399" s="90" t="s">
        <v>5113</v>
      </c>
      <c r="E1399" s="90" t="s">
        <v>547</v>
      </c>
      <c r="F1399" s="90" t="s">
        <v>5114</v>
      </c>
      <c r="G1399" t="s">
        <v>512</v>
      </c>
    </row>
    <row r="1400" spans="1:7" x14ac:dyDescent="0.25">
      <c r="A1400" s="114">
        <v>342862</v>
      </c>
      <c r="B1400" s="90" t="s">
        <v>5115</v>
      </c>
      <c r="C1400" s="90" t="s">
        <v>508</v>
      </c>
      <c r="D1400" s="90" t="s">
        <v>5116</v>
      </c>
      <c r="E1400" s="90" t="s">
        <v>5117</v>
      </c>
      <c r="F1400" s="90" t="s">
        <v>5118</v>
      </c>
      <c r="G1400" t="s">
        <v>512</v>
      </c>
    </row>
    <row r="1401" spans="1:7" x14ac:dyDescent="0.25">
      <c r="A1401" s="114">
        <v>342885</v>
      </c>
      <c r="B1401" s="90" t="s">
        <v>5119</v>
      </c>
      <c r="C1401" s="90" t="s">
        <v>508</v>
      </c>
      <c r="D1401" s="90" t="s">
        <v>1207</v>
      </c>
      <c r="E1401" s="90" t="s">
        <v>583</v>
      </c>
      <c r="F1401" s="90" t="s">
        <v>5120</v>
      </c>
      <c r="G1401" t="s">
        <v>512</v>
      </c>
    </row>
    <row r="1402" spans="1:7" x14ac:dyDescent="0.25">
      <c r="A1402" s="114">
        <v>342906</v>
      </c>
      <c r="B1402" s="90" t="s">
        <v>5121</v>
      </c>
      <c r="C1402" s="90" t="s">
        <v>508</v>
      </c>
      <c r="D1402" s="90" t="s">
        <v>5122</v>
      </c>
      <c r="E1402" s="90" t="s">
        <v>798</v>
      </c>
      <c r="F1402" s="90" t="s">
        <v>5123</v>
      </c>
      <c r="G1402" t="s">
        <v>512</v>
      </c>
    </row>
    <row r="1403" spans="1:7" x14ac:dyDescent="0.25">
      <c r="A1403" s="114">
        <v>342919</v>
      </c>
      <c r="B1403" s="90" t="s">
        <v>5124</v>
      </c>
      <c r="C1403" s="90" t="s">
        <v>508</v>
      </c>
      <c r="D1403" s="90" t="s">
        <v>5125</v>
      </c>
      <c r="E1403" s="90" t="s">
        <v>5126</v>
      </c>
      <c r="F1403" s="90" t="s">
        <v>5127</v>
      </c>
      <c r="G1403" t="s">
        <v>512</v>
      </c>
    </row>
    <row r="1404" spans="1:7" x14ac:dyDescent="0.25">
      <c r="A1404" s="114">
        <v>342929</v>
      </c>
      <c r="B1404" s="90" t="s">
        <v>5128</v>
      </c>
      <c r="C1404" s="90" t="s">
        <v>508</v>
      </c>
      <c r="D1404" s="90" t="s">
        <v>5129</v>
      </c>
      <c r="E1404" s="90" t="s">
        <v>5130</v>
      </c>
      <c r="F1404" s="90" t="s">
        <v>5131</v>
      </c>
      <c r="G1404" t="s">
        <v>512</v>
      </c>
    </row>
    <row r="1405" spans="1:7" x14ac:dyDescent="0.25">
      <c r="A1405" s="114">
        <v>342931</v>
      </c>
      <c r="B1405" s="90" t="s">
        <v>5132</v>
      </c>
      <c r="C1405" s="90" t="s">
        <v>508</v>
      </c>
      <c r="D1405" s="90" t="s">
        <v>4439</v>
      </c>
      <c r="E1405" s="90" t="s">
        <v>3711</v>
      </c>
      <c r="F1405" s="90" t="s">
        <v>5133</v>
      </c>
      <c r="G1405" t="s">
        <v>512</v>
      </c>
    </row>
    <row r="1406" spans="1:7" x14ac:dyDescent="0.25">
      <c r="A1406" s="114">
        <v>342942</v>
      </c>
      <c r="B1406" s="90" t="s">
        <v>5134</v>
      </c>
      <c r="C1406" s="90" t="s">
        <v>508</v>
      </c>
      <c r="D1406" s="90" t="s">
        <v>5135</v>
      </c>
      <c r="E1406" s="90" t="s">
        <v>3071</v>
      </c>
      <c r="F1406" s="90" t="s">
        <v>513</v>
      </c>
      <c r="G1406" t="s">
        <v>512</v>
      </c>
    </row>
    <row r="1407" spans="1:7" x14ac:dyDescent="0.25">
      <c r="A1407" s="114">
        <v>342968</v>
      </c>
      <c r="B1407" s="90" t="s">
        <v>5136</v>
      </c>
      <c r="C1407" s="90" t="s">
        <v>508</v>
      </c>
      <c r="D1407" s="90" t="s">
        <v>5137</v>
      </c>
      <c r="E1407" s="90" t="s">
        <v>5138</v>
      </c>
      <c r="F1407" s="90" t="s">
        <v>5139</v>
      </c>
      <c r="G1407" t="s">
        <v>512</v>
      </c>
    </row>
    <row r="1408" spans="1:7" x14ac:dyDescent="0.25">
      <c r="A1408" s="114">
        <v>343009</v>
      </c>
      <c r="B1408" s="90" t="s">
        <v>5140</v>
      </c>
      <c r="C1408" s="90" t="s">
        <v>508</v>
      </c>
      <c r="D1408" s="90" t="s">
        <v>5141</v>
      </c>
      <c r="E1408" s="90" t="s">
        <v>4325</v>
      </c>
      <c r="F1408" s="90" t="s">
        <v>5142</v>
      </c>
      <c r="G1408" t="s">
        <v>512</v>
      </c>
    </row>
    <row r="1409" spans="1:7" x14ac:dyDescent="0.25">
      <c r="A1409" s="114">
        <v>343028</v>
      </c>
      <c r="B1409" s="90" t="s">
        <v>5143</v>
      </c>
      <c r="C1409" s="90" t="s">
        <v>508</v>
      </c>
      <c r="D1409" s="90" t="s">
        <v>3672</v>
      </c>
      <c r="E1409" s="90" t="s">
        <v>5105</v>
      </c>
      <c r="F1409" s="90" t="s">
        <v>5144</v>
      </c>
      <c r="G1409" t="s">
        <v>512</v>
      </c>
    </row>
    <row r="1410" spans="1:7" x14ac:dyDescent="0.25">
      <c r="A1410" s="114">
        <v>343033</v>
      </c>
      <c r="B1410" s="90" t="s">
        <v>5145</v>
      </c>
      <c r="C1410" s="90" t="s">
        <v>508</v>
      </c>
      <c r="D1410" s="90" t="s">
        <v>5146</v>
      </c>
      <c r="E1410" s="90" t="s">
        <v>5147</v>
      </c>
      <c r="F1410" s="90" t="s">
        <v>5148</v>
      </c>
      <c r="G1410" t="s">
        <v>512</v>
      </c>
    </row>
    <row r="1411" spans="1:7" x14ac:dyDescent="0.25">
      <c r="A1411" s="114">
        <v>343041</v>
      </c>
      <c r="B1411" s="90" t="s">
        <v>5149</v>
      </c>
      <c r="C1411" s="90" t="s">
        <v>508</v>
      </c>
      <c r="D1411" s="90" t="s">
        <v>5150</v>
      </c>
      <c r="E1411" s="90" t="s">
        <v>1650</v>
      </c>
      <c r="F1411" s="90" t="s">
        <v>5151</v>
      </c>
      <c r="G1411" t="s">
        <v>512</v>
      </c>
    </row>
    <row r="1412" spans="1:7" x14ac:dyDescent="0.25">
      <c r="A1412" s="114">
        <v>343048</v>
      </c>
      <c r="B1412" s="90" t="s">
        <v>5152</v>
      </c>
      <c r="C1412" s="90" t="s">
        <v>508</v>
      </c>
      <c r="D1412" s="90" t="s">
        <v>5153</v>
      </c>
      <c r="E1412" s="90" t="s">
        <v>1593</v>
      </c>
      <c r="F1412" s="90" t="s">
        <v>5154</v>
      </c>
      <c r="G1412" t="s">
        <v>512</v>
      </c>
    </row>
    <row r="1413" spans="1:7" x14ac:dyDescent="0.25">
      <c r="A1413" s="114">
        <v>343068</v>
      </c>
      <c r="B1413" s="90" t="s">
        <v>5155</v>
      </c>
      <c r="C1413" s="90" t="s">
        <v>508</v>
      </c>
      <c r="D1413" s="90" t="s">
        <v>5156</v>
      </c>
      <c r="E1413" s="90" t="s">
        <v>5157</v>
      </c>
      <c r="F1413" s="90" t="s">
        <v>5158</v>
      </c>
      <c r="G1413" t="s">
        <v>512</v>
      </c>
    </row>
    <row r="1414" spans="1:7" x14ac:dyDescent="0.25">
      <c r="A1414" s="114">
        <v>343142</v>
      </c>
      <c r="B1414" s="90" t="s">
        <v>5159</v>
      </c>
      <c r="C1414" s="90" t="s">
        <v>508</v>
      </c>
      <c r="D1414" s="90" t="s">
        <v>4439</v>
      </c>
      <c r="E1414" s="90" t="s">
        <v>3711</v>
      </c>
      <c r="F1414" s="90" t="s">
        <v>5160</v>
      </c>
      <c r="G1414" t="s">
        <v>512</v>
      </c>
    </row>
    <row r="1415" spans="1:7" x14ac:dyDescent="0.25">
      <c r="A1415" s="114">
        <v>343151</v>
      </c>
      <c r="B1415" s="90" t="s">
        <v>5161</v>
      </c>
      <c r="C1415" s="90" t="s">
        <v>508</v>
      </c>
      <c r="D1415" s="90" t="s">
        <v>5162</v>
      </c>
      <c r="E1415" s="90" t="s">
        <v>3545</v>
      </c>
      <c r="F1415" s="90" t="s">
        <v>5163</v>
      </c>
      <c r="G1415" t="s">
        <v>512</v>
      </c>
    </row>
    <row r="1416" spans="1:7" x14ac:dyDescent="0.25">
      <c r="A1416" s="114">
        <v>343170</v>
      </c>
      <c r="B1416" s="90" t="s">
        <v>5164</v>
      </c>
      <c r="C1416" s="90" t="s">
        <v>508</v>
      </c>
      <c r="D1416" s="90" t="s">
        <v>5165</v>
      </c>
      <c r="E1416" s="90" t="s">
        <v>5166</v>
      </c>
      <c r="F1416" s="90" t="s">
        <v>5167</v>
      </c>
      <c r="G1416" t="s">
        <v>512</v>
      </c>
    </row>
    <row r="1417" spans="1:7" x14ac:dyDescent="0.25">
      <c r="A1417" s="114">
        <v>343182</v>
      </c>
      <c r="B1417" s="90" t="s">
        <v>1262</v>
      </c>
      <c r="C1417" s="90" t="s">
        <v>508</v>
      </c>
      <c r="D1417" s="90" t="s">
        <v>5168</v>
      </c>
      <c r="E1417" s="90" t="s">
        <v>2140</v>
      </c>
      <c r="F1417" s="90" t="s">
        <v>1265</v>
      </c>
      <c r="G1417" t="s">
        <v>512</v>
      </c>
    </row>
    <row r="1418" spans="1:7" x14ac:dyDescent="0.25">
      <c r="A1418" s="114">
        <v>343204</v>
      </c>
      <c r="B1418" s="90" t="s">
        <v>5169</v>
      </c>
      <c r="C1418" s="90" t="s">
        <v>508</v>
      </c>
      <c r="D1418" s="90" t="s">
        <v>1918</v>
      </c>
      <c r="E1418" s="90" t="s">
        <v>1771</v>
      </c>
      <c r="F1418" s="90" t="s">
        <v>5170</v>
      </c>
      <c r="G1418" t="s">
        <v>512</v>
      </c>
    </row>
    <row r="1419" spans="1:7" x14ac:dyDescent="0.25">
      <c r="A1419" s="114">
        <v>343208</v>
      </c>
      <c r="B1419" s="90" t="s">
        <v>5171</v>
      </c>
      <c r="C1419" s="90" t="s">
        <v>508</v>
      </c>
      <c r="D1419" s="90" t="s">
        <v>5172</v>
      </c>
      <c r="E1419" s="90" t="s">
        <v>4623</v>
      </c>
      <c r="F1419" s="90" t="s">
        <v>5173</v>
      </c>
      <c r="G1419" t="s">
        <v>512</v>
      </c>
    </row>
    <row r="1420" spans="1:7" x14ac:dyDescent="0.25">
      <c r="A1420" s="114">
        <v>343225</v>
      </c>
      <c r="B1420" s="90" t="s">
        <v>5174</v>
      </c>
      <c r="C1420" s="90" t="s">
        <v>508</v>
      </c>
      <c r="D1420" s="90" t="s">
        <v>5175</v>
      </c>
      <c r="E1420" s="90" t="s">
        <v>583</v>
      </c>
      <c r="F1420" s="90" t="s">
        <v>5176</v>
      </c>
      <c r="G1420" t="s">
        <v>512</v>
      </c>
    </row>
    <row r="1421" spans="1:7" x14ac:dyDescent="0.25">
      <c r="A1421" s="114">
        <v>343233</v>
      </c>
      <c r="B1421" s="90" t="s">
        <v>5177</v>
      </c>
      <c r="C1421" s="90" t="s">
        <v>508</v>
      </c>
      <c r="D1421" s="90" t="s">
        <v>5178</v>
      </c>
      <c r="E1421" s="90" t="s">
        <v>5179</v>
      </c>
      <c r="F1421" s="90" t="s">
        <v>5177</v>
      </c>
      <c r="G1421" t="s">
        <v>512</v>
      </c>
    </row>
    <row r="1422" spans="1:7" x14ac:dyDescent="0.25">
      <c r="A1422" s="114">
        <v>343238</v>
      </c>
      <c r="B1422" s="90" t="s">
        <v>5180</v>
      </c>
      <c r="C1422" s="90" t="s">
        <v>508</v>
      </c>
      <c r="D1422" s="90" t="s">
        <v>5181</v>
      </c>
      <c r="E1422" s="90" t="s">
        <v>583</v>
      </c>
      <c r="F1422" s="90" t="s">
        <v>5182</v>
      </c>
      <c r="G1422" t="s">
        <v>512</v>
      </c>
    </row>
    <row r="1423" spans="1:7" x14ac:dyDescent="0.25">
      <c r="A1423" s="114">
        <v>343244</v>
      </c>
      <c r="B1423" s="90" t="s">
        <v>5183</v>
      </c>
      <c r="C1423" s="90" t="s">
        <v>508</v>
      </c>
      <c r="D1423" s="90" t="s">
        <v>5184</v>
      </c>
      <c r="E1423" s="90" t="s">
        <v>5185</v>
      </c>
      <c r="F1423" s="90" t="s">
        <v>4647</v>
      </c>
      <c r="G1423" t="s">
        <v>512</v>
      </c>
    </row>
    <row r="1424" spans="1:7" x14ac:dyDescent="0.25">
      <c r="A1424" s="114">
        <v>343268</v>
      </c>
      <c r="B1424" s="90" t="s">
        <v>5186</v>
      </c>
      <c r="C1424" s="90" t="s">
        <v>508</v>
      </c>
      <c r="D1424" s="90" t="s">
        <v>4363</v>
      </c>
      <c r="E1424" s="90" t="s">
        <v>3897</v>
      </c>
      <c r="F1424" s="90" t="s">
        <v>5187</v>
      </c>
      <c r="G1424" t="s">
        <v>512</v>
      </c>
    </row>
    <row r="1425" spans="1:7" x14ac:dyDescent="0.25">
      <c r="A1425" s="114">
        <v>343289</v>
      </c>
      <c r="B1425" s="90" t="s">
        <v>5188</v>
      </c>
      <c r="C1425" s="90" t="s">
        <v>508</v>
      </c>
      <c r="D1425" s="90" t="s">
        <v>5189</v>
      </c>
      <c r="E1425" s="90" t="s">
        <v>5190</v>
      </c>
      <c r="F1425" s="90" t="s">
        <v>4120</v>
      </c>
      <c r="G1425" t="s">
        <v>512</v>
      </c>
    </row>
    <row r="1426" spans="1:7" x14ac:dyDescent="0.25">
      <c r="A1426" s="114">
        <v>343315</v>
      </c>
      <c r="B1426" s="90" t="s">
        <v>1264</v>
      </c>
      <c r="C1426" s="90" t="s">
        <v>508</v>
      </c>
      <c r="D1426" s="90" t="s">
        <v>597</v>
      </c>
      <c r="E1426" s="90" t="s">
        <v>583</v>
      </c>
      <c r="F1426" s="90" t="s">
        <v>5191</v>
      </c>
      <c r="G1426" t="s">
        <v>512</v>
      </c>
    </row>
    <row r="1427" spans="1:7" x14ac:dyDescent="0.25">
      <c r="A1427" s="114">
        <v>343323</v>
      </c>
      <c r="B1427" s="90" t="s">
        <v>4008</v>
      </c>
      <c r="C1427" s="90" t="s">
        <v>508</v>
      </c>
      <c r="D1427" s="90" t="s">
        <v>5192</v>
      </c>
      <c r="E1427" s="90" t="s">
        <v>5193</v>
      </c>
      <c r="F1427" s="90" t="s">
        <v>4008</v>
      </c>
      <c r="G1427" t="s">
        <v>512</v>
      </c>
    </row>
    <row r="1428" spans="1:7" x14ac:dyDescent="0.25">
      <c r="A1428" s="114">
        <v>343325</v>
      </c>
      <c r="B1428" s="90" t="s">
        <v>5194</v>
      </c>
      <c r="C1428" s="90" t="s">
        <v>508</v>
      </c>
      <c r="D1428" s="90" t="s">
        <v>5195</v>
      </c>
      <c r="E1428" s="90" t="s">
        <v>610</v>
      </c>
      <c r="F1428" s="90" t="s">
        <v>5196</v>
      </c>
      <c r="G1428" t="s">
        <v>512</v>
      </c>
    </row>
    <row r="1429" spans="1:7" x14ac:dyDescent="0.25">
      <c r="A1429" s="114">
        <v>343328</v>
      </c>
      <c r="B1429" s="90" t="s">
        <v>5197</v>
      </c>
      <c r="C1429" s="90" t="s">
        <v>508</v>
      </c>
      <c r="D1429" s="90" t="s">
        <v>5198</v>
      </c>
      <c r="E1429" s="90" t="s">
        <v>2073</v>
      </c>
      <c r="F1429" s="90" t="s">
        <v>5199</v>
      </c>
      <c r="G1429" t="s">
        <v>512</v>
      </c>
    </row>
    <row r="1430" spans="1:7" x14ac:dyDescent="0.25">
      <c r="A1430" s="114">
        <v>343338</v>
      </c>
      <c r="B1430" s="90" t="s">
        <v>5200</v>
      </c>
      <c r="C1430" s="90" t="s">
        <v>508</v>
      </c>
      <c r="D1430" s="90" t="s">
        <v>5201</v>
      </c>
      <c r="E1430" s="90" t="s">
        <v>5202</v>
      </c>
      <c r="F1430" s="90" t="s">
        <v>5203</v>
      </c>
      <c r="G1430" t="s">
        <v>512</v>
      </c>
    </row>
    <row r="1431" spans="1:7" x14ac:dyDescent="0.25">
      <c r="A1431" s="114">
        <v>343353</v>
      </c>
      <c r="B1431" s="90" t="s">
        <v>5204</v>
      </c>
      <c r="C1431" s="90" t="s">
        <v>508</v>
      </c>
      <c r="D1431" s="90" t="s">
        <v>5205</v>
      </c>
      <c r="E1431" s="90" t="s">
        <v>5206</v>
      </c>
      <c r="F1431" s="90" t="s">
        <v>5207</v>
      </c>
      <c r="G1431" t="s">
        <v>512</v>
      </c>
    </row>
    <row r="1432" spans="1:7" x14ac:dyDescent="0.25">
      <c r="A1432" s="114">
        <v>343393</v>
      </c>
      <c r="B1432" s="90" t="s">
        <v>5208</v>
      </c>
      <c r="C1432" s="90" t="s">
        <v>508</v>
      </c>
      <c r="D1432" s="90" t="s">
        <v>4766</v>
      </c>
      <c r="E1432" s="90" t="s">
        <v>5209</v>
      </c>
      <c r="F1432" s="90" t="s">
        <v>5210</v>
      </c>
      <c r="G1432" t="s">
        <v>512</v>
      </c>
    </row>
    <row r="1433" spans="1:7" x14ac:dyDescent="0.25">
      <c r="A1433" s="114">
        <v>343396</v>
      </c>
      <c r="B1433" s="90" t="s">
        <v>5211</v>
      </c>
      <c r="C1433" s="90" t="s">
        <v>508</v>
      </c>
      <c r="D1433" s="90" t="s">
        <v>1968</v>
      </c>
      <c r="E1433" s="90" t="s">
        <v>1969</v>
      </c>
      <c r="F1433" s="90" t="s">
        <v>5212</v>
      </c>
      <c r="G1433" t="s">
        <v>512</v>
      </c>
    </row>
    <row r="1434" spans="1:7" x14ac:dyDescent="0.25">
      <c r="A1434" s="114">
        <v>343421</v>
      </c>
      <c r="B1434" s="90" t="s">
        <v>5213</v>
      </c>
      <c r="C1434" s="90" t="s">
        <v>508</v>
      </c>
      <c r="D1434" s="90" t="s">
        <v>5214</v>
      </c>
      <c r="E1434" s="90" t="s">
        <v>1234</v>
      </c>
      <c r="F1434" s="90" t="s">
        <v>5215</v>
      </c>
      <c r="G1434" t="s">
        <v>512</v>
      </c>
    </row>
    <row r="1435" spans="1:7" x14ac:dyDescent="0.25">
      <c r="A1435" s="114">
        <v>343457</v>
      </c>
      <c r="B1435" s="90" t="s">
        <v>5216</v>
      </c>
      <c r="C1435" s="90" t="s">
        <v>508</v>
      </c>
      <c r="D1435" s="90" t="s">
        <v>5217</v>
      </c>
      <c r="E1435" s="90" t="s">
        <v>610</v>
      </c>
      <c r="F1435" s="90" t="s">
        <v>5218</v>
      </c>
      <c r="G1435" t="s">
        <v>512</v>
      </c>
    </row>
    <row r="1436" spans="1:7" x14ac:dyDescent="0.25">
      <c r="A1436" s="114">
        <v>343458</v>
      </c>
      <c r="B1436" s="90" t="s">
        <v>5219</v>
      </c>
      <c r="C1436" s="90" t="s">
        <v>508</v>
      </c>
      <c r="D1436" s="90" t="s">
        <v>5220</v>
      </c>
      <c r="E1436" s="90" t="s">
        <v>2073</v>
      </c>
      <c r="F1436" s="90" t="s">
        <v>5221</v>
      </c>
      <c r="G1436" t="s">
        <v>512</v>
      </c>
    </row>
    <row r="1437" spans="1:7" x14ac:dyDescent="0.25">
      <c r="A1437" s="114">
        <v>343464</v>
      </c>
      <c r="B1437" s="90" t="s">
        <v>5222</v>
      </c>
      <c r="C1437" s="90" t="s">
        <v>508</v>
      </c>
      <c r="D1437" s="90" t="s">
        <v>5223</v>
      </c>
      <c r="E1437" s="90" t="s">
        <v>2492</v>
      </c>
      <c r="F1437" s="90" t="s">
        <v>5224</v>
      </c>
      <c r="G1437" t="s">
        <v>512</v>
      </c>
    </row>
    <row r="1438" spans="1:7" x14ac:dyDescent="0.25">
      <c r="A1438" s="114">
        <v>343469</v>
      </c>
      <c r="B1438" s="90" t="s">
        <v>5225</v>
      </c>
      <c r="C1438" s="90" t="s">
        <v>508</v>
      </c>
      <c r="D1438" s="90" t="s">
        <v>5226</v>
      </c>
      <c r="E1438" s="90" t="s">
        <v>5227</v>
      </c>
      <c r="F1438" s="90" t="s">
        <v>5228</v>
      </c>
      <c r="G1438" t="s">
        <v>512</v>
      </c>
    </row>
    <row r="1439" spans="1:7" x14ac:dyDescent="0.25">
      <c r="A1439" s="114">
        <v>343484</v>
      </c>
      <c r="B1439" s="90" t="s">
        <v>5229</v>
      </c>
      <c r="C1439" s="90" t="s">
        <v>508</v>
      </c>
      <c r="D1439" s="90" t="s">
        <v>5230</v>
      </c>
      <c r="E1439" s="90" t="s">
        <v>5231</v>
      </c>
      <c r="F1439" s="90" t="s">
        <v>5232</v>
      </c>
      <c r="G1439" t="s">
        <v>512</v>
      </c>
    </row>
    <row r="1440" spans="1:7" x14ac:dyDescent="0.25">
      <c r="A1440" s="114">
        <v>343501</v>
      </c>
      <c r="B1440" s="90" t="s">
        <v>5233</v>
      </c>
      <c r="C1440" s="90" t="s">
        <v>508</v>
      </c>
      <c r="D1440" s="90" t="s">
        <v>3888</v>
      </c>
      <c r="E1440" s="90" t="s">
        <v>2210</v>
      </c>
      <c r="F1440" s="90" t="s">
        <v>5234</v>
      </c>
      <c r="G1440" t="s">
        <v>512</v>
      </c>
    </row>
    <row r="1441" spans="1:7" x14ac:dyDescent="0.25">
      <c r="A1441" s="114">
        <v>343505</v>
      </c>
      <c r="B1441" s="90" t="s">
        <v>3725</v>
      </c>
      <c r="C1441" s="90" t="s">
        <v>508</v>
      </c>
      <c r="D1441" s="90" t="s">
        <v>5235</v>
      </c>
      <c r="E1441" s="90" t="s">
        <v>5236</v>
      </c>
      <c r="F1441" s="90" t="s">
        <v>5237</v>
      </c>
      <c r="G1441" t="s">
        <v>512</v>
      </c>
    </row>
    <row r="1442" spans="1:7" x14ac:dyDescent="0.25">
      <c r="A1442" s="114">
        <v>343530</v>
      </c>
      <c r="B1442" s="90" t="s">
        <v>5238</v>
      </c>
      <c r="C1442" s="90" t="s">
        <v>508</v>
      </c>
      <c r="D1442" s="90" t="s">
        <v>4065</v>
      </c>
      <c r="E1442" s="90" t="s">
        <v>583</v>
      </c>
      <c r="F1442" s="90" t="s">
        <v>5239</v>
      </c>
      <c r="G1442" t="s">
        <v>512</v>
      </c>
    </row>
    <row r="1443" spans="1:7" x14ac:dyDescent="0.25">
      <c r="A1443" s="114">
        <v>343538</v>
      </c>
      <c r="B1443" s="90" t="s">
        <v>5240</v>
      </c>
      <c r="C1443" s="90" t="s">
        <v>508</v>
      </c>
      <c r="D1443" s="90" t="s">
        <v>3139</v>
      </c>
      <c r="E1443" s="90" t="s">
        <v>1256</v>
      </c>
      <c r="F1443" s="90" t="s">
        <v>5241</v>
      </c>
      <c r="G1443" t="s">
        <v>512</v>
      </c>
    </row>
    <row r="1444" spans="1:7" x14ac:dyDescent="0.25">
      <c r="A1444" s="114">
        <v>343579</v>
      </c>
      <c r="B1444" s="90" t="s">
        <v>5242</v>
      </c>
      <c r="C1444" s="90" t="s">
        <v>508</v>
      </c>
      <c r="D1444" s="90" t="s">
        <v>5243</v>
      </c>
      <c r="E1444" s="90" t="s">
        <v>571</v>
      </c>
      <c r="F1444" s="90" t="s">
        <v>5244</v>
      </c>
      <c r="G1444" t="s">
        <v>512</v>
      </c>
    </row>
    <row r="1445" spans="1:7" x14ac:dyDescent="0.25">
      <c r="A1445" s="114">
        <v>343650</v>
      </c>
      <c r="B1445" s="90" t="s">
        <v>5245</v>
      </c>
      <c r="C1445" s="90" t="s">
        <v>508</v>
      </c>
      <c r="D1445" s="90" t="s">
        <v>4388</v>
      </c>
      <c r="E1445" s="90" t="s">
        <v>2901</v>
      </c>
      <c r="F1445" s="90" t="s">
        <v>5246</v>
      </c>
      <c r="G1445" t="s">
        <v>512</v>
      </c>
    </row>
    <row r="1446" spans="1:7" x14ac:dyDescent="0.25">
      <c r="A1446" s="114">
        <v>343673</v>
      </c>
      <c r="B1446" s="90" t="s">
        <v>5247</v>
      </c>
      <c r="C1446" s="90" t="s">
        <v>508</v>
      </c>
      <c r="D1446" s="90" t="s">
        <v>5248</v>
      </c>
      <c r="E1446" s="90" t="s">
        <v>3054</v>
      </c>
      <c r="F1446" s="90" t="s">
        <v>5249</v>
      </c>
      <c r="G1446" t="s">
        <v>512</v>
      </c>
    </row>
    <row r="1447" spans="1:7" x14ac:dyDescent="0.25">
      <c r="A1447" s="114">
        <v>343697</v>
      </c>
      <c r="B1447" s="90" t="s">
        <v>5250</v>
      </c>
      <c r="C1447" s="90" t="s">
        <v>508</v>
      </c>
      <c r="D1447" s="90" t="s">
        <v>5251</v>
      </c>
      <c r="E1447" s="90" t="s">
        <v>4162</v>
      </c>
      <c r="F1447" s="90" t="s">
        <v>5252</v>
      </c>
      <c r="G1447" t="s">
        <v>512</v>
      </c>
    </row>
    <row r="1448" spans="1:7" x14ac:dyDescent="0.25">
      <c r="A1448" s="114">
        <v>343709</v>
      </c>
      <c r="B1448" s="90" t="s">
        <v>5253</v>
      </c>
      <c r="C1448" s="90" t="s">
        <v>508</v>
      </c>
      <c r="D1448" s="90" t="s">
        <v>5254</v>
      </c>
      <c r="E1448" s="90" t="s">
        <v>714</v>
      </c>
      <c r="F1448" s="90" t="s">
        <v>5255</v>
      </c>
      <c r="G1448" t="s">
        <v>512</v>
      </c>
    </row>
    <row r="1449" spans="1:7" x14ac:dyDescent="0.25">
      <c r="A1449" s="114">
        <v>343713</v>
      </c>
      <c r="B1449" s="90" t="s">
        <v>5256</v>
      </c>
      <c r="C1449" s="90" t="s">
        <v>508</v>
      </c>
      <c r="D1449" s="90" t="s">
        <v>1785</v>
      </c>
      <c r="E1449" s="90" t="s">
        <v>610</v>
      </c>
      <c r="F1449" s="90" t="s">
        <v>1711</v>
      </c>
      <c r="G1449" t="s">
        <v>512</v>
      </c>
    </row>
    <row r="1450" spans="1:7" x14ac:dyDescent="0.25">
      <c r="A1450" s="114">
        <v>343717</v>
      </c>
      <c r="B1450" s="90" t="s">
        <v>4982</v>
      </c>
      <c r="C1450" s="90" t="s">
        <v>508</v>
      </c>
      <c r="D1450" s="90" t="s">
        <v>4983</v>
      </c>
      <c r="E1450" s="90" t="s">
        <v>2366</v>
      </c>
      <c r="F1450" s="90" t="s">
        <v>5257</v>
      </c>
      <c r="G1450" t="s">
        <v>512</v>
      </c>
    </row>
    <row r="1451" spans="1:7" x14ac:dyDescent="0.25">
      <c r="A1451" s="114">
        <v>343770</v>
      </c>
      <c r="B1451" s="90" t="s">
        <v>5258</v>
      </c>
      <c r="C1451" s="90" t="s">
        <v>508</v>
      </c>
      <c r="D1451" s="90" t="s">
        <v>886</v>
      </c>
      <c r="E1451" s="90" t="s">
        <v>887</v>
      </c>
      <c r="F1451" s="90" t="s">
        <v>5259</v>
      </c>
      <c r="G1451" t="s">
        <v>512</v>
      </c>
    </row>
    <row r="1452" spans="1:7" x14ac:dyDescent="0.25">
      <c r="A1452" s="114">
        <v>343894</v>
      </c>
      <c r="B1452" s="90" t="s">
        <v>5260</v>
      </c>
      <c r="C1452" s="90" t="s">
        <v>508</v>
      </c>
      <c r="D1452" s="90" t="s">
        <v>5261</v>
      </c>
      <c r="E1452" s="90" t="s">
        <v>2238</v>
      </c>
      <c r="F1452" s="90" t="s">
        <v>5262</v>
      </c>
      <c r="G1452" t="s">
        <v>512</v>
      </c>
    </row>
    <row r="1453" spans="1:7" x14ac:dyDescent="0.25">
      <c r="A1453" s="114">
        <v>343901</v>
      </c>
      <c r="B1453" s="90" t="s">
        <v>5263</v>
      </c>
      <c r="C1453" s="90" t="s">
        <v>508</v>
      </c>
      <c r="D1453" s="90" t="s">
        <v>5264</v>
      </c>
      <c r="E1453" s="90" t="s">
        <v>5265</v>
      </c>
      <c r="F1453" s="90" t="s">
        <v>5266</v>
      </c>
      <c r="G1453" t="s">
        <v>512</v>
      </c>
    </row>
    <row r="1454" spans="1:7" x14ac:dyDescent="0.25">
      <c r="A1454" s="114">
        <v>343919</v>
      </c>
      <c r="B1454" s="90" t="s">
        <v>4161</v>
      </c>
      <c r="C1454" s="90" t="s">
        <v>508</v>
      </c>
      <c r="D1454" s="90" t="s">
        <v>5267</v>
      </c>
      <c r="E1454" s="90" t="s">
        <v>5268</v>
      </c>
      <c r="F1454" s="90" t="s">
        <v>5269</v>
      </c>
      <c r="G1454" t="s">
        <v>512</v>
      </c>
    </row>
    <row r="1455" spans="1:7" x14ac:dyDescent="0.25">
      <c r="A1455" s="114">
        <v>343972</v>
      </c>
      <c r="B1455" s="90" t="s">
        <v>5270</v>
      </c>
      <c r="C1455" s="90" t="s">
        <v>508</v>
      </c>
      <c r="D1455" s="90" t="s">
        <v>1918</v>
      </c>
      <c r="E1455" s="90" t="s">
        <v>1771</v>
      </c>
      <c r="F1455" s="90" t="s">
        <v>5271</v>
      </c>
      <c r="G1455" t="s">
        <v>512</v>
      </c>
    </row>
    <row r="1456" spans="1:7" x14ac:dyDescent="0.25">
      <c r="A1456" s="114">
        <v>343979</v>
      </c>
      <c r="B1456" s="90" t="s">
        <v>5272</v>
      </c>
      <c r="C1456" s="90" t="s">
        <v>508</v>
      </c>
      <c r="D1456" s="90" t="s">
        <v>5273</v>
      </c>
      <c r="E1456" s="90" t="s">
        <v>907</v>
      </c>
      <c r="F1456" s="90" t="s">
        <v>5274</v>
      </c>
      <c r="G1456" t="s">
        <v>512</v>
      </c>
    </row>
    <row r="1457" spans="1:7" x14ac:dyDescent="0.25">
      <c r="A1457" s="114">
        <v>343990</v>
      </c>
      <c r="B1457" s="90" t="s">
        <v>3725</v>
      </c>
      <c r="C1457" s="90" t="s">
        <v>508</v>
      </c>
      <c r="D1457" s="90" t="s">
        <v>5275</v>
      </c>
      <c r="E1457" s="90" t="s">
        <v>3727</v>
      </c>
      <c r="F1457" s="90" t="s">
        <v>5276</v>
      </c>
      <c r="G1457" t="s">
        <v>859</v>
      </c>
    </row>
    <row r="1458" spans="1:7" x14ac:dyDescent="0.25">
      <c r="A1458" s="114">
        <v>344010</v>
      </c>
      <c r="B1458" s="90" t="s">
        <v>5277</v>
      </c>
      <c r="C1458" s="90" t="s">
        <v>508</v>
      </c>
      <c r="D1458" s="90" t="s">
        <v>5278</v>
      </c>
      <c r="E1458" s="90" t="s">
        <v>2492</v>
      </c>
      <c r="F1458" s="90" t="s">
        <v>5142</v>
      </c>
      <c r="G1458" t="s">
        <v>512</v>
      </c>
    </row>
    <row r="1459" spans="1:7" x14ac:dyDescent="0.25">
      <c r="A1459" s="114">
        <v>344076</v>
      </c>
      <c r="B1459" s="90" t="s">
        <v>5279</v>
      </c>
      <c r="C1459" s="90" t="s">
        <v>508</v>
      </c>
      <c r="D1459" s="90" t="s">
        <v>5280</v>
      </c>
      <c r="E1459" s="90" t="s">
        <v>1797</v>
      </c>
      <c r="F1459" s="90" t="s">
        <v>5281</v>
      </c>
      <c r="G1459" t="s">
        <v>512</v>
      </c>
    </row>
    <row r="1460" spans="1:7" x14ac:dyDescent="0.25">
      <c r="A1460" s="114">
        <v>344095</v>
      </c>
      <c r="B1460" s="90" t="s">
        <v>5282</v>
      </c>
      <c r="C1460" s="90" t="s">
        <v>508</v>
      </c>
      <c r="D1460" s="90" t="s">
        <v>5283</v>
      </c>
      <c r="E1460" s="90" t="s">
        <v>5284</v>
      </c>
      <c r="F1460" s="90" t="s">
        <v>5285</v>
      </c>
      <c r="G1460" t="s">
        <v>512</v>
      </c>
    </row>
    <row r="1461" spans="1:7" x14ac:dyDescent="0.25">
      <c r="A1461" s="114">
        <v>344098</v>
      </c>
      <c r="B1461" s="90" t="s">
        <v>5286</v>
      </c>
      <c r="C1461" s="90" t="s">
        <v>508</v>
      </c>
      <c r="D1461" s="90" t="s">
        <v>5287</v>
      </c>
      <c r="E1461" s="90" t="s">
        <v>2687</v>
      </c>
      <c r="F1461" s="90" t="s">
        <v>5288</v>
      </c>
      <c r="G1461" t="s">
        <v>512</v>
      </c>
    </row>
    <row r="1462" spans="1:7" x14ac:dyDescent="0.25">
      <c r="A1462" s="114">
        <v>344132</v>
      </c>
      <c r="B1462" s="90" t="s">
        <v>5289</v>
      </c>
      <c r="C1462" s="90" t="s">
        <v>508</v>
      </c>
      <c r="D1462" s="90" t="s">
        <v>5290</v>
      </c>
      <c r="E1462" s="90" t="s">
        <v>614</v>
      </c>
      <c r="F1462" s="90" t="s">
        <v>5291</v>
      </c>
      <c r="G1462" t="s">
        <v>512</v>
      </c>
    </row>
    <row r="1463" spans="1:7" x14ac:dyDescent="0.25">
      <c r="A1463" s="114">
        <v>344140</v>
      </c>
      <c r="B1463" s="90" t="s">
        <v>5292</v>
      </c>
      <c r="C1463" s="90" t="s">
        <v>508</v>
      </c>
      <c r="D1463" s="90" t="s">
        <v>5293</v>
      </c>
      <c r="E1463" s="90" t="s">
        <v>972</v>
      </c>
      <c r="F1463" s="90" t="s">
        <v>5294</v>
      </c>
      <c r="G1463" t="s">
        <v>512</v>
      </c>
    </row>
    <row r="1464" spans="1:7" x14ac:dyDescent="0.25">
      <c r="A1464" s="114">
        <v>344167</v>
      </c>
      <c r="B1464" s="90" t="s">
        <v>5295</v>
      </c>
      <c r="C1464" s="90" t="s">
        <v>508</v>
      </c>
      <c r="D1464" s="90" t="s">
        <v>5296</v>
      </c>
      <c r="E1464" s="90" t="s">
        <v>2771</v>
      </c>
      <c r="F1464" s="90" t="s">
        <v>5297</v>
      </c>
      <c r="G1464" t="s">
        <v>512</v>
      </c>
    </row>
    <row r="1465" spans="1:7" x14ac:dyDescent="0.25">
      <c r="A1465" s="114">
        <v>344215</v>
      </c>
      <c r="B1465" s="90" t="s">
        <v>4316</v>
      </c>
      <c r="C1465" s="90" t="s">
        <v>508</v>
      </c>
      <c r="D1465" s="90" t="s">
        <v>5298</v>
      </c>
      <c r="E1465" s="90" t="s">
        <v>1256</v>
      </c>
      <c r="F1465" s="90" t="s">
        <v>5299</v>
      </c>
      <c r="G1465" t="s">
        <v>512</v>
      </c>
    </row>
    <row r="1466" spans="1:7" x14ac:dyDescent="0.25">
      <c r="A1466" s="114">
        <v>344220</v>
      </c>
      <c r="B1466" s="90" t="s">
        <v>5300</v>
      </c>
      <c r="C1466" s="90" t="s">
        <v>508</v>
      </c>
      <c r="D1466" s="90" t="s">
        <v>5301</v>
      </c>
      <c r="E1466" s="90" t="s">
        <v>3037</v>
      </c>
      <c r="F1466" s="90" t="s">
        <v>5302</v>
      </c>
      <c r="G1466" t="s">
        <v>512</v>
      </c>
    </row>
    <row r="1467" spans="1:7" x14ac:dyDescent="0.25">
      <c r="A1467" s="114">
        <v>344231</v>
      </c>
      <c r="B1467" s="90" t="s">
        <v>3963</v>
      </c>
      <c r="C1467" s="90" t="s">
        <v>508</v>
      </c>
      <c r="D1467" s="90" t="s">
        <v>5303</v>
      </c>
      <c r="E1467" s="90" t="s">
        <v>1194</v>
      </c>
      <c r="F1467" s="90" t="s">
        <v>5304</v>
      </c>
      <c r="G1467" t="s">
        <v>512</v>
      </c>
    </row>
    <row r="1468" spans="1:7" x14ac:dyDescent="0.25">
      <c r="A1468" s="114">
        <v>344241</v>
      </c>
      <c r="B1468" s="90" t="s">
        <v>5305</v>
      </c>
      <c r="C1468" s="90" t="s">
        <v>508</v>
      </c>
      <c r="D1468" s="90" t="s">
        <v>3458</v>
      </c>
      <c r="E1468" s="90" t="s">
        <v>1256</v>
      </c>
      <c r="F1468" s="90" t="s">
        <v>5305</v>
      </c>
      <c r="G1468" t="s">
        <v>512</v>
      </c>
    </row>
    <row r="1469" spans="1:7" x14ac:dyDescent="0.25">
      <c r="A1469" s="114">
        <v>344249</v>
      </c>
      <c r="B1469" s="90" t="s">
        <v>5306</v>
      </c>
      <c r="C1469" s="90" t="s">
        <v>508</v>
      </c>
      <c r="D1469" s="90" t="s">
        <v>5307</v>
      </c>
      <c r="E1469" s="90" t="s">
        <v>2199</v>
      </c>
      <c r="F1469" s="90" t="s">
        <v>5308</v>
      </c>
      <c r="G1469" t="s">
        <v>512</v>
      </c>
    </row>
    <row r="1470" spans="1:7" x14ac:dyDescent="0.25">
      <c r="A1470" s="114">
        <v>344278</v>
      </c>
      <c r="B1470" s="90" t="s">
        <v>5309</v>
      </c>
      <c r="C1470" s="90" t="s">
        <v>508</v>
      </c>
      <c r="D1470" s="90" t="s">
        <v>5310</v>
      </c>
      <c r="E1470" s="90" t="s">
        <v>3054</v>
      </c>
      <c r="F1470" s="90" t="s">
        <v>5311</v>
      </c>
      <c r="G1470" t="s">
        <v>512</v>
      </c>
    </row>
    <row r="1471" spans="1:7" x14ac:dyDescent="0.25">
      <c r="A1471" s="114">
        <v>344340</v>
      </c>
      <c r="B1471" s="90" t="s">
        <v>5312</v>
      </c>
      <c r="C1471" s="90" t="s">
        <v>508</v>
      </c>
      <c r="D1471" s="90" t="s">
        <v>5313</v>
      </c>
      <c r="E1471" s="90" t="s">
        <v>5314</v>
      </c>
      <c r="F1471" s="90" t="s">
        <v>5315</v>
      </c>
      <c r="G1471" t="s">
        <v>512</v>
      </c>
    </row>
    <row r="1472" spans="1:7" x14ac:dyDescent="0.25">
      <c r="A1472" s="114">
        <v>344393</v>
      </c>
      <c r="B1472" s="90" t="s">
        <v>5316</v>
      </c>
      <c r="C1472" s="90" t="s">
        <v>508</v>
      </c>
      <c r="D1472" s="90" t="s">
        <v>5317</v>
      </c>
      <c r="E1472" s="90" t="s">
        <v>5318</v>
      </c>
      <c r="F1472" s="90" t="s">
        <v>5319</v>
      </c>
      <c r="G1472" t="s">
        <v>512</v>
      </c>
    </row>
    <row r="1473" spans="1:7" x14ac:dyDescent="0.25">
      <c r="A1473" s="114">
        <v>344407</v>
      </c>
      <c r="B1473" s="90" t="s">
        <v>5320</v>
      </c>
      <c r="C1473" s="90" t="s">
        <v>508</v>
      </c>
      <c r="D1473" s="90" t="s">
        <v>5321</v>
      </c>
      <c r="E1473" s="90" t="s">
        <v>5322</v>
      </c>
      <c r="F1473" s="90" t="s">
        <v>5323</v>
      </c>
      <c r="G1473" t="s">
        <v>512</v>
      </c>
    </row>
    <row r="1474" spans="1:7" x14ac:dyDescent="0.25">
      <c r="A1474" s="114">
        <v>344462</v>
      </c>
      <c r="B1474" s="90" t="s">
        <v>5324</v>
      </c>
      <c r="C1474" s="90" t="s">
        <v>508</v>
      </c>
      <c r="D1474" s="90" t="s">
        <v>5325</v>
      </c>
      <c r="E1474" s="90" t="s">
        <v>5326</v>
      </c>
      <c r="F1474" s="90" t="s">
        <v>5327</v>
      </c>
      <c r="G1474" t="s">
        <v>512</v>
      </c>
    </row>
    <row r="1475" spans="1:7" x14ac:dyDescent="0.25">
      <c r="A1475" s="114">
        <v>344506</v>
      </c>
      <c r="B1475" s="90" t="s">
        <v>5328</v>
      </c>
      <c r="C1475" s="90" t="s">
        <v>508</v>
      </c>
      <c r="D1475" s="90" t="s">
        <v>5329</v>
      </c>
      <c r="E1475" s="90" t="s">
        <v>3210</v>
      </c>
      <c r="F1475" s="90" t="s">
        <v>5330</v>
      </c>
      <c r="G1475" t="s">
        <v>512</v>
      </c>
    </row>
    <row r="1476" spans="1:7" x14ac:dyDescent="0.25">
      <c r="A1476" s="114">
        <v>344599</v>
      </c>
      <c r="B1476" s="90" t="s">
        <v>5331</v>
      </c>
      <c r="C1476" s="90" t="s">
        <v>508</v>
      </c>
      <c r="D1476" s="90" t="s">
        <v>5332</v>
      </c>
      <c r="E1476" s="90" t="s">
        <v>1719</v>
      </c>
      <c r="F1476" s="90" t="s">
        <v>5333</v>
      </c>
      <c r="G1476" t="s">
        <v>512</v>
      </c>
    </row>
    <row r="1477" spans="1:7" x14ac:dyDescent="0.25">
      <c r="A1477" s="114">
        <v>344654</v>
      </c>
      <c r="B1477" s="90" t="s">
        <v>5334</v>
      </c>
      <c r="C1477" s="90" t="s">
        <v>508</v>
      </c>
      <c r="D1477" s="90" t="s">
        <v>5335</v>
      </c>
      <c r="E1477" s="90" t="s">
        <v>3246</v>
      </c>
      <c r="F1477" s="90" t="s">
        <v>5336</v>
      </c>
      <c r="G1477" t="s">
        <v>512</v>
      </c>
    </row>
    <row r="1478" spans="1:7" x14ac:dyDescent="0.25">
      <c r="A1478" s="114">
        <v>344733</v>
      </c>
      <c r="B1478" s="90" t="s">
        <v>5337</v>
      </c>
      <c r="C1478" s="90" t="s">
        <v>508</v>
      </c>
      <c r="D1478" s="90" t="s">
        <v>5338</v>
      </c>
      <c r="E1478" s="90" t="s">
        <v>5339</v>
      </c>
      <c r="F1478" s="90" t="s">
        <v>5340</v>
      </c>
      <c r="G1478" t="s">
        <v>512</v>
      </c>
    </row>
    <row r="1479" spans="1:7" x14ac:dyDescent="0.25">
      <c r="A1479" s="114">
        <v>344780</v>
      </c>
      <c r="B1479" s="90" t="s">
        <v>5341</v>
      </c>
      <c r="C1479" s="90" t="s">
        <v>508</v>
      </c>
      <c r="D1479" s="90" t="s">
        <v>5342</v>
      </c>
      <c r="E1479" s="90" t="s">
        <v>5343</v>
      </c>
      <c r="F1479" s="90" t="s">
        <v>5344</v>
      </c>
      <c r="G1479" t="s">
        <v>512</v>
      </c>
    </row>
    <row r="1480" spans="1:7" x14ac:dyDescent="0.25">
      <c r="A1480" s="114">
        <v>344804</v>
      </c>
      <c r="B1480" s="90" t="s">
        <v>5345</v>
      </c>
      <c r="C1480" s="90" t="s">
        <v>508</v>
      </c>
      <c r="D1480" s="90" t="s">
        <v>5346</v>
      </c>
      <c r="E1480" s="90" t="s">
        <v>4166</v>
      </c>
      <c r="F1480" s="90" t="s">
        <v>5347</v>
      </c>
      <c r="G1480" t="s">
        <v>512</v>
      </c>
    </row>
    <row r="1481" spans="1:7" x14ac:dyDescent="0.25">
      <c r="A1481" s="114">
        <v>344825</v>
      </c>
      <c r="B1481" s="90" t="s">
        <v>1285</v>
      </c>
      <c r="C1481" s="90" t="s">
        <v>508</v>
      </c>
      <c r="D1481" s="90" t="s">
        <v>5348</v>
      </c>
      <c r="E1481" s="90" t="s">
        <v>923</v>
      </c>
      <c r="F1481" s="90" t="s">
        <v>1287</v>
      </c>
      <c r="G1481" t="s">
        <v>512</v>
      </c>
    </row>
    <row r="1482" spans="1:7" x14ac:dyDescent="0.25">
      <c r="A1482" s="114">
        <v>344859</v>
      </c>
      <c r="B1482" s="90" t="s">
        <v>5349</v>
      </c>
      <c r="C1482" s="90" t="s">
        <v>508</v>
      </c>
      <c r="D1482" s="90" t="s">
        <v>5350</v>
      </c>
      <c r="E1482" s="90" t="s">
        <v>5351</v>
      </c>
      <c r="F1482" s="90" t="s">
        <v>5352</v>
      </c>
      <c r="G1482" t="s">
        <v>512</v>
      </c>
    </row>
    <row r="1483" spans="1:7" x14ac:dyDescent="0.25">
      <c r="A1483" s="114">
        <v>344936</v>
      </c>
      <c r="B1483" s="90" t="s">
        <v>4444</v>
      </c>
      <c r="C1483" s="90" t="s">
        <v>508</v>
      </c>
      <c r="D1483" s="90" t="s">
        <v>4445</v>
      </c>
      <c r="E1483" s="90" t="s">
        <v>818</v>
      </c>
      <c r="F1483" s="90" t="s">
        <v>5353</v>
      </c>
      <c r="G1483" t="s">
        <v>512</v>
      </c>
    </row>
    <row r="1484" spans="1:7" x14ac:dyDescent="0.25">
      <c r="A1484" s="114">
        <v>344943</v>
      </c>
      <c r="B1484" s="90" t="s">
        <v>5354</v>
      </c>
      <c r="C1484" s="90" t="s">
        <v>508</v>
      </c>
      <c r="D1484" s="90" t="s">
        <v>5355</v>
      </c>
      <c r="E1484" s="90" t="s">
        <v>614</v>
      </c>
      <c r="F1484" s="90" t="s">
        <v>5356</v>
      </c>
      <c r="G1484" t="s">
        <v>512</v>
      </c>
    </row>
    <row r="1485" spans="1:7" x14ac:dyDescent="0.25">
      <c r="A1485" s="114">
        <v>344989</v>
      </c>
      <c r="B1485" s="90" t="s">
        <v>5357</v>
      </c>
      <c r="C1485" s="90" t="s">
        <v>508</v>
      </c>
      <c r="D1485" s="90" t="s">
        <v>5358</v>
      </c>
      <c r="E1485" s="90" t="s">
        <v>4177</v>
      </c>
      <c r="F1485" s="90" t="s">
        <v>5359</v>
      </c>
      <c r="G1485" t="s">
        <v>512</v>
      </c>
    </row>
    <row r="1486" spans="1:7" x14ac:dyDescent="0.25">
      <c r="A1486" s="114">
        <v>345036</v>
      </c>
      <c r="B1486" s="90" t="s">
        <v>5360</v>
      </c>
      <c r="C1486" s="90" t="s">
        <v>508</v>
      </c>
      <c r="D1486" s="90" t="s">
        <v>5361</v>
      </c>
      <c r="E1486" s="90" t="s">
        <v>1237</v>
      </c>
      <c r="F1486" s="90" t="s">
        <v>4282</v>
      </c>
      <c r="G1486" t="s">
        <v>512</v>
      </c>
    </row>
    <row r="1487" spans="1:7" x14ac:dyDescent="0.25">
      <c r="A1487" s="114">
        <v>345055</v>
      </c>
      <c r="B1487" s="90" t="s">
        <v>5362</v>
      </c>
      <c r="C1487" s="90" t="s">
        <v>508</v>
      </c>
      <c r="D1487" s="90" t="s">
        <v>4324</v>
      </c>
      <c r="E1487" s="90" t="s">
        <v>4325</v>
      </c>
      <c r="F1487" s="90" t="s">
        <v>5363</v>
      </c>
      <c r="G1487" t="s">
        <v>512</v>
      </c>
    </row>
    <row r="1488" spans="1:7" x14ac:dyDescent="0.25">
      <c r="A1488" s="114">
        <v>345061</v>
      </c>
      <c r="B1488" s="90" t="s">
        <v>5364</v>
      </c>
      <c r="C1488" s="90" t="s">
        <v>508</v>
      </c>
      <c r="D1488" s="90" t="s">
        <v>3403</v>
      </c>
      <c r="E1488" s="90" t="s">
        <v>3404</v>
      </c>
      <c r="F1488" s="90" t="s">
        <v>5364</v>
      </c>
      <c r="G1488" t="s">
        <v>512</v>
      </c>
    </row>
    <row r="1489" spans="1:7" x14ac:dyDescent="0.25">
      <c r="A1489" s="114">
        <v>345072</v>
      </c>
      <c r="B1489" s="90" t="s">
        <v>5365</v>
      </c>
      <c r="C1489" s="90" t="s">
        <v>508</v>
      </c>
      <c r="D1489" s="90" t="s">
        <v>5366</v>
      </c>
      <c r="E1489" s="90" t="s">
        <v>2705</v>
      </c>
      <c r="F1489" s="90" t="s">
        <v>5367</v>
      </c>
      <c r="G1489" t="s">
        <v>512</v>
      </c>
    </row>
    <row r="1490" spans="1:7" x14ac:dyDescent="0.25">
      <c r="A1490" s="114">
        <v>345077</v>
      </c>
      <c r="B1490" s="90" t="s">
        <v>5368</v>
      </c>
      <c r="C1490" s="90" t="s">
        <v>508</v>
      </c>
      <c r="D1490" s="90" t="s">
        <v>5369</v>
      </c>
      <c r="E1490" s="90" t="s">
        <v>583</v>
      </c>
      <c r="F1490" s="90" t="s">
        <v>5370</v>
      </c>
      <c r="G1490" t="s">
        <v>512</v>
      </c>
    </row>
    <row r="1491" spans="1:7" x14ac:dyDescent="0.25">
      <c r="A1491" s="114">
        <v>345123</v>
      </c>
      <c r="B1491" s="90" t="s">
        <v>5371</v>
      </c>
      <c r="C1491" s="90" t="s">
        <v>508</v>
      </c>
      <c r="D1491" s="90" t="s">
        <v>5372</v>
      </c>
      <c r="E1491" s="90" t="s">
        <v>5373</v>
      </c>
      <c r="F1491" s="90" t="s">
        <v>5374</v>
      </c>
      <c r="G1491" t="s">
        <v>512</v>
      </c>
    </row>
    <row r="1492" spans="1:7" x14ac:dyDescent="0.25">
      <c r="A1492" s="114">
        <v>345134</v>
      </c>
      <c r="B1492" s="90" t="s">
        <v>5375</v>
      </c>
      <c r="C1492" s="90" t="s">
        <v>508</v>
      </c>
      <c r="D1492" s="90" t="s">
        <v>4753</v>
      </c>
      <c r="E1492" s="90" t="s">
        <v>2524</v>
      </c>
      <c r="F1492" s="90" t="s">
        <v>5376</v>
      </c>
      <c r="G1492" t="s">
        <v>512</v>
      </c>
    </row>
    <row r="1493" spans="1:7" x14ac:dyDescent="0.25">
      <c r="A1493" s="114">
        <v>345135</v>
      </c>
      <c r="B1493" s="90" t="s">
        <v>5377</v>
      </c>
      <c r="C1493" s="90" t="s">
        <v>508</v>
      </c>
      <c r="D1493" s="90" t="s">
        <v>4738</v>
      </c>
      <c r="E1493" s="90" t="s">
        <v>5378</v>
      </c>
      <c r="F1493" s="90" t="s">
        <v>5379</v>
      </c>
      <c r="G1493" t="s">
        <v>512</v>
      </c>
    </row>
    <row r="1494" spans="1:7" x14ac:dyDescent="0.25">
      <c r="A1494" s="114">
        <v>345139</v>
      </c>
      <c r="B1494" s="90" t="s">
        <v>5380</v>
      </c>
      <c r="C1494" s="90" t="s">
        <v>508</v>
      </c>
      <c r="D1494" s="90" t="s">
        <v>5381</v>
      </c>
      <c r="E1494" s="90" t="s">
        <v>972</v>
      </c>
      <c r="F1494" s="90" t="s">
        <v>5382</v>
      </c>
      <c r="G1494" t="s">
        <v>512</v>
      </c>
    </row>
    <row r="1495" spans="1:7" x14ac:dyDescent="0.25">
      <c r="A1495" s="114">
        <v>345156</v>
      </c>
      <c r="B1495" s="90" t="s">
        <v>5383</v>
      </c>
      <c r="C1495" s="90" t="s">
        <v>508</v>
      </c>
      <c r="D1495" s="90" t="s">
        <v>5384</v>
      </c>
      <c r="E1495" s="90" t="s">
        <v>563</v>
      </c>
      <c r="F1495" s="90" t="s">
        <v>5385</v>
      </c>
      <c r="G1495" t="s">
        <v>512</v>
      </c>
    </row>
    <row r="1496" spans="1:7" x14ac:dyDescent="0.25">
      <c r="A1496" s="114">
        <v>345190</v>
      </c>
      <c r="B1496" s="90" t="s">
        <v>4301</v>
      </c>
      <c r="C1496" s="90" t="s">
        <v>508</v>
      </c>
      <c r="D1496" s="90" t="s">
        <v>5386</v>
      </c>
      <c r="E1496" s="90" t="s">
        <v>5387</v>
      </c>
      <c r="F1496" s="90" t="s">
        <v>5388</v>
      </c>
      <c r="G1496" t="s">
        <v>512</v>
      </c>
    </row>
    <row r="1497" spans="1:7" x14ac:dyDescent="0.25">
      <c r="A1497" s="114">
        <v>345194</v>
      </c>
      <c r="B1497" s="90" t="s">
        <v>5389</v>
      </c>
      <c r="C1497" s="90" t="s">
        <v>508</v>
      </c>
      <c r="D1497" s="90" t="s">
        <v>4215</v>
      </c>
      <c r="E1497" s="90" t="s">
        <v>1670</v>
      </c>
      <c r="F1497" s="90" t="s">
        <v>5390</v>
      </c>
      <c r="G1497" t="s">
        <v>512</v>
      </c>
    </row>
    <row r="1498" spans="1:7" x14ac:dyDescent="0.25">
      <c r="A1498" s="114">
        <v>345211</v>
      </c>
      <c r="B1498" s="90" t="s">
        <v>5391</v>
      </c>
      <c r="C1498" s="90" t="s">
        <v>508</v>
      </c>
      <c r="D1498" s="90" t="s">
        <v>5392</v>
      </c>
      <c r="E1498" s="90" t="s">
        <v>818</v>
      </c>
      <c r="F1498" s="90" t="s">
        <v>5393</v>
      </c>
      <c r="G1498" t="s">
        <v>512</v>
      </c>
    </row>
    <row r="1499" spans="1:7" x14ac:dyDescent="0.25">
      <c r="A1499" s="114">
        <v>345212</v>
      </c>
      <c r="B1499" s="90" t="s">
        <v>4360</v>
      </c>
      <c r="C1499" s="90" t="s">
        <v>508</v>
      </c>
      <c r="D1499" s="90" t="s">
        <v>4000</v>
      </c>
      <c r="E1499" s="90" t="s">
        <v>4269</v>
      </c>
      <c r="F1499" s="90" t="s">
        <v>5394</v>
      </c>
      <c r="G1499" t="s">
        <v>512</v>
      </c>
    </row>
    <row r="1500" spans="1:7" x14ac:dyDescent="0.25">
      <c r="A1500" s="114">
        <v>345256</v>
      </c>
      <c r="B1500" s="90" t="s">
        <v>5395</v>
      </c>
      <c r="C1500" s="90" t="s">
        <v>508</v>
      </c>
      <c r="D1500" s="90" t="s">
        <v>5396</v>
      </c>
      <c r="E1500" s="90" t="s">
        <v>5397</v>
      </c>
      <c r="F1500" s="90" t="s">
        <v>5398</v>
      </c>
      <c r="G1500" t="s">
        <v>512</v>
      </c>
    </row>
    <row r="1501" spans="1:7" x14ac:dyDescent="0.25">
      <c r="A1501" s="114">
        <v>345284</v>
      </c>
      <c r="B1501" s="90" t="s">
        <v>5399</v>
      </c>
      <c r="C1501" s="90" t="s">
        <v>508</v>
      </c>
      <c r="D1501" s="90" t="s">
        <v>5400</v>
      </c>
      <c r="E1501" s="90" t="s">
        <v>5247</v>
      </c>
      <c r="F1501" s="90" t="s">
        <v>5401</v>
      </c>
      <c r="G1501" t="s">
        <v>512</v>
      </c>
    </row>
    <row r="1502" spans="1:7" x14ac:dyDescent="0.25">
      <c r="A1502" s="114">
        <v>345304</v>
      </c>
      <c r="B1502" s="90" t="s">
        <v>5402</v>
      </c>
      <c r="C1502" s="90" t="s">
        <v>508</v>
      </c>
      <c r="D1502" s="90" t="s">
        <v>5403</v>
      </c>
      <c r="E1502" s="90" t="s">
        <v>610</v>
      </c>
      <c r="F1502" s="90" t="s">
        <v>5404</v>
      </c>
      <c r="G1502" t="s">
        <v>512</v>
      </c>
    </row>
    <row r="1503" spans="1:7" x14ac:dyDescent="0.25">
      <c r="A1503" s="114">
        <v>345324</v>
      </c>
      <c r="B1503" s="90" t="s">
        <v>5405</v>
      </c>
      <c r="C1503" s="90" t="s">
        <v>508</v>
      </c>
      <c r="D1503" s="90" t="s">
        <v>5406</v>
      </c>
      <c r="E1503" s="90" t="s">
        <v>1485</v>
      </c>
      <c r="F1503" s="90" t="s">
        <v>5407</v>
      </c>
      <c r="G1503" t="s">
        <v>512</v>
      </c>
    </row>
    <row r="1504" spans="1:7" x14ac:dyDescent="0.25">
      <c r="A1504" s="114">
        <v>345383</v>
      </c>
      <c r="B1504" s="90" t="s">
        <v>5408</v>
      </c>
      <c r="C1504" s="90" t="s">
        <v>508</v>
      </c>
      <c r="D1504" s="90" t="s">
        <v>5409</v>
      </c>
      <c r="E1504" s="90" t="s">
        <v>746</v>
      </c>
      <c r="F1504" s="90" t="s">
        <v>4291</v>
      </c>
      <c r="G1504" t="s">
        <v>859</v>
      </c>
    </row>
    <row r="1505" spans="1:7" x14ac:dyDescent="0.25">
      <c r="A1505" s="114">
        <v>345388</v>
      </c>
      <c r="B1505" s="90" t="s">
        <v>5410</v>
      </c>
      <c r="C1505" s="90" t="s">
        <v>508</v>
      </c>
      <c r="D1505" s="90" t="s">
        <v>3599</v>
      </c>
      <c r="E1505" s="90" t="s">
        <v>583</v>
      </c>
      <c r="F1505" s="90" t="s">
        <v>5411</v>
      </c>
      <c r="G1505" t="s">
        <v>512</v>
      </c>
    </row>
    <row r="1506" spans="1:7" x14ac:dyDescent="0.25">
      <c r="A1506" s="114">
        <v>345398</v>
      </c>
      <c r="B1506" s="90" t="s">
        <v>5412</v>
      </c>
      <c r="C1506" s="90" t="s">
        <v>508</v>
      </c>
      <c r="D1506" s="90" t="s">
        <v>5413</v>
      </c>
      <c r="E1506" s="90" t="s">
        <v>5414</v>
      </c>
      <c r="F1506" s="90" t="s">
        <v>5415</v>
      </c>
      <c r="G1506" t="s">
        <v>512</v>
      </c>
    </row>
    <row r="1507" spans="1:7" x14ac:dyDescent="0.25">
      <c r="A1507" s="114">
        <v>345406</v>
      </c>
      <c r="B1507" s="90" t="s">
        <v>4168</v>
      </c>
      <c r="C1507" s="90" t="s">
        <v>508</v>
      </c>
      <c r="D1507" s="90" t="s">
        <v>4169</v>
      </c>
      <c r="E1507" s="90" t="s">
        <v>4170</v>
      </c>
      <c r="F1507" s="90" t="s">
        <v>4171</v>
      </c>
      <c r="G1507" t="s">
        <v>859</v>
      </c>
    </row>
    <row r="1508" spans="1:7" x14ac:dyDescent="0.25">
      <c r="A1508" s="114">
        <v>345432</v>
      </c>
      <c r="B1508" s="90" t="s">
        <v>4194</v>
      </c>
      <c r="C1508" s="90" t="s">
        <v>508</v>
      </c>
      <c r="D1508" s="90" t="s">
        <v>5416</v>
      </c>
      <c r="E1508" s="90" t="s">
        <v>5417</v>
      </c>
      <c r="F1508" s="90" t="s">
        <v>4554</v>
      </c>
      <c r="G1508" t="s">
        <v>512</v>
      </c>
    </row>
    <row r="1509" spans="1:7" x14ac:dyDescent="0.25">
      <c r="A1509" s="114">
        <v>345507</v>
      </c>
      <c r="B1509" s="90" t="s">
        <v>5418</v>
      </c>
      <c r="C1509" s="90" t="s">
        <v>508</v>
      </c>
      <c r="D1509" s="90" t="s">
        <v>5419</v>
      </c>
      <c r="E1509" s="90" t="s">
        <v>1859</v>
      </c>
      <c r="F1509" s="90" t="s">
        <v>5420</v>
      </c>
      <c r="G1509" t="s">
        <v>512</v>
      </c>
    </row>
    <row r="1510" spans="1:7" x14ac:dyDescent="0.25">
      <c r="A1510" s="114">
        <v>345510</v>
      </c>
      <c r="B1510" s="90" t="s">
        <v>5421</v>
      </c>
      <c r="C1510" s="90" t="s">
        <v>508</v>
      </c>
      <c r="D1510" s="90" t="s">
        <v>5422</v>
      </c>
      <c r="E1510" s="90" t="s">
        <v>4599</v>
      </c>
      <c r="F1510" s="90" t="s">
        <v>5423</v>
      </c>
      <c r="G1510" t="s">
        <v>512</v>
      </c>
    </row>
    <row r="1511" spans="1:7" x14ac:dyDescent="0.25">
      <c r="A1511" s="114">
        <v>345524</v>
      </c>
      <c r="B1511" s="90" t="s">
        <v>5424</v>
      </c>
      <c r="C1511" s="90" t="s">
        <v>508</v>
      </c>
      <c r="D1511" s="90" t="s">
        <v>5425</v>
      </c>
      <c r="E1511" s="90" t="s">
        <v>5426</v>
      </c>
      <c r="F1511" s="90" t="s">
        <v>5427</v>
      </c>
      <c r="G1511" t="s">
        <v>512</v>
      </c>
    </row>
    <row r="1512" spans="1:7" x14ac:dyDescent="0.25">
      <c r="A1512" s="114">
        <v>345527</v>
      </c>
      <c r="B1512" s="90" t="s">
        <v>5428</v>
      </c>
      <c r="C1512" s="90" t="s">
        <v>508</v>
      </c>
      <c r="D1512" s="90" t="s">
        <v>5429</v>
      </c>
      <c r="E1512" s="90" t="s">
        <v>5430</v>
      </c>
      <c r="F1512" s="90" t="s">
        <v>5431</v>
      </c>
      <c r="G1512" t="s">
        <v>512</v>
      </c>
    </row>
    <row r="1513" spans="1:7" x14ac:dyDescent="0.25">
      <c r="A1513" s="114">
        <v>345561</v>
      </c>
      <c r="B1513" s="90" t="s">
        <v>5432</v>
      </c>
      <c r="C1513" s="90" t="s">
        <v>508</v>
      </c>
      <c r="D1513" s="90" t="s">
        <v>4324</v>
      </c>
      <c r="E1513" s="90" t="s">
        <v>4325</v>
      </c>
      <c r="F1513" s="90" t="s">
        <v>5433</v>
      </c>
      <c r="G1513" t="s">
        <v>512</v>
      </c>
    </row>
    <row r="1514" spans="1:7" x14ac:dyDescent="0.25">
      <c r="A1514" s="114">
        <v>345562</v>
      </c>
      <c r="B1514" s="90" t="s">
        <v>5434</v>
      </c>
      <c r="C1514" s="90" t="s">
        <v>508</v>
      </c>
      <c r="D1514" s="90" t="s">
        <v>5435</v>
      </c>
      <c r="E1514" s="90" t="s">
        <v>626</v>
      </c>
      <c r="F1514" s="90" t="s">
        <v>5436</v>
      </c>
      <c r="G1514" t="s">
        <v>512</v>
      </c>
    </row>
    <row r="1515" spans="1:7" x14ac:dyDescent="0.25">
      <c r="A1515" s="114">
        <v>345573</v>
      </c>
      <c r="B1515" s="90" t="s">
        <v>5437</v>
      </c>
      <c r="C1515" s="90" t="s">
        <v>508</v>
      </c>
      <c r="D1515" s="90" t="s">
        <v>5438</v>
      </c>
      <c r="E1515" s="90" t="s">
        <v>555</v>
      </c>
      <c r="F1515" s="90" t="s">
        <v>556</v>
      </c>
      <c r="G1515" t="s">
        <v>512</v>
      </c>
    </row>
    <row r="1516" spans="1:7" x14ac:dyDescent="0.25">
      <c r="A1516" s="114">
        <v>345593</v>
      </c>
      <c r="B1516" s="90" t="s">
        <v>5439</v>
      </c>
      <c r="C1516" s="90" t="s">
        <v>508</v>
      </c>
      <c r="D1516" s="90" t="s">
        <v>5440</v>
      </c>
      <c r="E1516" s="90" t="s">
        <v>5397</v>
      </c>
      <c r="F1516" s="90" t="s">
        <v>5441</v>
      </c>
      <c r="G1516" t="s">
        <v>512</v>
      </c>
    </row>
    <row r="1517" spans="1:7" x14ac:dyDescent="0.25">
      <c r="A1517" s="114">
        <v>345604</v>
      </c>
      <c r="B1517" s="90" t="s">
        <v>5442</v>
      </c>
      <c r="C1517" s="90" t="s">
        <v>508</v>
      </c>
      <c r="D1517" s="90" t="s">
        <v>5443</v>
      </c>
      <c r="E1517" s="90" t="s">
        <v>2269</v>
      </c>
      <c r="F1517" s="90" t="s">
        <v>5444</v>
      </c>
      <c r="G1517" t="s">
        <v>512</v>
      </c>
    </row>
    <row r="1518" spans="1:7" x14ac:dyDescent="0.25">
      <c r="A1518" s="114">
        <v>345611</v>
      </c>
      <c r="B1518" s="90" t="s">
        <v>5445</v>
      </c>
      <c r="C1518" s="90" t="s">
        <v>508</v>
      </c>
      <c r="D1518" s="90" t="s">
        <v>5446</v>
      </c>
      <c r="E1518" s="90" t="s">
        <v>5447</v>
      </c>
      <c r="F1518" s="90" t="s">
        <v>5448</v>
      </c>
      <c r="G1518" t="s">
        <v>512</v>
      </c>
    </row>
    <row r="1519" spans="1:7" x14ac:dyDescent="0.25">
      <c r="A1519" s="114">
        <v>345635</v>
      </c>
      <c r="B1519" s="90" t="s">
        <v>5449</v>
      </c>
      <c r="C1519" s="90" t="s">
        <v>508</v>
      </c>
      <c r="D1519" s="90" t="s">
        <v>5450</v>
      </c>
      <c r="E1519" s="90" t="s">
        <v>5451</v>
      </c>
      <c r="F1519" s="90" t="s">
        <v>5452</v>
      </c>
      <c r="G1519" t="s">
        <v>512</v>
      </c>
    </row>
    <row r="1520" spans="1:7" x14ac:dyDescent="0.25">
      <c r="A1520" s="114">
        <v>345637</v>
      </c>
      <c r="B1520" s="90" t="s">
        <v>5453</v>
      </c>
      <c r="C1520" s="90" t="s">
        <v>508</v>
      </c>
      <c r="D1520" s="90" t="s">
        <v>4766</v>
      </c>
      <c r="E1520" s="90" t="s">
        <v>1631</v>
      </c>
      <c r="F1520" s="90" t="s">
        <v>5454</v>
      </c>
      <c r="G1520" t="s">
        <v>512</v>
      </c>
    </row>
    <row r="1521" spans="1:7" x14ac:dyDescent="0.25">
      <c r="A1521" s="114">
        <v>345705</v>
      </c>
      <c r="B1521" s="90" t="s">
        <v>5455</v>
      </c>
      <c r="C1521" s="90" t="s">
        <v>508</v>
      </c>
      <c r="D1521" s="90" t="s">
        <v>5456</v>
      </c>
      <c r="E1521" s="90" t="s">
        <v>4325</v>
      </c>
      <c r="F1521" s="90" t="s">
        <v>5457</v>
      </c>
      <c r="G1521" t="s">
        <v>512</v>
      </c>
    </row>
    <row r="1522" spans="1:7" x14ac:dyDescent="0.25">
      <c r="A1522" s="114">
        <v>345770</v>
      </c>
      <c r="B1522" s="90" t="s">
        <v>5458</v>
      </c>
      <c r="C1522" s="90" t="s">
        <v>508</v>
      </c>
      <c r="D1522" s="90" t="s">
        <v>5459</v>
      </c>
      <c r="E1522" s="90" t="s">
        <v>5460</v>
      </c>
      <c r="F1522" s="90" t="s">
        <v>5461</v>
      </c>
      <c r="G1522" t="s">
        <v>512</v>
      </c>
    </row>
    <row r="1523" spans="1:7" x14ac:dyDescent="0.25">
      <c r="A1523" s="114">
        <v>345775</v>
      </c>
      <c r="B1523" s="90" t="s">
        <v>5462</v>
      </c>
      <c r="C1523" s="90" t="s">
        <v>508</v>
      </c>
      <c r="D1523" s="90" t="s">
        <v>4023</v>
      </c>
      <c r="E1523" s="90" t="s">
        <v>4024</v>
      </c>
      <c r="F1523" s="90" t="s">
        <v>5463</v>
      </c>
      <c r="G1523" t="s">
        <v>512</v>
      </c>
    </row>
    <row r="1524" spans="1:7" x14ac:dyDescent="0.25">
      <c r="A1524" s="114">
        <v>345788</v>
      </c>
      <c r="B1524" s="90" t="s">
        <v>5464</v>
      </c>
      <c r="C1524" s="90" t="s">
        <v>508</v>
      </c>
      <c r="D1524" s="90" t="s">
        <v>5465</v>
      </c>
      <c r="E1524" s="90" t="s">
        <v>583</v>
      </c>
      <c r="F1524" s="90" t="s">
        <v>5466</v>
      </c>
      <c r="G1524" t="s">
        <v>512</v>
      </c>
    </row>
    <row r="1525" spans="1:7" x14ac:dyDescent="0.25">
      <c r="A1525" s="114">
        <v>345832</v>
      </c>
      <c r="B1525" s="90" t="s">
        <v>5467</v>
      </c>
      <c r="C1525" s="90" t="s">
        <v>508</v>
      </c>
      <c r="D1525" s="90" t="s">
        <v>5468</v>
      </c>
      <c r="E1525" s="90" t="s">
        <v>5469</v>
      </c>
      <c r="F1525" s="90" t="s">
        <v>5470</v>
      </c>
      <c r="G1525" t="s">
        <v>512</v>
      </c>
    </row>
    <row r="1526" spans="1:7" x14ac:dyDescent="0.25">
      <c r="A1526" s="114">
        <v>345879</v>
      </c>
      <c r="B1526" s="90" t="s">
        <v>5471</v>
      </c>
      <c r="C1526" s="90" t="s">
        <v>508</v>
      </c>
      <c r="D1526" s="90" t="s">
        <v>5472</v>
      </c>
      <c r="E1526" s="90" t="s">
        <v>2492</v>
      </c>
      <c r="F1526" s="90" t="s">
        <v>5473</v>
      </c>
      <c r="G1526" t="s">
        <v>512</v>
      </c>
    </row>
    <row r="1527" spans="1:7" x14ac:dyDescent="0.25">
      <c r="A1527" s="114">
        <v>345908</v>
      </c>
      <c r="B1527" s="90" t="s">
        <v>5474</v>
      </c>
      <c r="C1527" s="90" t="s">
        <v>508</v>
      </c>
      <c r="D1527" s="90" t="s">
        <v>3977</v>
      </c>
      <c r="E1527" s="90" t="s">
        <v>1631</v>
      </c>
      <c r="F1527" s="90" t="s">
        <v>4414</v>
      </c>
      <c r="G1527" t="s">
        <v>512</v>
      </c>
    </row>
    <row r="1528" spans="1:7" x14ac:dyDescent="0.25">
      <c r="A1528" s="114">
        <v>345921</v>
      </c>
      <c r="B1528" s="90" t="s">
        <v>5475</v>
      </c>
      <c r="C1528" s="90" t="s">
        <v>508</v>
      </c>
      <c r="D1528" s="90" t="s">
        <v>5476</v>
      </c>
      <c r="E1528" s="90" t="s">
        <v>5477</v>
      </c>
      <c r="F1528" s="90" t="s">
        <v>5478</v>
      </c>
      <c r="G1528" t="s">
        <v>512</v>
      </c>
    </row>
    <row r="1529" spans="1:7" x14ac:dyDescent="0.25">
      <c r="A1529" s="114">
        <v>345972</v>
      </c>
      <c r="B1529" s="90" t="s">
        <v>5479</v>
      </c>
      <c r="C1529" s="90" t="s">
        <v>508</v>
      </c>
      <c r="D1529" s="90" t="s">
        <v>5480</v>
      </c>
      <c r="E1529" s="90" t="s">
        <v>2051</v>
      </c>
      <c r="F1529" s="90" t="s">
        <v>5481</v>
      </c>
      <c r="G1529" t="s">
        <v>512</v>
      </c>
    </row>
    <row r="1530" spans="1:7" x14ac:dyDescent="0.25">
      <c r="A1530" s="114">
        <v>346001</v>
      </c>
      <c r="B1530" s="90" t="s">
        <v>5482</v>
      </c>
      <c r="C1530" s="90" t="s">
        <v>508</v>
      </c>
      <c r="D1530" s="90" t="s">
        <v>5483</v>
      </c>
      <c r="E1530" s="90" t="s">
        <v>2034</v>
      </c>
      <c r="F1530" s="90" t="s">
        <v>5484</v>
      </c>
      <c r="G1530" t="s">
        <v>512</v>
      </c>
    </row>
    <row r="1531" spans="1:7" x14ac:dyDescent="0.25">
      <c r="A1531" s="114">
        <v>346058</v>
      </c>
      <c r="B1531" s="90" t="s">
        <v>5485</v>
      </c>
      <c r="C1531" s="90" t="s">
        <v>508</v>
      </c>
      <c r="D1531" s="90" t="s">
        <v>5486</v>
      </c>
      <c r="E1531" s="90" t="s">
        <v>4185</v>
      </c>
      <c r="F1531" s="90" t="s">
        <v>5487</v>
      </c>
      <c r="G1531" t="s">
        <v>512</v>
      </c>
    </row>
    <row r="1532" spans="1:7" x14ac:dyDescent="0.25">
      <c r="A1532" s="114">
        <v>346096</v>
      </c>
      <c r="B1532" s="90" t="s">
        <v>5488</v>
      </c>
      <c r="C1532" s="90" t="s">
        <v>508</v>
      </c>
      <c r="D1532" s="90" t="s">
        <v>5489</v>
      </c>
      <c r="E1532" s="90" t="s">
        <v>5490</v>
      </c>
      <c r="F1532" s="90" t="s">
        <v>5491</v>
      </c>
      <c r="G1532" t="s">
        <v>512</v>
      </c>
    </row>
    <row r="1533" spans="1:7" x14ac:dyDescent="0.25">
      <c r="A1533" s="114">
        <v>346099</v>
      </c>
      <c r="B1533" s="90" t="s">
        <v>5492</v>
      </c>
      <c r="C1533" s="90" t="s">
        <v>508</v>
      </c>
      <c r="D1533" s="90" t="s">
        <v>582</v>
      </c>
      <c r="E1533" s="90" t="s">
        <v>583</v>
      </c>
      <c r="F1533" s="90" t="s">
        <v>5493</v>
      </c>
      <c r="G1533" t="s">
        <v>512</v>
      </c>
    </row>
    <row r="1534" spans="1:7" x14ac:dyDescent="0.25">
      <c r="A1534" s="114">
        <v>346109</v>
      </c>
      <c r="B1534" s="90" t="s">
        <v>5494</v>
      </c>
      <c r="C1534" s="90" t="s">
        <v>508</v>
      </c>
      <c r="D1534" s="90" t="s">
        <v>5495</v>
      </c>
      <c r="E1534" s="90" t="s">
        <v>1221</v>
      </c>
      <c r="F1534" s="90" t="s">
        <v>4116</v>
      </c>
      <c r="G1534" t="s">
        <v>512</v>
      </c>
    </row>
    <row r="1535" spans="1:7" x14ac:dyDescent="0.25">
      <c r="A1535" s="114">
        <v>346123</v>
      </c>
      <c r="B1535" s="90" t="s">
        <v>4652</v>
      </c>
      <c r="C1535" s="90" t="s">
        <v>508</v>
      </c>
      <c r="D1535" s="90" t="s">
        <v>5496</v>
      </c>
      <c r="E1535" s="90" t="s">
        <v>4661</v>
      </c>
      <c r="F1535" s="90" t="s">
        <v>5497</v>
      </c>
      <c r="G1535" t="s">
        <v>512</v>
      </c>
    </row>
    <row r="1536" spans="1:7" x14ac:dyDescent="0.25">
      <c r="A1536" s="114">
        <v>346128</v>
      </c>
      <c r="B1536" s="90" t="s">
        <v>5498</v>
      </c>
      <c r="C1536" s="90" t="s">
        <v>508</v>
      </c>
      <c r="D1536" s="90" t="s">
        <v>5499</v>
      </c>
      <c r="E1536" s="90" t="s">
        <v>3071</v>
      </c>
      <c r="F1536" s="90" t="s">
        <v>5500</v>
      </c>
      <c r="G1536" t="s">
        <v>512</v>
      </c>
    </row>
    <row r="1537" spans="1:7" x14ac:dyDescent="0.25">
      <c r="A1537" s="114">
        <v>346140</v>
      </c>
      <c r="B1537" s="90" t="s">
        <v>4008</v>
      </c>
      <c r="C1537" s="90" t="s">
        <v>508</v>
      </c>
      <c r="D1537" s="90" t="s">
        <v>5501</v>
      </c>
      <c r="E1537" s="90" t="s">
        <v>5502</v>
      </c>
      <c r="F1537" s="90" t="s">
        <v>5503</v>
      </c>
      <c r="G1537" t="s">
        <v>512</v>
      </c>
    </row>
    <row r="1538" spans="1:7" x14ac:dyDescent="0.25">
      <c r="A1538" s="114">
        <v>346159</v>
      </c>
      <c r="B1538" s="90" t="s">
        <v>5504</v>
      </c>
      <c r="C1538" s="90" t="s">
        <v>508</v>
      </c>
      <c r="D1538" s="90" t="s">
        <v>5505</v>
      </c>
      <c r="E1538" s="90" t="s">
        <v>563</v>
      </c>
      <c r="F1538" s="90" t="s">
        <v>5506</v>
      </c>
      <c r="G1538" t="s">
        <v>512</v>
      </c>
    </row>
    <row r="1539" spans="1:7" x14ac:dyDescent="0.25">
      <c r="A1539" s="114">
        <v>346174</v>
      </c>
      <c r="B1539" s="90" t="s">
        <v>5507</v>
      </c>
      <c r="C1539" s="90" t="s">
        <v>508</v>
      </c>
      <c r="D1539" s="90" t="s">
        <v>5508</v>
      </c>
      <c r="E1539" s="90" t="s">
        <v>2618</v>
      </c>
      <c r="F1539" s="90" t="s">
        <v>5509</v>
      </c>
      <c r="G1539" t="s">
        <v>512</v>
      </c>
    </row>
    <row r="1540" spans="1:7" x14ac:dyDescent="0.25">
      <c r="A1540" s="114">
        <v>346187</v>
      </c>
      <c r="B1540" s="90" t="s">
        <v>5510</v>
      </c>
      <c r="C1540" s="90" t="s">
        <v>508</v>
      </c>
      <c r="D1540" s="90" t="s">
        <v>5511</v>
      </c>
      <c r="E1540" s="90" t="s">
        <v>610</v>
      </c>
      <c r="F1540" s="90" t="s">
        <v>5512</v>
      </c>
      <c r="G1540" t="s">
        <v>512</v>
      </c>
    </row>
    <row r="1541" spans="1:7" x14ac:dyDescent="0.25">
      <c r="A1541" s="114">
        <v>346191</v>
      </c>
      <c r="B1541" s="90" t="s">
        <v>5513</v>
      </c>
      <c r="C1541" s="90" t="s">
        <v>508</v>
      </c>
      <c r="D1541" s="90" t="s">
        <v>4324</v>
      </c>
      <c r="E1541" s="90" t="s">
        <v>5514</v>
      </c>
      <c r="F1541" s="90" t="s">
        <v>5515</v>
      </c>
      <c r="G1541" t="s">
        <v>512</v>
      </c>
    </row>
    <row r="1542" spans="1:7" x14ac:dyDescent="0.25">
      <c r="A1542" s="114">
        <v>346203</v>
      </c>
      <c r="B1542" s="90" t="s">
        <v>5516</v>
      </c>
      <c r="C1542" s="90" t="s">
        <v>508</v>
      </c>
      <c r="D1542" s="90" t="s">
        <v>5517</v>
      </c>
      <c r="E1542" s="90" t="s">
        <v>4623</v>
      </c>
      <c r="F1542" s="90" t="s">
        <v>5518</v>
      </c>
      <c r="G1542" t="s">
        <v>512</v>
      </c>
    </row>
    <row r="1543" spans="1:7" x14ac:dyDescent="0.25">
      <c r="A1543" s="114">
        <v>346269</v>
      </c>
      <c r="B1543" s="90" t="s">
        <v>5519</v>
      </c>
      <c r="C1543" s="90" t="s">
        <v>508</v>
      </c>
      <c r="D1543" s="90" t="s">
        <v>5520</v>
      </c>
      <c r="E1543" s="90" t="s">
        <v>2492</v>
      </c>
      <c r="F1543" s="90" t="s">
        <v>5521</v>
      </c>
      <c r="G1543" t="s">
        <v>512</v>
      </c>
    </row>
    <row r="1544" spans="1:7" x14ac:dyDescent="0.25">
      <c r="A1544" s="114">
        <v>346299</v>
      </c>
      <c r="B1544" s="90" t="s">
        <v>5522</v>
      </c>
      <c r="C1544" s="90" t="s">
        <v>508</v>
      </c>
      <c r="D1544" s="90" t="s">
        <v>5523</v>
      </c>
      <c r="E1544" s="90" t="s">
        <v>1089</v>
      </c>
      <c r="F1544" s="90" t="s">
        <v>5524</v>
      </c>
      <c r="G1544" t="s">
        <v>512</v>
      </c>
    </row>
    <row r="1545" spans="1:7" x14ac:dyDescent="0.25">
      <c r="A1545" s="114">
        <v>346305</v>
      </c>
      <c r="B1545" s="90" t="s">
        <v>5525</v>
      </c>
      <c r="C1545" s="90" t="s">
        <v>508</v>
      </c>
      <c r="D1545" s="90" t="s">
        <v>5526</v>
      </c>
      <c r="E1545" s="90" t="s">
        <v>5527</v>
      </c>
      <c r="F1545" s="90" t="s">
        <v>5528</v>
      </c>
      <c r="G1545" t="s">
        <v>512</v>
      </c>
    </row>
    <row r="1546" spans="1:7" x14ac:dyDescent="0.25">
      <c r="A1546" s="114">
        <v>346358</v>
      </c>
      <c r="B1546" s="90" t="s">
        <v>5529</v>
      </c>
      <c r="C1546" s="90" t="s">
        <v>508</v>
      </c>
      <c r="D1546" s="90" t="s">
        <v>5530</v>
      </c>
      <c r="E1546" s="90" t="s">
        <v>2837</v>
      </c>
      <c r="F1546" s="90" t="s">
        <v>5531</v>
      </c>
      <c r="G1546" t="s">
        <v>512</v>
      </c>
    </row>
    <row r="1547" spans="1:7" x14ac:dyDescent="0.25">
      <c r="A1547" s="114">
        <v>346407</v>
      </c>
      <c r="B1547" s="90" t="s">
        <v>5532</v>
      </c>
      <c r="C1547" s="90" t="s">
        <v>508</v>
      </c>
      <c r="D1547" s="90" t="s">
        <v>5533</v>
      </c>
      <c r="E1547" s="90" t="s">
        <v>1593</v>
      </c>
      <c r="F1547" s="90" t="s">
        <v>5534</v>
      </c>
      <c r="G1547" t="s">
        <v>512</v>
      </c>
    </row>
    <row r="1548" spans="1:7" x14ac:dyDescent="0.25">
      <c r="A1548" s="114">
        <v>346491</v>
      </c>
      <c r="B1548" s="90" t="s">
        <v>4512</v>
      </c>
      <c r="C1548" s="90" t="s">
        <v>508</v>
      </c>
      <c r="D1548" s="90" t="s">
        <v>5535</v>
      </c>
      <c r="E1548" s="90" t="s">
        <v>2524</v>
      </c>
      <c r="F1548" s="90" t="s">
        <v>5536</v>
      </c>
      <c r="G1548" t="s">
        <v>512</v>
      </c>
    </row>
    <row r="1549" spans="1:7" x14ac:dyDescent="0.25">
      <c r="A1549" s="114">
        <v>346492</v>
      </c>
      <c r="B1549" s="90" t="s">
        <v>5537</v>
      </c>
      <c r="C1549" s="90" t="s">
        <v>508</v>
      </c>
      <c r="D1549" s="90" t="s">
        <v>5538</v>
      </c>
      <c r="E1549" s="90" t="s">
        <v>2246</v>
      </c>
      <c r="F1549" s="90" t="s">
        <v>5539</v>
      </c>
      <c r="G1549" t="s">
        <v>512</v>
      </c>
    </row>
    <row r="1550" spans="1:7" x14ac:dyDescent="0.25">
      <c r="A1550" s="114">
        <v>346498</v>
      </c>
      <c r="B1550" s="90" t="s">
        <v>5540</v>
      </c>
      <c r="C1550" s="90" t="s">
        <v>508</v>
      </c>
      <c r="D1550" s="90" t="s">
        <v>5541</v>
      </c>
      <c r="E1550" s="90" t="s">
        <v>571</v>
      </c>
      <c r="F1550" s="90" t="s">
        <v>572</v>
      </c>
      <c r="G1550" t="s">
        <v>512</v>
      </c>
    </row>
    <row r="1551" spans="1:7" x14ac:dyDescent="0.25">
      <c r="A1551" s="114">
        <v>346499</v>
      </c>
      <c r="B1551" s="90" t="s">
        <v>5542</v>
      </c>
      <c r="C1551" s="90" t="s">
        <v>508</v>
      </c>
      <c r="D1551" s="90" t="s">
        <v>5543</v>
      </c>
      <c r="E1551" s="90" t="s">
        <v>5544</v>
      </c>
      <c r="F1551" s="90" t="s">
        <v>5545</v>
      </c>
      <c r="G1551" t="s">
        <v>512</v>
      </c>
    </row>
    <row r="1552" spans="1:7" x14ac:dyDescent="0.25">
      <c r="A1552" s="114">
        <v>346515</v>
      </c>
      <c r="B1552" s="90" t="s">
        <v>5546</v>
      </c>
      <c r="C1552" s="90" t="s">
        <v>508</v>
      </c>
      <c r="D1552" s="90" t="s">
        <v>4439</v>
      </c>
      <c r="E1552" s="90" t="s">
        <v>3711</v>
      </c>
      <c r="F1552" s="90" t="s">
        <v>5547</v>
      </c>
      <c r="G1552" t="s">
        <v>512</v>
      </c>
    </row>
    <row r="1553" spans="1:7" x14ac:dyDescent="0.25">
      <c r="A1553" s="114">
        <v>346517</v>
      </c>
      <c r="B1553" s="90" t="s">
        <v>5548</v>
      </c>
      <c r="C1553" s="90" t="s">
        <v>508</v>
      </c>
      <c r="D1553" s="90" t="s">
        <v>5549</v>
      </c>
      <c r="E1553" s="90" t="s">
        <v>4501</v>
      </c>
      <c r="F1553" s="90" t="s">
        <v>5550</v>
      </c>
      <c r="G1553" t="s">
        <v>512</v>
      </c>
    </row>
    <row r="1554" spans="1:7" x14ac:dyDescent="0.25">
      <c r="A1554" s="114">
        <v>346598</v>
      </c>
      <c r="B1554" s="90" t="s">
        <v>5551</v>
      </c>
      <c r="C1554" s="90" t="s">
        <v>508</v>
      </c>
      <c r="D1554" s="90" t="s">
        <v>5552</v>
      </c>
      <c r="E1554" s="90" t="s">
        <v>5553</v>
      </c>
      <c r="F1554" s="90" t="s">
        <v>5551</v>
      </c>
      <c r="G1554" t="s">
        <v>512</v>
      </c>
    </row>
    <row r="1555" spans="1:7" x14ac:dyDescent="0.25">
      <c r="A1555" s="114">
        <v>346627</v>
      </c>
      <c r="B1555" s="90" t="s">
        <v>5554</v>
      </c>
      <c r="C1555" s="90" t="s">
        <v>508</v>
      </c>
      <c r="D1555" s="90" t="s">
        <v>5555</v>
      </c>
      <c r="E1555" s="90" t="s">
        <v>2096</v>
      </c>
      <c r="F1555" s="90" t="s">
        <v>5556</v>
      </c>
      <c r="G1555" t="s">
        <v>512</v>
      </c>
    </row>
    <row r="1556" spans="1:7" x14ac:dyDescent="0.25">
      <c r="A1556" s="114">
        <v>346650</v>
      </c>
      <c r="B1556" s="90" t="s">
        <v>5557</v>
      </c>
      <c r="C1556" s="90" t="s">
        <v>508</v>
      </c>
      <c r="D1556" s="90" t="s">
        <v>5558</v>
      </c>
      <c r="E1556" s="90" t="s">
        <v>1177</v>
      </c>
      <c r="F1556" s="90" t="s">
        <v>5559</v>
      </c>
      <c r="G1556" t="s">
        <v>512</v>
      </c>
    </row>
    <row r="1557" spans="1:7" x14ac:dyDescent="0.25">
      <c r="A1557" s="114">
        <v>346652</v>
      </c>
      <c r="B1557" s="90" t="s">
        <v>5560</v>
      </c>
      <c r="C1557" s="90" t="s">
        <v>508</v>
      </c>
      <c r="D1557" s="90" t="s">
        <v>4359</v>
      </c>
      <c r="E1557" s="90" t="s">
        <v>4360</v>
      </c>
      <c r="F1557" s="90" t="s">
        <v>5561</v>
      </c>
      <c r="G1557" t="s">
        <v>512</v>
      </c>
    </row>
    <row r="1558" spans="1:7" x14ac:dyDescent="0.25">
      <c r="A1558" s="114">
        <v>346666</v>
      </c>
      <c r="B1558" s="90" t="s">
        <v>5562</v>
      </c>
      <c r="C1558" s="90" t="s">
        <v>508</v>
      </c>
      <c r="D1558" s="90" t="s">
        <v>5563</v>
      </c>
      <c r="E1558" s="90" t="s">
        <v>563</v>
      </c>
      <c r="F1558" s="90" t="s">
        <v>5564</v>
      </c>
      <c r="G1558" t="s">
        <v>512</v>
      </c>
    </row>
    <row r="1559" spans="1:7" x14ac:dyDescent="0.25">
      <c r="A1559" s="114">
        <v>346674</v>
      </c>
      <c r="B1559" s="90" t="s">
        <v>4478</v>
      </c>
      <c r="C1559" s="90" t="s">
        <v>508</v>
      </c>
      <c r="D1559" s="90" t="s">
        <v>1968</v>
      </c>
      <c r="E1559" s="90" t="s">
        <v>4480</v>
      </c>
      <c r="F1559" s="90" t="s">
        <v>5565</v>
      </c>
      <c r="G1559" t="s">
        <v>512</v>
      </c>
    </row>
    <row r="1560" spans="1:7" x14ac:dyDescent="0.25">
      <c r="A1560" s="114">
        <v>346723</v>
      </c>
      <c r="B1560" s="90" t="s">
        <v>5566</v>
      </c>
      <c r="C1560" s="90" t="s">
        <v>508</v>
      </c>
      <c r="D1560" s="90" t="s">
        <v>4030</v>
      </c>
      <c r="E1560" s="90" t="s">
        <v>3897</v>
      </c>
      <c r="F1560" s="90" t="s">
        <v>5567</v>
      </c>
      <c r="G1560" t="s">
        <v>512</v>
      </c>
    </row>
    <row r="1561" spans="1:7" x14ac:dyDescent="0.25">
      <c r="A1561" s="114">
        <v>346742</v>
      </c>
      <c r="B1561" s="90" t="s">
        <v>5568</v>
      </c>
      <c r="C1561" s="90" t="s">
        <v>508</v>
      </c>
      <c r="D1561" s="90" t="s">
        <v>5569</v>
      </c>
      <c r="E1561" s="90" t="s">
        <v>5570</v>
      </c>
      <c r="F1561" s="90" t="s">
        <v>5571</v>
      </c>
      <c r="G1561" t="s">
        <v>512</v>
      </c>
    </row>
    <row r="1562" spans="1:7" x14ac:dyDescent="0.25">
      <c r="A1562" s="114">
        <v>346745</v>
      </c>
      <c r="B1562" s="90" t="s">
        <v>5572</v>
      </c>
      <c r="C1562" s="90" t="s">
        <v>508</v>
      </c>
      <c r="D1562" s="90" t="s">
        <v>5573</v>
      </c>
      <c r="E1562" s="90" t="s">
        <v>5059</v>
      </c>
      <c r="F1562" s="90" t="s">
        <v>5574</v>
      </c>
      <c r="G1562" t="s">
        <v>512</v>
      </c>
    </row>
    <row r="1563" spans="1:7" x14ac:dyDescent="0.25">
      <c r="A1563" s="114">
        <v>346775</v>
      </c>
      <c r="B1563" s="90" t="s">
        <v>5575</v>
      </c>
      <c r="C1563" s="90" t="s">
        <v>508</v>
      </c>
      <c r="D1563" s="90" t="s">
        <v>5576</v>
      </c>
      <c r="E1563" s="90" t="s">
        <v>610</v>
      </c>
      <c r="F1563" s="90" t="s">
        <v>1364</v>
      </c>
      <c r="G1563" t="s">
        <v>512</v>
      </c>
    </row>
    <row r="1564" spans="1:7" x14ac:dyDescent="0.25">
      <c r="A1564" s="114">
        <v>346836</v>
      </c>
      <c r="B1564" s="90" t="s">
        <v>5577</v>
      </c>
      <c r="C1564" s="90" t="s">
        <v>508</v>
      </c>
      <c r="D1564" s="90" t="s">
        <v>5578</v>
      </c>
      <c r="E1564" s="90" t="s">
        <v>547</v>
      </c>
      <c r="F1564" s="90" t="s">
        <v>5577</v>
      </c>
      <c r="G1564" t="s">
        <v>512</v>
      </c>
    </row>
    <row r="1565" spans="1:7" x14ac:dyDescent="0.25">
      <c r="A1565" s="114">
        <v>346898</v>
      </c>
      <c r="B1565" s="90" t="s">
        <v>5579</v>
      </c>
      <c r="C1565" s="90" t="s">
        <v>508</v>
      </c>
      <c r="D1565" s="90" t="s">
        <v>3766</v>
      </c>
      <c r="E1565" s="90" t="s">
        <v>1143</v>
      </c>
      <c r="F1565" s="90" t="s">
        <v>5580</v>
      </c>
      <c r="G1565" t="s">
        <v>512</v>
      </c>
    </row>
    <row r="1566" spans="1:7" x14ac:dyDescent="0.25">
      <c r="A1566" s="114">
        <v>346906</v>
      </c>
      <c r="B1566" s="90" t="s">
        <v>5581</v>
      </c>
      <c r="C1566" s="90" t="s">
        <v>508</v>
      </c>
      <c r="D1566" s="90" t="s">
        <v>5582</v>
      </c>
      <c r="E1566" s="90" t="s">
        <v>5583</v>
      </c>
      <c r="F1566" s="90" t="s">
        <v>4647</v>
      </c>
      <c r="G1566" t="s">
        <v>512</v>
      </c>
    </row>
    <row r="1567" spans="1:7" x14ac:dyDescent="0.25">
      <c r="A1567" s="114">
        <v>346935</v>
      </c>
      <c r="B1567" s="90" t="s">
        <v>5584</v>
      </c>
      <c r="C1567" s="90" t="s">
        <v>508</v>
      </c>
      <c r="D1567" s="90" t="s">
        <v>4712</v>
      </c>
      <c r="E1567" s="90" t="s">
        <v>945</v>
      </c>
      <c r="F1567" s="90" t="s">
        <v>5585</v>
      </c>
      <c r="G1567" t="s">
        <v>512</v>
      </c>
    </row>
    <row r="1568" spans="1:7" x14ac:dyDescent="0.25">
      <c r="A1568" s="114">
        <v>346986</v>
      </c>
      <c r="B1568" s="90" t="s">
        <v>5586</v>
      </c>
      <c r="C1568" s="90" t="s">
        <v>508</v>
      </c>
      <c r="D1568" s="90" t="s">
        <v>4622</v>
      </c>
      <c r="E1568" s="90" t="s">
        <v>4599</v>
      </c>
      <c r="F1568" s="90" t="s">
        <v>5587</v>
      </c>
      <c r="G1568" t="s">
        <v>512</v>
      </c>
    </row>
    <row r="1569" spans="1:7" x14ac:dyDescent="0.25">
      <c r="A1569" s="114">
        <v>346999</v>
      </c>
      <c r="B1569" s="90" t="s">
        <v>4008</v>
      </c>
      <c r="C1569" s="90" t="s">
        <v>508</v>
      </c>
      <c r="D1569" s="90" t="s">
        <v>5588</v>
      </c>
      <c r="E1569" s="90" t="s">
        <v>5589</v>
      </c>
      <c r="F1569" s="90" t="s">
        <v>5590</v>
      </c>
      <c r="G1569" t="s">
        <v>512</v>
      </c>
    </row>
    <row r="1570" spans="1:7" x14ac:dyDescent="0.25">
      <c r="A1570" s="114">
        <v>347002</v>
      </c>
      <c r="B1570" s="90" t="s">
        <v>5591</v>
      </c>
      <c r="C1570" s="90" t="s">
        <v>508</v>
      </c>
      <c r="D1570" s="90" t="s">
        <v>5592</v>
      </c>
      <c r="E1570" s="90" t="s">
        <v>2524</v>
      </c>
      <c r="F1570" s="90" t="s">
        <v>5593</v>
      </c>
      <c r="G1570" t="s">
        <v>512</v>
      </c>
    </row>
    <row r="1571" spans="1:7" x14ac:dyDescent="0.25">
      <c r="A1571" s="114">
        <v>347014</v>
      </c>
      <c r="B1571" s="90" t="s">
        <v>5124</v>
      </c>
      <c r="C1571" s="90" t="s">
        <v>508</v>
      </c>
      <c r="D1571" s="90" t="s">
        <v>5594</v>
      </c>
      <c r="E1571" s="90" t="s">
        <v>5595</v>
      </c>
      <c r="F1571" s="90" t="s">
        <v>5596</v>
      </c>
      <c r="G1571" t="s">
        <v>512</v>
      </c>
    </row>
    <row r="1572" spans="1:7" x14ac:dyDescent="0.25">
      <c r="A1572" s="114">
        <v>347016</v>
      </c>
      <c r="B1572" s="90" t="s">
        <v>5597</v>
      </c>
      <c r="C1572" s="90" t="s">
        <v>508</v>
      </c>
      <c r="D1572" s="90" t="s">
        <v>5598</v>
      </c>
      <c r="E1572" s="90" t="s">
        <v>1650</v>
      </c>
      <c r="F1572" s="90" t="s">
        <v>5599</v>
      </c>
      <c r="G1572" t="s">
        <v>512</v>
      </c>
    </row>
    <row r="1573" spans="1:7" x14ac:dyDescent="0.25">
      <c r="A1573" s="114">
        <v>347088</v>
      </c>
      <c r="B1573" s="90" t="s">
        <v>5600</v>
      </c>
      <c r="C1573" s="90" t="s">
        <v>508</v>
      </c>
      <c r="D1573" s="90" t="s">
        <v>4439</v>
      </c>
      <c r="E1573" s="90" t="s">
        <v>3711</v>
      </c>
      <c r="F1573" s="90" t="s">
        <v>5601</v>
      </c>
      <c r="G1573" t="s">
        <v>512</v>
      </c>
    </row>
    <row r="1574" spans="1:7" x14ac:dyDescent="0.25">
      <c r="A1574" s="114">
        <v>347098</v>
      </c>
      <c r="B1574" s="90" t="s">
        <v>5602</v>
      </c>
      <c r="C1574" s="90" t="s">
        <v>508</v>
      </c>
      <c r="D1574" s="90" t="s">
        <v>4275</v>
      </c>
      <c r="E1574" s="90" t="s">
        <v>5603</v>
      </c>
      <c r="F1574" s="90" t="s">
        <v>5604</v>
      </c>
      <c r="G1574" t="s">
        <v>512</v>
      </c>
    </row>
    <row r="1575" spans="1:7" x14ac:dyDescent="0.25">
      <c r="A1575" s="114">
        <v>347101</v>
      </c>
      <c r="B1575" s="90" t="s">
        <v>5605</v>
      </c>
      <c r="C1575" s="90" t="s">
        <v>508</v>
      </c>
      <c r="D1575" s="90" t="s">
        <v>1577</v>
      </c>
      <c r="E1575" s="90" t="s">
        <v>634</v>
      </c>
      <c r="F1575" s="90" t="s">
        <v>5606</v>
      </c>
      <c r="G1575" t="s">
        <v>859</v>
      </c>
    </row>
    <row r="1576" spans="1:7" x14ac:dyDescent="0.25">
      <c r="A1576" s="114">
        <v>347107</v>
      </c>
      <c r="B1576" s="90" t="s">
        <v>5607</v>
      </c>
      <c r="C1576" s="90" t="s">
        <v>508</v>
      </c>
      <c r="D1576" s="90" t="s">
        <v>4439</v>
      </c>
      <c r="E1576" s="90" t="s">
        <v>3711</v>
      </c>
      <c r="F1576" s="90" t="s">
        <v>5608</v>
      </c>
      <c r="G1576" t="s">
        <v>512</v>
      </c>
    </row>
    <row r="1577" spans="1:7" x14ac:dyDescent="0.25">
      <c r="A1577" s="114">
        <v>347110</v>
      </c>
      <c r="B1577" s="90" t="s">
        <v>5609</v>
      </c>
      <c r="C1577" s="90" t="s">
        <v>508</v>
      </c>
      <c r="D1577" s="90" t="s">
        <v>5610</v>
      </c>
      <c r="E1577" s="90" t="s">
        <v>5611</v>
      </c>
      <c r="F1577" s="90" t="s">
        <v>5612</v>
      </c>
      <c r="G1577" t="s">
        <v>512</v>
      </c>
    </row>
    <row r="1578" spans="1:7" x14ac:dyDescent="0.25">
      <c r="A1578" s="114">
        <v>347145</v>
      </c>
      <c r="B1578" s="90" t="s">
        <v>5124</v>
      </c>
      <c r="C1578" s="90" t="s">
        <v>508</v>
      </c>
      <c r="D1578" s="90" t="s">
        <v>5613</v>
      </c>
      <c r="E1578" s="90" t="s">
        <v>5126</v>
      </c>
      <c r="F1578" s="90" t="s">
        <v>5127</v>
      </c>
      <c r="G1578" t="s">
        <v>512</v>
      </c>
    </row>
    <row r="1579" spans="1:7" x14ac:dyDescent="0.25">
      <c r="A1579" s="114">
        <v>347156</v>
      </c>
      <c r="B1579" s="90" t="s">
        <v>5614</v>
      </c>
      <c r="C1579" s="90" t="s">
        <v>508</v>
      </c>
      <c r="D1579" s="90" t="s">
        <v>5615</v>
      </c>
      <c r="E1579" s="90" t="s">
        <v>4325</v>
      </c>
      <c r="F1579" s="90" t="s">
        <v>5616</v>
      </c>
      <c r="G1579" t="s">
        <v>512</v>
      </c>
    </row>
    <row r="1580" spans="1:7" x14ac:dyDescent="0.25">
      <c r="A1580" s="114">
        <v>347175</v>
      </c>
      <c r="B1580" s="90" t="s">
        <v>5617</v>
      </c>
      <c r="C1580" s="90" t="s">
        <v>508</v>
      </c>
      <c r="D1580" s="90" t="s">
        <v>4363</v>
      </c>
      <c r="E1580" s="90" t="s">
        <v>3897</v>
      </c>
      <c r="F1580" s="90" t="s">
        <v>5618</v>
      </c>
      <c r="G1580" t="s">
        <v>512</v>
      </c>
    </row>
    <row r="1581" spans="1:7" x14ac:dyDescent="0.25">
      <c r="A1581" s="114">
        <v>347177</v>
      </c>
      <c r="B1581" s="90" t="s">
        <v>5619</v>
      </c>
      <c r="C1581" s="90" t="s">
        <v>508</v>
      </c>
      <c r="D1581" s="90" t="s">
        <v>5620</v>
      </c>
      <c r="E1581" s="90" t="s">
        <v>5621</v>
      </c>
      <c r="F1581" s="90" t="s">
        <v>5622</v>
      </c>
      <c r="G1581" t="s">
        <v>512</v>
      </c>
    </row>
    <row r="1582" spans="1:7" x14ac:dyDescent="0.25">
      <c r="A1582" s="114">
        <v>347197</v>
      </c>
      <c r="B1582" s="90" t="s">
        <v>5623</v>
      </c>
      <c r="C1582" s="90" t="s">
        <v>508</v>
      </c>
      <c r="D1582" s="90" t="s">
        <v>5624</v>
      </c>
      <c r="E1582" s="90" t="s">
        <v>5625</v>
      </c>
      <c r="F1582" s="90" t="s">
        <v>5626</v>
      </c>
      <c r="G1582" t="s">
        <v>512</v>
      </c>
    </row>
    <row r="1583" spans="1:7" x14ac:dyDescent="0.25">
      <c r="A1583" s="114">
        <v>347228</v>
      </c>
      <c r="B1583" s="90" t="s">
        <v>5627</v>
      </c>
      <c r="C1583" s="90" t="s">
        <v>508</v>
      </c>
      <c r="D1583" s="90" t="s">
        <v>5628</v>
      </c>
      <c r="E1583" s="90" t="s">
        <v>626</v>
      </c>
      <c r="F1583" s="90" t="s">
        <v>844</v>
      </c>
      <c r="G1583" t="s">
        <v>512</v>
      </c>
    </row>
    <row r="1584" spans="1:7" x14ac:dyDescent="0.25">
      <c r="A1584" s="114">
        <v>347280</v>
      </c>
      <c r="B1584" s="90" t="s">
        <v>5371</v>
      </c>
      <c r="C1584" s="90" t="s">
        <v>508</v>
      </c>
      <c r="D1584" s="90" t="s">
        <v>5629</v>
      </c>
      <c r="E1584" s="90" t="s">
        <v>5630</v>
      </c>
      <c r="F1584" s="90" t="s">
        <v>5631</v>
      </c>
      <c r="G1584" t="s">
        <v>512</v>
      </c>
    </row>
    <row r="1585" spans="1:7" x14ac:dyDescent="0.25">
      <c r="A1585" s="114">
        <v>347283</v>
      </c>
      <c r="B1585" s="90" t="s">
        <v>5632</v>
      </c>
      <c r="C1585" s="90" t="s">
        <v>508</v>
      </c>
      <c r="D1585" s="90" t="s">
        <v>5633</v>
      </c>
      <c r="E1585" s="90" t="s">
        <v>4325</v>
      </c>
      <c r="F1585" s="90" t="s">
        <v>5634</v>
      </c>
      <c r="G1585" t="s">
        <v>512</v>
      </c>
    </row>
    <row r="1586" spans="1:7" x14ac:dyDescent="0.25">
      <c r="A1586" s="114">
        <v>347290</v>
      </c>
      <c r="B1586" s="90" t="s">
        <v>5635</v>
      </c>
      <c r="C1586" s="90" t="s">
        <v>508</v>
      </c>
      <c r="D1586" s="90" t="s">
        <v>5636</v>
      </c>
      <c r="E1586" s="90" t="s">
        <v>5637</v>
      </c>
      <c r="F1586" s="90" t="s">
        <v>5638</v>
      </c>
      <c r="G1586" t="s">
        <v>512</v>
      </c>
    </row>
    <row r="1587" spans="1:7" x14ac:dyDescent="0.25">
      <c r="A1587" s="114">
        <v>347369</v>
      </c>
      <c r="B1587" s="90" t="s">
        <v>3717</v>
      </c>
      <c r="C1587" s="90" t="s">
        <v>508</v>
      </c>
      <c r="D1587" s="90" t="s">
        <v>5639</v>
      </c>
      <c r="E1587" s="90" t="s">
        <v>777</v>
      </c>
      <c r="F1587" s="90" t="s">
        <v>934</v>
      </c>
      <c r="G1587" t="s">
        <v>512</v>
      </c>
    </row>
    <row r="1588" spans="1:7" x14ac:dyDescent="0.25">
      <c r="A1588" s="114">
        <v>347376</v>
      </c>
      <c r="B1588" s="90" t="s">
        <v>5640</v>
      </c>
      <c r="C1588" s="90" t="s">
        <v>508</v>
      </c>
      <c r="D1588" s="90" t="s">
        <v>5641</v>
      </c>
      <c r="E1588" s="90" t="s">
        <v>4162</v>
      </c>
      <c r="F1588" s="90" t="s">
        <v>5642</v>
      </c>
      <c r="G1588" t="s">
        <v>512</v>
      </c>
    </row>
    <row r="1589" spans="1:7" x14ac:dyDescent="0.25">
      <c r="A1589" s="114">
        <v>347410</v>
      </c>
      <c r="B1589" s="90" t="s">
        <v>5643</v>
      </c>
      <c r="C1589" s="90" t="s">
        <v>508</v>
      </c>
      <c r="D1589" s="90" t="s">
        <v>5644</v>
      </c>
      <c r="E1589" s="90" t="s">
        <v>1525</v>
      </c>
      <c r="F1589" s="90" t="s">
        <v>5645</v>
      </c>
      <c r="G1589" t="s">
        <v>512</v>
      </c>
    </row>
    <row r="1590" spans="1:7" x14ac:dyDescent="0.25">
      <c r="A1590" s="114">
        <v>347428</v>
      </c>
      <c r="B1590" s="90" t="s">
        <v>5646</v>
      </c>
      <c r="C1590" s="90" t="s">
        <v>508</v>
      </c>
      <c r="D1590" s="90" t="s">
        <v>5647</v>
      </c>
      <c r="E1590" s="90" t="s">
        <v>2837</v>
      </c>
      <c r="F1590" s="90" t="s">
        <v>5648</v>
      </c>
      <c r="G1590" t="s">
        <v>512</v>
      </c>
    </row>
    <row r="1591" spans="1:7" x14ac:dyDescent="0.25">
      <c r="A1591" s="114">
        <v>347433</v>
      </c>
      <c r="B1591" s="90" t="s">
        <v>5649</v>
      </c>
      <c r="C1591" s="90" t="s">
        <v>508</v>
      </c>
      <c r="D1591" s="90" t="s">
        <v>5650</v>
      </c>
      <c r="E1591" s="90" t="s">
        <v>698</v>
      </c>
      <c r="F1591" s="90" t="s">
        <v>5651</v>
      </c>
      <c r="G1591" t="s">
        <v>512</v>
      </c>
    </row>
    <row r="1592" spans="1:7" x14ac:dyDescent="0.25">
      <c r="A1592" s="114">
        <v>347469</v>
      </c>
      <c r="B1592" s="90" t="s">
        <v>5652</v>
      </c>
      <c r="C1592" s="90" t="s">
        <v>508</v>
      </c>
      <c r="D1592" s="90" t="s">
        <v>3964</v>
      </c>
      <c r="E1592" s="90" t="s">
        <v>3795</v>
      </c>
      <c r="F1592" s="90" t="s">
        <v>5653</v>
      </c>
      <c r="G1592" t="s">
        <v>512</v>
      </c>
    </row>
    <row r="1593" spans="1:7" x14ac:dyDescent="0.25">
      <c r="A1593" s="114">
        <v>347495</v>
      </c>
      <c r="B1593" s="90" t="s">
        <v>5654</v>
      </c>
      <c r="C1593" s="90" t="s">
        <v>508</v>
      </c>
      <c r="D1593" s="90" t="s">
        <v>4835</v>
      </c>
      <c r="E1593" s="90" t="s">
        <v>4836</v>
      </c>
      <c r="F1593" s="90" t="s">
        <v>5655</v>
      </c>
      <c r="G1593" t="s">
        <v>512</v>
      </c>
    </row>
    <row r="1594" spans="1:7" x14ac:dyDescent="0.25">
      <c r="A1594" s="114">
        <v>347516</v>
      </c>
      <c r="B1594" s="90" t="s">
        <v>5656</v>
      </c>
      <c r="C1594" s="90" t="s">
        <v>508</v>
      </c>
      <c r="D1594" s="90" t="s">
        <v>5172</v>
      </c>
      <c r="E1594" s="90" t="s">
        <v>4623</v>
      </c>
      <c r="F1594" s="90" t="s">
        <v>5657</v>
      </c>
      <c r="G1594" t="s">
        <v>512</v>
      </c>
    </row>
    <row r="1595" spans="1:7" x14ac:dyDescent="0.25">
      <c r="A1595" s="114">
        <v>347629</v>
      </c>
      <c r="B1595" s="90" t="s">
        <v>5658</v>
      </c>
      <c r="C1595" s="90" t="s">
        <v>508</v>
      </c>
      <c r="D1595" s="90" t="s">
        <v>5659</v>
      </c>
      <c r="E1595" s="90" t="s">
        <v>679</v>
      </c>
      <c r="F1595" s="90" t="s">
        <v>5660</v>
      </c>
      <c r="G1595" t="s">
        <v>512</v>
      </c>
    </row>
    <row r="1596" spans="1:7" x14ac:dyDescent="0.25">
      <c r="A1596" s="114">
        <v>347633</v>
      </c>
      <c r="B1596" s="90" t="s">
        <v>5661</v>
      </c>
      <c r="C1596" s="90" t="s">
        <v>508</v>
      </c>
      <c r="D1596" s="90" t="s">
        <v>5662</v>
      </c>
      <c r="E1596" s="90" t="s">
        <v>1136</v>
      </c>
      <c r="F1596" s="90" t="s">
        <v>5663</v>
      </c>
      <c r="G1596" t="s">
        <v>512</v>
      </c>
    </row>
    <row r="1597" spans="1:7" x14ac:dyDescent="0.25">
      <c r="A1597" s="114">
        <v>347744</v>
      </c>
      <c r="B1597" s="90" t="s">
        <v>5664</v>
      </c>
      <c r="C1597" s="90" t="s">
        <v>508</v>
      </c>
      <c r="D1597" s="90" t="s">
        <v>5665</v>
      </c>
      <c r="E1597" s="90" t="s">
        <v>5666</v>
      </c>
      <c r="F1597" s="90" t="s">
        <v>5667</v>
      </c>
      <c r="G1597" t="s">
        <v>512</v>
      </c>
    </row>
    <row r="1598" spans="1:7" x14ac:dyDescent="0.25">
      <c r="A1598" s="114">
        <v>347825</v>
      </c>
      <c r="B1598" s="90" t="s">
        <v>5668</v>
      </c>
      <c r="C1598" s="90" t="s">
        <v>508</v>
      </c>
      <c r="D1598" s="90" t="s">
        <v>5669</v>
      </c>
      <c r="E1598" s="90" t="s">
        <v>5670</v>
      </c>
      <c r="F1598" s="90" t="s">
        <v>5671</v>
      </c>
      <c r="G1598" t="s">
        <v>512</v>
      </c>
    </row>
    <row r="1599" spans="1:7" x14ac:dyDescent="0.25">
      <c r="A1599" s="114">
        <v>347849</v>
      </c>
      <c r="B1599" s="90" t="s">
        <v>2745</v>
      </c>
      <c r="C1599" s="90" t="s">
        <v>508</v>
      </c>
      <c r="D1599" s="90" t="s">
        <v>5672</v>
      </c>
      <c r="E1599" s="90" t="s">
        <v>2627</v>
      </c>
      <c r="F1599" s="90" t="s">
        <v>5673</v>
      </c>
      <c r="G1599" t="s">
        <v>512</v>
      </c>
    </row>
    <row r="1600" spans="1:7" x14ac:dyDescent="0.25">
      <c r="A1600" s="114">
        <v>347882</v>
      </c>
      <c r="B1600" s="90" t="s">
        <v>2414</v>
      </c>
      <c r="C1600" s="90" t="s">
        <v>508</v>
      </c>
      <c r="D1600" s="90" t="s">
        <v>3641</v>
      </c>
      <c r="E1600" s="90" t="s">
        <v>3642</v>
      </c>
      <c r="F1600" s="90" t="s">
        <v>5674</v>
      </c>
      <c r="G1600" t="s">
        <v>512</v>
      </c>
    </row>
    <row r="1601" spans="1:7" x14ac:dyDescent="0.25">
      <c r="A1601" s="114">
        <v>347949</v>
      </c>
      <c r="B1601" s="90" t="s">
        <v>5675</v>
      </c>
      <c r="C1601" s="90" t="s">
        <v>508</v>
      </c>
      <c r="D1601" s="90" t="s">
        <v>4338</v>
      </c>
      <c r="E1601" s="90" t="s">
        <v>4339</v>
      </c>
      <c r="F1601" s="90" t="s">
        <v>5676</v>
      </c>
      <c r="G1601" t="s">
        <v>512</v>
      </c>
    </row>
    <row r="1602" spans="1:7" x14ac:dyDescent="0.25">
      <c r="A1602" s="114">
        <v>347981</v>
      </c>
      <c r="B1602" s="90" t="s">
        <v>5677</v>
      </c>
      <c r="C1602" s="90" t="s">
        <v>508</v>
      </c>
      <c r="D1602" s="90" t="s">
        <v>5678</v>
      </c>
      <c r="E1602" s="90" t="s">
        <v>4162</v>
      </c>
      <c r="F1602" s="90" t="s">
        <v>5679</v>
      </c>
      <c r="G1602" t="s">
        <v>512</v>
      </c>
    </row>
    <row r="1603" spans="1:7" x14ac:dyDescent="0.25">
      <c r="A1603" s="114">
        <v>348171</v>
      </c>
      <c r="B1603" s="90" t="s">
        <v>573</v>
      </c>
      <c r="C1603" s="90" t="s">
        <v>508</v>
      </c>
      <c r="D1603" s="90" t="s">
        <v>5680</v>
      </c>
      <c r="E1603" s="90" t="s">
        <v>575</v>
      </c>
      <c r="F1603" s="90" t="s">
        <v>5681</v>
      </c>
      <c r="G1603" t="s">
        <v>512</v>
      </c>
    </row>
    <row r="1604" spans="1:7" x14ac:dyDescent="0.25">
      <c r="A1604" s="114">
        <v>348180</v>
      </c>
      <c r="B1604" s="90" t="s">
        <v>5682</v>
      </c>
      <c r="C1604" s="90" t="s">
        <v>508</v>
      </c>
      <c r="D1604" s="90" t="s">
        <v>5683</v>
      </c>
      <c r="E1604" s="90" t="s">
        <v>2305</v>
      </c>
      <c r="F1604" s="90" t="s">
        <v>5684</v>
      </c>
      <c r="G1604" t="s">
        <v>512</v>
      </c>
    </row>
    <row r="1605" spans="1:7" x14ac:dyDescent="0.25">
      <c r="A1605" s="114">
        <v>348206</v>
      </c>
      <c r="B1605" s="90" t="s">
        <v>5685</v>
      </c>
      <c r="C1605" s="90" t="s">
        <v>508</v>
      </c>
      <c r="D1605" s="90" t="s">
        <v>5686</v>
      </c>
      <c r="E1605" s="90" t="s">
        <v>5687</v>
      </c>
      <c r="F1605" s="90" t="s">
        <v>5688</v>
      </c>
      <c r="G1605" t="s">
        <v>512</v>
      </c>
    </row>
    <row r="1606" spans="1:7" x14ac:dyDescent="0.25">
      <c r="A1606" s="114">
        <v>348210</v>
      </c>
      <c r="B1606" s="90" t="s">
        <v>1894</v>
      </c>
      <c r="C1606" s="90" t="s">
        <v>508</v>
      </c>
      <c r="D1606" s="90" t="s">
        <v>5689</v>
      </c>
      <c r="E1606" s="90" t="s">
        <v>1631</v>
      </c>
      <c r="F1606" s="90" t="s">
        <v>5690</v>
      </c>
      <c r="G1606" t="s">
        <v>512</v>
      </c>
    </row>
    <row r="1607" spans="1:7" x14ac:dyDescent="0.25">
      <c r="A1607" s="114">
        <v>348347</v>
      </c>
      <c r="B1607" s="90" t="s">
        <v>5691</v>
      </c>
      <c r="C1607" s="90" t="s">
        <v>508</v>
      </c>
      <c r="D1607" s="90" t="s">
        <v>5692</v>
      </c>
      <c r="E1607" s="90" t="s">
        <v>2065</v>
      </c>
      <c r="F1607" s="90" t="s">
        <v>5693</v>
      </c>
      <c r="G1607" t="s">
        <v>512</v>
      </c>
    </row>
    <row r="1608" spans="1:7" x14ac:dyDescent="0.25">
      <c r="A1608" s="114">
        <v>348377</v>
      </c>
      <c r="B1608" s="90" t="s">
        <v>5694</v>
      </c>
      <c r="C1608" s="90" t="s">
        <v>508</v>
      </c>
      <c r="D1608" s="90" t="s">
        <v>5695</v>
      </c>
      <c r="E1608" s="90" t="s">
        <v>5696</v>
      </c>
      <c r="F1608" s="90" t="s">
        <v>5697</v>
      </c>
      <c r="G1608" t="s">
        <v>512</v>
      </c>
    </row>
    <row r="1609" spans="1:7" x14ac:dyDescent="0.25">
      <c r="A1609" s="114">
        <v>348442</v>
      </c>
      <c r="B1609" s="90" t="s">
        <v>5698</v>
      </c>
      <c r="C1609" s="90" t="s">
        <v>508</v>
      </c>
      <c r="D1609" s="90" t="s">
        <v>5021</v>
      </c>
      <c r="E1609" s="90" t="s">
        <v>5699</v>
      </c>
      <c r="F1609" s="90" t="s">
        <v>5700</v>
      </c>
      <c r="G1609" t="s">
        <v>512</v>
      </c>
    </row>
    <row r="1610" spans="1:7" x14ac:dyDescent="0.25">
      <c r="A1610" s="114">
        <v>348445</v>
      </c>
      <c r="B1610" s="90" t="s">
        <v>5312</v>
      </c>
      <c r="C1610" s="90" t="s">
        <v>508</v>
      </c>
      <c r="D1610" s="90" t="s">
        <v>4513</v>
      </c>
      <c r="E1610" s="90" t="s">
        <v>3545</v>
      </c>
      <c r="F1610" s="90" t="s">
        <v>5701</v>
      </c>
      <c r="G1610" t="s">
        <v>512</v>
      </c>
    </row>
    <row r="1611" spans="1:7" x14ac:dyDescent="0.25">
      <c r="A1611" s="114">
        <v>348483</v>
      </c>
      <c r="B1611" s="90" t="s">
        <v>5702</v>
      </c>
      <c r="C1611" s="90" t="s">
        <v>508</v>
      </c>
      <c r="D1611" s="90" t="s">
        <v>5703</v>
      </c>
      <c r="E1611" s="90" t="s">
        <v>798</v>
      </c>
      <c r="F1611" s="90" t="s">
        <v>5704</v>
      </c>
      <c r="G1611" t="s">
        <v>512</v>
      </c>
    </row>
    <row r="1612" spans="1:7" x14ac:dyDescent="0.25">
      <c r="A1612" s="114">
        <v>348486</v>
      </c>
      <c r="B1612" s="90" t="s">
        <v>5705</v>
      </c>
      <c r="C1612" s="90" t="s">
        <v>508</v>
      </c>
      <c r="D1612" s="90" t="s">
        <v>1577</v>
      </c>
      <c r="E1612" s="90" t="s">
        <v>634</v>
      </c>
      <c r="F1612" s="90" t="s">
        <v>5606</v>
      </c>
      <c r="G1612" t="s">
        <v>512</v>
      </c>
    </row>
    <row r="1613" spans="1:7" x14ac:dyDescent="0.25">
      <c r="A1613" s="114">
        <v>348495</v>
      </c>
      <c r="B1613" s="90" t="s">
        <v>5706</v>
      </c>
      <c r="C1613" s="90" t="s">
        <v>508</v>
      </c>
      <c r="D1613" s="90" t="s">
        <v>5707</v>
      </c>
      <c r="E1613" s="90" t="s">
        <v>5708</v>
      </c>
      <c r="F1613" s="90" t="s">
        <v>5709</v>
      </c>
      <c r="G1613" t="s">
        <v>512</v>
      </c>
    </row>
    <row r="1614" spans="1:7" x14ac:dyDescent="0.25">
      <c r="A1614" s="114">
        <v>348533</v>
      </c>
      <c r="B1614" s="90" t="s">
        <v>5710</v>
      </c>
      <c r="C1614" s="90" t="s">
        <v>508</v>
      </c>
      <c r="D1614" s="90" t="s">
        <v>5711</v>
      </c>
      <c r="E1614" s="90" t="s">
        <v>2924</v>
      </c>
      <c r="F1614" s="90" t="s">
        <v>5712</v>
      </c>
      <c r="G1614" t="s">
        <v>512</v>
      </c>
    </row>
    <row r="1615" spans="1:7" x14ac:dyDescent="0.25">
      <c r="A1615" s="114">
        <v>348562</v>
      </c>
      <c r="B1615" s="90" t="s">
        <v>5713</v>
      </c>
      <c r="C1615" s="90" t="s">
        <v>508</v>
      </c>
      <c r="D1615" s="90" t="s">
        <v>5714</v>
      </c>
      <c r="E1615" s="90" t="s">
        <v>1194</v>
      </c>
      <c r="F1615" s="90" t="s">
        <v>5715</v>
      </c>
      <c r="G1615" t="s">
        <v>859</v>
      </c>
    </row>
    <row r="1616" spans="1:7" x14ac:dyDescent="0.25">
      <c r="A1616" s="114">
        <v>348632</v>
      </c>
      <c r="B1616" s="90" t="s">
        <v>5716</v>
      </c>
      <c r="C1616" s="90" t="s">
        <v>508</v>
      </c>
      <c r="D1616" s="90" t="s">
        <v>5717</v>
      </c>
      <c r="E1616" s="90" t="s">
        <v>851</v>
      </c>
      <c r="F1616" s="90" t="s">
        <v>5718</v>
      </c>
      <c r="G1616" t="s">
        <v>512</v>
      </c>
    </row>
    <row r="1617" spans="1:7" x14ac:dyDescent="0.25">
      <c r="A1617" s="114">
        <v>348701</v>
      </c>
      <c r="B1617" s="90" t="s">
        <v>632</v>
      </c>
      <c r="C1617" s="90" t="s">
        <v>508</v>
      </c>
      <c r="D1617" s="90" t="s">
        <v>633</v>
      </c>
      <c r="E1617" s="90" t="s">
        <v>634</v>
      </c>
      <c r="F1617" s="90" t="s">
        <v>635</v>
      </c>
      <c r="G1617" t="s">
        <v>859</v>
      </c>
    </row>
    <row r="1618" spans="1:7" x14ac:dyDescent="0.25">
      <c r="A1618" s="114">
        <v>348722</v>
      </c>
      <c r="B1618" s="90" t="s">
        <v>4905</v>
      </c>
      <c r="C1618" s="90" t="s">
        <v>508</v>
      </c>
      <c r="D1618" s="90" t="s">
        <v>5719</v>
      </c>
      <c r="E1618" s="90" t="s">
        <v>2305</v>
      </c>
      <c r="F1618" s="90" t="s">
        <v>5720</v>
      </c>
      <c r="G1618" t="s">
        <v>512</v>
      </c>
    </row>
    <row r="1619" spans="1:7" x14ac:dyDescent="0.25">
      <c r="A1619" s="114">
        <v>348730</v>
      </c>
      <c r="B1619" s="90" t="s">
        <v>5721</v>
      </c>
      <c r="C1619" s="90" t="s">
        <v>508</v>
      </c>
      <c r="D1619" s="90" t="s">
        <v>5722</v>
      </c>
      <c r="E1619" s="90" t="s">
        <v>1205</v>
      </c>
      <c r="F1619" s="90" t="s">
        <v>5723</v>
      </c>
      <c r="G1619" t="s">
        <v>512</v>
      </c>
    </row>
    <row r="1620" spans="1:7" x14ac:dyDescent="0.25">
      <c r="A1620" s="114">
        <v>348781</v>
      </c>
      <c r="B1620" s="90" t="s">
        <v>5724</v>
      </c>
      <c r="C1620" s="90" t="s">
        <v>508</v>
      </c>
      <c r="D1620" s="90" t="s">
        <v>5725</v>
      </c>
      <c r="E1620" s="90" t="s">
        <v>2932</v>
      </c>
      <c r="F1620" s="90" t="s">
        <v>5726</v>
      </c>
      <c r="G1620" t="s">
        <v>512</v>
      </c>
    </row>
    <row r="1621" spans="1:7" x14ac:dyDescent="0.25">
      <c r="A1621" s="114">
        <v>348835</v>
      </c>
      <c r="B1621" s="90" t="s">
        <v>5727</v>
      </c>
      <c r="C1621" s="90" t="s">
        <v>508</v>
      </c>
      <c r="D1621" s="90" t="s">
        <v>5728</v>
      </c>
      <c r="E1621" s="90" t="s">
        <v>5729</v>
      </c>
      <c r="F1621" s="90" t="s">
        <v>5730</v>
      </c>
      <c r="G1621" t="s">
        <v>512</v>
      </c>
    </row>
    <row r="1622" spans="1:7" x14ac:dyDescent="0.25">
      <c r="A1622" s="114">
        <v>348874</v>
      </c>
      <c r="B1622" s="90" t="s">
        <v>5731</v>
      </c>
      <c r="C1622" s="90" t="s">
        <v>508</v>
      </c>
      <c r="D1622" s="90" t="s">
        <v>5732</v>
      </c>
      <c r="E1622" s="90" t="s">
        <v>1485</v>
      </c>
      <c r="F1622" s="90" t="s">
        <v>5733</v>
      </c>
      <c r="G1622" t="s">
        <v>512</v>
      </c>
    </row>
    <row r="1623" spans="1:7" x14ac:dyDescent="0.25">
      <c r="A1623" s="114">
        <v>348889</v>
      </c>
      <c r="B1623" s="90" t="s">
        <v>5734</v>
      </c>
      <c r="C1623" s="90" t="s">
        <v>508</v>
      </c>
      <c r="D1623" s="90" t="s">
        <v>5735</v>
      </c>
      <c r="E1623" s="90" t="s">
        <v>818</v>
      </c>
      <c r="F1623" s="90" t="s">
        <v>5736</v>
      </c>
      <c r="G1623" t="s">
        <v>512</v>
      </c>
    </row>
    <row r="1624" spans="1:7" x14ac:dyDescent="0.25">
      <c r="A1624" s="114">
        <v>348898</v>
      </c>
      <c r="B1624" s="90" t="s">
        <v>5737</v>
      </c>
      <c r="C1624" s="90" t="s">
        <v>508</v>
      </c>
      <c r="D1624" s="90" t="s">
        <v>2099</v>
      </c>
      <c r="E1624" s="90" t="s">
        <v>563</v>
      </c>
      <c r="F1624" s="90" t="s">
        <v>5738</v>
      </c>
      <c r="G1624" t="s">
        <v>512</v>
      </c>
    </row>
    <row r="1625" spans="1:7" x14ac:dyDescent="0.25">
      <c r="A1625" s="114">
        <v>348905</v>
      </c>
      <c r="B1625" s="90" t="s">
        <v>5739</v>
      </c>
      <c r="C1625" s="90" t="s">
        <v>508</v>
      </c>
      <c r="D1625" s="90" t="s">
        <v>5740</v>
      </c>
      <c r="E1625" s="90" t="s">
        <v>5741</v>
      </c>
      <c r="F1625" s="90" t="s">
        <v>5742</v>
      </c>
      <c r="G1625" t="s">
        <v>512</v>
      </c>
    </row>
    <row r="1626" spans="1:7" x14ac:dyDescent="0.25">
      <c r="A1626" s="114">
        <v>348973</v>
      </c>
      <c r="B1626" s="90" t="s">
        <v>5743</v>
      </c>
      <c r="C1626" s="90" t="s">
        <v>508</v>
      </c>
      <c r="D1626" s="90" t="s">
        <v>5744</v>
      </c>
      <c r="E1626" s="90" t="s">
        <v>1045</v>
      </c>
      <c r="F1626" s="90" t="s">
        <v>5743</v>
      </c>
      <c r="G1626" t="s">
        <v>512</v>
      </c>
    </row>
    <row r="1627" spans="1:7" x14ac:dyDescent="0.25">
      <c r="A1627" s="114">
        <v>348976</v>
      </c>
      <c r="B1627" s="90" t="s">
        <v>5745</v>
      </c>
      <c r="C1627" s="90" t="s">
        <v>508</v>
      </c>
      <c r="D1627" s="90" t="s">
        <v>5746</v>
      </c>
      <c r="E1627" s="90" t="s">
        <v>4192</v>
      </c>
      <c r="F1627" s="90" t="s">
        <v>5747</v>
      </c>
      <c r="G1627" t="s">
        <v>512</v>
      </c>
    </row>
    <row r="1628" spans="1:7" x14ac:dyDescent="0.25">
      <c r="A1628" s="114">
        <v>348992</v>
      </c>
      <c r="B1628" s="90" t="s">
        <v>5748</v>
      </c>
      <c r="C1628" s="90" t="s">
        <v>508</v>
      </c>
      <c r="D1628" s="90" t="s">
        <v>5749</v>
      </c>
      <c r="E1628" s="90" t="s">
        <v>587</v>
      </c>
      <c r="F1628" s="90" t="s">
        <v>5750</v>
      </c>
      <c r="G1628" t="s">
        <v>512</v>
      </c>
    </row>
    <row r="1629" spans="1:7" x14ac:dyDescent="0.25">
      <c r="A1629" s="114">
        <v>349053</v>
      </c>
      <c r="B1629" s="90" t="s">
        <v>5751</v>
      </c>
      <c r="C1629" s="90" t="s">
        <v>508</v>
      </c>
      <c r="D1629" s="90" t="s">
        <v>5752</v>
      </c>
      <c r="E1629" s="90" t="s">
        <v>5753</v>
      </c>
      <c r="F1629" s="90" t="s">
        <v>5754</v>
      </c>
      <c r="G1629" t="s">
        <v>512</v>
      </c>
    </row>
    <row r="1630" spans="1:7" x14ac:dyDescent="0.25">
      <c r="A1630" s="114">
        <v>349055</v>
      </c>
      <c r="B1630" s="90" t="s">
        <v>5635</v>
      </c>
      <c r="C1630" s="90" t="s">
        <v>508</v>
      </c>
      <c r="D1630" s="90" t="s">
        <v>5636</v>
      </c>
      <c r="E1630" s="90" t="s">
        <v>5637</v>
      </c>
      <c r="F1630" s="90" t="s">
        <v>5755</v>
      </c>
      <c r="G1630" t="s">
        <v>512</v>
      </c>
    </row>
    <row r="1631" spans="1:7" x14ac:dyDescent="0.25">
      <c r="A1631" s="114">
        <v>349066</v>
      </c>
      <c r="B1631" s="90" t="s">
        <v>5756</v>
      </c>
      <c r="C1631" s="90" t="s">
        <v>508</v>
      </c>
      <c r="D1631" s="90" t="s">
        <v>4766</v>
      </c>
      <c r="E1631" s="90" t="s">
        <v>1631</v>
      </c>
      <c r="F1631" s="90" t="s">
        <v>5757</v>
      </c>
      <c r="G1631" t="s">
        <v>512</v>
      </c>
    </row>
    <row r="1632" spans="1:7" x14ac:dyDescent="0.25">
      <c r="A1632" s="114">
        <v>349091</v>
      </c>
      <c r="B1632" s="90" t="s">
        <v>5758</v>
      </c>
      <c r="C1632" s="90" t="s">
        <v>508</v>
      </c>
      <c r="D1632" s="90" t="s">
        <v>5759</v>
      </c>
      <c r="E1632" s="90" t="s">
        <v>2199</v>
      </c>
      <c r="F1632" s="90" t="s">
        <v>5760</v>
      </c>
      <c r="G1632" t="s">
        <v>512</v>
      </c>
    </row>
    <row r="1633" spans="1:7" x14ac:dyDescent="0.25">
      <c r="A1633" s="114">
        <v>349110</v>
      </c>
      <c r="B1633" s="90" t="s">
        <v>5761</v>
      </c>
      <c r="C1633" s="90" t="s">
        <v>508</v>
      </c>
      <c r="D1633" s="90" t="s">
        <v>5762</v>
      </c>
      <c r="E1633" s="90" t="s">
        <v>898</v>
      </c>
      <c r="F1633" s="90" t="s">
        <v>899</v>
      </c>
      <c r="G1633" t="s">
        <v>512</v>
      </c>
    </row>
    <row r="1634" spans="1:7" x14ac:dyDescent="0.25">
      <c r="A1634" s="114">
        <v>349188</v>
      </c>
      <c r="B1634" s="90" t="s">
        <v>5375</v>
      </c>
      <c r="C1634" s="90" t="s">
        <v>508</v>
      </c>
      <c r="D1634" s="90" t="s">
        <v>4753</v>
      </c>
      <c r="E1634" s="90" t="s">
        <v>2524</v>
      </c>
      <c r="F1634" s="90" t="s">
        <v>5763</v>
      </c>
      <c r="G1634" t="s">
        <v>512</v>
      </c>
    </row>
    <row r="1635" spans="1:7" x14ac:dyDescent="0.25">
      <c r="A1635" s="114">
        <v>349258</v>
      </c>
      <c r="B1635" s="90" t="s">
        <v>5764</v>
      </c>
      <c r="C1635" s="90" t="s">
        <v>508</v>
      </c>
      <c r="D1635" s="90" t="s">
        <v>5644</v>
      </c>
      <c r="E1635" s="90" t="s">
        <v>1525</v>
      </c>
      <c r="F1635" s="90" t="s">
        <v>5645</v>
      </c>
      <c r="G1635" t="s">
        <v>859</v>
      </c>
    </row>
    <row r="1636" spans="1:7" x14ac:dyDescent="0.25">
      <c r="A1636" s="114">
        <v>349312</v>
      </c>
      <c r="B1636" s="90" t="s">
        <v>5765</v>
      </c>
      <c r="C1636" s="90" t="s">
        <v>508</v>
      </c>
      <c r="D1636" s="90" t="s">
        <v>5766</v>
      </c>
      <c r="E1636" s="90" t="s">
        <v>5767</v>
      </c>
      <c r="F1636" s="90" t="s">
        <v>5768</v>
      </c>
      <c r="G1636" t="s">
        <v>512</v>
      </c>
    </row>
    <row r="1637" spans="1:7" x14ac:dyDescent="0.25">
      <c r="A1637" s="114">
        <v>349388</v>
      </c>
      <c r="B1637" s="90" t="s">
        <v>5769</v>
      </c>
      <c r="C1637" s="90" t="s">
        <v>508</v>
      </c>
      <c r="D1637" s="90" t="s">
        <v>5770</v>
      </c>
      <c r="E1637" s="90" t="s">
        <v>634</v>
      </c>
      <c r="F1637" s="90" t="s">
        <v>5771</v>
      </c>
      <c r="G1637" t="s">
        <v>512</v>
      </c>
    </row>
    <row r="1638" spans="1:7" x14ac:dyDescent="0.25">
      <c r="A1638" s="114">
        <v>349405</v>
      </c>
      <c r="B1638" s="90" t="s">
        <v>5772</v>
      </c>
      <c r="C1638" s="90" t="s">
        <v>508</v>
      </c>
      <c r="D1638" s="90" t="s">
        <v>5773</v>
      </c>
      <c r="E1638" s="90" t="s">
        <v>995</v>
      </c>
      <c r="F1638" s="90" t="s">
        <v>5774</v>
      </c>
      <c r="G1638" t="s">
        <v>512</v>
      </c>
    </row>
    <row r="1639" spans="1:7" x14ac:dyDescent="0.25">
      <c r="A1639" s="114">
        <v>349485</v>
      </c>
      <c r="B1639" s="90" t="s">
        <v>5775</v>
      </c>
      <c r="C1639" s="90" t="s">
        <v>508</v>
      </c>
      <c r="D1639" s="90" t="s">
        <v>5776</v>
      </c>
      <c r="E1639" s="90" t="s">
        <v>4325</v>
      </c>
      <c r="F1639" s="90" t="s">
        <v>5777</v>
      </c>
      <c r="G1639" t="s">
        <v>512</v>
      </c>
    </row>
    <row r="1640" spans="1:7" x14ac:dyDescent="0.25">
      <c r="A1640" s="114">
        <v>349514</v>
      </c>
      <c r="B1640" s="90" t="s">
        <v>5778</v>
      </c>
      <c r="C1640" s="90" t="s">
        <v>508</v>
      </c>
      <c r="D1640" s="90" t="s">
        <v>5779</v>
      </c>
      <c r="E1640" s="90" t="s">
        <v>2424</v>
      </c>
      <c r="F1640" s="90" t="s">
        <v>5780</v>
      </c>
      <c r="G1640" t="s">
        <v>512</v>
      </c>
    </row>
    <row r="1641" spans="1:7" x14ac:dyDescent="0.25">
      <c r="A1641" s="114">
        <v>349592</v>
      </c>
      <c r="B1641" s="90" t="s">
        <v>5781</v>
      </c>
      <c r="C1641" s="90" t="s">
        <v>508</v>
      </c>
      <c r="D1641" s="90" t="s">
        <v>3231</v>
      </c>
      <c r="E1641" s="90" t="s">
        <v>1256</v>
      </c>
      <c r="F1641" s="90" t="s">
        <v>5782</v>
      </c>
      <c r="G1641" t="s">
        <v>512</v>
      </c>
    </row>
    <row r="1642" spans="1:7" x14ac:dyDescent="0.25">
      <c r="A1642" s="114">
        <v>349880</v>
      </c>
      <c r="B1642" s="90" t="s">
        <v>5783</v>
      </c>
      <c r="C1642" s="90" t="s">
        <v>508</v>
      </c>
      <c r="D1642" s="90" t="s">
        <v>5784</v>
      </c>
      <c r="E1642" s="90" t="s">
        <v>5785</v>
      </c>
      <c r="F1642" s="90" t="s">
        <v>5786</v>
      </c>
      <c r="G1642" t="s">
        <v>512</v>
      </c>
    </row>
    <row r="1643" spans="1:7" x14ac:dyDescent="0.25">
      <c r="A1643" s="114">
        <v>350081</v>
      </c>
      <c r="B1643" s="90" t="s">
        <v>5787</v>
      </c>
      <c r="C1643" s="90" t="s">
        <v>508</v>
      </c>
      <c r="D1643" s="90" t="s">
        <v>5788</v>
      </c>
      <c r="E1643" s="90" t="s">
        <v>5789</v>
      </c>
      <c r="F1643" s="90" t="s">
        <v>5790</v>
      </c>
      <c r="G1643" t="s">
        <v>859</v>
      </c>
    </row>
    <row r="1644" spans="1:7" x14ac:dyDescent="0.25">
      <c r="A1644" s="114">
        <v>350125</v>
      </c>
      <c r="B1644" s="90" t="s">
        <v>5791</v>
      </c>
      <c r="C1644" s="90" t="s">
        <v>508</v>
      </c>
      <c r="D1644" s="90" t="s">
        <v>5792</v>
      </c>
      <c r="E1644" s="90" t="s">
        <v>2837</v>
      </c>
      <c r="F1644" s="90" t="s">
        <v>5793</v>
      </c>
      <c r="G1644" t="s">
        <v>512</v>
      </c>
    </row>
    <row r="1645" spans="1:7" x14ac:dyDescent="0.25">
      <c r="A1645" s="114">
        <v>350133</v>
      </c>
      <c r="B1645" s="90" t="s">
        <v>5794</v>
      </c>
      <c r="C1645" s="90" t="s">
        <v>508</v>
      </c>
      <c r="D1645" s="90" t="s">
        <v>5795</v>
      </c>
      <c r="E1645" s="90" t="s">
        <v>1089</v>
      </c>
      <c r="F1645" s="90" t="s">
        <v>5796</v>
      </c>
      <c r="G1645" t="s">
        <v>512</v>
      </c>
    </row>
    <row r="1646" spans="1:7" x14ac:dyDescent="0.25">
      <c r="A1646" s="114">
        <v>350144</v>
      </c>
      <c r="B1646" s="90" t="s">
        <v>5797</v>
      </c>
      <c r="C1646" s="90" t="s">
        <v>508</v>
      </c>
      <c r="D1646" s="90" t="s">
        <v>5798</v>
      </c>
      <c r="E1646" s="90" t="s">
        <v>5799</v>
      </c>
      <c r="F1646" s="90" t="s">
        <v>5800</v>
      </c>
      <c r="G1646" t="s">
        <v>512</v>
      </c>
    </row>
    <row r="1647" spans="1:7" x14ac:dyDescent="0.25">
      <c r="A1647" s="114">
        <v>350192</v>
      </c>
      <c r="B1647" s="90" t="s">
        <v>5312</v>
      </c>
      <c r="C1647" s="90" t="s">
        <v>508</v>
      </c>
      <c r="D1647" s="90" t="s">
        <v>5801</v>
      </c>
      <c r="E1647" s="90" t="s">
        <v>5802</v>
      </c>
      <c r="F1647" s="90" t="s">
        <v>5701</v>
      </c>
      <c r="G1647" t="s">
        <v>512</v>
      </c>
    </row>
    <row r="1648" spans="1:7" x14ac:dyDescent="0.25">
      <c r="A1648" s="114">
        <v>350248</v>
      </c>
      <c r="B1648" s="90" t="s">
        <v>573</v>
      </c>
      <c r="C1648" s="90" t="s">
        <v>508</v>
      </c>
      <c r="D1648" s="90" t="s">
        <v>5803</v>
      </c>
      <c r="E1648" s="90" t="s">
        <v>575</v>
      </c>
      <c r="F1648" s="90" t="s">
        <v>576</v>
      </c>
      <c r="G1648" t="s">
        <v>512</v>
      </c>
    </row>
    <row r="1649" spans="1:7" x14ac:dyDescent="0.25">
      <c r="A1649" s="114">
        <v>350372</v>
      </c>
      <c r="B1649" s="90" t="s">
        <v>3547</v>
      </c>
      <c r="C1649" s="90" t="s">
        <v>508</v>
      </c>
      <c r="D1649" s="90" t="s">
        <v>5804</v>
      </c>
      <c r="E1649" s="90" t="s">
        <v>675</v>
      </c>
      <c r="F1649" s="90" t="s">
        <v>5805</v>
      </c>
      <c r="G1649" t="s">
        <v>512</v>
      </c>
    </row>
    <row r="1650" spans="1:7" x14ac:dyDescent="0.25">
      <c r="A1650" s="114">
        <v>350380</v>
      </c>
      <c r="B1650" s="90" t="s">
        <v>5806</v>
      </c>
      <c r="C1650" s="90" t="s">
        <v>508</v>
      </c>
      <c r="D1650" s="90" t="s">
        <v>5807</v>
      </c>
      <c r="E1650" s="90" t="s">
        <v>5808</v>
      </c>
      <c r="F1650" s="90" t="s">
        <v>5809</v>
      </c>
      <c r="G1650" t="s">
        <v>512</v>
      </c>
    </row>
    <row r="1651" spans="1:7" x14ac:dyDescent="0.25">
      <c r="A1651" s="114">
        <v>350521</v>
      </c>
      <c r="B1651" s="90" t="s">
        <v>5810</v>
      </c>
      <c r="C1651" s="90" t="s">
        <v>508</v>
      </c>
      <c r="D1651" s="90" t="s">
        <v>5811</v>
      </c>
      <c r="E1651" s="90" t="s">
        <v>714</v>
      </c>
      <c r="F1651" s="90" t="s">
        <v>5812</v>
      </c>
      <c r="G1651" t="s">
        <v>512</v>
      </c>
    </row>
    <row r="1652" spans="1:7" x14ac:dyDescent="0.25">
      <c r="A1652" s="114">
        <v>350675</v>
      </c>
      <c r="B1652" s="90" t="s">
        <v>5813</v>
      </c>
      <c r="C1652" s="90" t="s">
        <v>508</v>
      </c>
      <c r="D1652" s="90" t="s">
        <v>5814</v>
      </c>
      <c r="E1652" s="90" t="s">
        <v>583</v>
      </c>
      <c r="F1652" s="90" t="s">
        <v>5815</v>
      </c>
      <c r="G1652" t="s">
        <v>512</v>
      </c>
    </row>
    <row r="1653" spans="1:7" x14ac:dyDescent="0.25">
      <c r="A1653" s="114">
        <v>350699</v>
      </c>
      <c r="B1653" s="90" t="s">
        <v>5816</v>
      </c>
      <c r="C1653" s="90" t="s">
        <v>508</v>
      </c>
      <c r="D1653" s="90" t="s">
        <v>4889</v>
      </c>
      <c r="E1653" s="90" t="s">
        <v>5817</v>
      </c>
      <c r="F1653" s="90" t="s">
        <v>5818</v>
      </c>
      <c r="G1653" t="s">
        <v>512</v>
      </c>
    </row>
    <row r="1654" spans="1:7" x14ac:dyDescent="0.25">
      <c r="A1654" s="114">
        <v>350775</v>
      </c>
      <c r="B1654" s="90" t="s">
        <v>5819</v>
      </c>
      <c r="C1654" s="90" t="s">
        <v>508</v>
      </c>
      <c r="D1654" s="90" t="s">
        <v>5820</v>
      </c>
      <c r="E1654" s="90" t="s">
        <v>5821</v>
      </c>
      <c r="F1654" s="90" t="s">
        <v>5822</v>
      </c>
      <c r="G1654" t="s">
        <v>512</v>
      </c>
    </row>
    <row r="1655" spans="1:7" x14ac:dyDescent="0.25">
      <c r="A1655" s="114">
        <v>350830</v>
      </c>
      <c r="B1655" s="90" t="s">
        <v>5823</v>
      </c>
      <c r="C1655" s="90" t="s">
        <v>508</v>
      </c>
      <c r="D1655" s="90" t="s">
        <v>4622</v>
      </c>
      <c r="E1655" s="90" t="s">
        <v>4599</v>
      </c>
      <c r="F1655" s="90" t="s">
        <v>5823</v>
      </c>
      <c r="G1655" t="s">
        <v>512</v>
      </c>
    </row>
    <row r="1656" spans="1:7" x14ac:dyDescent="0.25">
      <c r="A1656" s="114">
        <v>350886</v>
      </c>
      <c r="B1656" s="90" t="s">
        <v>5824</v>
      </c>
      <c r="C1656" s="90" t="s">
        <v>508</v>
      </c>
      <c r="D1656" s="90" t="s">
        <v>5825</v>
      </c>
      <c r="E1656" s="90" t="s">
        <v>4686</v>
      </c>
      <c r="F1656" s="90" t="s">
        <v>5826</v>
      </c>
      <c r="G1656" t="s">
        <v>512</v>
      </c>
    </row>
    <row r="1657" spans="1:7" x14ac:dyDescent="0.25">
      <c r="A1657" s="114">
        <v>350945</v>
      </c>
      <c r="B1657" s="90" t="s">
        <v>5827</v>
      </c>
      <c r="C1657" s="90" t="s">
        <v>508</v>
      </c>
      <c r="D1657" s="90" t="s">
        <v>1293</v>
      </c>
      <c r="E1657" s="90" t="s">
        <v>1294</v>
      </c>
      <c r="F1657" s="90" t="s">
        <v>5827</v>
      </c>
      <c r="G1657" t="s">
        <v>512</v>
      </c>
    </row>
    <row r="1658" spans="1:7" x14ac:dyDescent="0.25">
      <c r="A1658" s="114">
        <v>351026</v>
      </c>
      <c r="B1658" s="90" t="s">
        <v>5828</v>
      </c>
      <c r="C1658" s="90" t="s">
        <v>508</v>
      </c>
      <c r="D1658" s="90" t="s">
        <v>5829</v>
      </c>
      <c r="E1658" s="90" t="s">
        <v>972</v>
      </c>
      <c r="F1658" s="90" t="s">
        <v>5830</v>
      </c>
      <c r="G1658" t="s">
        <v>512</v>
      </c>
    </row>
    <row r="1659" spans="1:7" x14ac:dyDescent="0.25">
      <c r="A1659" s="114">
        <v>351049</v>
      </c>
      <c r="B1659" s="90" t="s">
        <v>5791</v>
      </c>
      <c r="C1659" s="90" t="s">
        <v>508</v>
      </c>
      <c r="D1659" s="90" t="s">
        <v>5831</v>
      </c>
      <c r="E1659" s="90" t="s">
        <v>2837</v>
      </c>
      <c r="F1659" s="90" t="s">
        <v>5793</v>
      </c>
      <c r="G1659" t="s">
        <v>512</v>
      </c>
    </row>
    <row r="1660" spans="1:7" x14ac:dyDescent="0.25">
      <c r="A1660" s="114">
        <v>351092</v>
      </c>
      <c r="B1660" s="90" t="s">
        <v>5832</v>
      </c>
      <c r="C1660" s="90" t="s">
        <v>508</v>
      </c>
      <c r="D1660" s="90" t="s">
        <v>5833</v>
      </c>
      <c r="E1660" s="90" t="s">
        <v>626</v>
      </c>
      <c r="F1660" s="90" t="s">
        <v>5834</v>
      </c>
      <c r="G1660" t="s">
        <v>512</v>
      </c>
    </row>
    <row r="1661" spans="1:7" x14ac:dyDescent="0.25">
      <c r="A1661" s="114">
        <v>351145</v>
      </c>
      <c r="B1661" s="90" t="s">
        <v>5835</v>
      </c>
      <c r="C1661" s="90" t="s">
        <v>508</v>
      </c>
      <c r="D1661" s="90" t="s">
        <v>5836</v>
      </c>
      <c r="E1661" s="90" t="s">
        <v>5837</v>
      </c>
      <c r="F1661" s="90" t="s">
        <v>5838</v>
      </c>
      <c r="G1661" t="s">
        <v>512</v>
      </c>
    </row>
    <row r="1662" spans="1:7" x14ac:dyDescent="0.25">
      <c r="A1662" s="114">
        <v>351151</v>
      </c>
      <c r="B1662" s="90" t="s">
        <v>5839</v>
      </c>
      <c r="C1662" s="90" t="s">
        <v>508</v>
      </c>
      <c r="D1662" s="90" t="s">
        <v>5840</v>
      </c>
      <c r="E1662" s="90" t="s">
        <v>3346</v>
      </c>
      <c r="F1662" s="90" t="s">
        <v>5841</v>
      </c>
      <c r="G1662" t="s">
        <v>512</v>
      </c>
    </row>
    <row r="1663" spans="1:7" x14ac:dyDescent="0.25">
      <c r="A1663" s="114">
        <v>351422</v>
      </c>
      <c r="B1663" s="90" t="s">
        <v>5842</v>
      </c>
      <c r="C1663" s="90" t="s">
        <v>508</v>
      </c>
      <c r="D1663" s="90" t="s">
        <v>5843</v>
      </c>
      <c r="E1663" s="90" t="s">
        <v>5844</v>
      </c>
      <c r="F1663" s="90" t="s">
        <v>5845</v>
      </c>
      <c r="G1663" t="s">
        <v>512</v>
      </c>
    </row>
    <row r="1664" spans="1:7" x14ac:dyDescent="0.25">
      <c r="A1664" s="114">
        <v>351528</v>
      </c>
      <c r="B1664" s="90" t="s">
        <v>5846</v>
      </c>
      <c r="C1664" s="90" t="s">
        <v>508</v>
      </c>
      <c r="D1664" s="90" t="s">
        <v>5719</v>
      </c>
      <c r="E1664" s="90" t="s">
        <v>2305</v>
      </c>
      <c r="F1664" s="90" t="s">
        <v>5847</v>
      </c>
      <c r="G1664" t="s">
        <v>512</v>
      </c>
    </row>
    <row r="1665" spans="1:7" x14ac:dyDescent="0.25">
      <c r="A1665" s="114">
        <v>351550</v>
      </c>
      <c r="B1665" s="90" t="s">
        <v>5848</v>
      </c>
      <c r="C1665" s="90" t="s">
        <v>508</v>
      </c>
      <c r="D1665" s="90" t="s">
        <v>5849</v>
      </c>
      <c r="E1665" s="90" t="s">
        <v>4177</v>
      </c>
      <c r="F1665" s="90" t="s">
        <v>5850</v>
      </c>
      <c r="G1665" t="s">
        <v>512</v>
      </c>
    </row>
    <row r="1666" spans="1:7" x14ac:dyDescent="0.25">
      <c r="A1666" s="114">
        <v>351554</v>
      </c>
      <c r="B1666" s="90" t="s">
        <v>5851</v>
      </c>
      <c r="C1666" s="90" t="s">
        <v>508</v>
      </c>
      <c r="D1666" s="90" t="s">
        <v>5852</v>
      </c>
      <c r="E1666" s="90" t="s">
        <v>3037</v>
      </c>
      <c r="F1666" s="90" t="s">
        <v>5853</v>
      </c>
      <c r="G1666" t="s">
        <v>512</v>
      </c>
    </row>
    <row r="1667" spans="1:7" x14ac:dyDescent="0.25">
      <c r="A1667" s="114">
        <v>351562</v>
      </c>
      <c r="B1667" s="90" t="s">
        <v>5854</v>
      </c>
      <c r="C1667" s="90" t="s">
        <v>508</v>
      </c>
      <c r="D1667" s="90" t="s">
        <v>5855</v>
      </c>
      <c r="E1667" s="90" t="s">
        <v>565</v>
      </c>
      <c r="F1667" s="90" t="s">
        <v>5856</v>
      </c>
      <c r="G1667" t="s">
        <v>512</v>
      </c>
    </row>
    <row r="1668" spans="1:7" x14ac:dyDescent="0.25">
      <c r="A1668" s="114">
        <v>351779</v>
      </c>
      <c r="B1668" s="90" t="s">
        <v>5857</v>
      </c>
      <c r="C1668" s="90" t="s">
        <v>508</v>
      </c>
      <c r="D1668" s="90" t="s">
        <v>5858</v>
      </c>
      <c r="E1668" s="90" t="s">
        <v>1153</v>
      </c>
      <c r="F1668" s="90" t="s">
        <v>5859</v>
      </c>
      <c r="G1668" t="s">
        <v>512</v>
      </c>
    </row>
    <row r="1669" spans="1:7" x14ac:dyDescent="0.25">
      <c r="A1669" s="114">
        <v>351807</v>
      </c>
      <c r="B1669" s="90" t="s">
        <v>5860</v>
      </c>
      <c r="C1669" s="90" t="s">
        <v>508</v>
      </c>
      <c r="D1669" s="90" t="s">
        <v>5861</v>
      </c>
      <c r="E1669" s="90" t="s">
        <v>5862</v>
      </c>
      <c r="F1669" s="90" t="s">
        <v>5863</v>
      </c>
      <c r="G1669" t="s">
        <v>512</v>
      </c>
    </row>
    <row r="1670" spans="1:7" x14ac:dyDescent="0.25">
      <c r="A1670" s="114">
        <v>351871</v>
      </c>
      <c r="B1670" s="90" t="s">
        <v>5864</v>
      </c>
      <c r="C1670" s="90" t="s">
        <v>508</v>
      </c>
      <c r="D1670" s="90" t="s">
        <v>5865</v>
      </c>
      <c r="E1670" s="90" t="s">
        <v>1160</v>
      </c>
      <c r="F1670" s="90" t="s">
        <v>5866</v>
      </c>
      <c r="G1670" t="s">
        <v>512</v>
      </c>
    </row>
    <row r="1671" spans="1:7" x14ac:dyDescent="0.25">
      <c r="A1671" s="114">
        <v>351904</v>
      </c>
      <c r="B1671" s="90" t="s">
        <v>5867</v>
      </c>
      <c r="C1671" s="90" t="s">
        <v>508</v>
      </c>
      <c r="D1671" s="90" t="s">
        <v>5868</v>
      </c>
      <c r="E1671" s="90" t="s">
        <v>5869</v>
      </c>
      <c r="F1671" s="90" t="s">
        <v>5870</v>
      </c>
      <c r="G1671" t="s">
        <v>512</v>
      </c>
    </row>
    <row r="1672" spans="1:7" x14ac:dyDescent="0.25">
      <c r="A1672" s="114">
        <v>352117</v>
      </c>
      <c r="B1672" s="90" t="s">
        <v>5871</v>
      </c>
      <c r="C1672" s="90" t="s">
        <v>508</v>
      </c>
      <c r="D1672" s="90" t="s">
        <v>5872</v>
      </c>
      <c r="E1672" s="90" t="s">
        <v>5873</v>
      </c>
      <c r="F1672" s="90" t="s">
        <v>5874</v>
      </c>
      <c r="G1672" t="s">
        <v>512</v>
      </c>
    </row>
    <row r="1673" spans="1:7" x14ac:dyDescent="0.25">
      <c r="A1673" s="114">
        <v>352252</v>
      </c>
      <c r="B1673" s="90" t="s">
        <v>5857</v>
      </c>
      <c r="C1673" s="90" t="s">
        <v>508</v>
      </c>
      <c r="D1673" s="90" t="s">
        <v>5875</v>
      </c>
      <c r="E1673" s="90" t="s">
        <v>4937</v>
      </c>
      <c r="F1673" s="90" t="s">
        <v>5859</v>
      </c>
      <c r="G1673" t="s">
        <v>512</v>
      </c>
    </row>
    <row r="1674" spans="1:7" x14ac:dyDescent="0.25">
      <c r="A1674" s="114">
        <v>352266</v>
      </c>
      <c r="B1674" s="90" t="s">
        <v>5876</v>
      </c>
      <c r="C1674" s="90" t="s">
        <v>508</v>
      </c>
      <c r="D1674" s="90" t="s">
        <v>5877</v>
      </c>
      <c r="E1674" s="90" t="s">
        <v>2073</v>
      </c>
      <c r="F1674" s="90" t="s">
        <v>5878</v>
      </c>
      <c r="G1674" t="s">
        <v>512</v>
      </c>
    </row>
    <row r="1675" spans="1:7" x14ac:dyDescent="0.25">
      <c r="A1675" s="114">
        <v>352270</v>
      </c>
      <c r="B1675" s="90" t="s">
        <v>5879</v>
      </c>
      <c r="C1675" s="90" t="s">
        <v>508</v>
      </c>
      <c r="D1675" s="90" t="s">
        <v>5880</v>
      </c>
      <c r="E1675" s="90" t="s">
        <v>5881</v>
      </c>
      <c r="F1675" s="90" t="s">
        <v>5882</v>
      </c>
      <c r="G1675" t="s">
        <v>512</v>
      </c>
    </row>
    <row r="1676" spans="1:7" x14ac:dyDescent="0.25">
      <c r="A1676" s="114">
        <v>352416</v>
      </c>
      <c r="B1676" s="90" t="s">
        <v>1401</v>
      </c>
      <c r="C1676" s="90" t="s">
        <v>508</v>
      </c>
      <c r="D1676" s="90" t="s">
        <v>4324</v>
      </c>
      <c r="E1676" s="90" t="s">
        <v>4325</v>
      </c>
      <c r="F1676" s="90" t="s">
        <v>5883</v>
      </c>
      <c r="G1676" t="s">
        <v>512</v>
      </c>
    </row>
    <row r="1677" spans="1:7" x14ac:dyDescent="0.25">
      <c r="A1677" s="114">
        <v>352423</v>
      </c>
      <c r="B1677" s="90" t="s">
        <v>5884</v>
      </c>
      <c r="C1677" s="90" t="s">
        <v>508</v>
      </c>
      <c r="D1677" s="90" t="s">
        <v>5885</v>
      </c>
      <c r="E1677" s="90" t="s">
        <v>5886</v>
      </c>
      <c r="F1677" s="90" t="s">
        <v>5887</v>
      </c>
      <c r="G1677" t="s">
        <v>512</v>
      </c>
    </row>
    <row r="1678" spans="1:7" x14ac:dyDescent="0.25">
      <c r="A1678" s="114">
        <v>352457</v>
      </c>
      <c r="B1678" s="90" t="s">
        <v>5888</v>
      </c>
      <c r="C1678" s="90" t="s">
        <v>508</v>
      </c>
      <c r="D1678" s="90" t="s">
        <v>5889</v>
      </c>
      <c r="E1678" s="90" t="s">
        <v>5890</v>
      </c>
      <c r="F1678" s="90" t="s">
        <v>5891</v>
      </c>
      <c r="G1678" t="s">
        <v>512</v>
      </c>
    </row>
    <row r="1679" spans="1:7" x14ac:dyDescent="0.25">
      <c r="A1679" s="114">
        <v>352458</v>
      </c>
      <c r="B1679" s="90" t="s">
        <v>5892</v>
      </c>
      <c r="C1679" s="90" t="s">
        <v>508</v>
      </c>
      <c r="D1679" s="90" t="s">
        <v>5893</v>
      </c>
      <c r="E1679" s="90" t="s">
        <v>5894</v>
      </c>
      <c r="F1679" s="90" t="s">
        <v>5895</v>
      </c>
      <c r="G1679" t="s">
        <v>512</v>
      </c>
    </row>
    <row r="1680" spans="1:7" x14ac:dyDescent="0.25">
      <c r="A1680" s="114">
        <v>352468</v>
      </c>
      <c r="B1680" s="90" t="s">
        <v>5896</v>
      </c>
      <c r="C1680" s="90" t="s">
        <v>508</v>
      </c>
      <c r="D1680" s="90" t="s">
        <v>5897</v>
      </c>
      <c r="E1680" s="90" t="s">
        <v>5898</v>
      </c>
      <c r="F1680" s="90" t="s">
        <v>5899</v>
      </c>
      <c r="G1680" t="s">
        <v>512</v>
      </c>
    </row>
    <row r="1681" spans="1:7" x14ac:dyDescent="0.25">
      <c r="A1681" s="114">
        <v>352561</v>
      </c>
      <c r="B1681" s="90" t="s">
        <v>5900</v>
      </c>
      <c r="C1681" s="90" t="s">
        <v>508</v>
      </c>
      <c r="D1681" s="90" t="s">
        <v>5901</v>
      </c>
      <c r="E1681" s="90" t="s">
        <v>5902</v>
      </c>
      <c r="F1681" s="90" t="s">
        <v>5903</v>
      </c>
      <c r="G1681" t="s">
        <v>512</v>
      </c>
    </row>
    <row r="1682" spans="1:7" x14ac:dyDescent="0.25">
      <c r="A1682" s="114">
        <v>352566</v>
      </c>
      <c r="B1682" s="90" t="s">
        <v>5904</v>
      </c>
      <c r="C1682" s="90" t="s">
        <v>508</v>
      </c>
      <c r="D1682" s="90" t="s">
        <v>5905</v>
      </c>
      <c r="E1682" s="90" t="s">
        <v>5906</v>
      </c>
      <c r="F1682" s="90" t="s">
        <v>5907</v>
      </c>
      <c r="G1682" t="s">
        <v>512</v>
      </c>
    </row>
    <row r="1683" spans="1:7" x14ac:dyDescent="0.25">
      <c r="A1683" s="114">
        <v>352596</v>
      </c>
      <c r="B1683" s="90" t="s">
        <v>5908</v>
      </c>
      <c r="C1683" s="90" t="s">
        <v>508</v>
      </c>
      <c r="D1683" s="90" t="s">
        <v>5909</v>
      </c>
      <c r="E1683" s="90" t="s">
        <v>698</v>
      </c>
      <c r="F1683" s="90" t="s">
        <v>5910</v>
      </c>
      <c r="G1683" t="s">
        <v>512</v>
      </c>
    </row>
    <row r="1684" spans="1:7" x14ac:dyDescent="0.25">
      <c r="A1684" s="114">
        <v>352669</v>
      </c>
      <c r="B1684" s="90" t="s">
        <v>5911</v>
      </c>
      <c r="C1684" s="90" t="s">
        <v>508</v>
      </c>
      <c r="D1684" s="90" t="s">
        <v>5912</v>
      </c>
      <c r="E1684" s="90" t="s">
        <v>5913</v>
      </c>
      <c r="F1684" s="90" t="s">
        <v>5914</v>
      </c>
      <c r="G1684" t="s">
        <v>512</v>
      </c>
    </row>
    <row r="1685" spans="1:7" x14ac:dyDescent="0.25">
      <c r="A1685" s="114">
        <v>352674</v>
      </c>
      <c r="B1685" s="90" t="s">
        <v>5915</v>
      </c>
      <c r="C1685" s="90" t="s">
        <v>508</v>
      </c>
      <c r="D1685" s="90" t="s">
        <v>5916</v>
      </c>
      <c r="E1685" s="90" t="s">
        <v>4166</v>
      </c>
      <c r="F1685" s="90" t="s">
        <v>5917</v>
      </c>
      <c r="G1685" t="s">
        <v>512</v>
      </c>
    </row>
    <row r="1686" spans="1:7" x14ac:dyDescent="0.25">
      <c r="A1686" s="114">
        <v>352693</v>
      </c>
      <c r="B1686" s="90" t="s">
        <v>5918</v>
      </c>
      <c r="C1686" s="90" t="s">
        <v>508</v>
      </c>
      <c r="D1686" s="90" t="s">
        <v>5919</v>
      </c>
      <c r="E1686" s="90" t="s">
        <v>5920</v>
      </c>
      <c r="F1686" s="90" t="s">
        <v>5921</v>
      </c>
      <c r="G1686" t="s">
        <v>512</v>
      </c>
    </row>
    <row r="1687" spans="1:7" x14ac:dyDescent="0.25">
      <c r="A1687" s="114">
        <v>352752</v>
      </c>
      <c r="B1687" s="90" t="s">
        <v>5922</v>
      </c>
      <c r="C1687" s="90" t="s">
        <v>508</v>
      </c>
      <c r="D1687" s="90" t="s">
        <v>5647</v>
      </c>
      <c r="E1687" s="90" t="s">
        <v>2837</v>
      </c>
      <c r="F1687" s="90" t="s">
        <v>5923</v>
      </c>
      <c r="G1687" t="s">
        <v>512</v>
      </c>
    </row>
    <row r="1688" spans="1:7" x14ac:dyDescent="0.25">
      <c r="A1688" s="114">
        <v>352755</v>
      </c>
      <c r="B1688" s="90" t="s">
        <v>5924</v>
      </c>
      <c r="C1688" s="90" t="s">
        <v>508</v>
      </c>
      <c r="D1688" s="90" t="s">
        <v>5925</v>
      </c>
      <c r="E1688" s="90" t="s">
        <v>2747</v>
      </c>
      <c r="F1688" s="90" t="s">
        <v>5926</v>
      </c>
      <c r="G1688" t="s">
        <v>512</v>
      </c>
    </row>
    <row r="1689" spans="1:7" x14ac:dyDescent="0.25">
      <c r="A1689" s="114">
        <v>352837</v>
      </c>
      <c r="B1689" s="90" t="s">
        <v>5927</v>
      </c>
      <c r="C1689" s="90" t="s">
        <v>508</v>
      </c>
      <c r="D1689" s="90" t="s">
        <v>5928</v>
      </c>
      <c r="E1689" s="90" t="s">
        <v>4599</v>
      </c>
      <c r="F1689" s="90" t="s">
        <v>5929</v>
      </c>
      <c r="G1689" t="s">
        <v>512</v>
      </c>
    </row>
    <row r="1690" spans="1:7" x14ac:dyDescent="0.25">
      <c r="A1690" s="114">
        <v>352865</v>
      </c>
      <c r="B1690" s="90" t="s">
        <v>3286</v>
      </c>
      <c r="C1690" s="90" t="s">
        <v>508</v>
      </c>
      <c r="D1690" s="90" t="s">
        <v>3287</v>
      </c>
      <c r="E1690" s="90" t="s">
        <v>818</v>
      </c>
      <c r="F1690" s="90" t="s">
        <v>5930</v>
      </c>
      <c r="G1690" t="s">
        <v>512</v>
      </c>
    </row>
    <row r="1691" spans="1:7" x14ac:dyDescent="0.25">
      <c r="A1691" s="114">
        <v>352991</v>
      </c>
      <c r="B1691" s="90" t="s">
        <v>5931</v>
      </c>
      <c r="C1691" s="90" t="s">
        <v>508</v>
      </c>
      <c r="D1691" s="90" t="s">
        <v>5932</v>
      </c>
      <c r="E1691" s="90" t="s">
        <v>626</v>
      </c>
      <c r="F1691" s="90" t="s">
        <v>5933</v>
      </c>
      <c r="G1691" t="s">
        <v>512</v>
      </c>
    </row>
    <row r="1692" spans="1:7" x14ac:dyDescent="0.25">
      <c r="A1692" s="114">
        <v>353029</v>
      </c>
      <c r="B1692" s="90" t="s">
        <v>1353</v>
      </c>
      <c r="C1692" s="90" t="s">
        <v>508</v>
      </c>
      <c r="D1692" s="90" t="s">
        <v>4065</v>
      </c>
      <c r="E1692" s="90" t="s">
        <v>583</v>
      </c>
      <c r="F1692" s="90" t="s">
        <v>5934</v>
      </c>
      <c r="G1692" t="s">
        <v>512</v>
      </c>
    </row>
    <row r="1693" spans="1:7" x14ac:dyDescent="0.25">
      <c r="A1693" s="114">
        <v>353078</v>
      </c>
      <c r="B1693" s="90" t="s">
        <v>5935</v>
      </c>
      <c r="C1693" s="90" t="s">
        <v>508</v>
      </c>
      <c r="D1693" s="90" t="s">
        <v>5936</v>
      </c>
      <c r="E1693" s="90" t="s">
        <v>5937</v>
      </c>
      <c r="F1693" s="90" t="s">
        <v>5938</v>
      </c>
      <c r="G1693" t="s">
        <v>512</v>
      </c>
    </row>
    <row r="1694" spans="1:7" x14ac:dyDescent="0.25">
      <c r="A1694" s="114">
        <v>353173</v>
      </c>
      <c r="B1694" s="90" t="s">
        <v>5939</v>
      </c>
      <c r="C1694" s="90" t="s">
        <v>508</v>
      </c>
      <c r="D1694" s="90" t="s">
        <v>5940</v>
      </c>
      <c r="E1694" s="90" t="s">
        <v>2492</v>
      </c>
      <c r="F1694" s="90" t="s">
        <v>5941</v>
      </c>
      <c r="G1694" t="s">
        <v>512</v>
      </c>
    </row>
    <row r="1695" spans="1:7" x14ac:dyDescent="0.25">
      <c r="A1695" s="114">
        <v>353328</v>
      </c>
      <c r="B1695" s="90" t="s">
        <v>5942</v>
      </c>
      <c r="C1695" s="90" t="s">
        <v>508</v>
      </c>
      <c r="D1695" s="90" t="s">
        <v>5943</v>
      </c>
      <c r="E1695" s="90" t="s">
        <v>547</v>
      </c>
      <c r="F1695" s="90" t="s">
        <v>5944</v>
      </c>
      <c r="G1695" t="s">
        <v>512</v>
      </c>
    </row>
    <row r="1696" spans="1:7" x14ac:dyDescent="0.25">
      <c r="A1696" s="114">
        <v>353415</v>
      </c>
      <c r="B1696" s="90" t="s">
        <v>5945</v>
      </c>
      <c r="C1696" s="90" t="s">
        <v>508</v>
      </c>
      <c r="D1696" s="90" t="s">
        <v>5946</v>
      </c>
      <c r="E1696" s="90" t="s">
        <v>1631</v>
      </c>
      <c r="F1696" s="90" t="s">
        <v>5947</v>
      </c>
      <c r="G1696" t="s">
        <v>512</v>
      </c>
    </row>
    <row r="1697" spans="1:7" x14ac:dyDescent="0.25">
      <c r="A1697" s="114">
        <v>353428</v>
      </c>
      <c r="B1697" s="90" t="s">
        <v>5948</v>
      </c>
      <c r="C1697" s="90" t="s">
        <v>508</v>
      </c>
      <c r="D1697" s="90" t="s">
        <v>5949</v>
      </c>
      <c r="E1697" s="90" t="s">
        <v>5950</v>
      </c>
      <c r="F1697" s="90" t="s">
        <v>5951</v>
      </c>
      <c r="G1697" t="s">
        <v>512</v>
      </c>
    </row>
    <row r="1698" spans="1:7" x14ac:dyDescent="0.25">
      <c r="A1698" s="114">
        <v>353452</v>
      </c>
      <c r="B1698" s="90" t="s">
        <v>5952</v>
      </c>
      <c r="C1698" s="90" t="s">
        <v>508</v>
      </c>
      <c r="D1698" s="90" t="s">
        <v>5953</v>
      </c>
      <c r="E1698" s="90" t="s">
        <v>5954</v>
      </c>
      <c r="F1698" s="90" t="s">
        <v>5955</v>
      </c>
      <c r="G1698" t="s">
        <v>512</v>
      </c>
    </row>
    <row r="1699" spans="1:7" x14ac:dyDescent="0.25">
      <c r="A1699" s="114">
        <v>353551</v>
      </c>
      <c r="B1699" s="90" t="s">
        <v>5956</v>
      </c>
      <c r="C1699" s="90" t="s">
        <v>508</v>
      </c>
      <c r="D1699" s="90" t="s">
        <v>5957</v>
      </c>
      <c r="E1699" s="90" t="s">
        <v>5387</v>
      </c>
      <c r="F1699" s="90" t="s">
        <v>5958</v>
      </c>
      <c r="G1699" t="s">
        <v>512</v>
      </c>
    </row>
    <row r="1700" spans="1:7" x14ac:dyDescent="0.25">
      <c r="A1700" s="114">
        <v>353750</v>
      </c>
      <c r="B1700" s="90" t="s">
        <v>5959</v>
      </c>
      <c r="C1700" s="90" t="s">
        <v>508</v>
      </c>
      <c r="D1700" s="90" t="s">
        <v>1524</v>
      </c>
      <c r="E1700" s="90" t="s">
        <v>1525</v>
      </c>
      <c r="F1700" s="90" t="s">
        <v>5960</v>
      </c>
      <c r="G1700" t="s">
        <v>512</v>
      </c>
    </row>
    <row r="1701" spans="1:7" x14ac:dyDescent="0.25">
      <c r="A1701" s="114">
        <v>353800</v>
      </c>
      <c r="B1701" s="90" t="s">
        <v>5961</v>
      </c>
      <c r="C1701" s="90" t="s">
        <v>508</v>
      </c>
      <c r="D1701" s="90" t="s">
        <v>5962</v>
      </c>
      <c r="E1701" s="90" t="s">
        <v>843</v>
      </c>
      <c r="F1701" s="90" t="s">
        <v>5963</v>
      </c>
      <c r="G1701" t="s">
        <v>512</v>
      </c>
    </row>
    <row r="1702" spans="1:7" x14ac:dyDescent="0.25">
      <c r="A1702" s="114">
        <v>353947</v>
      </c>
      <c r="B1702" s="90" t="s">
        <v>5964</v>
      </c>
      <c r="C1702" s="90" t="s">
        <v>508</v>
      </c>
      <c r="D1702" s="90" t="s">
        <v>5965</v>
      </c>
      <c r="E1702" s="90" t="s">
        <v>5966</v>
      </c>
      <c r="F1702" s="90" t="s">
        <v>5967</v>
      </c>
      <c r="G1702" t="s">
        <v>512</v>
      </c>
    </row>
    <row r="1703" spans="1:7" x14ac:dyDescent="0.25">
      <c r="A1703" s="114">
        <v>354161</v>
      </c>
      <c r="B1703" s="90" t="s">
        <v>5968</v>
      </c>
      <c r="C1703" s="90" t="s">
        <v>508</v>
      </c>
      <c r="D1703" s="90" t="s">
        <v>5969</v>
      </c>
      <c r="E1703" s="90" t="s">
        <v>5502</v>
      </c>
      <c r="F1703" s="90" t="s">
        <v>5970</v>
      </c>
      <c r="G1703" t="s">
        <v>512</v>
      </c>
    </row>
    <row r="1704" spans="1:7" x14ac:dyDescent="0.25">
      <c r="A1704" s="114">
        <v>354310</v>
      </c>
      <c r="B1704" s="90" t="s">
        <v>5971</v>
      </c>
      <c r="C1704" s="90" t="s">
        <v>508</v>
      </c>
      <c r="D1704" s="90" t="s">
        <v>5972</v>
      </c>
      <c r="E1704" s="90" t="s">
        <v>5973</v>
      </c>
      <c r="F1704" s="90" t="s">
        <v>5974</v>
      </c>
      <c r="G1704" t="s">
        <v>512</v>
      </c>
    </row>
    <row r="1705" spans="1:7" x14ac:dyDescent="0.25">
      <c r="A1705" s="114">
        <v>354536</v>
      </c>
      <c r="B1705" s="90" t="s">
        <v>5975</v>
      </c>
      <c r="C1705" s="90" t="s">
        <v>508</v>
      </c>
      <c r="D1705" s="90" t="s">
        <v>5976</v>
      </c>
      <c r="E1705" s="90" t="s">
        <v>5977</v>
      </c>
      <c r="F1705" s="90" t="s">
        <v>5978</v>
      </c>
      <c r="G1705" t="s">
        <v>512</v>
      </c>
    </row>
    <row r="1706" spans="1:7" x14ac:dyDescent="0.25">
      <c r="A1706" s="114">
        <v>354579</v>
      </c>
      <c r="B1706" s="90" t="s">
        <v>5979</v>
      </c>
      <c r="C1706" s="90" t="s">
        <v>508</v>
      </c>
      <c r="D1706" s="90" t="s">
        <v>594</v>
      </c>
      <c r="E1706" s="90" t="s">
        <v>587</v>
      </c>
      <c r="F1706" s="90" t="s">
        <v>5980</v>
      </c>
      <c r="G1706" t="s">
        <v>512</v>
      </c>
    </row>
    <row r="1707" spans="1:7" x14ac:dyDescent="0.25">
      <c r="A1707" s="114">
        <v>354726</v>
      </c>
      <c r="B1707" s="90" t="s">
        <v>5981</v>
      </c>
      <c r="C1707" s="90" t="s">
        <v>508</v>
      </c>
      <c r="D1707" s="90" t="s">
        <v>5982</v>
      </c>
      <c r="E1707" s="90" t="s">
        <v>4259</v>
      </c>
      <c r="F1707" s="90" t="s">
        <v>5983</v>
      </c>
      <c r="G1707" t="s">
        <v>512</v>
      </c>
    </row>
    <row r="1708" spans="1:7" x14ac:dyDescent="0.25">
      <c r="A1708" s="114">
        <v>354865</v>
      </c>
      <c r="B1708" s="90" t="s">
        <v>5984</v>
      </c>
      <c r="C1708" s="90" t="s">
        <v>508</v>
      </c>
      <c r="D1708" s="90" t="s">
        <v>5985</v>
      </c>
      <c r="E1708" s="90" t="s">
        <v>5986</v>
      </c>
      <c r="F1708" s="90" t="s">
        <v>5987</v>
      </c>
      <c r="G1708" t="s">
        <v>512</v>
      </c>
    </row>
    <row r="1709" spans="1:7" x14ac:dyDescent="0.25">
      <c r="A1709" s="114">
        <v>354883</v>
      </c>
      <c r="B1709" s="90" t="s">
        <v>1894</v>
      </c>
      <c r="C1709" s="90" t="s">
        <v>508</v>
      </c>
      <c r="D1709" s="90" t="s">
        <v>5988</v>
      </c>
      <c r="E1709" s="90" t="s">
        <v>5989</v>
      </c>
      <c r="F1709" s="90" t="s">
        <v>5990</v>
      </c>
      <c r="G1709" t="s">
        <v>512</v>
      </c>
    </row>
    <row r="1710" spans="1:7" x14ac:dyDescent="0.25">
      <c r="A1710" s="114">
        <v>354921</v>
      </c>
      <c r="B1710" s="90" t="s">
        <v>5991</v>
      </c>
      <c r="C1710" s="90" t="s">
        <v>508</v>
      </c>
      <c r="D1710" s="90" t="s">
        <v>5992</v>
      </c>
      <c r="E1710" s="90" t="s">
        <v>4607</v>
      </c>
      <c r="F1710" s="90" t="s">
        <v>5993</v>
      </c>
      <c r="G1710" t="s">
        <v>512</v>
      </c>
    </row>
    <row r="1711" spans="1:7" x14ac:dyDescent="0.25">
      <c r="A1711" s="114">
        <v>354958</v>
      </c>
      <c r="B1711" s="90" t="s">
        <v>5994</v>
      </c>
      <c r="C1711" s="90" t="s">
        <v>508</v>
      </c>
      <c r="D1711" s="90" t="s">
        <v>5662</v>
      </c>
      <c r="E1711" s="90" t="s">
        <v>1136</v>
      </c>
      <c r="F1711" s="90" t="s">
        <v>5995</v>
      </c>
      <c r="G1711" t="s">
        <v>512</v>
      </c>
    </row>
    <row r="1712" spans="1:7" x14ac:dyDescent="0.25">
      <c r="A1712" s="114">
        <v>355056</v>
      </c>
      <c r="B1712" s="90" t="s">
        <v>5996</v>
      </c>
      <c r="C1712" s="90" t="s">
        <v>508</v>
      </c>
      <c r="D1712" s="90" t="s">
        <v>5997</v>
      </c>
      <c r="E1712" s="90" t="s">
        <v>2571</v>
      </c>
      <c r="F1712" s="90" t="s">
        <v>5998</v>
      </c>
      <c r="G1712" t="s">
        <v>512</v>
      </c>
    </row>
    <row r="1713" spans="1:7" x14ac:dyDescent="0.25">
      <c r="A1713" s="114">
        <v>355121</v>
      </c>
      <c r="B1713" s="90" t="s">
        <v>5999</v>
      </c>
      <c r="C1713" s="90" t="s">
        <v>508</v>
      </c>
      <c r="D1713" s="90" t="s">
        <v>6000</v>
      </c>
      <c r="E1713" s="90" t="s">
        <v>6001</v>
      </c>
      <c r="F1713" s="90" t="s">
        <v>6002</v>
      </c>
      <c r="G1713" t="s">
        <v>512</v>
      </c>
    </row>
    <row r="1714" spans="1:7" x14ac:dyDescent="0.25">
      <c r="A1714" s="114">
        <v>355147</v>
      </c>
      <c r="B1714" s="90" t="s">
        <v>6003</v>
      </c>
      <c r="C1714" s="90" t="s">
        <v>508</v>
      </c>
      <c r="D1714" s="90" t="s">
        <v>6004</v>
      </c>
      <c r="E1714" s="90" t="s">
        <v>1256</v>
      </c>
      <c r="F1714" s="90" t="s">
        <v>6005</v>
      </c>
      <c r="G1714" t="s">
        <v>512</v>
      </c>
    </row>
    <row r="1715" spans="1:7" x14ac:dyDescent="0.25">
      <c r="A1715" s="114">
        <v>355187</v>
      </c>
      <c r="B1715" s="90" t="s">
        <v>6006</v>
      </c>
      <c r="C1715" s="90" t="s">
        <v>508</v>
      </c>
      <c r="D1715" s="90" t="s">
        <v>6007</v>
      </c>
      <c r="E1715" s="90" t="s">
        <v>6008</v>
      </c>
      <c r="F1715" s="90" t="s">
        <v>6009</v>
      </c>
      <c r="G1715" t="s">
        <v>512</v>
      </c>
    </row>
    <row r="1716" spans="1:7" x14ac:dyDescent="0.25">
      <c r="A1716" s="114">
        <v>355205</v>
      </c>
      <c r="B1716" s="90" t="s">
        <v>6010</v>
      </c>
      <c r="C1716" s="90" t="s">
        <v>508</v>
      </c>
      <c r="D1716" s="90" t="s">
        <v>4559</v>
      </c>
      <c r="E1716" s="90" t="s">
        <v>4560</v>
      </c>
      <c r="F1716" s="90" t="s">
        <v>6011</v>
      </c>
      <c r="G1716" t="s">
        <v>512</v>
      </c>
    </row>
    <row r="1717" spans="1:7" x14ac:dyDescent="0.25">
      <c r="A1717" s="114">
        <v>355254</v>
      </c>
      <c r="B1717" s="90" t="s">
        <v>6012</v>
      </c>
      <c r="C1717" s="90" t="s">
        <v>508</v>
      </c>
      <c r="D1717" s="90" t="s">
        <v>4312</v>
      </c>
      <c r="E1717" s="90" t="s">
        <v>547</v>
      </c>
      <c r="F1717" s="90" t="s">
        <v>6013</v>
      </c>
      <c r="G1717" t="s">
        <v>512</v>
      </c>
    </row>
    <row r="1718" spans="1:7" x14ac:dyDescent="0.25">
      <c r="A1718" s="114">
        <v>355363</v>
      </c>
      <c r="B1718" s="90" t="s">
        <v>6014</v>
      </c>
      <c r="C1718" s="90" t="s">
        <v>508</v>
      </c>
      <c r="D1718" s="90" t="s">
        <v>6015</v>
      </c>
      <c r="E1718" s="90" t="s">
        <v>818</v>
      </c>
      <c r="F1718" s="90" t="s">
        <v>6016</v>
      </c>
      <c r="G1718" t="s">
        <v>512</v>
      </c>
    </row>
    <row r="1719" spans="1:7" x14ac:dyDescent="0.25">
      <c r="A1719" s="114">
        <v>355367</v>
      </c>
      <c r="B1719" s="90" t="s">
        <v>6017</v>
      </c>
      <c r="C1719" s="90" t="s">
        <v>508</v>
      </c>
      <c r="D1719" s="90" t="s">
        <v>6018</v>
      </c>
      <c r="E1719" s="90" t="s">
        <v>1190</v>
      </c>
      <c r="F1719" s="90" t="s">
        <v>6019</v>
      </c>
      <c r="G1719" t="s">
        <v>512</v>
      </c>
    </row>
    <row r="1720" spans="1:7" x14ac:dyDescent="0.25">
      <c r="A1720" s="114">
        <v>355419</v>
      </c>
      <c r="B1720" s="90" t="s">
        <v>6020</v>
      </c>
      <c r="C1720" s="90" t="s">
        <v>508</v>
      </c>
      <c r="D1720" s="90" t="s">
        <v>3357</v>
      </c>
      <c r="E1720" s="90" t="s">
        <v>811</v>
      </c>
      <c r="F1720" s="90" t="s">
        <v>6021</v>
      </c>
      <c r="G1720" t="s">
        <v>512</v>
      </c>
    </row>
    <row r="1721" spans="1:7" x14ac:dyDescent="0.25">
      <c r="A1721" s="114">
        <v>355449</v>
      </c>
      <c r="B1721" s="90" t="s">
        <v>6022</v>
      </c>
      <c r="C1721" s="90" t="s">
        <v>508</v>
      </c>
      <c r="D1721" s="90" t="s">
        <v>6023</v>
      </c>
      <c r="E1721" s="90" t="s">
        <v>6024</v>
      </c>
      <c r="F1721" s="90" t="s">
        <v>6025</v>
      </c>
      <c r="G1721" t="s">
        <v>512</v>
      </c>
    </row>
    <row r="1722" spans="1:7" x14ac:dyDescent="0.25">
      <c r="A1722" s="114">
        <v>355548</v>
      </c>
      <c r="B1722" s="90" t="s">
        <v>6026</v>
      </c>
      <c r="C1722" s="90" t="s">
        <v>508</v>
      </c>
      <c r="D1722" s="90" t="s">
        <v>6027</v>
      </c>
      <c r="E1722" s="90" t="s">
        <v>1892</v>
      </c>
      <c r="F1722" s="90" t="s">
        <v>6028</v>
      </c>
      <c r="G1722" t="s">
        <v>512</v>
      </c>
    </row>
    <row r="1723" spans="1:7" x14ac:dyDescent="0.25">
      <c r="A1723" s="114">
        <v>355717</v>
      </c>
      <c r="B1723" s="90" t="s">
        <v>6029</v>
      </c>
      <c r="C1723" s="90" t="s">
        <v>508</v>
      </c>
      <c r="D1723" s="90" t="s">
        <v>3327</v>
      </c>
      <c r="E1723" s="90" t="s">
        <v>945</v>
      </c>
      <c r="F1723" s="90" t="s">
        <v>6030</v>
      </c>
      <c r="G1723" t="s">
        <v>512</v>
      </c>
    </row>
    <row r="1724" spans="1:7" x14ac:dyDescent="0.25">
      <c r="A1724" s="114">
        <v>355817</v>
      </c>
      <c r="B1724" s="90" t="s">
        <v>6031</v>
      </c>
      <c r="C1724" s="90" t="s">
        <v>508</v>
      </c>
      <c r="D1724" s="90" t="s">
        <v>6032</v>
      </c>
      <c r="E1724" s="90" t="s">
        <v>2469</v>
      </c>
      <c r="F1724" s="90" t="s">
        <v>6033</v>
      </c>
      <c r="G1724" t="s">
        <v>512</v>
      </c>
    </row>
    <row r="1725" spans="1:7" x14ac:dyDescent="0.25">
      <c r="A1725" s="114">
        <v>355845</v>
      </c>
      <c r="B1725" s="90" t="s">
        <v>6034</v>
      </c>
      <c r="C1725" s="90" t="s">
        <v>508</v>
      </c>
      <c r="D1725" s="90" t="s">
        <v>6035</v>
      </c>
      <c r="E1725" s="90" t="s">
        <v>995</v>
      </c>
      <c r="F1725" s="90" t="s">
        <v>6036</v>
      </c>
      <c r="G1725" t="s">
        <v>512</v>
      </c>
    </row>
    <row r="1726" spans="1:7" x14ac:dyDescent="0.25">
      <c r="A1726" s="114">
        <v>355868</v>
      </c>
      <c r="B1726" s="90" t="s">
        <v>6037</v>
      </c>
      <c r="C1726" s="90" t="s">
        <v>508</v>
      </c>
      <c r="D1726" s="90" t="s">
        <v>4421</v>
      </c>
      <c r="E1726" s="90" t="s">
        <v>818</v>
      </c>
      <c r="F1726" s="90" t="s">
        <v>6038</v>
      </c>
      <c r="G1726" t="s">
        <v>512</v>
      </c>
    </row>
    <row r="1727" spans="1:7" x14ac:dyDescent="0.25">
      <c r="A1727" s="114">
        <v>355887</v>
      </c>
      <c r="B1727" s="90" t="s">
        <v>6039</v>
      </c>
      <c r="C1727" s="90" t="s">
        <v>508</v>
      </c>
      <c r="D1727" s="90" t="s">
        <v>6040</v>
      </c>
      <c r="E1727" s="90" t="s">
        <v>6041</v>
      </c>
      <c r="F1727" s="90" t="s">
        <v>6042</v>
      </c>
      <c r="G1727" t="s">
        <v>512</v>
      </c>
    </row>
    <row r="1728" spans="1:7" x14ac:dyDescent="0.25">
      <c r="A1728" s="114">
        <v>356048</v>
      </c>
      <c r="B1728" s="90" t="s">
        <v>6043</v>
      </c>
      <c r="C1728" s="90" t="s">
        <v>508</v>
      </c>
      <c r="D1728" s="90" t="s">
        <v>6044</v>
      </c>
      <c r="E1728" s="90" t="s">
        <v>6045</v>
      </c>
      <c r="F1728" s="90" t="s">
        <v>6046</v>
      </c>
      <c r="G1728" t="s">
        <v>512</v>
      </c>
    </row>
    <row r="1729" spans="1:7" x14ac:dyDescent="0.25">
      <c r="A1729" s="114">
        <v>356090</v>
      </c>
      <c r="B1729" s="90" t="s">
        <v>6047</v>
      </c>
      <c r="C1729" s="90" t="s">
        <v>508</v>
      </c>
      <c r="D1729" s="90" t="s">
        <v>4571</v>
      </c>
      <c r="E1729" s="90" t="s">
        <v>698</v>
      </c>
      <c r="F1729" s="90" t="s">
        <v>6048</v>
      </c>
      <c r="G1729" t="s">
        <v>512</v>
      </c>
    </row>
    <row r="1730" spans="1:7" x14ac:dyDescent="0.25">
      <c r="A1730" s="114">
        <v>356095</v>
      </c>
      <c r="B1730" s="90" t="s">
        <v>6049</v>
      </c>
      <c r="C1730" s="90" t="s">
        <v>508</v>
      </c>
      <c r="D1730" s="90" t="s">
        <v>6050</v>
      </c>
      <c r="E1730" s="90" t="s">
        <v>1264</v>
      </c>
      <c r="F1730" s="90" t="s">
        <v>6051</v>
      </c>
      <c r="G1730" t="s">
        <v>512</v>
      </c>
    </row>
    <row r="1731" spans="1:7" x14ac:dyDescent="0.25">
      <c r="A1731" s="114">
        <v>356157</v>
      </c>
      <c r="B1731" s="90" t="s">
        <v>6052</v>
      </c>
      <c r="C1731" s="90" t="s">
        <v>508</v>
      </c>
      <c r="D1731" s="90" t="s">
        <v>4856</v>
      </c>
      <c r="E1731" s="90" t="s">
        <v>698</v>
      </c>
      <c r="F1731" s="90" t="s">
        <v>6053</v>
      </c>
      <c r="G1731" t="s">
        <v>512</v>
      </c>
    </row>
    <row r="1732" spans="1:7" x14ac:dyDescent="0.25">
      <c r="A1732" s="114">
        <v>356162</v>
      </c>
      <c r="B1732" s="90" t="s">
        <v>6054</v>
      </c>
      <c r="C1732" s="90" t="s">
        <v>508</v>
      </c>
      <c r="D1732" s="90" t="s">
        <v>6055</v>
      </c>
      <c r="E1732" s="90" t="s">
        <v>6056</v>
      </c>
      <c r="F1732" s="90" t="s">
        <v>6057</v>
      </c>
      <c r="G1732" t="s">
        <v>512</v>
      </c>
    </row>
    <row r="1733" spans="1:7" x14ac:dyDescent="0.25">
      <c r="A1733" s="114">
        <v>356233</v>
      </c>
      <c r="B1733" s="90" t="s">
        <v>6058</v>
      </c>
      <c r="C1733" s="90" t="s">
        <v>508</v>
      </c>
      <c r="D1733" s="90" t="s">
        <v>6059</v>
      </c>
      <c r="E1733" s="90" t="s">
        <v>563</v>
      </c>
      <c r="F1733" s="90" t="s">
        <v>6060</v>
      </c>
      <c r="G1733" t="s">
        <v>512</v>
      </c>
    </row>
    <row r="1734" spans="1:7" x14ac:dyDescent="0.25">
      <c r="A1734" s="114">
        <v>356236</v>
      </c>
      <c r="B1734" s="90" t="s">
        <v>6061</v>
      </c>
      <c r="C1734" s="90" t="s">
        <v>508</v>
      </c>
      <c r="D1734" s="90" t="s">
        <v>6062</v>
      </c>
      <c r="E1734" s="90" t="s">
        <v>6063</v>
      </c>
      <c r="F1734" s="90" t="s">
        <v>6064</v>
      </c>
      <c r="G1734" t="s">
        <v>512</v>
      </c>
    </row>
    <row r="1735" spans="1:7" x14ac:dyDescent="0.25">
      <c r="A1735" s="114">
        <v>356258</v>
      </c>
      <c r="B1735" s="90" t="s">
        <v>6065</v>
      </c>
      <c r="C1735" s="90" t="s">
        <v>508</v>
      </c>
      <c r="D1735" s="90" t="s">
        <v>6066</v>
      </c>
      <c r="E1735" s="90" t="s">
        <v>847</v>
      </c>
      <c r="F1735" s="90" t="s">
        <v>6067</v>
      </c>
      <c r="G1735" t="s">
        <v>512</v>
      </c>
    </row>
    <row r="1736" spans="1:7" x14ac:dyDescent="0.25">
      <c r="A1736" s="114">
        <v>356263</v>
      </c>
      <c r="B1736" s="90" t="s">
        <v>6068</v>
      </c>
      <c r="C1736" s="90" t="s">
        <v>508</v>
      </c>
      <c r="D1736" s="90" t="s">
        <v>6069</v>
      </c>
      <c r="E1736" s="90" t="s">
        <v>6070</v>
      </c>
      <c r="F1736" s="90" t="s">
        <v>6071</v>
      </c>
      <c r="G1736" t="s">
        <v>512</v>
      </c>
    </row>
    <row r="1737" spans="1:7" x14ac:dyDescent="0.25">
      <c r="A1737" s="114">
        <v>356345</v>
      </c>
      <c r="B1737" s="90" t="s">
        <v>6072</v>
      </c>
      <c r="C1737" s="90" t="s">
        <v>508</v>
      </c>
      <c r="D1737" s="90" t="s">
        <v>6073</v>
      </c>
      <c r="E1737" s="90" t="s">
        <v>1866</v>
      </c>
      <c r="F1737" s="90" t="s">
        <v>6074</v>
      </c>
      <c r="G1737" t="s">
        <v>512</v>
      </c>
    </row>
    <row r="1738" spans="1:7" x14ac:dyDescent="0.25">
      <c r="A1738" s="114">
        <v>356549</v>
      </c>
      <c r="B1738" s="90" t="s">
        <v>6075</v>
      </c>
      <c r="C1738" s="90" t="s">
        <v>508</v>
      </c>
      <c r="D1738" s="90" t="s">
        <v>6076</v>
      </c>
      <c r="E1738" s="90" t="s">
        <v>6077</v>
      </c>
      <c r="F1738" s="90" t="s">
        <v>6078</v>
      </c>
      <c r="G1738" t="s">
        <v>512</v>
      </c>
    </row>
    <row r="1739" spans="1:7" x14ac:dyDescent="0.25">
      <c r="A1739" s="114">
        <v>356671</v>
      </c>
      <c r="B1739" s="90" t="s">
        <v>6079</v>
      </c>
      <c r="C1739" s="90" t="s">
        <v>508</v>
      </c>
      <c r="D1739" s="90" t="s">
        <v>6080</v>
      </c>
      <c r="E1739" s="90" t="s">
        <v>6081</v>
      </c>
      <c r="F1739" s="90" t="s">
        <v>6082</v>
      </c>
      <c r="G1739" t="s">
        <v>512</v>
      </c>
    </row>
    <row r="1740" spans="1:7" x14ac:dyDescent="0.25">
      <c r="A1740" s="114">
        <v>356697</v>
      </c>
      <c r="B1740" s="90" t="s">
        <v>6083</v>
      </c>
      <c r="C1740" s="90" t="s">
        <v>508</v>
      </c>
      <c r="D1740" s="90" t="s">
        <v>6084</v>
      </c>
      <c r="E1740" s="90" t="s">
        <v>2424</v>
      </c>
      <c r="F1740" s="90" t="s">
        <v>6085</v>
      </c>
      <c r="G1740" t="s">
        <v>512</v>
      </c>
    </row>
    <row r="1741" spans="1:7" x14ac:dyDescent="0.25">
      <c r="A1741" s="114">
        <v>356715</v>
      </c>
      <c r="B1741" s="90" t="s">
        <v>6086</v>
      </c>
      <c r="C1741" s="90" t="s">
        <v>508</v>
      </c>
      <c r="D1741" s="90" t="s">
        <v>6087</v>
      </c>
      <c r="E1741" s="90" t="s">
        <v>5502</v>
      </c>
      <c r="F1741" s="90" t="s">
        <v>6088</v>
      </c>
      <c r="G1741" t="s">
        <v>512</v>
      </c>
    </row>
    <row r="1742" spans="1:7" x14ac:dyDescent="0.25">
      <c r="A1742" s="114">
        <v>356754</v>
      </c>
      <c r="B1742" s="90" t="s">
        <v>6089</v>
      </c>
      <c r="C1742" s="90" t="s">
        <v>508</v>
      </c>
      <c r="D1742" s="90" t="s">
        <v>3327</v>
      </c>
      <c r="E1742" s="90" t="s">
        <v>945</v>
      </c>
      <c r="F1742" s="90" t="s">
        <v>6090</v>
      </c>
      <c r="G1742" t="s">
        <v>512</v>
      </c>
    </row>
    <row r="1743" spans="1:7" x14ac:dyDescent="0.25">
      <c r="A1743" s="114">
        <v>356757</v>
      </c>
      <c r="B1743" s="90" t="s">
        <v>6091</v>
      </c>
      <c r="C1743" s="90" t="s">
        <v>508</v>
      </c>
      <c r="D1743" s="90" t="s">
        <v>6092</v>
      </c>
      <c r="E1743" s="90" t="s">
        <v>3568</v>
      </c>
      <c r="F1743" s="90" t="s">
        <v>6093</v>
      </c>
      <c r="G1743" t="s">
        <v>512</v>
      </c>
    </row>
    <row r="1744" spans="1:7" x14ac:dyDescent="0.25">
      <c r="A1744" s="114">
        <v>356931</v>
      </c>
      <c r="B1744" s="90" t="s">
        <v>6094</v>
      </c>
      <c r="C1744" s="90" t="s">
        <v>508</v>
      </c>
      <c r="D1744" s="90" t="s">
        <v>6095</v>
      </c>
      <c r="E1744" s="90" t="s">
        <v>6001</v>
      </c>
      <c r="F1744" s="90" t="s">
        <v>6096</v>
      </c>
      <c r="G1744" t="s">
        <v>512</v>
      </c>
    </row>
    <row r="1745" spans="1:7" x14ac:dyDescent="0.25">
      <c r="A1745" s="114">
        <v>356999</v>
      </c>
      <c r="B1745" s="90" t="s">
        <v>3725</v>
      </c>
      <c r="C1745" s="90" t="s">
        <v>508</v>
      </c>
      <c r="D1745" s="90" t="s">
        <v>5275</v>
      </c>
      <c r="E1745" s="90" t="s">
        <v>3727</v>
      </c>
      <c r="F1745" s="90" t="s">
        <v>6097</v>
      </c>
      <c r="G1745" t="s">
        <v>859</v>
      </c>
    </row>
    <row r="1746" spans="1:7" x14ac:dyDescent="0.25">
      <c r="A1746" s="114">
        <v>357003</v>
      </c>
      <c r="B1746" s="90" t="s">
        <v>6098</v>
      </c>
      <c r="C1746" s="90" t="s">
        <v>508</v>
      </c>
      <c r="D1746" s="90" t="s">
        <v>3753</v>
      </c>
      <c r="E1746" s="90" t="s">
        <v>547</v>
      </c>
      <c r="F1746" s="90" t="s">
        <v>6099</v>
      </c>
      <c r="G1746" t="s">
        <v>512</v>
      </c>
    </row>
    <row r="1747" spans="1:7" x14ac:dyDescent="0.25">
      <c r="A1747" s="114">
        <v>357153</v>
      </c>
      <c r="B1747" s="90" t="s">
        <v>6100</v>
      </c>
      <c r="C1747" s="90" t="s">
        <v>508</v>
      </c>
      <c r="D1747" s="90" t="s">
        <v>6101</v>
      </c>
      <c r="E1747" s="90" t="s">
        <v>583</v>
      </c>
      <c r="F1747" s="90" t="s">
        <v>6102</v>
      </c>
      <c r="G1747" t="s">
        <v>512</v>
      </c>
    </row>
    <row r="1748" spans="1:7" x14ac:dyDescent="0.25">
      <c r="A1748" s="114">
        <v>357192</v>
      </c>
      <c r="B1748" s="90" t="s">
        <v>6103</v>
      </c>
      <c r="C1748" s="90" t="s">
        <v>508</v>
      </c>
      <c r="D1748" s="90" t="s">
        <v>4738</v>
      </c>
      <c r="E1748" s="90" t="s">
        <v>4739</v>
      </c>
      <c r="F1748" s="90" t="s">
        <v>6104</v>
      </c>
      <c r="G1748" t="s">
        <v>512</v>
      </c>
    </row>
    <row r="1749" spans="1:7" x14ac:dyDescent="0.25">
      <c r="A1749" s="114">
        <v>357287</v>
      </c>
      <c r="B1749" s="90" t="s">
        <v>6105</v>
      </c>
      <c r="C1749" s="90" t="s">
        <v>508</v>
      </c>
      <c r="D1749" s="90" t="s">
        <v>6106</v>
      </c>
      <c r="E1749" s="90" t="s">
        <v>4360</v>
      </c>
      <c r="F1749" s="90" t="s">
        <v>6107</v>
      </c>
      <c r="G1749" t="s">
        <v>512</v>
      </c>
    </row>
    <row r="1750" spans="1:7" x14ac:dyDescent="0.25">
      <c r="A1750" s="114">
        <v>357318</v>
      </c>
      <c r="B1750" s="90" t="s">
        <v>6108</v>
      </c>
      <c r="C1750" s="90" t="s">
        <v>508</v>
      </c>
      <c r="D1750" s="90" t="s">
        <v>6109</v>
      </c>
      <c r="E1750" s="90" t="s">
        <v>4162</v>
      </c>
      <c r="F1750" s="90" t="s">
        <v>6110</v>
      </c>
      <c r="G1750" t="s">
        <v>512</v>
      </c>
    </row>
    <row r="1751" spans="1:7" x14ac:dyDescent="0.25">
      <c r="A1751" s="114">
        <v>357398</v>
      </c>
      <c r="B1751" s="90" t="s">
        <v>6111</v>
      </c>
      <c r="C1751" s="90" t="s">
        <v>508</v>
      </c>
      <c r="D1751" s="90" t="s">
        <v>5946</v>
      </c>
      <c r="E1751" s="90" t="s">
        <v>1631</v>
      </c>
      <c r="F1751" s="90" t="s">
        <v>6112</v>
      </c>
      <c r="G1751" t="s">
        <v>512</v>
      </c>
    </row>
    <row r="1752" spans="1:7" x14ac:dyDescent="0.25">
      <c r="A1752" s="114">
        <v>357413</v>
      </c>
      <c r="B1752" s="90" t="s">
        <v>6113</v>
      </c>
      <c r="C1752" s="90" t="s">
        <v>508</v>
      </c>
      <c r="D1752" s="90" t="s">
        <v>6114</v>
      </c>
      <c r="E1752" s="90" t="s">
        <v>6115</v>
      </c>
      <c r="F1752" s="90" t="s">
        <v>6116</v>
      </c>
      <c r="G1752" t="s">
        <v>512</v>
      </c>
    </row>
    <row r="1753" spans="1:7" x14ac:dyDescent="0.25">
      <c r="A1753" s="114">
        <v>357472</v>
      </c>
      <c r="B1753" s="90" t="s">
        <v>6117</v>
      </c>
      <c r="C1753" s="90" t="s">
        <v>508</v>
      </c>
      <c r="D1753" s="90" t="s">
        <v>6118</v>
      </c>
      <c r="E1753" s="90" t="s">
        <v>3897</v>
      </c>
      <c r="F1753" s="90" t="s">
        <v>6119</v>
      </c>
      <c r="G1753" t="s">
        <v>512</v>
      </c>
    </row>
    <row r="1754" spans="1:7" x14ac:dyDescent="0.25">
      <c r="A1754" s="114">
        <v>357517</v>
      </c>
      <c r="B1754" s="90" t="s">
        <v>6120</v>
      </c>
      <c r="C1754" s="90" t="s">
        <v>508</v>
      </c>
      <c r="D1754" s="90" t="s">
        <v>6121</v>
      </c>
      <c r="E1754" s="90" t="s">
        <v>818</v>
      </c>
      <c r="F1754" s="90" t="s">
        <v>6122</v>
      </c>
      <c r="G1754" t="s">
        <v>512</v>
      </c>
    </row>
    <row r="1755" spans="1:7" x14ac:dyDescent="0.25">
      <c r="A1755" s="114">
        <v>357630</v>
      </c>
      <c r="B1755" s="90" t="s">
        <v>6123</v>
      </c>
      <c r="C1755" s="90" t="s">
        <v>508</v>
      </c>
      <c r="D1755" s="90" t="s">
        <v>3458</v>
      </c>
      <c r="E1755" s="90" t="s">
        <v>1256</v>
      </c>
      <c r="F1755" s="90" t="s">
        <v>6124</v>
      </c>
      <c r="G1755" t="s">
        <v>512</v>
      </c>
    </row>
    <row r="1756" spans="1:7" x14ac:dyDescent="0.25">
      <c r="A1756" s="114">
        <v>357694</v>
      </c>
      <c r="B1756" s="90" t="s">
        <v>6125</v>
      </c>
      <c r="C1756" s="90" t="s">
        <v>508</v>
      </c>
      <c r="D1756" s="90" t="s">
        <v>6126</v>
      </c>
      <c r="E1756" s="90" t="s">
        <v>698</v>
      </c>
      <c r="F1756" s="90" t="s">
        <v>5651</v>
      </c>
      <c r="G1756" t="s">
        <v>512</v>
      </c>
    </row>
    <row r="1757" spans="1:7" x14ac:dyDescent="0.25">
      <c r="A1757" s="114">
        <v>357731</v>
      </c>
      <c r="B1757" s="90" t="s">
        <v>6127</v>
      </c>
      <c r="C1757" s="90" t="s">
        <v>508</v>
      </c>
      <c r="D1757" s="90" t="s">
        <v>6128</v>
      </c>
      <c r="E1757" s="90" t="s">
        <v>5502</v>
      </c>
      <c r="F1757" s="90" t="s">
        <v>6129</v>
      </c>
      <c r="G1757" t="s">
        <v>512</v>
      </c>
    </row>
    <row r="1758" spans="1:7" x14ac:dyDescent="0.25">
      <c r="A1758" s="114">
        <v>357836</v>
      </c>
      <c r="B1758" s="90" t="s">
        <v>6130</v>
      </c>
      <c r="C1758" s="90" t="s">
        <v>508</v>
      </c>
      <c r="D1758" s="90" t="s">
        <v>6131</v>
      </c>
      <c r="E1758" s="90" t="s">
        <v>1481</v>
      </c>
      <c r="F1758" s="90" t="s">
        <v>6130</v>
      </c>
      <c r="G1758" t="s">
        <v>512</v>
      </c>
    </row>
    <row r="1759" spans="1:7" x14ac:dyDescent="0.25">
      <c r="A1759" s="114">
        <v>357927</v>
      </c>
      <c r="B1759" s="90" t="s">
        <v>6132</v>
      </c>
      <c r="C1759" s="90" t="s">
        <v>508</v>
      </c>
      <c r="D1759" s="90" t="s">
        <v>6133</v>
      </c>
      <c r="E1759" s="90" t="s">
        <v>4739</v>
      </c>
      <c r="F1759" s="90" t="s">
        <v>6134</v>
      </c>
      <c r="G1759" t="s">
        <v>512</v>
      </c>
    </row>
    <row r="1760" spans="1:7" x14ac:dyDescent="0.25">
      <c r="A1760" s="114">
        <v>357972</v>
      </c>
      <c r="B1760" s="90" t="s">
        <v>6135</v>
      </c>
      <c r="C1760" s="90" t="s">
        <v>508</v>
      </c>
      <c r="D1760" s="90" t="s">
        <v>6136</v>
      </c>
      <c r="E1760" s="90" t="s">
        <v>4325</v>
      </c>
      <c r="F1760" s="90" t="s">
        <v>6137</v>
      </c>
      <c r="G1760" t="s">
        <v>512</v>
      </c>
    </row>
    <row r="1761" spans="1:7" x14ac:dyDescent="0.25">
      <c r="A1761" s="114">
        <v>358045</v>
      </c>
      <c r="B1761" s="90" t="s">
        <v>5117</v>
      </c>
      <c r="C1761" s="90" t="s">
        <v>508</v>
      </c>
      <c r="D1761" s="90" t="s">
        <v>4300</v>
      </c>
      <c r="E1761" s="90" t="s">
        <v>4301</v>
      </c>
      <c r="F1761" s="90" t="s">
        <v>6138</v>
      </c>
      <c r="G1761" t="s">
        <v>512</v>
      </c>
    </row>
    <row r="1762" spans="1:7" x14ac:dyDescent="0.25">
      <c r="A1762" s="114">
        <v>358048</v>
      </c>
      <c r="B1762" s="90" t="s">
        <v>6139</v>
      </c>
      <c r="C1762" s="90" t="s">
        <v>508</v>
      </c>
      <c r="D1762" s="90" t="s">
        <v>6140</v>
      </c>
      <c r="E1762" s="90" t="s">
        <v>6141</v>
      </c>
      <c r="F1762" s="90" t="s">
        <v>6142</v>
      </c>
      <c r="G1762" t="s">
        <v>512</v>
      </c>
    </row>
    <row r="1763" spans="1:7" x14ac:dyDescent="0.25">
      <c r="A1763" s="114">
        <v>358054</v>
      </c>
      <c r="B1763" s="90" t="s">
        <v>6143</v>
      </c>
      <c r="C1763" s="90" t="s">
        <v>508</v>
      </c>
      <c r="D1763" s="90" t="s">
        <v>6144</v>
      </c>
      <c r="E1763" s="90" t="s">
        <v>2538</v>
      </c>
      <c r="F1763" s="90" t="s">
        <v>6145</v>
      </c>
      <c r="G1763" t="s">
        <v>512</v>
      </c>
    </row>
    <row r="1764" spans="1:7" x14ac:dyDescent="0.25">
      <c r="A1764" s="114">
        <v>358059</v>
      </c>
      <c r="B1764" s="90" t="s">
        <v>6146</v>
      </c>
      <c r="C1764" s="90" t="s">
        <v>508</v>
      </c>
      <c r="D1764" s="90" t="s">
        <v>6147</v>
      </c>
      <c r="E1764" s="90" t="s">
        <v>1074</v>
      </c>
      <c r="F1764" s="90" t="s">
        <v>6148</v>
      </c>
      <c r="G1764" t="s">
        <v>512</v>
      </c>
    </row>
    <row r="1765" spans="1:7" x14ac:dyDescent="0.25">
      <c r="A1765" s="114">
        <v>358132</v>
      </c>
      <c r="B1765" s="90" t="s">
        <v>6149</v>
      </c>
      <c r="C1765" s="90" t="s">
        <v>508</v>
      </c>
      <c r="D1765" s="90" t="s">
        <v>1918</v>
      </c>
      <c r="E1765" s="90" t="s">
        <v>1771</v>
      </c>
      <c r="F1765" s="90" t="s">
        <v>6150</v>
      </c>
      <c r="G1765" t="s">
        <v>512</v>
      </c>
    </row>
    <row r="1766" spans="1:7" x14ac:dyDescent="0.25">
      <c r="A1766" s="114">
        <v>358143</v>
      </c>
      <c r="B1766" s="90" t="s">
        <v>6151</v>
      </c>
      <c r="C1766" s="90" t="s">
        <v>508</v>
      </c>
      <c r="D1766" s="90" t="s">
        <v>6152</v>
      </c>
      <c r="E1766" s="90" t="s">
        <v>2305</v>
      </c>
      <c r="F1766" s="90" t="s">
        <v>6153</v>
      </c>
      <c r="G1766" t="s">
        <v>512</v>
      </c>
    </row>
    <row r="1767" spans="1:7" x14ac:dyDescent="0.25">
      <c r="A1767" s="114">
        <v>358177</v>
      </c>
      <c r="B1767" s="90" t="s">
        <v>6154</v>
      </c>
      <c r="C1767" s="90" t="s">
        <v>508</v>
      </c>
      <c r="D1767" s="90" t="s">
        <v>6155</v>
      </c>
      <c r="E1767" s="90" t="s">
        <v>6156</v>
      </c>
      <c r="F1767" s="90" t="s">
        <v>6157</v>
      </c>
      <c r="G1767" t="s">
        <v>512</v>
      </c>
    </row>
    <row r="1768" spans="1:7" x14ac:dyDescent="0.25">
      <c r="A1768" s="114">
        <v>358215</v>
      </c>
      <c r="B1768" s="90" t="s">
        <v>6158</v>
      </c>
      <c r="C1768" s="90" t="s">
        <v>508</v>
      </c>
      <c r="D1768" s="90" t="s">
        <v>6159</v>
      </c>
      <c r="E1768" s="90" t="s">
        <v>5471</v>
      </c>
      <c r="F1768" s="90" t="s">
        <v>6160</v>
      </c>
      <c r="G1768" t="s">
        <v>512</v>
      </c>
    </row>
    <row r="1769" spans="1:7" x14ac:dyDescent="0.25">
      <c r="A1769" s="114">
        <v>358222</v>
      </c>
      <c r="B1769" s="90" t="s">
        <v>6161</v>
      </c>
      <c r="C1769" s="90" t="s">
        <v>508</v>
      </c>
      <c r="D1769" s="90" t="s">
        <v>6162</v>
      </c>
      <c r="E1769" s="90" t="s">
        <v>547</v>
      </c>
      <c r="F1769" s="90" t="s">
        <v>6163</v>
      </c>
      <c r="G1769" t="s">
        <v>512</v>
      </c>
    </row>
    <row r="1770" spans="1:7" x14ac:dyDescent="0.25">
      <c r="A1770" s="114">
        <v>358277</v>
      </c>
      <c r="B1770" s="90" t="s">
        <v>6164</v>
      </c>
      <c r="C1770" s="90" t="s">
        <v>508</v>
      </c>
      <c r="D1770" s="90" t="s">
        <v>6165</v>
      </c>
      <c r="E1770" s="90" t="s">
        <v>1153</v>
      </c>
      <c r="F1770" s="90" t="s">
        <v>6166</v>
      </c>
      <c r="G1770" t="s">
        <v>512</v>
      </c>
    </row>
    <row r="1771" spans="1:7" x14ac:dyDescent="0.25">
      <c r="A1771" s="114">
        <v>358319</v>
      </c>
      <c r="B1771" s="90" t="s">
        <v>6167</v>
      </c>
      <c r="C1771" s="90" t="s">
        <v>508</v>
      </c>
      <c r="D1771" s="90" t="s">
        <v>4324</v>
      </c>
      <c r="E1771" s="90" t="s">
        <v>4325</v>
      </c>
      <c r="F1771" s="90" t="s">
        <v>6168</v>
      </c>
      <c r="G1771" t="s">
        <v>512</v>
      </c>
    </row>
    <row r="1772" spans="1:7" x14ac:dyDescent="0.25">
      <c r="A1772" s="114">
        <v>358342</v>
      </c>
      <c r="B1772" s="90" t="s">
        <v>4637</v>
      </c>
      <c r="C1772" s="90" t="s">
        <v>508</v>
      </c>
      <c r="D1772" s="90" t="s">
        <v>6169</v>
      </c>
      <c r="E1772" s="90" t="s">
        <v>5314</v>
      </c>
      <c r="F1772" s="90" t="s">
        <v>6170</v>
      </c>
      <c r="G1772" t="s">
        <v>512</v>
      </c>
    </row>
    <row r="1773" spans="1:7" x14ac:dyDescent="0.25">
      <c r="A1773" s="114">
        <v>358386</v>
      </c>
      <c r="B1773" s="90" t="s">
        <v>6171</v>
      </c>
      <c r="C1773" s="90" t="s">
        <v>508</v>
      </c>
      <c r="D1773" s="90" t="s">
        <v>6172</v>
      </c>
      <c r="E1773" s="90" t="s">
        <v>6173</v>
      </c>
      <c r="F1773" s="90" t="s">
        <v>6174</v>
      </c>
      <c r="G1773" t="s">
        <v>512</v>
      </c>
    </row>
    <row r="1774" spans="1:7" x14ac:dyDescent="0.25">
      <c r="A1774" s="114">
        <v>358477</v>
      </c>
      <c r="B1774" s="90" t="s">
        <v>6175</v>
      </c>
      <c r="C1774" s="90" t="s">
        <v>508</v>
      </c>
      <c r="D1774" s="90" t="s">
        <v>6176</v>
      </c>
      <c r="E1774" s="90" t="s">
        <v>6177</v>
      </c>
      <c r="F1774" s="90" t="s">
        <v>6178</v>
      </c>
      <c r="G1774" t="s">
        <v>512</v>
      </c>
    </row>
    <row r="1775" spans="1:7" x14ac:dyDescent="0.25">
      <c r="A1775" s="114">
        <v>358498</v>
      </c>
      <c r="B1775" s="90" t="s">
        <v>6179</v>
      </c>
      <c r="C1775" s="90" t="s">
        <v>508</v>
      </c>
      <c r="D1775" s="90" t="s">
        <v>6180</v>
      </c>
      <c r="E1775" s="90" t="s">
        <v>6181</v>
      </c>
      <c r="F1775" s="90" t="s">
        <v>6182</v>
      </c>
      <c r="G1775" t="s">
        <v>512</v>
      </c>
    </row>
    <row r="1776" spans="1:7" x14ac:dyDescent="0.25">
      <c r="A1776" s="114">
        <v>358535</v>
      </c>
      <c r="B1776" s="90" t="s">
        <v>6183</v>
      </c>
      <c r="C1776" s="90" t="s">
        <v>508</v>
      </c>
      <c r="D1776" s="90" t="s">
        <v>4176</v>
      </c>
      <c r="E1776" s="90" t="s">
        <v>4177</v>
      </c>
      <c r="F1776" s="90" t="s">
        <v>6184</v>
      </c>
      <c r="G1776" t="s">
        <v>512</v>
      </c>
    </row>
    <row r="1777" spans="1:7" x14ac:dyDescent="0.25">
      <c r="A1777" s="114">
        <v>358555</v>
      </c>
      <c r="B1777" s="90" t="s">
        <v>6185</v>
      </c>
      <c r="C1777" s="90" t="s">
        <v>508</v>
      </c>
      <c r="D1777" s="90" t="s">
        <v>6186</v>
      </c>
      <c r="E1777" s="90" t="s">
        <v>6187</v>
      </c>
      <c r="F1777" s="90" t="s">
        <v>6188</v>
      </c>
      <c r="G1777" t="s">
        <v>512</v>
      </c>
    </row>
    <row r="1778" spans="1:7" x14ac:dyDescent="0.25">
      <c r="A1778" s="114">
        <v>358557</v>
      </c>
      <c r="B1778" s="90" t="s">
        <v>6189</v>
      </c>
      <c r="C1778" s="90" t="s">
        <v>508</v>
      </c>
      <c r="D1778" s="90" t="s">
        <v>6190</v>
      </c>
      <c r="E1778" s="90" t="s">
        <v>4623</v>
      </c>
      <c r="F1778" s="90" t="s">
        <v>6191</v>
      </c>
      <c r="G1778" t="s">
        <v>512</v>
      </c>
    </row>
    <row r="1779" spans="1:7" x14ac:dyDescent="0.25">
      <c r="A1779" s="114">
        <v>358565</v>
      </c>
      <c r="B1779" s="90" t="s">
        <v>6192</v>
      </c>
      <c r="C1779" s="90" t="s">
        <v>508</v>
      </c>
      <c r="D1779" s="90" t="s">
        <v>6193</v>
      </c>
      <c r="E1779" s="90" t="s">
        <v>6194</v>
      </c>
      <c r="F1779" s="90" t="s">
        <v>6195</v>
      </c>
      <c r="G1779" t="s">
        <v>512</v>
      </c>
    </row>
    <row r="1780" spans="1:7" x14ac:dyDescent="0.25">
      <c r="A1780" s="114">
        <v>358573</v>
      </c>
      <c r="B1780" s="90" t="s">
        <v>6196</v>
      </c>
      <c r="C1780" s="90" t="s">
        <v>508</v>
      </c>
      <c r="D1780" s="90" t="s">
        <v>4030</v>
      </c>
      <c r="E1780" s="90" t="s">
        <v>3897</v>
      </c>
      <c r="F1780" s="90" t="s">
        <v>6197</v>
      </c>
      <c r="G1780" t="s">
        <v>512</v>
      </c>
    </row>
    <row r="1781" spans="1:7" x14ac:dyDescent="0.25">
      <c r="A1781" s="114">
        <v>358633</v>
      </c>
      <c r="B1781" s="90" t="s">
        <v>5159</v>
      </c>
      <c r="C1781" s="90" t="s">
        <v>508</v>
      </c>
      <c r="D1781" s="90" t="s">
        <v>6198</v>
      </c>
      <c r="E1781" s="90" t="s">
        <v>2492</v>
      </c>
      <c r="F1781" s="90" t="s">
        <v>6199</v>
      </c>
      <c r="G1781" t="s">
        <v>512</v>
      </c>
    </row>
    <row r="1782" spans="1:7" x14ac:dyDescent="0.25">
      <c r="A1782" s="114">
        <v>358656</v>
      </c>
      <c r="B1782" s="90" t="s">
        <v>2767</v>
      </c>
      <c r="C1782" s="90" t="s">
        <v>508</v>
      </c>
      <c r="D1782" s="90" t="s">
        <v>6200</v>
      </c>
      <c r="E1782" s="90" t="s">
        <v>6201</v>
      </c>
      <c r="F1782" s="90" t="s">
        <v>6202</v>
      </c>
      <c r="G1782" t="s">
        <v>512</v>
      </c>
    </row>
    <row r="1783" spans="1:7" x14ac:dyDescent="0.25">
      <c r="A1783" s="114">
        <v>358680</v>
      </c>
      <c r="B1783" s="90" t="s">
        <v>6203</v>
      </c>
      <c r="C1783" s="90" t="s">
        <v>508</v>
      </c>
      <c r="D1783" s="90" t="s">
        <v>6204</v>
      </c>
      <c r="E1783" s="90" t="s">
        <v>1687</v>
      </c>
      <c r="F1783" s="90" t="s">
        <v>6205</v>
      </c>
      <c r="G1783" t="s">
        <v>512</v>
      </c>
    </row>
    <row r="1784" spans="1:7" x14ac:dyDescent="0.25">
      <c r="A1784" s="114">
        <v>358699</v>
      </c>
      <c r="B1784" s="90" t="s">
        <v>6206</v>
      </c>
      <c r="C1784" s="90" t="s">
        <v>508</v>
      </c>
      <c r="D1784" s="90" t="s">
        <v>6207</v>
      </c>
      <c r="E1784" s="90" t="s">
        <v>6208</v>
      </c>
      <c r="F1784" s="90" t="s">
        <v>6209</v>
      </c>
      <c r="G1784" t="s">
        <v>512</v>
      </c>
    </row>
    <row r="1785" spans="1:7" x14ac:dyDescent="0.25">
      <c r="A1785" s="114">
        <v>358706</v>
      </c>
      <c r="B1785" s="90" t="s">
        <v>6210</v>
      </c>
      <c r="C1785" s="90" t="s">
        <v>508</v>
      </c>
      <c r="D1785" s="90" t="s">
        <v>6211</v>
      </c>
      <c r="E1785" s="90" t="s">
        <v>1670</v>
      </c>
      <c r="F1785" s="90" t="s">
        <v>6212</v>
      </c>
      <c r="G1785" t="s">
        <v>512</v>
      </c>
    </row>
    <row r="1786" spans="1:7" x14ac:dyDescent="0.25">
      <c r="A1786" s="114">
        <v>358709</v>
      </c>
      <c r="B1786" s="90" t="s">
        <v>6213</v>
      </c>
      <c r="C1786" s="90" t="s">
        <v>508</v>
      </c>
      <c r="D1786" s="90" t="s">
        <v>6214</v>
      </c>
      <c r="E1786" s="90" t="s">
        <v>2210</v>
      </c>
      <c r="F1786" s="90" t="s">
        <v>6215</v>
      </c>
      <c r="G1786" t="s">
        <v>512</v>
      </c>
    </row>
    <row r="1787" spans="1:7" x14ac:dyDescent="0.25">
      <c r="A1787" s="114">
        <v>358728</v>
      </c>
      <c r="B1787" s="90" t="s">
        <v>6216</v>
      </c>
      <c r="C1787" s="90" t="s">
        <v>508</v>
      </c>
      <c r="D1787" s="90" t="s">
        <v>6217</v>
      </c>
      <c r="E1787" s="90" t="s">
        <v>6218</v>
      </c>
      <c r="F1787" s="90" t="s">
        <v>6219</v>
      </c>
      <c r="G1787" t="s">
        <v>512</v>
      </c>
    </row>
    <row r="1788" spans="1:7" x14ac:dyDescent="0.25">
      <c r="A1788" s="114">
        <v>358921</v>
      </c>
      <c r="B1788" s="90" t="s">
        <v>6220</v>
      </c>
      <c r="C1788" s="90" t="s">
        <v>508</v>
      </c>
      <c r="D1788" s="90" t="s">
        <v>6221</v>
      </c>
      <c r="E1788" s="90" t="s">
        <v>6222</v>
      </c>
      <c r="F1788" s="90" t="s">
        <v>6223</v>
      </c>
      <c r="G1788" t="s">
        <v>512</v>
      </c>
    </row>
    <row r="1789" spans="1:7" x14ac:dyDescent="0.25">
      <c r="A1789" s="114">
        <v>358947</v>
      </c>
      <c r="B1789" s="90" t="s">
        <v>6224</v>
      </c>
      <c r="C1789" s="90" t="s">
        <v>508</v>
      </c>
      <c r="D1789" s="90" t="s">
        <v>6225</v>
      </c>
      <c r="E1789" s="90" t="s">
        <v>6226</v>
      </c>
      <c r="F1789" s="90" t="s">
        <v>6227</v>
      </c>
      <c r="G1789" t="s">
        <v>512</v>
      </c>
    </row>
    <row r="1790" spans="1:7" x14ac:dyDescent="0.25">
      <c r="A1790" s="114">
        <v>358988</v>
      </c>
      <c r="B1790" s="90" t="s">
        <v>6228</v>
      </c>
      <c r="C1790" s="90" t="s">
        <v>508</v>
      </c>
      <c r="D1790" s="90" t="s">
        <v>6229</v>
      </c>
      <c r="E1790" s="90" t="s">
        <v>1359</v>
      </c>
      <c r="F1790" s="90" t="s">
        <v>6230</v>
      </c>
      <c r="G1790" t="s">
        <v>512</v>
      </c>
    </row>
    <row r="1791" spans="1:7" x14ac:dyDescent="0.25">
      <c r="A1791" s="114">
        <v>359001</v>
      </c>
      <c r="B1791" s="90" t="s">
        <v>6231</v>
      </c>
      <c r="C1791" s="90" t="s">
        <v>508</v>
      </c>
      <c r="D1791" s="90" t="s">
        <v>6232</v>
      </c>
      <c r="E1791" s="90" t="s">
        <v>5789</v>
      </c>
      <c r="F1791" s="90" t="s">
        <v>6233</v>
      </c>
      <c r="G1791" t="s">
        <v>512</v>
      </c>
    </row>
    <row r="1792" spans="1:7" x14ac:dyDescent="0.25">
      <c r="A1792" s="114">
        <v>359031</v>
      </c>
      <c r="B1792" s="90" t="s">
        <v>6234</v>
      </c>
      <c r="C1792" s="90" t="s">
        <v>508</v>
      </c>
      <c r="D1792" s="90" t="s">
        <v>6235</v>
      </c>
      <c r="E1792" s="90" t="s">
        <v>6236</v>
      </c>
      <c r="F1792" s="90" t="s">
        <v>6237</v>
      </c>
      <c r="G1792" t="s">
        <v>512</v>
      </c>
    </row>
    <row r="1793" spans="1:7" x14ac:dyDescent="0.25">
      <c r="A1793" s="114">
        <v>359042</v>
      </c>
      <c r="B1793" s="90" t="s">
        <v>6238</v>
      </c>
      <c r="C1793" s="90" t="s">
        <v>508</v>
      </c>
      <c r="D1793" s="90" t="s">
        <v>6239</v>
      </c>
      <c r="E1793" s="90" t="s">
        <v>6240</v>
      </c>
      <c r="F1793" s="90" t="s">
        <v>6241</v>
      </c>
      <c r="G1793" t="s">
        <v>512</v>
      </c>
    </row>
    <row r="1794" spans="1:7" x14ac:dyDescent="0.25">
      <c r="A1794" s="114">
        <v>359058</v>
      </c>
      <c r="B1794" s="90" t="s">
        <v>6242</v>
      </c>
      <c r="C1794" s="90" t="s">
        <v>508</v>
      </c>
      <c r="D1794" s="90" t="s">
        <v>6243</v>
      </c>
      <c r="E1794" s="90" t="s">
        <v>1190</v>
      </c>
      <c r="F1794" s="90" t="s">
        <v>6244</v>
      </c>
      <c r="G1794" t="s">
        <v>512</v>
      </c>
    </row>
    <row r="1795" spans="1:7" x14ac:dyDescent="0.25">
      <c r="A1795" s="114">
        <v>359074</v>
      </c>
      <c r="B1795" s="90" t="s">
        <v>6245</v>
      </c>
      <c r="C1795" s="90" t="s">
        <v>508</v>
      </c>
      <c r="D1795" s="90" t="s">
        <v>1968</v>
      </c>
      <c r="E1795" s="90" t="s">
        <v>1969</v>
      </c>
      <c r="F1795" s="90" t="s">
        <v>6246</v>
      </c>
      <c r="G1795" t="s">
        <v>512</v>
      </c>
    </row>
    <row r="1796" spans="1:7" x14ac:dyDescent="0.25">
      <c r="A1796" s="114">
        <v>359146</v>
      </c>
      <c r="B1796" s="90" t="s">
        <v>6247</v>
      </c>
      <c r="C1796" s="90" t="s">
        <v>508</v>
      </c>
      <c r="D1796" s="90" t="s">
        <v>3791</v>
      </c>
      <c r="E1796" s="90" t="s">
        <v>5079</v>
      </c>
      <c r="F1796" s="90" t="s">
        <v>6248</v>
      </c>
      <c r="G1796" t="s">
        <v>512</v>
      </c>
    </row>
    <row r="1797" spans="1:7" x14ac:dyDescent="0.25">
      <c r="A1797" s="114">
        <v>359236</v>
      </c>
      <c r="B1797" s="90" t="s">
        <v>6249</v>
      </c>
      <c r="C1797" s="90" t="s">
        <v>508</v>
      </c>
      <c r="D1797" s="90" t="s">
        <v>6250</v>
      </c>
      <c r="E1797" s="90" t="s">
        <v>6251</v>
      </c>
      <c r="F1797" s="90" t="s">
        <v>6252</v>
      </c>
      <c r="G1797" t="s">
        <v>512</v>
      </c>
    </row>
    <row r="1798" spans="1:7" x14ac:dyDescent="0.25">
      <c r="A1798" s="114">
        <v>359251</v>
      </c>
      <c r="B1798" s="90" t="s">
        <v>6253</v>
      </c>
      <c r="C1798" s="90" t="s">
        <v>508</v>
      </c>
      <c r="D1798" s="90" t="s">
        <v>6254</v>
      </c>
      <c r="E1798" s="90" t="s">
        <v>6255</v>
      </c>
      <c r="F1798" s="90" t="s">
        <v>6256</v>
      </c>
      <c r="G1798" t="s">
        <v>512</v>
      </c>
    </row>
    <row r="1799" spans="1:7" x14ac:dyDescent="0.25">
      <c r="A1799" s="114">
        <v>359323</v>
      </c>
      <c r="B1799" s="90" t="s">
        <v>6257</v>
      </c>
      <c r="C1799" s="90" t="s">
        <v>508</v>
      </c>
      <c r="D1799" s="90" t="s">
        <v>6258</v>
      </c>
      <c r="E1799" s="90" t="s">
        <v>4162</v>
      </c>
      <c r="F1799" s="90" t="s">
        <v>6259</v>
      </c>
      <c r="G1799" t="s">
        <v>512</v>
      </c>
    </row>
    <row r="1800" spans="1:7" x14ac:dyDescent="0.25">
      <c r="A1800" s="114">
        <v>359328</v>
      </c>
      <c r="B1800" s="90" t="s">
        <v>3725</v>
      </c>
      <c r="C1800" s="90" t="s">
        <v>508</v>
      </c>
      <c r="D1800" s="90" t="s">
        <v>5275</v>
      </c>
      <c r="E1800" s="90" t="s">
        <v>3727</v>
      </c>
      <c r="F1800" s="90" t="s">
        <v>6260</v>
      </c>
      <c r="G1800" t="s">
        <v>859</v>
      </c>
    </row>
    <row r="1801" spans="1:7" x14ac:dyDescent="0.25">
      <c r="A1801" s="114">
        <v>359362</v>
      </c>
      <c r="B1801" s="90" t="s">
        <v>6261</v>
      </c>
      <c r="C1801" s="90" t="s">
        <v>508</v>
      </c>
      <c r="D1801" s="90" t="s">
        <v>6262</v>
      </c>
      <c r="E1801" s="90" t="s">
        <v>2199</v>
      </c>
      <c r="F1801" s="90" t="s">
        <v>6263</v>
      </c>
      <c r="G1801" t="s">
        <v>512</v>
      </c>
    </row>
    <row r="1802" spans="1:7" x14ac:dyDescent="0.25">
      <c r="A1802" s="114">
        <v>359419</v>
      </c>
      <c r="B1802" s="90" t="s">
        <v>6264</v>
      </c>
      <c r="C1802" s="90" t="s">
        <v>508</v>
      </c>
      <c r="D1802" s="90" t="s">
        <v>6265</v>
      </c>
      <c r="E1802" s="90" t="s">
        <v>565</v>
      </c>
      <c r="F1802" s="90" t="s">
        <v>6266</v>
      </c>
      <c r="G1802" t="s">
        <v>512</v>
      </c>
    </row>
    <row r="1803" spans="1:7" x14ac:dyDescent="0.25">
      <c r="A1803" s="114">
        <v>359426</v>
      </c>
      <c r="B1803" s="90" t="s">
        <v>6267</v>
      </c>
      <c r="C1803" s="90" t="s">
        <v>508</v>
      </c>
      <c r="D1803" s="90" t="s">
        <v>4030</v>
      </c>
      <c r="E1803" s="90" t="s">
        <v>3897</v>
      </c>
      <c r="F1803" s="90" t="s">
        <v>6268</v>
      </c>
      <c r="G1803" t="s">
        <v>512</v>
      </c>
    </row>
    <row r="1804" spans="1:7" x14ac:dyDescent="0.25">
      <c r="A1804" s="114">
        <v>359454</v>
      </c>
      <c r="B1804" s="90" t="s">
        <v>6269</v>
      </c>
      <c r="C1804" s="90" t="s">
        <v>508</v>
      </c>
      <c r="D1804" s="90" t="s">
        <v>4075</v>
      </c>
      <c r="E1804" s="90" t="s">
        <v>1194</v>
      </c>
      <c r="F1804" s="90" t="s">
        <v>6270</v>
      </c>
      <c r="G1804" t="s">
        <v>512</v>
      </c>
    </row>
    <row r="1805" spans="1:7" x14ac:dyDescent="0.25">
      <c r="A1805" s="114">
        <v>359480</v>
      </c>
      <c r="B1805" s="90" t="s">
        <v>6271</v>
      </c>
      <c r="C1805" s="90" t="s">
        <v>508</v>
      </c>
      <c r="D1805" s="90" t="s">
        <v>6272</v>
      </c>
      <c r="E1805" s="90" t="s">
        <v>1444</v>
      </c>
      <c r="F1805" s="90" t="s">
        <v>6273</v>
      </c>
      <c r="G1805" t="s">
        <v>512</v>
      </c>
    </row>
    <row r="1806" spans="1:7" x14ac:dyDescent="0.25">
      <c r="A1806" s="114">
        <v>359488</v>
      </c>
      <c r="B1806" s="90" t="s">
        <v>6274</v>
      </c>
      <c r="C1806" s="90" t="s">
        <v>508</v>
      </c>
      <c r="D1806" s="90" t="s">
        <v>6275</v>
      </c>
      <c r="E1806" s="90" t="s">
        <v>6276</v>
      </c>
      <c r="F1806" s="90" t="s">
        <v>6277</v>
      </c>
      <c r="G1806" t="s">
        <v>512</v>
      </c>
    </row>
    <row r="1807" spans="1:7" x14ac:dyDescent="0.25">
      <c r="A1807" s="114">
        <v>359496</v>
      </c>
      <c r="B1807" s="90" t="s">
        <v>6278</v>
      </c>
      <c r="C1807" s="90" t="s">
        <v>508</v>
      </c>
      <c r="D1807" s="90" t="s">
        <v>6279</v>
      </c>
      <c r="E1807" s="90" t="s">
        <v>818</v>
      </c>
      <c r="F1807" s="90" t="s">
        <v>6280</v>
      </c>
      <c r="G1807" t="s">
        <v>512</v>
      </c>
    </row>
    <row r="1808" spans="1:7" x14ac:dyDescent="0.25">
      <c r="A1808" s="114">
        <v>359528</v>
      </c>
      <c r="B1808" s="90" t="s">
        <v>6281</v>
      </c>
      <c r="C1808" s="90" t="s">
        <v>508</v>
      </c>
      <c r="D1808" s="90" t="s">
        <v>6282</v>
      </c>
      <c r="E1808" s="90" t="s">
        <v>515</v>
      </c>
      <c r="F1808" s="90" t="s">
        <v>6283</v>
      </c>
      <c r="G1808" t="s">
        <v>512</v>
      </c>
    </row>
    <row r="1809" spans="1:7" x14ac:dyDescent="0.25">
      <c r="A1809" s="114">
        <v>359546</v>
      </c>
      <c r="B1809" s="90" t="s">
        <v>6284</v>
      </c>
      <c r="C1809" s="90" t="s">
        <v>508</v>
      </c>
      <c r="D1809" s="90" t="s">
        <v>4998</v>
      </c>
      <c r="E1809" s="90" t="s">
        <v>4999</v>
      </c>
      <c r="F1809" s="90" t="s">
        <v>6285</v>
      </c>
      <c r="G1809" t="s">
        <v>512</v>
      </c>
    </row>
    <row r="1810" spans="1:7" x14ac:dyDescent="0.25">
      <c r="A1810" s="114">
        <v>359553</v>
      </c>
      <c r="B1810" s="90" t="s">
        <v>6286</v>
      </c>
      <c r="C1810" s="90" t="s">
        <v>508</v>
      </c>
      <c r="D1810" s="90" t="s">
        <v>4180</v>
      </c>
      <c r="E1810" s="90" t="s">
        <v>3662</v>
      </c>
      <c r="F1810" s="90" t="s">
        <v>6287</v>
      </c>
      <c r="G1810" t="s">
        <v>512</v>
      </c>
    </row>
    <row r="1811" spans="1:7" x14ac:dyDescent="0.25">
      <c r="A1811" s="114">
        <v>359575</v>
      </c>
      <c r="B1811" s="90" t="s">
        <v>6288</v>
      </c>
      <c r="C1811" s="90" t="s">
        <v>508</v>
      </c>
      <c r="D1811" s="90" t="s">
        <v>6289</v>
      </c>
      <c r="E1811" s="90" t="s">
        <v>6290</v>
      </c>
      <c r="F1811" s="90" t="s">
        <v>6291</v>
      </c>
      <c r="G1811" t="s">
        <v>512</v>
      </c>
    </row>
    <row r="1812" spans="1:7" x14ac:dyDescent="0.25">
      <c r="A1812" s="114">
        <v>359644</v>
      </c>
      <c r="B1812" s="90" t="s">
        <v>6292</v>
      </c>
      <c r="C1812" s="90" t="s">
        <v>508</v>
      </c>
      <c r="D1812" s="90" t="s">
        <v>2683</v>
      </c>
      <c r="E1812" s="90" t="s">
        <v>2424</v>
      </c>
      <c r="F1812" s="90" t="s">
        <v>6293</v>
      </c>
      <c r="G1812" t="s">
        <v>512</v>
      </c>
    </row>
    <row r="1813" spans="1:7" x14ac:dyDescent="0.25">
      <c r="A1813" s="114">
        <v>359675</v>
      </c>
      <c r="B1813" s="90" t="s">
        <v>6294</v>
      </c>
      <c r="C1813" s="90" t="s">
        <v>508</v>
      </c>
      <c r="D1813" s="90" t="s">
        <v>6295</v>
      </c>
      <c r="E1813" s="90" t="s">
        <v>6296</v>
      </c>
      <c r="F1813" s="90" t="s">
        <v>6297</v>
      </c>
      <c r="G1813" t="s">
        <v>512</v>
      </c>
    </row>
    <row r="1814" spans="1:7" x14ac:dyDescent="0.25">
      <c r="A1814" s="114">
        <v>359700</v>
      </c>
      <c r="B1814" s="90" t="s">
        <v>4656</v>
      </c>
      <c r="C1814" s="90" t="s">
        <v>508</v>
      </c>
      <c r="D1814" s="90" t="s">
        <v>6298</v>
      </c>
      <c r="E1814" s="90" t="s">
        <v>614</v>
      </c>
      <c r="F1814" s="90" t="s">
        <v>6299</v>
      </c>
      <c r="G1814" t="s">
        <v>512</v>
      </c>
    </row>
    <row r="1815" spans="1:7" x14ac:dyDescent="0.25">
      <c r="A1815" s="114">
        <v>359723</v>
      </c>
      <c r="B1815" s="90" t="s">
        <v>4380</v>
      </c>
      <c r="C1815" s="90" t="s">
        <v>508</v>
      </c>
      <c r="D1815" s="90" t="s">
        <v>6300</v>
      </c>
      <c r="E1815" s="90" t="s">
        <v>4382</v>
      </c>
      <c r="F1815" s="90" t="s">
        <v>6301</v>
      </c>
      <c r="G1815" t="s">
        <v>512</v>
      </c>
    </row>
    <row r="1816" spans="1:7" x14ac:dyDescent="0.25">
      <c r="A1816" s="114">
        <v>359736</v>
      </c>
      <c r="B1816" s="90" t="s">
        <v>6302</v>
      </c>
      <c r="C1816" s="90" t="s">
        <v>508</v>
      </c>
      <c r="D1816" s="90" t="s">
        <v>6303</v>
      </c>
      <c r="E1816" s="90" t="s">
        <v>3404</v>
      </c>
      <c r="F1816" s="90" t="s">
        <v>6304</v>
      </c>
      <c r="G1816" t="s">
        <v>512</v>
      </c>
    </row>
    <row r="1817" spans="1:7" x14ac:dyDescent="0.25">
      <c r="A1817" s="114">
        <v>359755</v>
      </c>
      <c r="B1817" s="90" t="s">
        <v>6305</v>
      </c>
      <c r="C1817" s="90" t="s">
        <v>508</v>
      </c>
      <c r="D1817" s="90" t="s">
        <v>2537</v>
      </c>
      <c r="E1817" s="90" t="s">
        <v>2538</v>
      </c>
      <c r="F1817" s="90" t="s">
        <v>6306</v>
      </c>
      <c r="G1817" t="s">
        <v>512</v>
      </c>
    </row>
    <row r="1818" spans="1:7" x14ac:dyDescent="0.25">
      <c r="A1818" s="114">
        <v>359773</v>
      </c>
      <c r="B1818" s="90" t="s">
        <v>6307</v>
      </c>
      <c r="C1818" s="90" t="s">
        <v>508</v>
      </c>
      <c r="D1818" s="90" t="s">
        <v>6308</v>
      </c>
      <c r="E1818" s="90" t="s">
        <v>809</v>
      </c>
      <c r="F1818" s="90" t="s">
        <v>6309</v>
      </c>
      <c r="G1818" t="s">
        <v>512</v>
      </c>
    </row>
    <row r="1819" spans="1:7" x14ac:dyDescent="0.25">
      <c r="A1819" s="114">
        <v>359801</v>
      </c>
      <c r="B1819" s="90" t="s">
        <v>6310</v>
      </c>
      <c r="C1819" s="90" t="s">
        <v>508</v>
      </c>
      <c r="D1819" s="90" t="s">
        <v>6311</v>
      </c>
      <c r="E1819" s="90" t="s">
        <v>6312</v>
      </c>
      <c r="F1819" s="90" t="s">
        <v>6313</v>
      </c>
      <c r="G1819" t="s">
        <v>512</v>
      </c>
    </row>
    <row r="1820" spans="1:7" x14ac:dyDescent="0.25">
      <c r="A1820" s="114">
        <v>359806</v>
      </c>
      <c r="B1820" s="90" t="s">
        <v>6314</v>
      </c>
      <c r="C1820" s="90" t="s">
        <v>508</v>
      </c>
      <c r="D1820" s="90" t="s">
        <v>6315</v>
      </c>
      <c r="E1820" s="90" t="s">
        <v>583</v>
      </c>
      <c r="F1820" s="90" t="s">
        <v>3941</v>
      </c>
      <c r="G1820" t="s">
        <v>512</v>
      </c>
    </row>
    <row r="1821" spans="1:7" x14ac:dyDescent="0.25">
      <c r="A1821" s="114">
        <v>359816</v>
      </c>
      <c r="B1821" s="90" t="s">
        <v>6316</v>
      </c>
      <c r="C1821" s="90" t="s">
        <v>508</v>
      </c>
      <c r="D1821" s="90" t="s">
        <v>6317</v>
      </c>
      <c r="E1821" s="90" t="s">
        <v>565</v>
      </c>
      <c r="F1821" s="90" t="s">
        <v>6318</v>
      </c>
      <c r="G1821" t="s">
        <v>512</v>
      </c>
    </row>
    <row r="1822" spans="1:7" x14ac:dyDescent="0.25">
      <c r="A1822" s="114">
        <v>359823</v>
      </c>
      <c r="B1822" s="90" t="s">
        <v>6319</v>
      </c>
      <c r="C1822" s="90" t="s">
        <v>508</v>
      </c>
      <c r="D1822" s="90" t="s">
        <v>5501</v>
      </c>
      <c r="E1822" s="90" t="s">
        <v>5502</v>
      </c>
      <c r="F1822" s="90" t="s">
        <v>6320</v>
      </c>
      <c r="G1822" t="s">
        <v>512</v>
      </c>
    </row>
    <row r="1823" spans="1:7" x14ac:dyDescent="0.25">
      <c r="A1823" s="114">
        <v>359864</v>
      </c>
      <c r="B1823" s="90" t="s">
        <v>6321</v>
      </c>
      <c r="C1823" s="90" t="s">
        <v>508</v>
      </c>
      <c r="D1823" s="90" t="s">
        <v>6322</v>
      </c>
      <c r="E1823" s="90" t="s">
        <v>2373</v>
      </c>
      <c r="F1823" s="90" t="s">
        <v>6323</v>
      </c>
      <c r="G1823" t="s">
        <v>512</v>
      </c>
    </row>
    <row r="1824" spans="1:7" x14ac:dyDescent="0.25">
      <c r="A1824" s="114">
        <v>359872</v>
      </c>
      <c r="B1824" s="90" t="s">
        <v>6324</v>
      </c>
      <c r="C1824" s="90" t="s">
        <v>508</v>
      </c>
      <c r="D1824" s="90" t="s">
        <v>6325</v>
      </c>
      <c r="E1824" s="90" t="s">
        <v>6326</v>
      </c>
      <c r="F1824" s="90" t="s">
        <v>6327</v>
      </c>
      <c r="G1824" t="s">
        <v>512</v>
      </c>
    </row>
    <row r="1825" spans="1:7" x14ac:dyDescent="0.25">
      <c r="A1825" s="114">
        <v>359931</v>
      </c>
      <c r="B1825" s="90" t="s">
        <v>6328</v>
      </c>
      <c r="C1825" s="90" t="s">
        <v>508</v>
      </c>
      <c r="D1825" s="90" t="s">
        <v>6329</v>
      </c>
      <c r="E1825" s="90" t="s">
        <v>982</v>
      </c>
      <c r="F1825" s="90" t="s">
        <v>6330</v>
      </c>
      <c r="G1825" t="s">
        <v>512</v>
      </c>
    </row>
    <row r="1826" spans="1:7" x14ac:dyDescent="0.25">
      <c r="A1826" s="114">
        <v>359939</v>
      </c>
      <c r="B1826" s="90" t="s">
        <v>6331</v>
      </c>
      <c r="C1826" s="90" t="s">
        <v>508</v>
      </c>
      <c r="D1826" s="90" t="s">
        <v>6332</v>
      </c>
      <c r="E1826" s="90" t="s">
        <v>683</v>
      </c>
      <c r="F1826" s="90" t="s">
        <v>6333</v>
      </c>
      <c r="G1826" t="s">
        <v>512</v>
      </c>
    </row>
    <row r="1827" spans="1:7" x14ac:dyDescent="0.25">
      <c r="A1827" s="114">
        <v>359954</v>
      </c>
      <c r="B1827" s="90" t="s">
        <v>6334</v>
      </c>
      <c r="C1827" s="90" t="s">
        <v>508</v>
      </c>
      <c r="D1827" s="90" t="s">
        <v>6335</v>
      </c>
      <c r="E1827" s="90" t="s">
        <v>6336</v>
      </c>
      <c r="F1827" s="90" t="s">
        <v>6337</v>
      </c>
      <c r="G1827" t="s">
        <v>512</v>
      </c>
    </row>
    <row r="1828" spans="1:7" x14ac:dyDescent="0.25">
      <c r="A1828" s="114">
        <v>360003</v>
      </c>
      <c r="B1828" s="90" t="s">
        <v>6338</v>
      </c>
      <c r="C1828" s="90" t="s">
        <v>508</v>
      </c>
      <c r="D1828" s="90" t="s">
        <v>4359</v>
      </c>
      <c r="E1828" s="90" t="s">
        <v>4360</v>
      </c>
      <c r="F1828" s="90" t="s">
        <v>6339</v>
      </c>
      <c r="G1828" t="s">
        <v>512</v>
      </c>
    </row>
    <row r="1829" spans="1:7" x14ac:dyDescent="0.25">
      <c r="A1829" s="114">
        <v>360015</v>
      </c>
      <c r="B1829" s="90" t="s">
        <v>718</v>
      </c>
      <c r="C1829" s="90" t="s">
        <v>508</v>
      </c>
      <c r="D1829" s="90" t="s">
        <v>6340</v>
      </c>
      <c r="E1829" s="90" t="s">
        <v>1089</v>
      </c>
      <c r="F1829" s="90" t="s">
        <v>6341</v>
      </c>
      <c r="G1829" t="s">
        <v>512</v>
      </c>
    </row>
    <row r="1830" spans="1:7" x14ac:dyDescent="0.25">
      <c r="A1830" s="114">
        <v>360022</v>
      </c>
      <c r="B1830" s="90" t="s">
        <v>6342</v>
      </c>
      <c r="C1830" s="90" t="s">
        <v>508</v>
      </c>
      <c r="D1830" s="90" t="s">
        <v>6343</v>
      </c>
      <c r="E1830" s="90" t="s">
        <v>3711</v>
      </c>
      <c r="F1830" s="90" t="s">
        <v>6344</v>
      </c>
      <c r="G1830" t="s">
        <v>512</v>
      </c>
    </row>
    <row r="1831" spans="1:7" x14ac:dyDescent="0.25">
      <c r="A1831" s="114">
        <v>360072</v>
      </c>
      <c r="B1831" s="90" t="s">
        <v>6345</v>
      </c>
      <c r="C1831" s="90" t="s">
        <v>508</v>
      </c>
      <c r="D1831" s="90" t="s">
        <v>6346</v>
      </c>
      <c r="E1831" s="90" t="s">
        <v>1256</v>
      </c>
      <c r="F1831" s="90" t="s">
        <v>6347</v>
      </c>
      <c r="G1831" t="s">
        <v>512</v>
      </c>
    </row>
    <row r="1832" spans="1:7" x14ac:dyDescent="0.25">
      <c r="A1832" s="114">
        <v>360074</v>
      </c>
      <c r="B1832" s="90" t="s">
        <v>6348</v>
      </c>
      <c r="C1832" s="90" t="s">
        <v>508</v>
      </c>
      <c r="D1832" s="90" t="s">
        <v>6349</v>
      </c>
      <c r="E1832" s="90" t="s">
        <v>6348</v>
      </c>
      <c r="F1832" s="90" t="s">
        <v>6350</v>
      </c>
      <c r="G1832" t="s">
        <v>512</v>
      </c>
    </row>
    <row r="1833" spans="1:7" x14ac:dyDescent="0.25">
      <c r="A1833" s="114">
        <v>360087</v>
      </c>
      <c r="B1833" s="90" t="s">
        <v>6351</v>
      </c>
      <c r="C1833" s="90" t="s">
        <v>508</v>
      </c>
      <c r="D1833" s="90" t="s">
        <v>4439</v>
      </c>
      <c r="E1833" s="90" t="s">
        <v>3711</v>
      </c>
      <c r="F1833" s="90" t="s">
        <v>6352</v>
      </c>
      <c r="G1833" t="s">
        <v>512</v>
      </c>
    </row>
    <row r="1834" spans="1:7" x14ac:dyDescent="0.25">
      <c r="A1834" s="114">
        <v>360088</v>
      </c>
      <c r="B1834" s="90" t="s">
        <v>3115</v>
      </c>
      <c r="C1834" s="90" t="s">
        <v>508</v>
      </c>
      <c r="D1834" s="90" t="s">
        <v>6353</v>
      </c>
      <c r="E1834" s="90" t="s">
        <v>2292</v>
      </c>
      <c r="F1834" s="90" t="s">
        <v>3117</v>
      </c>
      <c r="G1834" t="s">
        <v>512</v>
      </c>
    </row>
    <row r="1835" spans="1:7" x14ac:dyDescent="0.25">
      <c r="A1835" s="114">
        <v>360135</v>
      </c>
      <c r="B1835" s="90" t="s">
        <v>6354</v>
      </c>
      <c r="C1835" s="90" t="s">
        <v>508</v>
      </c>
      <c r="D1835" s="90" t="s">
        <v>6355</v>
      </c>
      <c r="E1835" s="90" t="s">
        <v>3082</v>
      </c>
      <c r="F1835" s="90" t="s">
        <v>6356</v>
      </c>
      <c r="G1835" t="s">
        <v>512</v>
      </c>
    </row>
    <row r="1836" spans="1:7" x14ac:dyDescent="0.25">
      <c r="A1836" s="114">
        <v>360137</v>
      </c>
      <c r="B1836" s="90" t="s">
        <v>5952</v>
      </c>
      <c r="C1836" s="90" t="s">
        <v>508</v>
      </c>
      <c r="D1836" s="90" t="s">
        <v>4075</v>
      </c>
      <c r="E1836" s="90" t="s">
        <v>1194</v>
      </c>
      <c r="F1836" s="90" t="s">
        <v>6357</v>
      </c>
      <c r="G1836" t="s">
        <v>512</v>
      </c>
    </row>
    <row r="1837" spans="1:7" x14ac:dyDescent="0.25">
      <c r="A1837" s="114">
        <v>360174</v>
      </c>
      <c r="B1837" s="90" t="s">
        <v>6358</v>
      </c>
      <c r="C1837" s="90" t="s">
        <v>508</v>
      </c>
      <c r="D1837" s="90" t="s">
        <v>6359</v>
      </c>
      <c r="E1837" s="90" t="s">
        <v>695</v>
      </c>
      <c r="F1837" s="90" t="s">
        <v>6360</v>
      </c>
      <c r="G1837" t="s">
        <v>512</v>
      </c>
    </row>
    <row r="1838" spans="1:7" x14ac:dyDescent="0.25">
      <c r="A1838" s="114">
        <v>360187</v>
      </c>
      <c r="B1838" s="90" t="s">
        <v>6361</v>
      </c>
      <c r="C1838" s="90" t="s">
        <v>508</v>
      </c>
      <c r="D1838" s="90" t="s">
        <v>6362</v>
      </c>
      <c r="E1838" s="90" t="s">
        <v>6363</v>
      </c>
      <c r="F1838" s="90" t="s">
        <v>6364</v>
      </c>
      <c r="G1838" t="s">
        <v>512</v>
      </c>
    </row>
    <row r="1839" spans="1:7" x14ac:dyDescent="0.25">
      <c r="A1839" s="114">
        <v>360236</v>
      </c>
      <c r="B1839" s="90" t="s">
        <v>6365</v>
      </c>
      <c r="C1839" s="90" t="s">
        <v>508</v>
      </c>
      <c r="D1839" s="90" t="s">
        <v>6366</v>
      </c>
      <c r="E1839" s="90" t="s">
        <v>6367</v>
      </c>
      <c r="F1839" s="90" t="s">
        <v>6368</v>
      </c>
      <c r="G1839" t="s">
        <v>512</v>
      </c>
    </row>
    <row r="1840" spans="1:7" x14ac:dyDescent="0.25">
      <c r="A1840" s="114">
        <v>360244</v>
      </c>
      <c r="B1840" s="90" t="s">
        <v>6369</v>
      </c>
      <c r="C1840" s="90" t="s">
        <v>508</v>
      </c>
      <c r="D1840" s="90" t="s">
        <v>6370</v>
      </c>
      <c r="E1840" s="90" t="s">
        <v>5059</v>
      </c>
      <c r="F1840" s="90" t="s">
        <v>6371</v>
      </c>
      <c r="G1840" t="s">
        <v>512</v>
      </c>
    </row>
    <row r="1841" spans="1:7" x14ac:dyDescent="0.25">
      <c r="A1841" s="114">
        <v>360261</v>
      </c>
      <c r="B1841" s="90" t="s">
        <v>6372</v>
      </c>
      <c r="C1841" s="90" t="s">
        <v>508</v>
      </c>
      <c r="D1841" s="90" t="s">
        <v>6373</v>
      </c>
      <c r="E1841" s="90" t="s">
        <v>3404</v>
      </c>
      <c r="F1841" s="90" t="s">
        <v>6374</v>
      </c>
      <c r="G1841" t="s">
        <v>512</v>
      </c>
    </row>
    <row r="1842" spans="1:7" x14ac:dyDescent="0.25">
      <c r="A1842" s="114">
        <v>360267</v>
      </c>
      <c r="B1842" s="90" t="s">
        <v>6375</v>
      </c>
      <c r="C1842" s="90" t="s">
        <v>508</v>
      </c>
      <c r="D1842" s="90" t="s">
        <v>6376</v>
      </c>
      <c r="E1842" s="90" t="s">
        <v>6377</v>
      </c>
      <c r="F1842" s="90" t="s">
        <v>6378</v>
      </c>
      <c r="G1842" t="s">
        <v>512</v>
      </c>
    </row>
    <row r="1843" spans="1:7" x14ac:dyDescent="0.25">
      <c r="A1843" s="114">
        <v>360293</v>
      </c>
      <c r="B1843" s="90" t="s">
        <v>4318</v>
      </c>
      <c r="C1843" s="90" t="s">
        <v>508</v>
      </c>
      <c r="D1843" s="90" t="s">
        <v>6379</v>
      </c>
      <c r="E1843" s="90" t="s">
        <v>610</v>
      </c>
      <c r="F1843" s="90" t="s">
        <v>6380</v>
      </c>
      <c r="G1843" t="s">
        <v>512</v>
      </c>
    </row>
    <row r="1844" spans="1:7" x14ac:dyDescent="0.25">
      <c r="A1844" s="114">
        <v>360297</v>
      </c>
      <c r="B1844" s="90" t="s">
        <v>6381</v>
      </c>
      <c r="C1844" s="90" t="s">
        <v>508</v>
      </c>
      <c r="D1844" s="90" t="s">
        <v>6382</v>
      </c>
      <c r="E1844" s="90" t="s">
        <v>2901</v>
      </c>
      <c r="F1844" s="90" t="s">
        <v>6383</v>
      </c>
      <c r="G1844" t="s">
        <v>512</v>
      </c>
    </row>
    <row r="1845" spans="1:7" x14ac:dyDescent="0.25">
      <c r="A1845" s="114">
        <v>360302</v>
      </c>
      <c r="B1845" s="90" t="s">
        <v>751</v>
      </c>
      <c r="C1845" s="90" t="s">
        <v>508</v>
      </c>
      <c r="D1845" s="90" t="s">
        <v>6258</v>
      </c>
      <c r="E1845" s="90" t="s">
        <v>4162</v>
      </c>
      <c r="F1845" s="90" t="s">
        <v>6384</v>
      </c>
      <c r="G1845" t="s">
        <v>512</v>
      </c>
    </row>
    <row r="1846" spans="1:7" x14ac:dyDescent="0.25">
      <c r="A1846" s="114">
        <v>360336</v>
      </c>
      <c r="B1846" s="90" t="s">
        <v>6385</v>
      </c>
      <c r="C1846" s="90" t="s">
        <v>508</v>
      </c>
      <c r="D1846" s="90" t="s">
        <v>6018</v>
      </c>
      <c r="E1846" s="90" t="s">
        <v>1190</v>
      </c>
      <c r="F1846" s="90" t="s">
        <v>6386</v>
      </c>
      <c r="G1846" t="s">
        <v>512</v>
      </c>
    </row>
    <row r="1847" spans="1:7" x14ac:dyDescent="0.25">
      <c r="A1847" s="114">
        <v>360347</v>
      </c>
      <c r="B1847" s="90" t="s">
        <v>6387</v>
      </c>
      <c r="C1847" s="90" t="s">
        <v>508</v>
      </c>
      <c r="D1847" s="90" t="s">
        <v>6388</v>
      </c>
      <c r="E1847" s="90" t="s">
        <v>614</v>
      </c>
      <c r="F1847" s="90" t="s">
        <v>6389</v>
      </c>
      <c r="G1847" t="s">
        <v>512</v>
      </c>
    </row>
    <row r="1848" spans="1:7" x14ac:dyDescent="0.25">
      <c r="A1848" s="114">
        <v>360356</v>
      </c>
      <c r="B1848" s="90" t="s">
        <v>6390</v>
      </c>
      <c r="C1848" s="90" t="s">
        <v>508</v>
      </c>
      <c r="D1848" s="90" t="s">
        <v>6391</v>
      </c>
      <c r="E1848" s="90" t="s">
        <v>3897</v>
      </c>
      <c r="F1848" s="90" t="s">
        <v>6392</v>
      </c>
      <c r="G1848" t="s">
        <v>512</v>
      </c>
    </row>
    <row r="1849" spans="1:7" x14ac:dyDescent="0.25">
      <c r="A1849" s="114">
        <v>360392</v>
      </c>
      <c r="B1849" s="90" t="s">
        <v>6393</v>
      </c>
      <c r="C1849" s="90" t="s">
        <v>508</v>
      </c>
      <c r="D1849" s="90" t="s">
        <v>3599</v>
      </c>
      <c r="E1849" s="90" t="s">
        <v>583</v>
      </c>
      <c r="F1849" s="90" t="s">
        <v>6394</v>
      </c>
      <c r="G1849" t="s">
        <v>512</v>
      </c>
    </row>
    <row r="1850" spans="1:7" x14ac:dyDescent="0.25">
      <c r="A1850" s="114">
        <v>360460</v>
      </c>
      <c r="B1850" s="90" t="s">
        <v>6395</v>
      </c>
      <c r="C1850" s="90" t="s">
        <v>508</v>
      </c>
      <c r="D1850" s="90" t="s">
        <v>6396</v>
      </c>
      <c r="E1850" s="90" t="s">
        <v>2990</v>
      </c>
      <c r="F1850" s="90" t="s">
        <v>6397</v>
      </c>
      <c r="G1850" t="s">
        <v>512</v>
      </c>
    </row>
    <row r="1851" spans="1:7" x14ac:dyDescent="0.25">
      <c r="A1851" s="114">
        <v>360476</v>
      </c>
      <c r="B1851" s="90" t="s">
        <v>6398</v>
      </c>
      <c r="C1851" s="90" t="s">
        <v>508</v>
      </c>
      <c r="D1851" s="90" t="s">
        <v>6399</v>
      </c>
      <c r="E1851" s="90" t="s">
        <v>6400</v>
      </c>
      <c r="F1851" s="90" t="s">
        <v>6401</v>
      </c>
      <c r="G1851" t="s">
        <v>512</v>
      </c>
    </row>
    <row r="1852" spans="1:7" x14ac:dyDescent="0.25">
      <c r="A1852" s="114">
        <v>360492</v>
      </c>
      <c r="B1852" s="90" t="s">
        <v>6402</v>
      </c>
      <c r="C1852" s="90" t="s">
        <v>508</v>
      </c>
      <c r="D1852" s="90" t="s">
        <v>6403</v>
      </c>
      <c r="E1852" s="90" t="s">
        <v>3054</v>
      </c>
      <c r="F1852" s="90" t="s">
        <v>6404</v>
      </c>
      <c r="G1852" t="s">
        <v>512</v>
      </c>
    </row>
    <row r="1853" spans="1:7" x14ac:dyDescent="0.25">
      <c r="A1853" s="114">
        <v>360538</v>
      </c>
      <c r="B1853" s="90" t="s">
        <v>6405</v>
      </c>
      <c r="C1853" s="90" t="s">
        <v>508</v>
      </c>
      <c r="D1853" s="90" t="s">
        <v>6406</v>
      </c>
      <c r="E1853" s="90" t="s">
        <v>2292</v>
      </c>
      <c r="F1853" s="90" t="s">
        <v>6407</v>
      </c>
      <c r="G1853" t="s">
        <v>512</v>
      </c>
    </row>
    <row r="1854" spans="1:7" x14ac:dyDescent="0.25">
      <c r="A1854" s="114">
        <v>360587</v>
      </c>
      <c r="B1854" s="90" t="s">
        <v>6408</v>
      </c>
      <c r="C1854" s="90" t="s">
        <v>508</v>
      </c>
      <c r="D1854" s="90" t="s">
        <v>6409</v>
      </c>
      <c r="E1854" s="90" t="s">
        <v>6410</v>
      </c>
      <c r="F1854" s="90" t="s">
        <v>6411</v>
      </c>
      <c r="G1854" t="s">
        <v>512</v>
      </c>
    </row>
    <row r="1855" spans="1:7" x14ac:dyDescent="0.25">
      <c r="A1855" s="114">
        <v>360612</v>
      </c>
      <c r="B1855" s="90" t="s">
        <v>6412</v>
      </c>
      <c r="C1855" s="90" t="s">
        <v>508</v>
      </c>
      <c r="D1855" s="90" t="s">
        <v>6413</v>
      </c>
      <c r="E1855" s="90" t="s">
        <v>6414</v>
      </c>
      <c r="F1855" s="90" t="s">
        <v>6415</v>
      </c>
      <c r="G1855" t="s">
        <v>512</v>
      </c>
    </row>
    <row r="1856" spans="1:7" x14ac:dyDescent="0.25">
      <c r="A1856" s="114">
        <v>360638</v>
      </c>
      <c r="B1856" s="90" t="s">
        <v>6416</v>
      </c>
      <c r="C1856" s="90" t="s">
        <v>508</v>
      </c>
      <c r="D1856" s="90" t="s">
        <v>4324</v>
      </c>
      <c r="E1856" s="90" t="s">
        <v>4325</v>
      </c>
      <c r="F1856" s="90" t="s">
        <v>6417</v>
      </c>
      <c r="G1856" t="s">
        <v>512</v>
      </c>
    </row>
    <row r="1857" spans="1:7" x14ac:dyDescent="0.25">
      <c r="A1857" s="114">
        <v>360661</v>
      </c>
      <c r="B1857" s="90" t="s">
        <v>6418</v>
      </c>
      <c r="C1857" s="90" t="s">
        <v>508</v>
      </c>
      <c r="D1857" s="90" t="s">
        <v>6419</v>
      </c>
      <c r="E1857" s="90" t="s">
        <v>6420</v>
      </c>
      <c r="F1857" s="90" t="s">
        <v>6421</v>
      </c>
      <c r="G1857" t="s">
        <v>512</v>
      </c>
    </row>
    <row r="1858" spans="1:7" x14ac:dyDescent="0.25">
      <c r="A1858" s="114">
        <v>360673</v>
      </c>
      <c r="B1858" s="90" t="s">
        <v>6422</v>
      </c>
      <c r="C1858" s="90" t="s">
        <v>508</v>
      </c>
      <c r="D1858" s="90" t="s">
        <v>6423</v>
      </c>
      <c r="E1858" s="90" t="s">
        <v>4739</v>
      </c>
      <c r="F1858" s="90" t="s">
        <v>6424</v>
      </c>
      <c r="G1858" t="s">
        <v>512</v>
      </c>
    </row>
    <row r="1859" spans="1:7" x14ac:dyDescent="0.25">
      <c r="A1859" s="114">
        <v>360758</v>
      </c>
      <c r="B1859" s="90" t="s">
        <v>6425</v>
      </c>
      <c r="C1859" s="90" t="s">
        <v>508</v>
      </c>
      <c r="D1859" s="90" t="s">
        <v>6426</v>
      </c>
      <c r="E1859" s="90" t="s">
        <v>6427</v>
      </c>
      <c r="F1859" s="90" t="s">
        <v>6428</v>
      </c>
      <c r="G1859" t="s">
        <v>512</v>
      </c>
    </row>
    <row r="1860" spans="1:7" x14ac:dyDescent="0.25">
      <c r="A1860" s="114">
        <v>360786</v>
      </c>
      <c r="B1860" s="90" t="s">
        <v>6429</v>
      </c>
      <c r="C1860" s="90" t="s">
        <v>508</v>
      </c>
      <c r="D1860" s="90" t="s">
        <v>6430</v>
      </c>
      <c r="E1860" s="90" t="s">
        <v>1866</v>
      </c>
      <c r="F1860" s="90" t="s">
        <v>6431</v>
      </c>
      <c r="G1860" t="s">
        <v>512</v>
      </c>
    </row>
    <row r="1861" spans="1:7" x14ac:dyDescent="0.25">
      <c r="A1861" s="114">
        <v>360792</v>
      </c>
      <c r="B1861" s="90" t="s">
        <v>6432</v>
      </c>
      <c r="C1861" s="90" t="s">
        <v>508</v>
      </c>
      <c r="D1861" s="90" t="s">
        <v>6433</v>
      </c>
      <c r="E1861" s="90" t="s">
        <v>543</v>
      </c>
      <c r="F1861" s="90" t="s">
        <v>6434</v>
      </c>
      <c r="G1861" t="s">
        <v>512</v>
      </c>
    </row>
    <row r="1862" spans="1:7" x14ac:dyDescent="0.25">
      <c r="A1862" s="114">
        <v>360800</v>
      </c>
      <c r="B1862" s="90" t="s">
        <v>6435</v>
      </c>
      <c r="C1862" s="90" t="s">
        <v>508</v>
      </c>
      <c r="D1862" s="90" t="s">
        <v>6436</v>
      </c>
      <c r="E1862" s="90" t="s">
        <v>1489</v>
      </c>
      <c r="F1862" s="90" t="s">
        <v>6437</v>
      </c>
      <c r="G1862" t="s">
        <v>512</v>
      </c>
    </row>
    <row r="1863" spans="1:7" x14ac:dyDescent="0.25">
      <c r="A1863" s="114">
        <v>360827</v>
      </c>
      <c r="B1863" s="90" t="s">
        <v>6438</v>
      </c>
      <c r="C1863" s="90" t="s">
        <v>508</v>
      </c>
      <c r="D1863" s="90" t="s">
        <v>6439</v>
      </c>
      <c r="E1863" s="90" t="s">
        <v>6440</v>
      </c>
      <c r="F1863" s="90" t="s">
        <v>6441</v>
      </c>
      <c r="G1863" t="s">
        <v>512</v>
      </c>
    </row>
    <row r="1864" spans="1:7" x14ac:dyDescent="0.25">
      <c r="A1864" s="114">
        <v>360840</v>
      </c>
      <c r="B1864" s="90" t="s">
        <v>6442</v>
      </c>
      <c r="C1864" s="90" t="s">
        <v>508</v>
      </c>
      <c r="D1864" s="90" t="s">
        <v>6443</v>
      </c>
      <c r="E1864" s="90" t="s">
        <v>6444</v>
      </c>
      <c r="F1864" s="90" t="s">
        <v>6445</v>
      </c>
      <c r="G1864" t="s">
        <v>512</v>
      </c>
    </row>
    <row r="1865" spans="1:7" x14ac:dyDescent="0.25">
      <c r="A1865" s="114">
        <v>360991</v>
      </c>
      <c r="B1865" s="90" t="s">
        <v>6446</v>
      </c>
      <c r="C1865" s="90" t="s">
        <v>508</v>
      </c>
      <c r="D1865" s="90" t="s">
        <v>6447</v>
      </c>
      <c r="E1865" s="90" t="s">
        <v>5490</v>
      </c>
      <c r="F1865" s="90" t="s">
        <v>6448</v>
      </c>
      <c r="G1865" t="s">
        <v>512</v>
      </c>
    </row>
    <row r="1866" spans="1:7" x14ac:dyDescent="0.25">
      <c r="A1866" s="114">
        <v>361010</v>
      </c>
      <c r="B1866" s="90" t="s">
        <v>6449</v>
      </c>
      <c r="C1866" s="90" t="s">
        <v>508</v>
      </c>
      <c r="D1866" s="90" t="s">
        <v>6450</v>
      </c>
      <c r="E1866" s="90" t="s">
        <v>6451</v>
      </c>
      <c r="F1866" s="90" t="s">
        <v>6452</v>
      </c>
      <c r="G1866" t="s">
        <v>512</v>
      </c>
    </row>
    <row r="1867" spans="1:7" x14ac:dyDescent="0.25">
      <c r="A1867" s="114">
        <v>361039</v>
      </c>
      <c r="B1867" s="90" t="s">
        <v>6453</v>
      </c>
      <c r="C1867" s="90" t="s">
        <v>508</v>
      </c>
      <c r="D1867" s="90" t="s">
        <v>4712</v>
      </c>
      <c r="E1867" s="90" t="s">
        <v>945</v>
      </c>
      <c r="F1867" s="90" t="s">
        <v>6454</v>
      </c>
      <c r="G1867" t="s">
        <v>512</v>
      </c>
    </row>
    <row r="1868" spans="1:7" x14ac:dyDescent="0.25">
      <c r="A1868" s="114">
        <v>361164</v>
      </c>
      <c r="B1868" s="90" t="s">
        <v>6455</v>
      </c>
      <c r="C1868" s="90" t="s">
        <v>508</v>
      </c>
      <c r="D1868" s="90" t="s">
        <v>1406</v>
      </c>
      <c r="E1868" s="90" t="s">
        <v>1089</v>
      </c>
      <c r="F1868" s="90" t="s">
        <v>6456</v>
      </c>
      <c r="G1868" t="s">
        <v>512</v>
      </c>
    </row>
    <row r="1869" spans="1:7" x14ac:dyDescent="0.25">
      <c r="A1869" s="114">
        <v>361201</v>
      </c>
      <c r="B1869" s="90" t="s">
        <v>6457</v>
      </c>
      <c r="C1869" s="90" t="s">
        <v>508</v>
      </c>
      <c r="D1869" s="90" t="s">
        <v>6458</v>
      </c>
      <c r="E1869" s="90" t="s">
        <v>634</v>
      </c>
      <c r="F1869" s="90" t="s">
        <v>6459</v>
      </c>
      <c r="G1869" t="s">
        <v>512</v>
      </c>
    </row>
    <row r="1870" spans="1:7" x14ac:dyDescent="0.25">
      <c r="A1870" s="114">
        <v>361242</v>
      </c>
      <c r="B1870" s="90" t="s">
        <v>4618</v>
      </c>
      <c r="C1870" s="90" t="s">
        <v>508</v>
      </c>
      <c r="D1870" s="90" t="s">
        <v>6460</v>
      </c>
      <c r="E1870" s="90" t="s">
        <v>4947</v>
      </c>
      <c r="F1870" s="90" t="s">
        <v>6461</v>
      </c>
      <c r="G1870" t="s">
        <v>512</v>
      </c>
    </row>
    <row r="1871" spans="1:7" x14ac:dyDescent="0.25">
      <c r="A1871" s="114">
        <v>361295</v>
      </c>
      <c r="B1871" s="90" t="s">
        <v>6462</v>
      </c>
      <c r="C1871" s="90" t="s">
        <v>508</v>
      </c>
      <c r="D1871" s="90" t="s">
        <v>6463</v>
      </c>
      <c r="E1871" s="90" t="s">
        <v>1234</v>
      </c>
      <c r="F1871" s="90" t="s">
        <v>6464</v>
      </c>
      <c r="G1871" t="s">
        <v>512</v>
      </c>
    </row>
    <row r="1872" spans="1:7" x14ac:dyDescent="0.25">
      <c r="A1872" s="114">
        <v>361313</v>
      </c>
      <c r="B1872" s="90" t="s">
        <v>6465</v>
      </c>
      <c r="C1872" s="90" t="s">
        <v>508</v>
      </c>
      <c r="D1872" s="90" t="s">
        <v>6466</v>
      </c>
      <c r="E1872" s="90" t="s">
        <v>2217</v>
      </c>
      <c r="F1872" s="90" t="s">
        <v>6467</v>
      </c>
      <c r="G1872" t="s">
        <v>512</v>
      </c>
    </row>
    <row r="1873" spans="1:7" x14ac:dyDescent="0.25">
      <c r="A1873" s="114">
        <v>361321</v>
      </c>
      <c r="B1873" s="90" t="s">
        <v>6468</v>
      </c>
      <c r="C1873" s="90" t="s">
        <v>508</v>
      </c>
      <c r="D1873" s="90" t="s">
        <v>6469</v>
      </c>
      <c r="E1873" s="90" t="s">
        <v>6470</v>
      </c>
      <c r="F1873" s="90" t="s">
        <v>6471</v>
      </c>
      <c r="G1873" t="s">
        <v>512</v>
      </c>
    </row>
    <row r="1874" spans="1:7" x14ac:dyDescent="0.25">
      <c r="A1874" s="114">
        <v>361349</v>
      </c>
      <c r="B1874" s="90" t="s">
        <v>6472</v>
      </c>
      <c r="C1874" s="90" t="s">
        <v>508</v>
      </c>
      <c r="D1874" s="90" t="s">
        <v>6473</v>
      </c>
      <c r="E1874" s="90" t="s">
        <v>698</v>
      </c>
      <c r="F1874" s="90" t="s">
        <v>6474</v>
      </c>
      <c r="G1874" t="s">
        <v>512</v>
      </c>
    </row>
    <row r="1875" spans="1:7" x14ac:dyDescent="0.25">
      <c r="A1875" s="114">
        <v>361377</v>
      </c>
      <c r="B1875" s="90" t="s">
        <v>6475</v>
      </c>
      <c r="C1875" s="90" t="s">
        <v>508</v>
      </c>
      <c r="D1875" s="90" t="s">
        <v>6476</v>
      </c>
      <c r="E1875" s="90" t="s">
        <v>3897</v>
      </c>
      <c r="F1875" s="90" t="s">
        <v>6477</v>
      </c>
      <c r="G1875" t="s">
        <v>512</v>
      </c>
    </row>
    <row r="1876" spans="1:7" x14ac:dyDescent="0.25">
      <c r="A1876" s="114">
        <v>361378</v>
      </c>
      <c r="B1876" s="90" t="s">
        <v>6478</v>
      </c>
      <c r="C1876" s="90" t="s">
        <v>508</v>
      </c>
      <c r="D1876" s="90" t="s">
        <v>6479</v>
      </c>
      <c r="E1876" s="90" t="s">
        <v>5028</v>
      </c>
      <c r="F1876" s="90" t="s">
        <v>6480</v>
      </c>
      <c r="G1876" t="s">
        <v>512</v>
      </c>
    </row>
    <row r="1877" spans="1:7" x14ac:dyDescent="0.25">
      <c r="A1877" s="114">
        <v>361423</v>
      </c>
      <c r="B1877" s="90" t="s">
        <v>6481</v>
      </c>
      <c r="C1877" s="90" t="s">
        <v>508</v>
      </c>
      <c r="D1877" s="90" t="s">
        <v>6482</v>
      </c>
      <c r="E1877" s="90" t="s">
        <v>551</v>
      </c>
      <c r="F1877" s="90" t="s">
        <v>6483</v>
      </c>
      <c r="G1877" t="s">
        <v>512</v>
      </c>
    </row>
    <row r="1878" spans="1:7" x14ac:dyDescent="0.25">
      <c r="A1878" s="114">
        <v>361424</v>
      </c>
      <c r="B1878" s="90" t="s">
        <v>99</v>
      </c>
      <c r="C1878" s="90" t="s">
        <v>508</v>
      </c>
      <c r="D1878" s="90" t="s">
        <v>6484</v>
      </c>
      <c r="E1878" s="90" t="s">
        <v>695</v>
      </c>
      <c r="F1878" s="90" t="s">
        <v>6485</v>
      </c>
      <c r="G1878" t="s">
        <v>512</v>
      </c>
    </row>
    <row r="1879" spans="1:7" x14ac:dyDescent="0.25">
      <c r="A1879" s="114">
        <v>361450</v>
      </c>
      <c r="B1879" s="90" t="s">
        <v>563</v>
      </c>
      <c r="C1879" s="90" t="s">
        <v>508</v>
      </c>
      <c r="D1879" s="90" t="s">
        <v>6486</v>
      </c>
      <c r="E1879" s="90" t="s">
        <v>6487</v>
      </c>
      <c r="F1879" s="90" t="s">
        <v>6488</v>
      </c>
      <c r="G1879" t="s">
        <v>512</v>
      </c>
    </row>
    <row r="1880" spans="1:7" x14ac:dyDescent="0.25">
      <c r="A1880" s="114">
        <v>361453</v>
      </c>
      <c r="B1880" s="90" t="s">
        <v>6489</v>
      </c>
      <c r="C1880" s="90" t="s">
        <v>508</v>
      </c>
      <c r="D1880" s="90" t="s">
        <v>6490</v>
      </c>
      <c r="E1880" s="90" t="s">
        <v>563</v>
      </c>
      <c r="F1880" s="90" t="s">
        <v>6491</v>
      </c>
      <c r="G1880" t="s">
        <v>512</v>
      </c>
    </row>
    <row r="1881" spans="1:7" x14ac:dyDescent="0.25">
      <c r="A1881" s="114">
        <v>361455</v>
      </c>
      <c r="B1881" s="90" t="s">
        <v>6492</v>
      </c>
      <c r="C1881" s="90" t="s">
        <v>508</v>
      </c>
      <c r="D1881" s="90" t="s">
        <v>6493</v>
      </c>
      <c r="E1881" s="90" t="s">
        <v>3143</v>
      </c>
      <c r="F1881" s="90" t="s">
        <v>6494</v>
      </c>
      <c r="G1881" t="s">
        <v>512</v>
      </c>
    </row>
    <row r="1882" spans="1:7" x14ac:dyDescent="0.25">
      <c r="A1882" s="114">
        <v>361460</v>
      </c>
      <c r="B1882" s="90" t="s">
        <v>6495</v>
      </c>
      <c r="C1882" s="90" t="s">
        <v>508</v>
      </c>
      <c r="D1882" s="90" t="s">
        <v>6496</v>
      </c>
      <c r="E1882" s="90" t="s">
        <v>5437</v>
      </c>
      <c r="F1882" s="90" t="s">
        <v>4647</v>
      </c>
      <c r="G1882" t="s">
        <v>512</v>
      </c>
    </row>
    <row r="1883" spans="1:7" x14ac:dyDescent="0.25">
      <c r="A1883" s="114">
        <v>361466</v>
      </c>
      <c r="B1883" s="90" t="s">
        <v>6497</v>
      </c>
      <c r="C1883" s="90" t="s">
        <v>508</v>
      </c>
      <c r="D1883" s="90" t="s">
        <v>6498</v>
      </c>
      <c r="E1883" s="90" t="s">
        <v>6499</v>
      </c>
      <c r="F1883" s="90" t="s">
        <v>6500</v>
      </c>
      <c r="G1883" t="s">
        <v>512</v>
      </c>
    </row>
    <row r="1884" spans="1:7" x14ac:dyDescent="0.25">
      <c r="A1884" s="114">
        <v>361472</v>
      </c>
      <c r="B1884" s="90" t="s">
        <v>6501</v>
      </c>
      <c r="C1884" s="90" t="s">
        <v>508</v>
      </c>
      <c r="D1884" s="90" t="s">
        <v>6502</v>
      </c>
      <c r="E1884" s="90" t="s">
        <v>1489</v>
      </c>
      <c r="F1884" s="90" t="s">
        <v>6503</v>
      </c>
      <c r="G1884" t="s">
        <v>512</v>
      </c>
    </row>
    <row r="1885" spans="1:7" x14ac:dyDescent="0.25">
      <c r="A1885" s="114">
        <v>361538</v>
      </c>
      <c r="B1885" s="90" t="s">
        <v>6504</v>
      </c>
      <c r="C1885" s="90" t="s">
        <v>508</v>
      </c>
      <c r="D1885" s="90" t="s">
        <v>6505</v>
      </c>
      <c r="E1885" s="90" t="s">
        <v>6506</v>
      </c>
      <c r="F1885" s="90" t="s">
        <v>6507</v>
      </c>
      <c r="G1885" t="s">
        <v>512</v>
      </c>
    </row>
    <row r="1886" spans="1:7" x14ac:dyDescent="0.25">
      <c r="A1886" s="114">
        <v>361558</v>
      </c>
      <c r="B1886" s="90" t="s">
        <v>6508</v>
      </c>
      <c r="C1886" s="90" t="s">
        <v>508</v>
      </c>
      <c r="D1886" s="90" t="s">
        <v>6509</v>
      </c>
      <c r="E1886" s="90" t="s">
        <v>610</v>
      </c>
      <c r="F1886" s="90" t="s">
        <v>6510</v>
      </c>
      <c r="G1886" t="s">
        <v>512</v>
      </c>
    </row>
    <row r="1887" spans="1:7" x14ac:dyDescent="0.25">
      <c r="A1887" s="114">
        <v>361600</v>
      </c>
      <c r="B1887" s="90" t="s">
        <v>6511</v>
      </c>
      <c r="C1887" s="90" t="s">
        <v>508</v>
      </c>
      <c r="D1887" s="90" t="s">
        <v>6512</v>
      </c>
      <c r="E1887" s="90" t="s">
        <v>583</v>
      </c>
      <c r="F1887" s="90" t="s">
        <v>6513</v>
      </c>
      <c r="G1887" t="s">
        <v>512</v>
      </c>
    </row>
    <row r="1888" spans="1:7" x14ac:dyDescent="0.25">
      <c r="A1888" s="114">
        <v>361612</v>
      </c>
      <c r="B1888" s="90" t="s">
        <v>6514</v>
      </c>
      <c r="C1888" s="90" t="s">
        <v>508</v>
      </c>
      <c r="D1888" s="90" t="s">
        <v>6515</v>
      </c>
      <c r="E1888" s="90" t="s">
        <v>2528</v>
      </c>
      <c r="F1888" s="90" t="s">
        <v>6516</v>
      </c>
      <c r="G1888" t="s">
        <v>512</v>
      </c>
    </row>
    <row r="1889" spans="1:7" x14ac:dyDescent="0.25">
      <c r="A1889" s="114">
        <v>361616</v>
      </c>
      <c r="B1889" s="90" t="s">
        <v>6517</v>
      </c>
      <c r="C1889" s="90" t="s">
        <v>508</v>
      </c>
      <c r="D1889" s="90" t="s">
        <v>6518</v>
      </c>
      <c r="E1889" s="90" t="s">
        <v>6519</v>
      </c>
      <c r="F1889" s="90" t="s">
        <v>6520</v>
      </c>
      <c r="G1889" t="s">
        <v>512</v>
      </c>
    </row>
    <row r="1890" spans="1:7" x14ac:dyDescent="0.25">
      <c r="A1890" s="114">
        <v>361619</v>
      </c>
      <c r="B1890" s="90" t="s">
        <v>6132</v>
      </c>
      <c r="C1890" s="90" t="s">
        <v>508</v>
      </c>
      <c r="D1890" s="90" t="s">
        <v>6521</v>
      </c>
      <c r="E1890" s="90" t="s">
        <v>972</v>
      </c>
      <c r="F1890" s="90" t="s">
        <v>6522</v>
      </c>
      <c r="G1890" t="s">
        <v>512</v>
      </c>
    </row>
    <row r="1891" spans="1:7" x14ac:dyDescent="0.25">
      <c r="A1891" s="114">
        <v>361622</v>
      </c>
      <c r="B1891" s="90" t="s">
        <v>6523</v>
      </c>
      <c r="C1891" s="90" t="s">
        <v>508</v>
      </c>
      <c r="D1891" s="90" t="s">
        <v>5456</v>
      </c>
      <c r="E1891" s="90" t="s">
        <v>5514</v>
      </c>
      <c r="F1891" s="90" t="s">
        <v>6524</v>
      </c>
      <c r="G1891" t="s">
        <v>512</v>
      </c>
    </row>
    <row r="1892" spans="1:7" x14ac:dyDescent="0.25">
      <c r="A1892" s="114">
        <v>361630</v>
      </c>
      <c r="B1892" s="90" t="s">
        <v>6525</v>
      </c>
      <c r="C1892" s="90" t="s">
        <v>508</v>
      </c>
      <c r="D1892" s="90" t="s">
        <v>6526</v>
      </c>
      <c r="E1892" s="90" t="s">
        <v>6527</v>
      </c>
      <c r="F1892" s="90" t="s">
        <v>6528</v>
      </c>
      <c r="G1892" t="s">
        <v>512</v>
      </c>
    </row>
    <row r="1893" spans="1:7" x14ac:dyDescent="0.25">
      <c r="A1893" s="114">
        <v>361657</v>
      </c>
      <c r="B1893" s="90" t="s">
        <v>6529</v>
      </c>
      <c r="C1893" s="90" t="s">
        <v>508</v>
      </c>
      <c r="D1893" s="90" t="s">
        <v>6530</v>
      </c>
      <c r="E1893" s="90" t="s">
        <v>6531</v>
      </c>
      <c r="F1893" s="90" t="s">
        <v>6532</v>
      </c>
      <c r="G1893" t="s">
        <v>512</v>
      </c>
    </row>
    <row r="1894" spans="1:7" x14ac:dyDescent="0.25">
      <c r="A1894" s="114">
        <v>361737</v>
      </c>
      <c r="B1894" s="90" t="s">
        <v>6533</v>
      </c>
      <c r="C1894" s="90" t="s">
        <v>508</v>
      </c>
      <c r="D1894" s="90" t="s">
        <v>3252</v>
      </c>
      <c r="E1894" s="90" t="s">
        <v>818</v>
      </c>
      <c r="F1894" s="90" t="s">
        <v>6534</v>
      </c>
      <c r="G1894" t="s">
        <v>512</v>
      </c>
    </row>
    <row r="1895" spans="1:7" x14ac:dyDescent="0.25">
      <c r="A1895" s="114">
        <v>361757</v>
      </c>
      <c r="B1895" s="90" t="s">
        <v>6535</v>
      </c>
      <c r="C1895" s="90" t="s">
        <v>508</v>
      </c>
      <c r="D1895" s="90" t="s">
        <v>6536</v>
      </c>
      <c r="E1895" s="90" t="s">
        <v>818</v>
      </c>
      <c r="F1895" s="90" t="s">
        <v>6537</v>
      </c>
      <c r="G1895" t="s">
        <v>512</v>
      </c>
    </row>
    <row r="1896" spans="1:7" x14ac:dyDescent="0.25">
      <c r="A1896" s="114">
        <v>361765</v>
      </c>
      <c r="B1896" s="90" t="s">
        <v>6538</v>
      </c>
      <c r="C1896" s="90" t="s">
        <v>508</v>
      </c>
      <c r="D1896" s="90" t="s">
        <v>6539</v>
      </c>
      <c r="E1896" s="90" t="s">
        <v>543</v>
      </c>
      <c r="F1896" s="90" t="s">
        <v>6540</v>
      </c>
      <c r="G1896" t="s">
        <v>512</v>
      </c>
    </row>
    <row r="1897" spans="1:7" x14ac:dyDescent="0.25">
      <c r="A1897" s="114">
        <v>361792</v>
      </c>
      <c r="B1897" s="90" t="s">
        <v>6541</v>
      </c>
      <c r="C1897" s="90" t="s">
        <v>508</v>
      </c>
      <c r="D1897" s="90" t="s">
        <v>6542</v>
      </c>
      <c r="E1897" s="90" t="s">
        <v>1797</v>
      </c>
      <c r="F1897" s="90" t="s">
        <v>6543</v>
      </c>
      <c r="G1897" t="s">
        <v>512</v>
      </c>
    </row>
    <row r="1898" spans="1:7" x14ac:dyDescent="0.25">
      <c r="A1898" s="114">
        <v>361794</v>
      </c>
      <c r="B1898" s="90" t="s">
        <v>6544</v>
      </c>
      <c r="C1898" s="90" t="s">
        <v>508</v>
      </c>
      <c r="D1898" s="90" t="s">
        <v>6545</v>
      </c>
      <c r="E1898" s="90" t="s">
        <v>6546</v>
      </c>
      <c r="F1898" s="90" t="s">
        <v>6547</v>
      </c>
      <c r="G1898" t="s">
        <v>512</v>
      </c>
    </row>
    <row r="1899" spans="1:7" x14ac:dyDescent="0.25">
      <c r="A1899" s="114">
        <v>361799</v>
      </c>
      <c r="B1899" s="90" t="s">
        <v>6548</v>
      </c>
      <c r="C1899" s="90" t="s">
        <v>508</v>
      </c>
      <c r="D1899" s="90" t="s">
        <v>6549</v>
      </c>
      <c r="E1899" s="90" t="s">
        <v>2073</v>
      </c>
      <c r="F1899" s="90" t="s">
        <v>6550</v>
      </c>
      <c r="G1899" t="s">
        <v>512</v>
      </c>
    </row>
    <row r="1900" spans="1:7" x14ac:dyDescent="0.25">
      <c r="A1900" s="114">
        <v>361826</v>
      </c>
      <c r="B1900" s="90" t="s">
        <v>6551</v>
      </c>
      <c r="C1900" s="90" t="s">
        <v>508</v>
      </c>
      <c r="D1900" s="90" t="s">
        <v>6552</v>
      </c>
      <c r="E1900" s="90" t="s">
        <v>4034</v>
      </c>
      <c r="F1900" s="90" t="s">
        <v>6553</v>
      </c>
      <c r="G1900" t="s">
        <v>512</v>
      </c>
    </row>
    <row r="1901" spans="1:7" x14ac:dyDescent="0.25">
      <c r="A1901" s="114">
        <v>361827</v>
      </c>
      <c r="B1901" s="90" t="s">
        <v>1102</v>
      </c>
      <c r="C1901" s="90" t="s">
        <v>508</v>
      </c>
      <c r="D1901" s="90" t="s">
        <v>6554</v>
      </c>
      <c r="E1901" s="90" t="s">
        <v>945</v>
      </c>
      <c r="F1901" s="90" t="s">
        <v>1104</v>
      </c>
      <c r="G1901" t="s">
        <v>512</v>
      </c>
    </row>
    <row r="1902" spans="1:7" x14ac:dyDescent="0.25">
      <c r="A1902" s="114">
        <v>361846</v>
      </c>
      <c r="B1902" s="90" t="s">
        <v>6555</v>
      </c>
      <c r="C1902" s="90" t="s">
        <v>508</v>
      </c>
      <c r="D1902" s="90" t="s">
        <v>3514</v>
      </c>
      <c r="E1902" s="90" t="s">
        <v>583</v>
      </c>
      <c r="F1902" s="90" t="s">
        <v>6556</v>
      </c>
      <c r="G1902" t="s">
        <v>512</v>
      </c>
    </row>
    <row r="1903" spans="1:7" x14ac:dyDescent="0.25">
      <c r="A1903" s="114">
        <v>361855</v>
      </c>
      <c r="B1903" s="90" t="s">
        <v>6557</v>
      </c>
      <c r="C1903" s="90" t="s">
        <v>508</v>
      </c>
      <c r="D1903" s="90" t="s">
        <v>6558</v>
      </c>
      <c r="E1903" s="90" t="s">
        <v>818</v>
      </c>
      <c r="F1903" s="90" t="s">
        <v>6559</v>
      </c>
      <c r="G1903" t="s">
        <v>512</v>
      </c>
    </row>
    <row r="1904" spans="1:7" x14ac:dyDescent="0.25">
      <c r="A1904" s="114">
        <v>361887</v>
      </c>
      <c r="B1904" s="90" t="s">
        <v>3688</v>
      </c>
      <c r="C1904" s="90" t="s">
        <v>508</v>
      </c>
      <c r="D1904" s="90" t="s">
        <v>6560</v>
      </c>
      <c r="E1904" s="90" t="s">
        <v>5527</v>
      </c>
      <c r="F1904" s="90" t="s">
        <v>3690</v>
      </c>
      <c r="G1904" t="s">
        <v>512</v>
      </c>
    </row>
    <row r="1905" spans="1:7" x14ac:dyDescent="0.25">
      <c r="A1905" s="114">
        <v>361890</v>
      </c>
      <c r="B1905" s="90" t="s">
        <v>6561</v>
      </c>
      <c r="C1905" s="90" t="s">
        <v>508</v>
      </c>
      <c r="D1905" s="90" t="s">
        <v>6562</v>
      </c>
      <c r="E1905" s="90" t="s">
        <v>1934</v>
      </c>
      <c r="F1905" s="90" t="s">
        <v>6563</v>
      </c>
      <c r="G1905" t="s">
        <v>512</v>
      </c>
    </row>
    <row r="1906" spans="1:7" x14ac:dyDescent="0.25">
      <c r="A1906" s="114">
        <v>361927</v>
      </c>
      <c r="B1906" s="90" t="s">
        <v>6564</v>
      </c>
      <c r="C1906" s="90" t="s">
        <v>508</v>
      </c>
      <c r="D1906" s="90" t="s">
        <v>6565</v>
      </c>
      <c r="E1906" s="90" t="s">
        <v>2917</v>
      </c>
      <c r="F1906" s="90" t="s">
        <v>6566</v>
      </c>
      <c r="G1906" t="s">
        <v>512</v>
      </c>
    </row>
    <row r="1907" spans="1:7" x14ac:dyDescent="0.25">
      <c r="A1907" s="114">
        <v>361962</v>
      </c>
      <c r="B1907" s="90" t="s">
        <v>6567</v>
      </c>
      <c r="C1907" s="90" t="s">
        <v>508</v>
      </c>
      <c r="D1907" s="90" t="s">
        <v>6568</v>
      </c>
      <c r="E1907" s="90" t="s">
        <v>1160</v>
      </c>
      <c r="F1907" s="90" t="s">
        <v>6569</v>
      </c>
      <c r="G1907" t="s">
        <v>512</v>
      </c>
    </row>
    <row r="1908" spans="1:7" x14ac:dyDescent="0.25">
      <c r="A1908" s="114">
        <v>361964</v>
      </c>
      <c r="B1908" s="90" t="s">
        <v>6570</v>
      </c>
      <c r="C1908" s="90" t="s">
        <v>508</v>
      </c>
      <c r="D1908" s="90" t="s">
        <v>6571</v>
      </c>
      <c r="E1908" s="90" t="s">
        <v>6572</v>
      </c>
      <c r="F1908" s="90" t="s">
        <v>6573</v>
      </c>
      <c r="G1908" t="s">
        <v>512</v>
      </c>
    </row>
    <row r="1909" spans="1:7" x14ac:dyDescent="0.25">
      <c r="A1909" s="114">
        <v>361984</v>
      </c>
      <c r="B1909" s="90" t="s">
        <v>6574</v>
      </c>
      <c r="C1909" s="90" t="s">
        <v>508</v>
      </c>
      <c r="D1909" s="90" t="s">
        <v>6575</v>
      </c>
      <c r="E1909" s="90" t="s">
        <v>818</v>
      </c>
      <c r="F1909" s="90" t="s">
        <v>6576</v>
      </c>
      <c r="G1909" t="s">
        <v>512</v>
      </c>
    </row>
    <row r="1910" spans="1:7" x14ac:dyDescent="0.25">
      <c r="A1910" s="114">
        <v>362007</v>
      </c>
      <c r="B1910" s="90" t="s">
        <v>6577</v>
      </c>
      <c r="C1910" s="90" t="s">
        <v>508</v>
      </c>
      <c r="D1910" s="90" t="s">
        <v>6578</v>
      </c>
      <c r="E1910" s="90" t="s">
        <v>6579</v>
      </c>
      <c r="F1910" s="90" t="s">
        <v>6580</v>
      </c>
      <c r="G1910" t="s">
        <v>512</v>
      </c>
    </row>
    <row r="1911" spans="1:7" x14ac:dyDescent="0.25">
      <c r="A1911" s="114">
        <v>362036</v>
      </c>
      <c r="B1911" s="90" t="s">
        <v>6581</v>
      </c>
      <c r="C1911" s="90" t="s">
        <v>508</v>
      </c>
      <c r="D1911" s="90" t="s">
        <v>6582</v>
      </c>
      <c r="E1911" s="90" t="s">
        <v>6583</v>
      </c>
      <c r="F1911" s="90" t="s">
        <v>6584</v>
      </c>
      <c r="G1911" t="s">
        <v>512</v>
      </c>
    </row>
    <row r="1912" spans="1:7" x14ac:dyDescent="0.25">
      <c r="A1912" s="114">
        <v>362037</v>
      </c>
      <c r="B1912" s="90" t="s">
        <v>6585</v>
      </c>
      <c r="C1912" s="90" t="s">
        <v>508</v>
      </c>
      <c r="D1912" s="90" t="s">
        <v>6586</v>
      </c>
      <c r="E1912" s="90" t="s">
        <v>3684</v>
      </c>
      <c r="F1912" s="90" t="s">
        <v>6587</v>
      </c>
      <c r="G1912" t="s">
        <v>512</v>
      </c>
    </row>
    <row r="1913" spans="1:7" x14ac:dyDescent="0.25">
      <c r="A1913" s="114">
        <v>362045</v>
      </c>
      <c r="B1913" s="90" t="s">
        <v>6588</v>
      </c>
      <c r="C1913" s="90" t="s">
        <v>508</v>
      </c>
      <c r="D1913" s="90" t="s">
        <v>6589</v>
      </c>
      <c r="E1913" s="90" t="s">
        <v>4382</v>
      </c>
      <c r="F1913" s="90" t="s">
        <v>6590</v>
      </c>
      <c r="G1913" t="s">
        <v>512</v>
      </c>
    </row>
    <row r="1914" spans="1:7" x14ac:dyDescent="0.25">
      <c r="A1914" s="114">
        <v>600015</v>
      </c>
      <c r="B1914" s="90" t="s">
        <v>6591</v>
      </c>
      <c r="C1914" s="90" t="s">
        <v>508</v>
      </c>
      <c r="D1914" s="90" t="s">
        <v>6592</v>
      </c>
      <c r="E1914" s="90" t="s">
        <v>1440</v>
      </c>
      <c r="F1914" s="90" t="s">
        <v>6593</v>
      </c>
      <c r="G1914" t="s">
        <v>512</v>
      </c>
    </row>
    <row r="1915" spans="1:7" x14ac:dyDescent="0.25">
      <c r="A1915" s="114">
        <v>8006015210</v>
      </c>
      <c r="B1915" s="90" t="s">
        <v>6594</v>
      </c>
      <c r="C1915" s="90" t="s">
        <v>508</v>
      </c>
      <c r="D1915" s="90" t="s">
        <v>6595</v>
      </c>
      <c r="E1915" s="90" t="s">
        <v>539</v>
      </c>
      <c r="F1915" s="90" t="s">
        <v>6596</v>
      </c>
      <c r="G1915" t="s">
        <v>512</v>
      </c>
    </row>
    <row r="1916" spans="1:7" x14ac:dyDescent="0.25">
      <c r="A1916" s="114">
        <v>8110214570</v>
      </c>
      <c r="B1916" s="90" t="s">
        <v>6597</v>
      </c>
      <c r="C1916" s="90" t="s">
        <v>508</v>
      </c>
      <c r="D1916" s="90" t="s">
        <v>6595</v>
      </c>
      <c r="E1916" s="90" t="s">
        <v>4884</v>
      </c>
      <c r="F1916" s="90" t="s">
        <v>6598</v>
      </c>
      <c r="G1916" t="s">
        <v>512</v>
      </c>
    </row>
    <row r="1917" spans="1:7" x14ac:dyDescent="0.25">
      <c r="A1917" s="114">
        <v>8110990620</v>
      </c>
      <c r="B1917" s="90" t="s">
        <v>6599</v>
      </c>
      <c r="C1917" s="90" t="s">
        <v>508</v>
      </c>
      <c r="D1917" s="90" t="s">
        <v>6595</v>
      </c>
      <c r="E1917" s="90" t="s">
        <v>539</v>
      </c>
      <c r="F1917" s="90" t="s">
        <v>6600</v>
      </c>
      <c r="G1917" t="s">
        <v>512</v>
      </c>
    </row>
    <row r="1918" spans="1:7" x14ac:dyDescent="0.25">
      <c r="A1918" s="114">
        <v>8110994840</v>
      </c>
      <c r="B1918" s="90" t="s">
        <v>6601</v>
      </c>
      <c r="C1918" s="90" t="s">
        <v>508</v>
      </c>
      <c r="D1918" s="90" t="s">
        <v>1577</v>
      </c>
      <c r="E1918" s="90" t="s">
        <v>634</v>
      </c>
      <c r="F1918" s="90" t="s">
        <v>6602</v>
      </c>
      <c r="G1918" t="s">
        <v>859</v>
      </c>
    </row>
    <row r="1919" spans="1:7" x14ac:dyDescent="0.25">
      <c r="A1919" s="114">
        <v>8110994970</v>
      </c>
      <c r="B1919" s="90" t="s">
        <v>6603</v>
      </c>
      <c r="C1919" s="90" t="s">
        <v>508</v>
      </c>
      <c r="D1919" s="90" t="s">
        <v>6595</v>
      </c>
      <c r="E1919" s="90" t="s">
        <v>539</v>
      </c>
      <c r="F1919" s="90" t="s">
        <v>6604</v>
      </c>
      <c r="G1919" t="s">
        <v>859</v>
      </c>
    </row>
    <row r="1920" spans="1:7" x14ac:dyDescent="0.25">
      <c r="A1920" s="114">
        <v>8111000210</v>
      </c>
      <c r="B1920" s="90" t="s">
        <v>6605</v>
      </c>
      <c r="C1920" s="90" t="s">
        <v>508</v>
      </c>
      <c r="D1920" s="90" t="s">
        <v>6595</v>
      </c>
      <c r="E1920" s="90" t="s">
        <v>4884</v>
      </c>
      <c r="F1920" s="90" t="s">
        <v>6606</v>
      </c>
      <c r="G1920" t="s">
        <v>859</v>
      </c>
    </row>
    <row r="1921" spans="1:7" x14ac:dyDescent="0.25">
      <c r="A1921" s="114">
        <v>8111000730</v>
      </c>
      <c r="B1921" s="90" t="s">
        <v>6607</v>
      </c>
      <c r="C1921" s="90" t="s">
        <v>508</v>
      </c>
      <c r="D1921" s="90" t="s">
        <v>6595</v>
      </c>
      <c r="E1921" s="90" t="s">
        <v>539</v>
      </c>
      <c r="F1921" s="90" t="s">
        <v>6608</v>
      </c>
      <c r="G1921" t="s">
        <v>859</v>
      </c>
    </row>
    <row r="1922" spans="1:7" x14ac:dyDescent="0.25">
      <c r="A1922" s="114">
        <v>8111001760</v>
      </c>
      <c r="B1922" s="90" t="s">
        <v>6609</v>
      </c>
      <c r="C1922" s="90" t="s">
        <v>508</v>
      </c>
      <c r="D1922" s="90" t="s">
        <v>6595</v>
      </c>
      <c r="E1922" s="90" t="s">
        <v>4884</v>
      </c>
      <c r="F1922" s="90" t="s">
        <v>6610</v>
      </c>
      <c r="G1922" t="s">
        <v>859</v>
      </c>
    </row>
    <row r="1923" spans="1:7" x14ac:dyDescent="0.25">
      <c r="A1923" s="114">
        <v>8111002360</v>
      </c>
      <c r="B1923" s="90" t="s">
        <v>6611</v>
      </c>
      <c r="C1923" s="90" t="s">
        <v>508</v>
      </c>
      <c r="D1923" s="90" t="s">
        <v>6595</v>
      </c>
      <c r="E1923" s="90" t="s">
        <v>4884</v>
      </c>
      <c r="F1923" s="90" t="s">
        <v>6612</v>
      </c>
      <c r="G1923" t="s">
        <v>512</v>
      </c>
    </row>
    <row r="1924" spans="1:7" x14ac:dyDescent="0.25">
      <c r="A1924" s="114">
        <v>8111017600</v>
      </c>
      <c r="B1924" s="90" t="s">
        <v>6613</v>
      </c>
      <c r="C1924" s="90" t="s">
        <v>508</v>
      </c>
      <c r="D1924" s="90" t="s">
        <v>6595</v>
      </c>
      <c r="E1924" s="90" t="s">
        <v>539</v>
      </c>
      <c r="F1924" s="90" t="s">
        <v>6614</v>
      </c>
      <c r="G1924" t="s">
        <v>859</v>
      </c>
    </row>
    <row r="1925" spans="1:7" x14ac:dyDescent="0.25">
      <c r="A1925" s="114">
        <v>8111024000</v>
      </c>
      <c r="B1925" s="90" t="s">
        <v>6615</v>
      </c>
      <c r="C1925" s="90" t="s">
        <v>508</v>
      </c>
      <c r="D1925" s="90" t="s">
        <v>6595</v>
      </c>
      <c r="E1925" s="90" t="s">
        <v>539</v>
      </c>
      <c r="F1925" s="90" t="s">
        <v>6616</v>
      </c>
      <c r="G1925" t="s">
        <v>512</v>
      </c>
    </row>
    <row r="1926" spans="1:7" x14ac:dyDescent="0.25">
      <c r="A1926" s="114">
        <v>8111091280</v>
      </c>
      <c r="B1926" s="90" t="s">
        <v>6617</v>
      </c>
      <c r="C1926" s="90" t="s">
        <v>508</v>
      </c>
      <c r="D1926" s="90" t="s">
        <v>6595</v>
      </c>
      <c r="E1926" s="90" t="s">
        <v>539</v>
      </c>
      <c r="F1926" s="90" t="s">
        <v>6618</v>
      </c>
      <c r="G1926" t="s">
        <v>859</v>
      </c>
    </row>
    <row r="1927" spans="1:7" x14ac:dyDescent="0.25">
      <c r="A1927" s="114">
        <v>8111100150</v>
      </c>
      <c r="B1927" s="90" t="s">
        <v>6619</v>
      </c>
      <c r="C1927" s="90" t="s">
        <v>508</v>
      </c>
      <c r="D1927" s="90" t="s">
        <v>6595</v>
      </c>
      <c r="E1927" s="90" t="s">
        <v>539</v>
      </c>
      <c r="F1927" s="90" t="s">
        <v>6620</v>
      </c>
      <c r="G1927" t="s">
        <v>512</v>
      </c>
    </row>
    <row r="1928" spans="1:7" x14ac:dyDescent="0.25">
      <c r="A1928" s="114">
        <v>8111115450</v>
      </c>
      <c r="B1928" s="90" t="s">
        <v>6621</v>
      </c>
      <c r="C1928" s="90" t="s">
        <v>508</v>
      </c>
      <c r="D1928" s="90" t="s">
        <v>6595</v>
      </c>
      <c r="E1928" s="90" t="s">
        <v>539</v>
      </c>
      <c r="F1928" s="90" t="s">
        <v>6622</v>
      </c>
      <c r="G1928" t="s">
        <v>512</v>
      </c>
    </row>
    <row r="1929" spans="1:7" x14ac:dyDescent="0.25">
      <c r="A1929" s="114">
        <v>8111117000</v>
      </c>
      <c r="B1929" s="90" t="s">
        <v>6623</v>
      </c>
      <c r="C1929" s="90" t="s">
        <v>508</v>
      </c>
      <c r="D1929" s="90" t="s">
        <v>6595</v>
      </c>
      <c r="E1929" s="90" t="s">
        <v>539</v>
      </c>
      <c r="F1929" s="90" t="s">
        <v>6624</v>
      </c>
      <c r="G1929" t="s">
        <v>512</v>
      </c>
    </row>
    <row r="1930" spans="1:7" x14ac:dyDescent="0.25">
      <c r="A1930" s="114">
        <v>8111117060</v>
      </c>
      <c r="B1930" s="90" t="s">
        <v>6625</v>
      </c>
      <c r="C1930" s="90" t="s">
        <v>508</v>
      </c>
      <c r="D1930" s="90" t="s">
        <v>6595</v>
      </c>
      <c r="E1930" s="90" t="s">
        <v>539</v>
      </c>
      <c r="F1930" s="90" t="s">
        <v>6626</v>
      </c>
      <c r="G1930" t="s">
        <v>512</v>
      </c>
    </row>
    <row r="1931" spans="1:7" x14ac:dyDescent="0.25">
      <c r="A1931" s="114">
        <v>8111117140</v>
      </c>
      <c r="B1931" s="90" t="s">
        <v>6627</v>
      </c>
      <c r="C1931" s="90" t="s">
        <v>508</v>
      </c>
      <c r="D1931" s="90" t="s">
        <v>6595</v>
      </c>
      <c r="E1931" s="90" t="s">
        <v>539</v>
      </c>
      <c r="F1931" s="90" t="s">
        <v>6628</v>
      </c>
      <c r="G1931" t="s">
        <v>859</v>
      </c>
    </row>
    <row r="1932" spans="1:7" x14ac:dyDescent="0.25">
      <c r="A1932" s="114">
        <v>8111117190</v>
      </c>
      <c r="B1932" s="90" t="s">
        <v>6629</v>
      </c>
      <c r="C1932" s="90" t="s">
        <v>508</v>
      </c>
      <c r="D1932" s="90" t="s">
        <v>6595</v>
      </c>
      <c r="E1932" s="90" t="s">
        <v>539</v>
      </c>
      <c r="F1932" s="90" t="s">
        <v>6630</v>
      </c>
      <c r="G1932" t="s">
        <v>512</v>
      </c>
    </row>
    <row r="1933" spans="1:7" x14ac:dyDescent="0.25">
      <c r="A1933" s="114">
        <v>8111117220</v>
      </c>
      <c r="B1933" s="90" t="s">
        <v>6631</v>
      </c>
      <c r="C1933" s="90" t="s">
        <v>508</v>
      </c>
      <c r="D1933" s="90" t="s">
        <v>6595</v>
      </c>
      <c r="E1933" s="90" t="s">
        <v>539</v>
      </c>
      <c r="F1933" s="90" t="s">
        <v>6632</v>
      </c>
      <c r="G1933" t="s">
        <v>512</v>
      </c>
    </row>
    <row r="1934" spans="1:7" x14ac:dyDescent="0.25">
      <c r="A1934" s="114">
        <v>8111117250</v>
      </c>
      <c r="B1934" s="90" t="s">
        <v>6633</v>
      </c>
      <c r="C1934" s="90" t="s">
        <v>508</v>
      </c>
      <c r="D1934" s="90" t="s">
        <v>6595</v>
      </c>
      <c r="E1934" s="90" t="s">
        <v>539</v>
      </c>
      <c r="F1934" s="90" t="s">
        <v>6634</v>
      </c>
      <c r="G1934" t="s">
        <v>859</v>
      </c>
    </row>
    <row r="1935" spans="1:7" x14ac:dyDescent="0.25">
      <c r="A1935" s="114">
        <v>8111117310</v>
      </c>
      <c r="B1935" s="90" t="s">
        <v>6635</v>
      </c>
      <c r="C1935" s="90" t="s">
        <v>508</v>
      </c>
      <c r="D1935" s="90" t="s">
        <v>6595</v>
      </c>
      <c r="E1935" s="90" t="s">
        <v>539</v>
      </c>
      <c r="F1935" s="90" t="s">
        <v>6636</v>
      </c>
      <c r="G1935" t="s">
        <v>859</v>
      </c>
    </row>
    <row r="1936" spans="1:7" x14ac:dyDescent="0.25">
      <c r="A1936" s="114">
        <v>8111117330</v>
      </c>
      <c r="B1936" s="90" t="s">
        <v>6637</v>
      </c>
      <c r="C1936" s="90" t="s">
        <v>508</v>
      </c>
      <c r="D1936" s="90" t="s">
        <v>6595</v>
      </c>
      <c r="E1936" s="90" t="s">
        <v>539</v>
      </c>
      <c r="F1936" s="90" t="s">
        <v>6638</v>
      </c>
      <c r="G1936" t="s">
        <v>859</v>
      </c>
    </row>
    <row r="1937" spans="1:7" x14ac:dyDescent="0.25">
      <c r="A1937" s="114">
        <v>8111117360</v>
      </c>
      <c r="B1937" s="90" t="s">
        <v>6639</v>
      </c>
      <c r="C1937" s="90" t="s">
        <v>508</v>
      </c>
      <c r="D1937" s="90" t="s">
        <v>6595</v>
      </c>
      <c r="E1937" s="90" t="s">
        <v>539</v>
      </c>
      <c r="F1937" s="90" t="s">
        <v>6640</v>
      </c>
      <c r="G1937" t="s">
        <v>512</v>
      </c>
    </row>
    <row r="1938" spans="1:7" x14ac:dyDescent="0.25">
      <c r="A1938" s="114">
        <v>8111117380</v>
      </c>
      <c r="B1938" s="90" t="s">
        <v>6641</v>
      </c>
      <c r="C1938" s="90" t="s">
        <v>508</v>
      </c>
      <c r="D1938" s="90" t="s">
        <v>6595</v>
      </c>
      <c r="E1938" s="90" t="s">
        <v>539</v>
      </c>
      <c r="F1938" s="90" t="s">
        <v>6642</v>
      </c>
      <c r="G1938" t="s">
        <v>859</v>
      </c>
    </row>
    <row r="1939" spans="1:7" x14ac:dyDescent="0.25">
      <c r="A1939" s="114">
        <v>8111117400</v>
      </c>
      <c r="B1939" s="90" t="s">
        <v>6643</v>
      </c>
      <c r="C1939" s="90" t="s">
        <v>508</v>
      </c>
      <c r="D1939" s="90" t="s">
        <v>6595</v>
      </c>
      <c r="E1939" s="90" t="s">
        <v>539</v>
      </c>
      <c r="F1939" s="90" t="s">
        <v>6644</v>
      </c>
      <c r="G1939" t="s">
        <v>859</v>
      </c>
    </row>
    <row r="1940" spans="1:7" x14ac:dyDescent="0.25">
      <c r="A1940" s="114">
        <v>8111117420</v>
      </c>
      <c r="B1940" s="90" t="s">
        <v>6645</v>
      </c>
      <c r="C1940" s="90" t="s">
        <v>508</v>
      </c>
      <c r="D1940" s="90" t="s">
        <v>6595</v>
      </c>
      <c r="E1940" s="90" t="s">
        <v>539</v>
      </c>
      <c r="F1940" s="90" t="s">
        <v>6646</v>
      </c>
      <c r="G1940" t="s">
        <v>512</v>
      </c>
    </row>
    <row r="1941" spans="1:7" x14ac:dyDescent="0.25">
      <c r="A1941" s="114">
        <v>8111117430</v>
      </c>
      <c r="B1941" s="90" t="s">
        <v>6647</v>
      </c>
      <c r="C1941" s="90" t="s">
        <v>508</v>
      </c>
      <c r="D1941" s="90" t="s">
        <v>6595</v>
      </c>
      <c r="E1941" s="90" t="s">
        <v>539</v>
      </c>
      <c r="F1941" s="90" t="s">
        <v>6648</v>
      </c>
      <c r="G1941" t="s">
        <v>512</v>
      </c>
    </row>
    <row r="1942" spans="1:7" x14ac:dyDescent="0.25">
      <c r="A1942" s="114">
        <v>8111117450</v>
      </c>
      <c r="B1942" s="90" t="s">
        <v>6649</v>
      </c>
      <c r="C1942" s="90" t="s">
        <v>508</v>
      </c>
      <c r="D1942" s="90" t="s">
        <v>6595</v>
      </c>
      <c r="E1942" s="90" t="s">
        <v>539</v>
      </c>
      <c r="F1942" s="90" t="s">
        <v>6650</v>
      </c>
      <c r="G1942" t="s">
        <v>859</v>
      </c>
    </row>
    <row r="1943" spans="1:7" x14ac:dyDescent="0.25">
      <c r="A1943" s="114">
        <v>8111117510</v>
      </c>
      <c r="B1943" s="90" t="s">
        <v>6651</v>
      </c>
      <c r="C1943" s="90" t="s">
        <v>508</v>
      </c>
      <c r="D1943" s="90" t="s">
        <v>6595</v>
      </c>
      <c r="E1943" s="90" t="s">
        <v>539</v>
      </c>
      <c r="F1943" s="90" t="s">
        <v>6652</v>
      </c>
      <c r="G1943" t="s">
        <v>859</v>
      </c>
    </row>
    <row r="1944" spans="1:7" x14ac:dyDescent="0.25">
      <c r="A1944" s="114">
        <v>8111117530</v>
      </c>
      <c r="B1944" s="90" t="s">
        <v>6653</v>
      </c>
      <c r="C1944" s="90" t="s">
        <v>508</v>
      </c>
      <c r="D1944" s="90" t="s">
        <v>6595</v>
      </c>
      <c r="E1944" s="90" t="s">
        <v>539</v>
      </c>
      <c r="F1944" s="90" t="s">
        <v>6654</v>
      </c>
      <c r="G1944" t="s">
        <v>512</v>
      </c>
    </row>
    <row r="1945" spans="1:7" x14ac:dyDescent="0.25">
      <c r="A1945" s="114">
        <v>8111117610</v>
      </c>
      <c r="B1945" s="90" t="s">
        <v>6655</v>
      </c>
      <c r="C1945" s="90" t="s">
        <v>508</v>
      </c>
      <c r="D1945" s="90" t="s">
        <v>6595</v>
      </c>
      <c r="E1945" s="90" t="s">
        <v>539</v>
      </c>
      <c r="F1945" s="90" t="s">
        <v>6656</v>
      </c>
      <c r="G1945" t="s">
        <v>859</v>
      </c>
    </row>
    <row r="1946" spans="1:7" x14ac:dyDescent="0.25">
      <c r="A1946" s="114">
        <v>8111117660</v>
      </c>
      <c r="B1946" s="90" t="s">
        <v>6657</v>
      </c>
      <c r="C1946" s="90" t="s">
        <v>508</v>
      </c>
      <c r="D1946" s="90" t="s">
        <v>6595</v>
      </c>
      <c r="E1946" s="90" t="s">
        <v>539</v>
      </c>
      <c r="F1946" s="90" t="s">
        <v>6658</v>
      </c>
      <c r="G1946" t="s">
        <v>859</v>
      </c>
    </row>
    <row r="1947" spans="1:7" x14ac:dyDescent="0.25">
      <c r="A1947" s="114">
        <v>8111117750</v>
      </c>
      <c r="B1947" s="90" t="s">
        <v>6659</v>
      </c>
      <c r="C1947" s="90" t="s">
        <v>508</v>
      </c>
      <c r="D1947" s="90" t="s">
        <v>6595</v>
      </c>
      <c r="E1947" s="90" t="s">
        <v>539</v>
      </c>
      <c r="F1947" s="90" t="s">
        <v>6660</v>
      </c>
      <c r="G1947" t="s">
        <v>859</v>
      </c>
    </row>
    <row r="1948" spans="1:7" x14ac:dyDescent="0.25">
      <c r="A1948" s="114">
        <v>8111117790</v>
      </c>
      <c r="B1948" s="90" t="s">
        <v>6661</v>
      </c>
      <c r="C1948" s="90" t="s">
        <v>508</v>
      </c>
      <c r="D1948" s="90" t="s">
        <v>6595</v>
      </c>
      <c r="E1948" s="90" t="s">
        <v>539</v>
      </c>
      <c r="F1948" s="90" t="s">
        <v>6662</v>
      </c>
      <c r="G1948" t="s">
        <v>512</v>
      </c>
    </row>
    <row r="1949" spans="1:7" x14ac:dyDescent="0.25">
      <c r="A1949" s="114">
        <v>8111117800</v>
      </c>
      <c r="B1949" s="90" t="s">
        <v>6663</v>
      </c>
      <c r="C1949" s="90" t="s">
        <v>508</v>
      </c>
      <c r="D1949" s="90" t="s">
        <v>6595</v>
      </c>
      <c r="E1949" s="90" t="s">
        <v>539</v>
      </c>
      <c r="F1949" s="90" t="s">
        <v>6664</v>
      </c>
      <c r="G1949" t="s">
        <v>512</v>
      </c>
    </row>
    <row r="1950" spans="1:7" x14ac:dyDescent="0.25">
      <c r="A1950" s="114">
        <v>8111117820</v>
      </c>
      <c r="B1950" s="90" t="s">
        <v>6665</v>
      </c>
      <c r="C1950" s="90" t="s">
        <v>508</v>
      </c>
      <c r="D1950" s="90" t="s">
        <v>6595</v>
      </c>
      <c r="E1950" s="90" t="s">
        <v>539</v>
      </c>
      <c r="F1950" s="90" t="s">
        <v>6666</v>
      </c>
      <c r="G1950" t="s">
        <v>859</v>
      </c>
    </row>
    <row r="1951" spans="1:7" x14ac:dyDescent="0.25">
      <c r="A1951" s="114">
        <v>8111117840</v>
      </c>
      <c r="B1951" s="90" t="s">
        <v>6667</v>
      </c>
      <c r="C1951" s="90" t="s">
        <v>508</v>
      </c>
      <c r="D1951" s="90" t="s">
        <v>6595</v>
      </c>
      <c r="E1951" s="90" t="s">
        <v>539</v>
      </c>
      <c r="F1951" s="90" t="s">
        <v>6668</v>
      </c>
      <c r="G1951" t="s">
        <v>512</v>
      </c>
    </row>
    <row r="1952" spans="1:7" x14ac:dyDescent="0.25">
      <c r="A1952" s="114">
        <v>8111117870</v>
      </c>
      <c r="B1952" s="90" t="s">
        <v>6669</v>
      </c>
      <c r="C1952" s="90" t="s">
        <v>508</v>
      </c>
      <c r="D1952" s="90" t="s">
        <v>6595</v>
      </c>
      <c r="E1952" s="90" t="s">
        <v>539</v>
      </c>
      <c r="F1952" s="90" t="s">
        <v>6670</v>
      </c>
      <c r="G1952" t="s">
        <v>512</v>
      </c>
    </row>
    <row r="1953" spans="1:7" x14ac:dyDescent="0.25">
      <c r="A1953" s="114">
        <v>8111117970</v>
      </c>
      <c r="B1953" s="90" t="s">
        <v>6671</v>
      </c>
      <c r="C1953" s="90" t="s">
        <v>508</v>
      </c>
      <c r="D1953" s="90" t="s">
        <v>6595</v>
      </c>
      <c r="E1953" s="90" t="s">
        <v>539</v>
      </c>
      <c r="F1953" s="90" t="s">
        <v>6672</v>
      </c>
      <c r="G1953" t="s">
        <v>859</v>
      </c>
    </row>
    <row r="1954" spans="1:7" x14ac:dyDescent="0.25">
      <c r="A1954" s="114">
        <v>8111117980</v>
      </c>
      <c r="B1954" s="90" t="s">
        <v>6673</v>
      </c>
      <c r="C1954" s="90" t="s">
        <v>508</v>
      </c>
      <c r="D1954" s="90" t="s">
        <v>6595</v>
      </c>
      <c r="E1954" s="90" t="s">
        <v>539</v>
      </c>
      <c r="F1954" s="90" t="s">
        <v>6674</v>
      </c>
      <c r="G1954" t="s">
        <v>859</v>
      </c>
    </row>
    <row r="1955" spans="1:7" x14ac:dyDescent="0.25">
      <c r="A1955" s="114">
        <v>8111118050</v>
      </c>
      <c r="B1955" s="90" t="s">
        <v>6675</v>
      </c>
      <c r="C1955" s="90" t="s">
        <v>508</v>
      </c>
      <c r="D1955" s="90" t="s">
        <v>6595</v>
      </c>
      <c r="E1955" s="90" t="s">
        <v>539</v>
      </c>
      <c r="F1955" s="90" t="s">
        <v>6676</v>
      </c>
      <c r="G1955" t="s">
        <v>859</v>
      </c>
    </row>
    <row r="1956" spans="1:7" x14ac:dyDescent="0.25">
      <c r="A1956" s="114">
        <v>8111118190</v>
      </c>
      <c r="B1956" s="90" t="s">
        <v>6677</v>
      </c>
      <c r="C1956" s="90" t="s">
        <v>508</v>
      </c>
      <c r="D1956" s="90" t="s">
        <v>6595</v>
      </c>
      <c r="E1956" s="90" t="s">
        <v>539</v>
      </c>
      <c r="F1956" s="90" t="s">
        <v>6678</v>
      </c>
      <c r="G1956" t="s">
        <v>859</v>
      </c>
    </row>
    <row r="1957" spans="1:7" x14ac:dyDescent="0.25">
      <c r="A1957" s="114">
        <v>8111119760</v>
      </c>
      <c r="B1957" s="90" t="s">
        <v>6679</v>
      </c>
      <c r="C1957" s="90" t="s">
        <v>508</v>
      </c>
      <c r="D1957" s="90" t="s">
        <v>6595</v>
      </c>
      <c r="E1957" s="90" t="s">
        <v>539</v>
      </c>
      <c r="F1957" s="90" t="s">
        <v>6680</v>
      </c>
      <c r="G1957" t="s">
        <v>859</v>
      </c>
    </row>
    <row r="1958" spans="1:7" x14ac:dyDescent="0.25">
      <c r="A1958" s="114">
        <v>8111119924</v>
      </c>
      <c r="B1958" s="90" t="s">
        <v>6681</v>
      </c>
      <c r="C1958" s="90" t="s">
        <v>508</v>
      </c>
      <c r="D1958" s="90" t="s">
        <v>1577</v>
      </c>
      <c r="E1958" s="90" t="s">
        <v>634</v>
      </c>
      <c r="F1958" s="90" t="s">
        <v>6682</v>
      </c>
      <c r="G1958" t="s">
        <v>859</v>
      </c>
    </row>
    <row r="1959" spans="1:7" x14ac:dyDescent="0.25">
      <c r="A1959" s="114">
        <v>8111119925</v>
      </c>
      <c r="B1959" s="90" t="s">
        <v>6683</v>
      </c>
      <c r="C1959" s="90" t="s">
        <v>508</v>
      </c>
      <c r="D1959" s="90" t="s">
        <v>1577</v>
      </c>
      <c r="E1959" s="90" t="s">
        <v>634</v>
      </c>
      <c r="F1959" s="90" t="s">
        <v>6684</v>
      </c>
      <c r="G1959" t="s">
        <v>859</v>
      </c>
    </row>
    <row r="1960" spans="1:7" x14ac:dyDescent="0.25">
      <c r="A1960" s="114">
        <v>8111120990</v>
      </c>
      <c r="B1960" s="90" t="s">
        <v>6685</v>
      </c>
      <c r="C1960" s="90" t="s">
        <v>508</v>
      </c>
      <c r="D1960" s="90" t="s">
        <v>6595</v>
      </c>
      <c r="E1960" s="90" t="s">
        <v>4884</v>
      </c>
      <c r="F1960" s="90" t="s">
        <v>6686</v>
      </c>
      <c r="G1960" t="s">
        <v>859</v>
      </c>
    </row>
    <row r="1961" spans="1:7" x14ac:dyDescent="0.25">
      <c r="A1961" s="114">
        <v>8111125370</v>
      </c>
      <c r="B1961" s="90" t="s">
        <v>4501</v>
      </c>
      <c r="C1961" s="90" t="s">
        <v>508</v>
      </c>
      <c r="D1961" s="90" t="s">
        <v>6595</v>
      </c>
      <c r="E1961" s="90" t="s">
        <v>539</v>
      </c>
      <c r="F1961" s="90" t="s">
        <v>6687</v>
      </c>
      <c r="G1961" t="s">
        <v>512</v>
      </c>
    </row>
    <row r="1962" spans="1:7" x14ac:dyDescent="0.25">
      <c r="A1962" s="114">
        <v>8111195000</v>
      </c>
      <c r="B1962" s="90" t="s">
        <v>6688</v>
      </c>
      <c r="C1962" s="90" t="s">
        <v>508</v>
      </c>
      <c r="D1962" s="90" t="s">
        <v>6595</v>
      </c>
      <c r="E1962" s="90" t="s">
        <v>539</v>
      </c>
      <c r="F1962" s="90" t="s">
        <v>6689</v>
      </c>
      <c r="G1962" t="s">
        <v>859</v>
      </c>
    </row>
    <row r="1963" spans="1:7" x14ac:dyDescent="0.25">
      <c r="A1963" s="114">
        <v>8111195010</v>
      </c>
      <c r="B1963" s="90" t="s">
        <v>6690</v>
      </c>
      <c r="C1963" s="90" t="s">
        <v>508</v>
      </c>
      <c r="D1963" s="90" t="s">
        <v>6595</v>
      </c>
      <c r="E1963" s="90" t="s">
        <v>539</v>
      </c>
      <c r="F1963" s="90" t="s">
        <v>6691</v>
      </c>
      <c r="G1963" t="s">
        <v>859</v>
      </c>
    </row>
    <row r="1964" spans="1:7" x14ac:dyDescent="0.25">
      <c r="A1964" s="114">
        <v>8111195030</v>
      </c>
      <c r="B1964" s="90" t="s">
        <v>6692</v>
      </c>
      <c r="C1964" s="90" t="s">
        <v>508</v>
      </c>
      <c r="D1964" s="90" t="s">
        <v>6595</v>
      </c>
      <c r="E1964" s="90" t="s">
        <v>539</v>
      </c>
      <c r="F1964" s="90" t="s">
        <v>6693</v>
      </c>
      <c r="G1964" t="s">
        <v>512</v>
      </c>
    </row>
    <row r="1965" spans="1:7" x14ac:dyDescent="0.25">
      <c r="A1965" s="114">
        <v>8111195040</v>
      </c>
      <c r="B1965" s="90" t="s">
        <v>6694</v>
      </c>
      <c r="C1965" s="90" t="s">
        <v>508</v>
      </c>
      <c r="D1965" s="90" t="s">
        <v>6595</v>
      </c>
      <c r="E1965" s="90" t="s">
        <v>539</v>
      </c>
      <c r="F1965" s="90" t="s">
        <v>6695</v>
      </c>
      <c r="G1965" t="s">
        <v>512</v>
      </c>
    </row>
    <row r="1966" spans="1:7" x14ac:dyDescent="0.25">
      <c r="A1966" s="114">
        <v>8111195050</v>
      </c>
      <c r="B1966" s="90" t="s">
        <v>6696</v>
      </c>
      <c r="C1966" s="90" t="s">
        <v>508</v>
      </c>
      <c r="D1966" s="90" t="s">
        <v>6595</v>
      </c>
      <c r="E1966" s="90" t="s">
        <v>539</v>
      </c>
      <c r="F1966" s="90" t="s">
        <v>6697</v>
      </c>
      <c r="G1966" t="s">
        <v>512</v>
      </c>
    </row>
    <row r="1967" spans="1:7" x14ac:dyDescent="0.25">
      <c r="A1967" s="114">
        <v>8111195060</v>
      </c>
      <c r="B1967" s="90" t="s">
        <v>6698</v>
      </c>
      <c r="C1967" s="90" t="s">
        <v>508</v>
      </c>
      <c r="D1967" s="90" t="s">
        <v>6595</v>
      </c>
      <c r="E1967" s="90" t="s">
        <v>539</v>
      </c>
      <c r="F1967" s="90" t="s">
        <v>6699</v>
      </c>
      <c r="G1967" t="s">
        <v>859</v>
      </c>
    </row>
    <row r="1968" spans="1:7" x14ac:dyDescent="0.25">
      <c r="A1968" s="114">
        <v>8111195090</v>
      </c>
      <c r="B1968" s="90" t="s">
        <v>6700</v>
      </c>
      <c r="C1968" s="90" t="s">
        <v>508</v>
      </c>
      <c r="D1968" s="90" t="s">
        <v>6595</v>
      </c>
      <c r="E1968" s="90" t="s">
        <v>539</v>
      </c>
      <c r="F1968" s="90" t="s">
        <v>6701</v>
      </c>
      <c r="G1968" t="s">
        <v>859</v>
      </c>
    </row>
    <row r="1969" spans="1:7" x14ac:dyDescent="0.25">
      <c r="A1969" s="114">
        <v>8111195100</v>
      </c>
      <c r="B1969" s="90" t="s">
        <v>6702</v>
      </c>
      <c r="C1969" s="90" t="s">
        <v>508</v>
      </c>
      <c r="D1969" s="90" t="s">
        <v>6595</v>
      </c>
      <c r="E1969" s="90" t="s">
        <v>539</v>
      </c>
      <c r="F1969" s="90" t="s">
        <v>6703</v>
      </c>
      <c r="G1969" t="s">
        <v>859</v>
      </c>
    </row>
    <row r="1970" spans="1:7" x14ac:dyDescent="0.25">
      <c r="A1970" s="114">
        <v>8111195110</v>
      </c>
      <c r="B1970" s="90" t="s">
        <v>6704</v>
      </c>
      <c r="C1970" s="90" t="s">
        <v>508</v>
      </c>
      <c r="D1970" s="90" t="s">
        <v>6595</v>
      </c>
      <c r="E1970" s="90" t="s">
        <v>539</v>
      </c>
      <c r="F1970" s="90" t="s">
        <v>6705</v>
      </c>
      <c r="G1970" t="s">
        <v>859</v>
      </c>
    </row>
    <row r="1971" spans="1:7" x14ac:dyDescent="0.25">
      <c r="A1971" s="114">
        <v>8111195120</v>
      </c>
      <c r="B1971" s="90" t="s">
        <v>6706</v>
      </c>
      <c r="C1971" s="90" t="s">
        <v>508</v>
      </c>
      <c r="D1971" s="90" t="s">
        <v>6595</v>
      </c>
      <c r="E1971" s="90" t="s">
        <v>539</v>
      </c>
      <c r="F1971" s="90" t="s">
        <v>6707</v>
      </c>
      <c r="G1971" t="s">
        <v>512</v>
      </c>
    </row>
    <row r="1972" spans="1:7" x14ac:dyDescent="0.25">
      <c r="A1972" s="114">
        <v>8111195130</v>
      </c>
      <c r="B1972" s="90" t="s">
        <v>6708</v>
      </c>
      <c r="C1972" s="90" t="s">
        <v>508</v>
      </c>
      <c r="D1972" s="90" t="s">
        <v>6595</v>
      </c>
      <c r="E1972" s="90" t="s">
        <v>539</v>
      </c>
      <c r="F1972" s="90" t="s">
        <v>6709</v>
      </c>
      <c r="G1972" t="s">
        <v>859</v>
      </c>
    </row>
    <row r="1973" spans="1:7" x14ac:dyDescent="0.25">
      <c r="A1973" s="114">
        <v>8111195150</v>
      </c>
      <c r="B1973" s="90" t="s">
        <v>6710</v>
      </c>
      <c r="C1973" s="90" t="s">
        <v>508</v>
      </c>
      <c r="D1973" s="90" t="s">
        <v>6595</v>
      </c>
      <c r="E1973" s="90" t="s">
        <v>539</v>
      </c>
      <c r="F1973" s="90" t="s">
        <v>6711</v>
      </c>
      <c r="G1973" t="s">
        <v>859</v>
      </c>
    </row>
    <row r="1974" spans="1:7" x14ac:dyDescent="0.25">
      <c r="A1974" s="114">
        <v>8111195160</v>
      </c>
      <c r="B1974" s="90" t="s">
        <v>6712</v>
      </c>
      <c r="C1974" s="90" t="s">
        <v>508</v>
      </c>
      <c r="D1974" s="90" t="s">
        <v>6595</v>
      </c>
      <c r="E1974" s="90" t="s">
        <v>539</v>
      </c>
      <c r="F1974" s="90" t="s">
        <v>6713</v>
      </c>
      <c r="G1974" t="s">
        <v>512</v>
      </c>
    </row>
    <row r="1975" spans="1:7" x14ac:dyDescent="0.25">
      <c r="A1975" s="114">
        <v>8111195170</v>
      </c>
      <c r="B1975" s="90" t="s">
        <v>6714</v>
      </c>
      <c r="C1975" s="90" t="s">
        <v>508</v>
      </c>
      <c r="D1975" s="90" t="s">
        <v>6595</v>
      </c>
      <c r="E1975" s="90" t="s">
        <v>539</v>
      </c>
      <c r="F1975" s="90" t="s">
        <v>6715</v>
      </c>
      <c r="G1975" t="s">
        <v>859</v>
      </c>
    </row>
    <row r="1976" spans="1:7" x14ac:dyDescent="0.25">
      <c r="A1976" s="114">
        <v>8111195180</v>
      </c>
      <c r="B1976" s="90" t="s">
        <v>6716</v>
      </c>
      <c r="C1976" s="90" t="s">
        <v>508</v>
      </c>
      <c r="D1976" s="90" t="s">
        <v>6595</v>
      </c>
      <c r="E1976" s="90" t="s">
        <v>539</v>
      </c>
      <c r="F1976" s="90" t="s">
        <v>6717</v>
      </c>
      <c r="G1976" t="s">
        <v>512</v>
      </c>
    </row>
    <row r="1977" spans="1:7" x14ac:dyDescent="0.25">
      <c r="A1977" s="114">
        <v>8111195190</v>
      </c>
      <c r="B1977" s="90" t="s">
        <v>6718</v>
      </c>
      <c r="C1977" s="90" t="s">
        <v>508</v>
      </c>
      <c r="D1977" s="90" t="s">
        <v>6595</v>
      </c>
      <c r="E1977" s="90" t="s">
        <v>539</v>
      </c>
      <c r="F1977" s="90" t="s">
        <v>6719</v>
      </c>
      <c r="G1977" t="s">
        <v>512</v>
      </c>
    </row>
    <row r="1978" spans="1:7" x14ac:dyDescent="0.25">
      <c r="A1978" s="114">
        <v>8111195200</v>
      </c>
      <c r="B1978" s="90" t="s">
        <v>6720</v>
      </c>
      <c r="C1978" s="90" t="s">
        <v>508</v>
      </c>
      <c r="D1978" s="90" t="s">
        <v>6595</v>
      </c>
      <c r="E1978" s="90" t="s">
        <v>539</v>
      </c>
      <c r="F1978" s="90" t="s">
        <v>6721</v>
      </c>
      <c r="G1978" t="s">
        <v>859</v>
      </c>
    </row>
    <row r="1979" spans="1:7" x14ac:dyDescent="0.25">
      <c r="A1979" s="114">
        <v>8111195210</v>
      </c>
      <c r="B1979" s="90" t="s">
        <v>6722</v>
      </c>
      <c r="C1979" s="90" t="s">
        <v>508</v>
      </c>
      <c r="D1979" s="90" t="s">
        <v>6595</v>
      </c>
      <c r="E1979" s="90" t="s">
        <v>539</v>
      </c>
      <c r="F1979" s="90" t="s">
        <v>6723</v>
      </c>
      <c r="G1979" t="s">
        <v>512</v>
      </c>
    </row>
    <row r="1980" spans="1:7" x14ac:dyDescent="0.25">
      <c r="A1980" s="114">
        <v>8111195220</v>
      </c>
      <c r="B1980" s="90" t="s">
        <v>6724</v>
      </c>
      <c r="C1980" s="90" t="s">
        <v>508</v>
      </c>
      <c r="D1980" s="90" t="s">
        <v>6595</v>
      </c>
      <c r="E1980" s="90" t="s">
        <v>539</v>
      </c>
      <c r="F1980" s="90" t="s">
        <v>6725</v>
      </c>
      <c r="G1980" t="s">
        <v>512</v>
      </c>
    </row>
    <row r="1981" spans="1:7" x14ac:dyDescent="0.25">
      <c r="A1981" s="114">
        <v>8111195240</v>
      </c>
      <c r="B1981" s="90" t="s">
        <v>6726</v>
      </c>
      <c r="C1981" s="90" t="s">
        <v>508</v>
      </c>
      <c r="D1981" s="90" t="s">
        <v>6595</v>
      </c>
      <c r="E1981" s="90" t="s">
        <v>539</v>
      </c>
      <c r="F1981" s="90" t="s">
        <v>6727</v>
      </c>
      <c r="G1981" t="s">
        <v>512</v>
      </c>
    </row>
    <row r="1982" spans="1:7" x14ac:dyDescent="0.25">
      <c r="A1982" s="114">
        <v>8111195250</v>
      </c>
      <c r="B1982" s="90" t="s">
        <v>6728</v>
      </c>
      <c r="C1982" s="90" t="s">
        <v>508</v>
      </c>
      <c r="D1982" s="90" t="s">
        <v>6595</v>
      </c>
      <c r="E1982" s="90" t="s">
        <v>539</v>
      </c>
      <c r="F1982" s="90" t="s">
        <v>6729</v>
      </c>
      <c r="G1982" t="s">
        <v>512</v>
      </c>
    </row>
    <row r="1983" spans="1:7" x14ac:dyDescent="0.25">
      <c r="A1983" s="114">
        <v>8111195280</v>
      </c>
      <c r="B1983" s="90" t="s">
        <v>6730</v>
      </c>
      <c r="C1983" s="90" t="s">
        <v>508</v>
      </c>
      <c r="D1983" s="90" t="s">
        <v>6595</v>
      </c>
      <c r="E1983" s="90" t="s">
        <v>539</v>
      </c>
      <c r="F1983" s="90" t="s">
        <v>6731</v>
      </c>
      <c r="G1983" t="s">
        <v>859</v>
      </c>
    </row>
    <row r="1984" spans="1:7" x14ac:dyDescent="0.25">
      <c r="A1984" s="114">
        <v>8111195290</v>
      </c>
      <c r="B1984" s="90" t="s">
        <v>6732</v>
      </c>
      <c r="C1984" s="90" t="s">
        <v>508</v>
      </c>
      <c r="D1984" s="90" t="s">
        <v>6595</v>
      </c>
      <c r="E1984" s="90" t="s">
        <v>539</v>
      </c>
      <c r="F1984" s="90" t="s">
        <v>6733</v>
      </c>
      <c r="G1984" t="s">
        <v>859</v>
      </c>
    </row>
    <row r="1985" spans="1:7" x14ac:dyDescent="0.25">
      <c r="A1985" s="114">
        <v>8111195310</v>
      </c>
      <c r="B1985" s="90" t="s">
        <v>6734</v>
      </c>
      <c r="C1985" s="90" t="s">
        <v>508</v>
      </c>
      <c r="D1985" s="90" t="s">
        <v>6595</v>
      </c>
      <c r="E1985" s="90" t="s">
        <v>539</v>
      </c>
      <c r="F1985" s="90" t="s">
        <v>6735</v>
      </c>
      <c r="G1985" t="s">
        <v>859</v>
      </c>
    </row>
    <row r="1986" spans="1:7" x14ac:dyDescent="0.25">
      <c r="A1986" s="114">
        <v>8111195340</v>
      </c>
      <c r="B1986" s="90" t="s">
        <v>6736</v>
      </c>
      <c r="C1986" s="90" t="s">
        <v>508</v>
      </c>
      <c r="D1986" s="90" t="s">
        <v>6595</v>
      </c>
      <c r="E1986" s="90" t="s">
        <v>539</v>
      </c>
      <c r="F1986" s="90" t="s">
        <v>6737</v>
      </c>
      <c r="G1986" t="s">
        <v>859</v>
      </c>
    </row>
    <row r="1987" spans="1:7" x14ac:dyDescent="0.25">
      <c r="A1987" s="114">
        <v>8111195350</v>
      </c>
      <c r="B1987" s="90" t="s">
        <v>6738</v>
      </c>
      <c r="C1987" s="90" t="s">
        <v>508</v>
      </c>
      <c r="D1987" s="90" t="s">
        <v>6595</v>
      </c>
      <c r="E1987" s="90" t="s">
        <v>539</v>
      </c>
      <c r="F1987" s="90" t="s">
        <v>6739</v>
      </c>
      <c r="G1987" t="s">
        <v>859</v>
      </c>
    </row>
    <row r="1988" spans="1:7" x14ac:dyDescent="0.25">
      <c r="A1988" s="114">
        <v>8111195360</v>
      </c>
      <c r="B1988" s="90" t="s">
        <v>6740</v>
      </c>
      <c r="C1988" s="90" t="s">
        <v>508</v>
      </c>
      <c r="D1988" s="90" t="s">
        <v>6595</v>
      </c>
      <c r="E1988" s="90" t="s">
        <v>539</v>
      </c>
      <c r="F1988" s="90" t="s">
        <v>6741</v>
      </c>
      <c r="G1988" t="s">
        <v>512</v>
      </c>
    </row>
    <row r="1989" spans="1:7" x14ac:dyDescent="0.25">
      <c r="A1989" s="114">
        <v>8111195380</v>
      </c>
      <c r="B1989" s="90" t="s">
        <v>6742</v>
      </c>
      <c r="C1989" s="90" t="s">
        <v>508</v>
      </c>
      <c r="D1989" s="90" t="s">
        <v>6595</v>
      </c>
      <c r="E1989" s="90" t="s">
        <v>539</v>
      </c>
      <c r="F1989" s="90" t="s">
        <v>6743</v>
      </c>
      <c r="G1989" t="s">
        <v>859</v>
      </c>
    </row>
    <row r="1990" spans="1:7" x14ac:dyDescent="0.25">
      <c r="A1990" s="114">
        <v>8111195390</v>
      </c>
      <c r="B1990" s="90" t="s">
        <v>6744</v>
      </c>
      <c r="C1990" s="90" t="s">
        <v>508</v>
      </c>
      <c r="D1990" s="90" t="s">
        <v>6595</v>
      </c>
      <c r="E1990" s="90" t="s">
        <v>539</v>
      </c>
      <c r="F1990" s="90" t="s">
        <v>6745</v>
      </c>
      <c r="G1990" t="s">
        <v>512</v>
      </c>
    </row>
    <row r="1991" spans="1:7" x14ac:dyDescent="0.25">
      <c r="A1991" s="114">
        <v>8111195400</v>
      </c>
      <c r="B1991" s="90" t="s">
        <v>6746</v>
      </c>
      <c r="C1991" s="90" t="s">
        <v>508</v>
      </c>
      <c r="D1991" s="90" t="s">
        <v>6595</v>
      </c>
      <c r="E1991" s="90" t="s">
        <v>539</v>
      </c>
      <c r="F1991" s="90" t="s">
        <v>6747</v>
      </c>
      <c r="G1991" t="s">
        <v>512</v>
      </c>
    </row>
    <row r="1992" spans="1:7" x14ac:dyDescent="0.25">
      <c r="A1992" s="114">
        <v>8111195410</v>
      </c>
      <c r="B1992" s="90" t="s">
        <v>6748</v>
      </c>
      <c r="C1992" s="90" t="s">
        <v>508</v>
      </c>
      <c r="D1992" s="90" t="s">
        <v>6595</v>
      </c>
      <c r="E1992" s="90" t="s">
        <v>539</v>
      </c>
      <c r="F1992" s="90" t="s">
        <v>6749</v>
      </c>
      <c r="G1992" t="s">
        <v>512</v>
      </c>
    </row>
    <row r="1993" spans="1:7" x14ac:dyDescent="0.25">
      <c r="A1993" s="114">
        <v>8111195420</v>
      </c>
      <c r="B1993" s="90" t="s">
        <v>6750</v>
      </c>
      <c r="C1993" s="90" t="s">
        <v>508</v>
      </c>
      <c r="D1993" s="90" t="s">
        <v>6595</v>
      </c>
      <c r="E1993" s="90" t="s">
        <v>539</v>
      </c>
      <c r="F1993" s="90" t="s">
        <v>6751</v>
      </c>
      <c r="G1993" t="s">
        <v>859</v>
      </c>
    </row>
    <row r="1994" spans="1:7" x14ac:dyDescent="0.25">
      <c r="A1994" s="114">
        <v>8111195430</v>
      </c>
      <c r="B1994" s="90" t="s">
        <v>6752</v>
      </c>
      <c r="C1994" s="90" t="s">
        <v>508</v>
      </c>
      <c r="D1994" s="90" t="s">
        <v>6595</v>
      </c>
      <c r="E1994" s="90" t="s">
        <v>539</v>
      </c>
      <c r="F1994" s="90" t="s">
        <v>6753</v>
      </c>
      <c r="G1994" t="s">
        <v>859</v>
      </c>
    </row>
    <row r="1995" spans="1:7" x14ac:dyDescent="0.25">
      <c r="A1995" s="114">
        <v>8111195440</v>
      </c>
      <c r="B1995" s="90" t="s">
        <v>6754</v>
      </c>
      <c r="C1995" s="90" t="s">
        <v>508</v>
      </c>
      <c r="D1995" s="90" t="s">
        <v>6595</v>
      </c>
      <c r="E1995" s="90" t="s">
        <v>539</v>
      </c>
      <c r="F1995" s="90" t="s">
        <v>6755</v>
      </c>
      <c r="G1995" t="s">
        <v>512</v>
      </c>
    </row>
    <row r="1996" spans="1:7" x14ac:dyDescent="0.25">
      <c r="A1996" s="114">
        <v>8111195470</v>
      </c>
      <c r="B1996" s="90" t="s">
        <v>734</v>
      </c>
      <c r="C1996" s="90" t="s">
        <v>508</v>
      </c>
      <c r="D1996" s="90" t="s">
        <v>6595</v>
      </c>
      <c r="E1996" s="90" t="s">
        <v>539</v>
      </c>
      <c r="F1996" s="90" t="s">
        <v>6756</v>
      </c>
      <c r="G1996" t="s">
        <v>512</v>
      </c>
    </row>
    <row r="1997" spans="1:7" x14ac:dyDescent="0.25">
      <c r="A1997" s="114">
        <v>8111195480</v>
      </c>
      <c r="B1997" s="90" t="s">
        <v>6757</v>
      </c>
      <c r="C1997" s="90" t="s">
        <v>508</v>
      </c>
      <c r="D1997" s="90" t="s">
        <v>6595</v>
      </c>
      <c r="E1997" s="90" t="s">
        <v>539</v>
      </c>
      <c r="F1997" s="90" t="s">
        <v>6758</v>
      </c>
      <c r="G1997" t="s">
        <v>859</v>
      </c>
    </row>
    <row r="1998" spans="1:7" x14ac:dyDescent="0.25">
      <c r="A1998" s="114">
        <v>8111195490</v>
      </c>
      <c r="B1998" s="90" t="s">
        <v>6759</v>
      </c>
      <c r="C1998" s="90" t="s">
        <v>508</v>
      </c>
      <c r="D1998" s="90" t="s">
        <v>6595</v>
      </c>
      <c r="E1998" s="90" t="s">
        <v>539</v>
      </c>
      <c r="F1998" s="90" t="s">
        <v>6760</v>
      </c>
      <c r="G1998" t="s">
        <v>859</v>
      </c>
    </row>
    <row r="1999" spans="1:7" x14ac:dyDescent="0.25">
      <c r="A1999" s="114">
        <v>8111195500</v>
      </c>
      <c r="B1999" s="90" t="s">
        <v>6761</v>
      </c>
      <c r="C1999" s="90" t="s">
        <v>508</v>
      </c>
      <c r="D1999" s="90" t="s">
        <v>6595</v>
      </c>
      <c r="E1999" s="90" t="s">
        <v>539</v>
      </c>
      <c r="F1999" s="90" t="s">
        <v>6762</v>
      </c>
      <c r="G1999" t="s">
        <v>512</v>
      </c>
    </row>
    <row r="2000" spans="1:7" x14ac:dyDescent="0.25">
      <c r="A2000" s="114">
        <v>8111196100</v>
      </c>
      <c r="B2000" s="90" t="s">
        <v>6763</v>
      </c>
      <c r="C2000" s="90" t="s">
        <v>508</v>
      </c>
      <c r="D2000" s="90" t="s">
        <v>6595</v>
      </c>
      <c r="E2000" s="90" t="s">
        <v>539</v>
      </c>
      <c r="F2000" s="90" t="s">
        <v>6764</v>
      </c>
      <c r="G2000" t="s">
        <v>512</v>
      </c>
    </row>
    <row r="2001" spans="1:7" x14ac:dyDescent="0.25">
      <c r="A2001" s="114">
        <v>8111196120</v>
      </c>
      <c r="B2001" s="90" t="s">
        <v>6765</v>
      </c>
      <c r="C2001" s="90" t="s">
        <v>508</v>
      </c>
      <c r="D2001" s="90" t="s">
        <v>6595</v>
      </c>
      <c r="E2001" s="90" t="s">
        <v>539</v>
      </c>
      <c r="F2001" s="90" t="s">
        <v>6766</v>
      </c>
      <c r="G2001" t="s">
        <v>512</v>
      </c>
    </row>
    <row r="2002" spans="1:7" x14ac:dyDescent="0.25">
      <c r="A2002" s="114">
        <v>8111196140</v>
      </c>
      <c r="B2002" s="90" t="s">
        <v>3028</v>
      </c>
      <c r="C2002" s="90" t="s">
        <v>508</v>
      </c>
      <c r="D2002" s="90" t="s">
        <v>6595</v>
      </c>
      <c r="E2002" s="90" t="s">
        <v>539</v>
      </c>
      <c r="F2002" s="90" t="s">
        <v>6767</v>
      </c>
      <c r="G2002" t="s">
        <v>512</v>
      </c>
    </row>
    <row r="2003" spans="1:7" x14ac:dyDescent="0.25">
      <c r="A2003" s="114">
        <v>8111196150</v>
      </c>
      <c r="B2003" s="90" t="s">
        <v>6768</v>
      </c>
      <c r="C2003" s="90" t="s">
        <v>508</v>
      </c>
      <c r="D2003" s="90" t="s">
        <v>6595</v>
      </c>
      <c r="E2003" s="90" t="s">
        <v>539</v>
      </c>
      <c r="F2003" s="90" t="s">
        <v>6769</v>
      </c>
      <c r="G2003" t="s">
        <v>859</v>
      </c>
    </row>
    <row r="2004" spans="1:7" x14ac:dyDescent="0.25">
      <c r="A2004" s="114">
        <v>8111196160</v>
      </c>
      <c r="B2004" s="90" t="s">
        <v>6770</v>
      </c>
      <c r="C2004" s="90" t="s">
        <v>508</v>
      </c>
      <c r="D2004" s="90" t="s">
        <v>6595</v>
      </c>
      <c r="E2004" s="90" t="s">
        <v>539</v>
      </c>
      <c r="F2004" s="90" t="s">
        <v>6771</v>
      </c>
      <c r="G2004" t="s">
        <v>859</v>
      </c>
    </row>
    <row r="2005" spans="1:7" x14ac:dyDescent="0.25">
      <c r="A2005" s="114">
        <v>8111196170</v>
      </c>
      <c r="B2005" s="90" t="s">
        <v>6772</v>
      </c>
      <c r="C2005" s="90" t="s">
        <v>508</v>
      </c>
      <c r="D2005" s="90" t="s">
        <v>6595</v>
      </c>
      <c r="E2005" s="90" t="s">
        <v>539</v>
      </c>
      <c r="F2005" s="90" t="s">
        <v>6773</v>
      </c>
      <c r="G2005" t="s">
        <v>859</v>
      </c>
    </row>
    <row r="2006" spans="1:7" x14ac:dyDescent="0.25">
      <c r="A2006" s="114">
        <v>8111196180</v>
      </c>
      <c r="B2006" s="90" t="s">
        <v>6774</v>
      </c>
      <c r="C2006" s="90" t="s">
        <v>508</v>
      </c>
      <c r="D2006" s="90" t="s">
        <v>6595</v>
      </c>
      <c r="E2006" s="90" t="s">
        <v>539</v>
      </c>
      <c r="F2006" s="90" t="s">
        <v>6775</v>
      </c>
      <c r="G2006" t="s">
        <v>512</v>
      </c>
    </row>
    <row r="2007" spans="1:7" x14ac:dyDescent="0.25">
      <c r="A2007" s="114">
        <v>8111196190</v>
      </c>
      <c r="B2007" s="90" t="s">
        <v>6776</v>
      </c>
      <c r="C2007" s="90" t="s">
        <v>508</v>
      </c>
      <c r="D2007" s="90" t="s">
        <v>6595</v>
      </c>
      <c r="E2007" s="90" t="s">
        <v>539</v>
      </c>
      <c r="F2007" s="90" t="s">
        <v>6777</v>
      </c>
      <c r="G2007" t="s">
        <v>512</v>
      </c>
    </row>
    <row r="2008" spans="1:7" x14ac:dyDescent="0.25">
      <c r="A2008" s="114">
        <v>8111196200</v>
      </c>
      <c r="B2008" s="90" t="s">
        <v>6778</v>
      </c>
      <c r="C2008" s="90" t="s">
        <v>508</v>
      </c>
      <c r="D2008" s="90" t="s">
        <v>6595</v>
      </c>
      <c r="E2008" s="90" t="s">
        <v>539</v>
      </c>
      <c r="F2008" s="90" t="s">
        <v>6779</v>
      </c>
      <c r="G2008" t="s">
        <v>512</v>
      </c>
    </row>
    <row r="2009" spans="1:7" x14ac:dyDescent="0.25">
      <c r="A2009" s="114">
        <v>8111196210</v>
      </c>
      <c r="B2009" s="90" t="s">
        <v>6780</v>
      </c>
      <c r="C2009" s="90" t="s">
        <v>508</v>
      </c>
      <c r="D2009" s="90" t="s">
        <v>6595</v>
      </c>
      <c r="E2009" s="90" t="s">
        <v>539</v>
      </c>
      <c r="F2009" s="90" t="s">
        <v>6781</v>
      </c>
      <c r="G2009" t="s">
        <v>859</v>
      </c>
    </row>
    <row r="2010" spans="1:7" x14ac:dyDescent="0.25">
      <c r="A2010" s="114">
        <v>8111196230</v>
      </c>
      <c r="B2010" s="90" t="s">
        <v>6782</v>
      </c>
      <c r="C2010" s="90" t="s">
        <v>508</v>
      </c>
      <c r="D2010" s="90" t="s">
        <v>6595</v>
      </c>
      <c r="E2010" s="90" t="s">
        <v>539</v>
      </c>
      <c r="F2010" s="90" t="s">
        <v>6783</v>
      </c>
      <c r="G2010" t="s">
        <v>859</v>
      </c>
    </row>
    <row r="2011" spans="1:7" x14ac:dyDescent="0.25">
      <c r="A2011" s="114">
        <v>8111196240</v>
      </c>
      <c r="B2011" s="90" t="s">
        <v>6784</v>
      </c>
      <c r="C2011" s="90" t="s">
        <v>508</v>
      </c>
      <c r="D2011" s="90" t="s">
        <v>6595</v>
      </c>
      <c r="E2011" s="90" t="s">
        <v>539</v>
      </c>
      <c r="F2011" s="90" t="s">
        <v>6785</v>
      </c>
      <c r="G2011" t="s">
        <v>512</v>
      </c>
    </row>
    <row r="2012" spans="1:7" x14ac:dyDescent="0.25">
      <c r="A2012" s="114">
        <v>8111196250</v>
      </c>
      <c r="B2012" s="90" t="s">
        <v>6786</v>
      </c>
      <c r="C2012" s="90" t="s">
        <v>508</v>
      </c>
      <c r="D2012" s="90" t="s">
        <v>6595</v>
      </c>
      <c r="E2012" s="90" t="s">
        <v>539</v>
      </c>
      <c r="F2012" s="90" t="s">
        <v>6787</v>
      </c>
      <c r="G2012" t="s">
        <v>859</v>
      </c>
    </row>
    <row r="2013" spans="1:7" x14ac:dyDescent="0.25">
      <c r="A2013" s="114">
        <v>8111196260</v>
      </c>
      <c r="B2013" s="90" t="s">
        <v>6788</v>
      </c>
      <c r="C2013" s="90" t="s">
        <v>508</v>
      </c>
      <c r="D2013" s="90" t="s">
        <v>6595</v>
      </c>
      <c r="E2013" s="90" t="s">
        <v>539</v>
      </c>
      <c r="F2013" s="90" t="s">
        <v>6789</v>
      </c>
      <c r="G2013" t="s">
        <v>512</v>
      </c>
    </row>
    <row r="2014" spans="1:7" x14ac:dyDescent="0.25">
      <c r="A2014" s="114">
        <v>8111196270</v>
      </c>
      <c r="B2014" s="90" t="s">
        <v>6790</v>
      </c>
      <c r="C2014" s="90" t="s">
        <v>508</v>
      </c>
      <c r="D2014" s="90" t="s">
        <v>6595</v>
      </c>
      <c r="E2014" s="90" t="s">
        <v>539</v>
      </c>
      <c r="F2014" s="90" t="s">
        <v>6791</v>
      </c>
      <c r="G2014" t="s">
        <v>859</v>
      </c>
    </row>
    <row r="2015" spans="1:7" x14ac:dyDescent="0.25">
      <c r="A2015" s="114">
        <v>8111196280</v>
      </c>
      <c r="B2015" s="90" t="s">
        <v>6792</v>
      </c>
      <c r="C2015" s="90" t="s">
        <v>508</v>
      </c>
      <c r="D2015" s="90" t="s">
        <v>6595</v>
      </c>
      <c r="E2015" s="90" t="s">
        <v>539</v>
      </c>
      <c r="F2015" s="90" t="s">
        <v>6793</v>
      </c>
      <c r="G2015" t="s">
        <v>859</v>
      </c>
    </row>
    <row r="2016" spans="1:7" x14ac:dyDescent="0.25">
      <c r="A2016" s="114">
        <v>8111196290</v>
      </c>
      <c r="B2016" s="90" t="s">
        <v>6794</v>
      </c>
      <c r="C2016" s="90" t="s">
        <v>508</v>
      </c>
      <c r="D2016" s="90" t="s">
        <v>6595</v>
      </c>
      <c r="E2016" s="90" t="s">
        <v>539</v>
      </c>
      <c r="F2016" s="90" t="s">
        <v>6795</v>
      </c>
      <c r="G2016" t="s">
        <v>512</v>
      </c>
    </row>
    <row r="2017" spans="1:7" x14ac:dyDescent="0.25">
      <c r="A2017" s="114">
        <v>8111196300</v>
      </c>
      <c r="B2017" s="90" t="s">
        <v>6796</v>
      </c>
      <c r="C2017" s="90" t="s">
        <v>508</v>
      </c>
      <c r="D2017" s="90" t="s">
        <v>6595</v>
      </c>
      <c r="E2017" s="90" t="s">
        <v>539</v>
      </c>
      <c r="F2017" s="90" t="s">
        <v>6797</v>
      </c>
      <c r="G2017" t="s">
        <v>512</v>
      </c>
    </row>
    <row r="2018" spans="1:7" x14ac:dyDescent="0.25">
      <c r="A2018" s="114">
        <v>8111196310</v>
      </c>
      <c r="B2018" s="90" t="s">
        <v>6798</v>
      </c>
      <c r="C2018" s="90" t="s">
        <v>508</v>
      </c>
      <c r="D2018" s="90" t="s">
        <v>6595</v>
      </c>
      <c r="E2018" s="90" t="s">
        <v>539</v>
      </c>
      <c r="F2018" s="90" t="s">
        <v>6799</v>
      </c>
      <c r="G2018" t="s">
        <v>859</v>
      </c>
    </row>
    <row r="2019" spans="1:7" x14ac:dyDescent="0.25">
      <c r="A2019" s="114">
        <v>8111196320</v>
      </c>
      <c r="B2019" s="90" t="s">
        <v>6800</v>
      </c>
      <c r="C2019" s="90" t="s">
        <v>508</v>
      </c>
      <c r="D2019" s="90" t="s">
        <v>6595</v>
      </c>
      <c r="E2019" s="90" t="s">
        <v>539</v>
      </c>
      <c r="F2019" s="90" t="s">
        <v>6801</v>
      </c>
      <c r="G2019" t="s">
        <v>859</v>
      </c>
    </row>
    <row r="2020" spans="1:7" x14ac:dyDescent="0.25">
      <c r="A2020" s="114">
        <v>8111196330</v>
      </c>
      <c r="B2020" s="90" t="s">
        <v>6802</v>
      </c>
      <c r="C2020" s="90" t="s">
        <v>508</v>
      </c>
      <c r="D2020" s="90" t="s">
        <v>6595</v>
      </c>
      <c r="E2020" s="90" t="s">
        <v>539</v>
      </c>
      <c r="F2020" s="90" t="s">
        <v>6803</v>
      </c>
      <c r="G2020" t="s">
        <v>859</v>
      </c>
    </row>
    <row r="2021" spans="1:7" x14ac:dyDescent="0.25">
      <c r="A2021" s="114">
        <v>8111196340</v>
      </c>
      <c r="B2021" s="90" t="s">
        <v>6804</v>
      </c>
      <c r="C2021" s="90" t="s">
        <v>508</v>
      </c>
      <c r="D2021" s="90" t="s">
        <v>6595</v>
      </c>
      <c r="E2021" s="90" t="s">
        <v>539</v>
      </c>
      <c r="F2021" s="90" t="s">
        <v>6805</v>
      </c>
      <c r="G2021" t="s">
        <v>859</v>
      </c>
    </row>
    <row r="2022" spans="1:7" x14ac:dyDescent="0.25">
      <c r="A2022" s="114">
        <v>8111196350</v>
      </c>
      <c r="B2022" s="90" t="s">
        <v>6806</v>
      </c>
      <c r="C2022" s="90" t="s">
        <v>508</v>
      </c>
      <c r="D2022" s="90" t="s">
        <v>6595</v>
      </c>
      <c r="E2022" s="90" t="s">
        <v>539</v>
      </c>
      <c r="F2022" s="90" t="s">
        <v>6807</v>
      </c>
      <c r="G2022" t="s">
        <v>512</v>
      </c>
    </row>
    <row r="2023" spans="1:7" x14ac:dyDescent="0.25">
      <c r="A2023" s="114">
        <v>8111196360</v>
      </c>
      <c r="B2023" s="90" t="s">
        <v>6808</v>
      </c>
      <c r="C2023" s="90" t="s">
        <v>508</v>
      </c>
      <c r="D2023" s="90" t="s">
        <v>6595</v>
      </c>
      <c r="E2023" s="90" t="s">
        <v>539</v>
      </c>
      <c r="F2023" s="90" t="s">
        <v>6809</v>
      </c>
      <c r="G2023" t="s">
        <v>859</v>
      </c>
    </row>
    <row r="2024" spans="1:7" x14ac:dyDescent="0.25">
      <c r="A2024" s="114">
        <v>8111196370</v>
      </c>
      <c r="B2024" s="90" t="s">
        <v>6810</v>
      </c>
      <c r="C2024" s="90" t="s">
        <v>508</v>
      </c>
      <c r="D2024" s="90" t="s">
        <v>6595</v>
      </c>
      <c r="E2024" s="90" t="s">
        <v>539</v>
      </c>
      <c r="F2024" s="90" t="s">
        <v>6811</v>
      </c>
      <c r="G2024" t="s">
        <v>859</v>
      </c>
    </row>
    <row r="2025" spans="1:7" x14ac:dyDescent="0.25">
      <c r="A2025" s="114">
        <v>8111196380</v>
      </c>
      <c r="B2025" s="90" t="s">
        <v>6812</v>
      </c>
      <c r="C2025" s="90" t="s">
        <v>508</v>
      </c>
      <c r="D2025" s="90" t="s">
        <v>6595</v>
      </c>
      <c r="E2025" s="90" t="s">
        <v>539</v>
      </c>
      <c r="F2025" s="90" t="s">
        <v>6813</v>
      </c>
      <c r="G2025" t="s">
        <v>512</v>
      </c>
    </row>
    <row r="2026" spans="1:7" x14ac:dyDescent="0.25">
      <c r="A2026" s="114">
        <v>8111196390</v>
      </c>
      <c r="B2026" s="90" t="s">
        <v>6814</v>
      </c>
      <c r="C2026" s="90" t="s">
        <v>508</v>
      </c>
      <c r="D2026" s="90" t="s">
        <v>6595</v>
      </c>
      <c r="E2026" s="90" t="s">
        <v>539</v>
      </c>
      <c r="F2026" s="90" t="s">
        <v>6815</v>
      </c>
      <c r="G2026" t="s">
        <v>859</v>
      </c>
    </row>
    <row r="2027" spans="1:7" x14ac:dyDescent="0.25">
      <c r="A2027" s="114">
        <v>8111196400</v>
      </c>
      <c r="B2027" s="90" t="s">
        <v>6816</v>
      </c>
      <c r="C2027" s="90" t="s">
        <v>508</v>
      </c>
      <c r="D2027" s="90" t="s">
        <v>6595</v>
      </c>
      <c r="E2027" s="90" t="s">
        <v>539</v>
      </c>
      <c r="F2027" s="90" t="s">
        <v>6817</v>
      </c>
      <c r="G2027" t="s">
        <v>859</v>
      </c>
    </row>
    <row r="2028" spans="1:7" x14ac:dyDescent="0.25">
      <c r="A2028" s="114">
        <v>8111196410</v>
      </c>
      <c r="B2028" s="90" t="s">
        <v>6818</v>
      </c>
      <c r="C2028" s="90" t="s">
        <v>508</v>
      </c>
      <c r="D2028" s="90" t="s">
        <v>6595</v>
      </c>
      <c r="E2028" s="90" t="s">
        <v>539</v>
      </c>
      <c r="F2028" s="90" t="s">
        <v>6819</v>
      </c>
      <c r="G2028" t="s">
        <v>859</v>
      </c>
    </row>
    <row r="2029" spans="1:7" x14ac:dyDescent="0.25">
      <c r="A2029" s="114">
        <v>8111196420</v>
      </c>
      <c r="B2029" s="90" t="s">
        <v>6820</v>
      </c>
      <c r="C2029" s="90" t="s">
        <v>508</v>
      </c>
      <c r="D2029" s="90" t="s">
        <v>6595</v>
      </c>
      <c r="E2029" s="90" t="s">
        <v>539</v>
      </c>
      <c r="F2029" s="90" t="s">
        <v>6821</v>
      </c>
      <c r="G2029" t="s">
        <v>859</v>
      </c>
    </row>
    <row r="2030" spans="1:7" x14ac:dyDescent="0.25">
      <c r="A2030" s="114">
        <v>8111196430</v>
      </c>
      <c r="B2030" s="90" t="s">
        <v>6822</v>
      </c>
      <c r="C2030" s="90" t="s">
        <v>508</v>
      </c>
      <c r="D2030" s="90" t="s">
        <v>6595</v>
      </c>
      <c r="E2030" s="90" t="s">
        <v>539</v>
      </c>
      <c r="F2030" s="90" t="s">
        <v>6823</v>
      </c>
      <c r="G2030" t="s">
        <v>859</v>
      </c>
    </row>
    <row r="2031" spans="1:7" x14ac:dyDescent="0.25">
      <c r="A2031" s="114">
        <v>8111196440</v>
      </c>
      <c r="B2031" s="90" t="s">
        <v>6824</v>
      </c>
      <c r="C2031" s="90" t="s">
        <v>508</v>
      </c>
      <c r="D2031" s="90" t="s">
        <v>6595</v>
      </c>
      <c r="E2031" s="90" t="s">
        <v>539</v>
      </c>
      <c r="F2031" s="90" t="s">
        <v>6825</v>
      </c>
      <c r="G2031" t="s">
        <v>512</v>
      </c>
    </row>
    <row r="2032" spans="1:7" x14ac:dyDescent="0.25">
      <c r="A2032" s="114">
        <v>8111196450</v>
      </c>
      <c r="B2032" s="90" t="s">
        <v>6826</v>
      </c>
      <c r="C2032" s="90" t="s">
        <v>508</v>
      </c>
      <c r="D2032" s="90" t="s">
        <v>6595</v>
      </c>
      <c r="E2032" s="90" t="s">
        <v>539</v>
      </c>
      <c r="F2032" s="90" t="s">
        <v>6827</v>
      </c>
      <c r="G2032" t="s">
        <v>859</v>
      </c>
    </row>
    <row r="2033" spans="1:7" x14ac:dyDescent="0.25">
      <c r="A2033" s="114">
        <v>8111196460</v>
      </c>
      <c r="B2033" s="90" t="s">
        <v>6828</v>
      </c>
      <c r="C2033" s="90" t="s">
        <v>508</v>
      </c>
      <c r="D2033" s="90" t="s">
        <v>6595</v>
      </c>
      <c r="E2033" s="90" t="s">
        <v>539</v>
      </c>
      <c r="F2033" s="90" t="s">
        <v>6829</v>
      </c>
      <c r="G2033" t="s">
        <v>859</v>
      </c>
    </row>
    <row r="2034" spans="1:7" x14ac:dyDescent="0.25">
      <c r="A2034" s="114">
        <v>8111196480</v>
      </c>
      <c r="B2034" s="90" t="s">
        <v>6830</v>
      </c>
      <c r="C2034" s="90" t="s">
        <v>508</v>
      </c>
      <c r="D2034" s="90" t="s">
        <v>6595</v>
      </c>
      <c r="E2034" s="90" t="s">
        <v>539</v>
      </c>
      <c r="F2034" s="90" t="s">
        <v>6831</v>
      </c>
      <c r="G2034" t="s">
        <v>512</v>
      </c>
    </row>
    <row r="2035" spans="1:7" x14ac:dyDescent="0.25">
      <c r="A2035" s="114">
        <v>8111196490</v>
      </c>
      <c r="B2035" s="90" t="s">
        <v>6832</v>
      </c>
      <c r="C2035" s="90" t="s">
        <v>508</v>
      </c>
      <c r="D2035" s="90" t="s">
        <v>6595</v>
      </c>
      <c r="E2035" s="90" t="s">
        <v>539</v>
      </c>
      <c r="F2035" s="90" t="s">
        <v>6833</v>
      </c>
      <c r="G2035" t="s">
        <v>859</v>
      </c>
    </row>
    <row r="2036" spans="1:7" x14ac:dyDescent="0.25">
      <c r="A2036" s="114">
        <v>8111196500</v>
      </c>
      <c r="B2036" s="90" t="s">
        <v>6834</v>
      </c>
      <c r="C2036" s="90" t="s">
        <v>508</v>
      </c>
      <c r="D2036" s="90" t="s">
        <v>6595</v>
      </c>
      <c r="E2036" s="90" t="s">
        <v>539</v>
      </c>
      <c r="F2036" s="90" t="s">
        <v>6835</v>
      </c>
      <c r="G2036" t="s">
        <v>859</v>
      </c>
    </row>
    <row r="2037" spans="1:7" x14ac:dyDescent="0.25">
      <c r="A2037" s="114">
        <v>8111197310</v>
      </c>
      <c r="B2037" s="90" t="s">
        <v>6836</v>
      </c>
      <c r="C2037" s="90" t="s">
        <v>508</v>
      </c>
      <c r="D2037" s="90" t="s">
        <v>6595</v>
      </c>
      <c r="E2037" s="90" t="s">
        <v>539</v>
      </c>
      <c r="F2037" s="90" t="s">
        <v>6837</v>
      </c>
      <c r="G2037" t="s">
        <v>859</v>
      </c>
    </row>
    <row r="2038" spans="1:7" x14ac:dyDescent="0.25">
      <c r="A2038" s="114">
        <v>8111197320</v>
      </c>
      <c r="B2038" s="90" t="s">
        <v>6838</v>
      </c>
      <c r="C2038" s="90" t="s">
        <v>508</v>
      </c>
      <c r="D2038" s="90" t="s">
        <v>6595</v>
      </c>
      <c r="E2038" s="90" t="s">
        <v>539</v>
      </c>
      <c r="F2038" s="90" t="s">
        <v>6839</v>
      </c>
      <c r="G2038" t="s">
        <v>859</v>
      </c>
    </row>
    <row r="2039" spans="1:7" x14ac:dyDescent="0.25">
      <c r="A2039" s="114">
        <v>8111197330</v>
      </c>
      <c r="B2039" s="90" t="s">
        <v>6840</v>
      </c>
      <c r="C2039" s="90" t="s">
        <v>508</v>
      </c>
      <c r="D2039" s="90" t="s">
        <v>6595</v>
      </c>
      <c r="E2039" s="90" t="s">
        <v>539</v>
      </c>
      <c r="F2039" s="90" t="s">
        <v>6841</v>
      </c>
      <c r="G2039" t="s">
        <v>512</v>
      </c>
    </row>
    <row r="2040" spans="1:7" x14ac:dyDescent="0.25">
      <c r="A2040" s="114">
        <v>8111197340</v>
      </c>
      <c r="B2040" s="90" t="s">
        <v>6842</v>
      </c>
      <c r="C2040" s="90" t="s">
        <v>508</v>
      </c>
      <c r="D2040" s="90" t="s">
        <v>6595</v>
      </c>
      <c r="E2040" s="90" t="s">
        <v>539</v>
      </c>
      <c r="F2040" s="90" t="s">
        <v>6843</v>
      </c>
      <c r="G2040" t="s">
        <v>512</v>
      </c>
    </row>
    <row r="2041" spans="1:7" x14ac:dyDescent="0.25">
      <c r="A2041" s="114">
        <v>8111197370</v>
      </c>
      <c r="B2041" s="90" t="s">
        <v>6844</v>
      </c>
      <c r="C2041" s="90" t="s">
        <v>508</v>
      </c>
      <c r="D2041" s="90" t="s">
        <v>6595</v>
      </c>
      <c r="E2041" s="90" t="s">
        <v>539</v>
      </c>
      <c r="F2041" s="90" t="s">
        <v>6845</v>
      </c>
      <c r="G2041" t="s">
        <v>512</v>
      </c>
    </row>
    <row r="2042" spans="1:7" x14ac:dyDescent="0.25">
      <c r="A2042" s="114">
        <v>8111197380</v>
      </c>
      <c r="B2042" s="90" t="s">
        <v>6846</v>
      </c>
      <c r="C2042" s="90" t="s">
        <v>508</v>
      </c>
      <c r="D2042" s="90" t="s">
        <v>6595</v>
      </c>
      <c r="E2042" s="90" t="s">
        <v>539</v>
      </c>
      <c r="F2042" s="90" t="s">
        <v>6847</v>
      </c>
      <c r="G2042" t="s">
        <v>512</v>
      </c>
    </row>
    <row r="2043" spans="1:7" x14ac:dyDescent="0.25">
      <c r="A2043" s="114">
        <v>8111197390</v>
      </c>
      <c r="B2043" s="90" t="s">
        <v>6848</v>
      </c>
      <c r="C2043" s="90" t="s">
        <v>508</v>
      </c>
      <c r="D2043" s="90" t="s">
        <v>6595</v>
      </c>
      <c r="E2043" s="90" t="s">
        <v>539</v>
      </c>
      <c r="F2043" s="90" t="s">
        <v>6849</v>
      </c>
      <c r="G2043" t="s">
        <v>859</v>
      </c>
    </row>
    <row r="2044" spans="1:7" x14ac:dyDescent="0.25">
      <c r="A2044" s="114">
        <v>8111197400</v>
      </c>
      <c r="B2044" s="90" t="s">
        <v>6850</v>
      </c>
      <c r="C2044" s="90" t="s">
        <v>508</v>
      </c>
      <c r="D2044" s="90" t="s">
        <v>6595</v>
      </c>
      <c r="E2044" s="90" t="s">
        <v>539</v>
      </c>
      <c r="F2044" s="90" t="s">
        <v>6851</v>
      </c>
      <c r="G2044" t="s">
        <v>859</v>
      </c>
    </row>
    <row r="2045" spans="1:7" x14ac:dyDescent="0.25">
      <c r="A2045" s="114">
        <v>8111197420</v>
      </c>
      <c r="B2045" s="90" t="s">
        <v>6852</v>
      </c>
      <c r="C2045" s="90" t="s">
        <v>508</v>
      </c>
      <c r="D2045" s="90" t="s">
        <v>6595</v>
      </c>
      <c r="E2045" s="90" t="s">
        <v>539</v>
      </c>
      <c r="F2045" s="90" t="s">
        <v>6853</v>
      </c>
      <c r="G2045" t="s">
        <v>859</v>
      </c>
    </row>
    <row r="2046" spans="1:7" x14ac:dyDescent="0.25">
      <c r="A2046" s="114">
        <v>8111197430</v>
      </c>
      <c r="B2046" s="90" t="s">
        <v>6854</v>
      </c>
      <c r="C2046" s="90" t="s">
        <v>508</v>
      </c>
      <c r="D2046" s="90" t="s">
        <v>6595</v>
      </c>
      <c r="E2046" s="90" t="s">
        <v>539</v>
      </c>
      <c r="F2046" s="90" t="s">
        <v>6855</v>
      </c>
      <c r="G2046" t="s">
        <v>859</v>
      </c>
    </row>
    <row r="2047" spans="1:7" x14ac:dyDescent="0.25">
      <c r="A2047" s="114">
        <v>8111197450</v>
      </c>
      <c r="B2047" s="90" t="s">
        <v>6856</v>
      </c>
      <c r="C2047" s="90" t="s">
        <v>508</v>
      </c>
      <c r="D2047" s="90" t="s">
        <v>6595</v>
      </c>
      <c r="E2047" s="90" t="s">
        <v>539</v>
      </c>
      <c r="F2047" s="90" t="s">
        <v>6857</v>
      </c>
      <c r="G2047" t="s">
        <v>859</v>
      </c>
    </row>
    <row r="2048" spans="1:7" x14ac:dyDescent="0.25">
      <c r="A2048" s="114">
        <v>8111197480</v>
      </c>
      <c r="B2048" s="90" t="s">
        <v>6858</v>
      </c>
      <c r="C2048" s="90" t="s">
        <v>508</v>
      </c>
      <c r="D2048" s="90" t="s">
        <v>6595</v>
      </c>
      <c r="E2048" s="90" t="s">
        <v>539</v>
      </c>
      <c r="F2048" s="90" t="s">
        <v>6859</v>
      </c>
      <c r="G2048" t="s">
        <v>512</v>
      </c>
    </row>
    <row r="2049" spans="1:7" x14ac:dyDescent="0.25">
      <c r="A2049" s="114">
        <v>8111197490</v>
      </c>
      <c r="B2049" s="90" t="s">
        <v>6860</v>
      </c>
      <c r="C2049" s="90" t="s">
        <v>508</v>
      </c>
      <c r="D2049" s="90" t="s">
        <v>6595</v>
      </c>
      <c r="E2049" s="90" t="s">
        <v>539</v>
      </c>
      <c r="F2049" s="90" t="s">
        <v>6861</v>
      </c>
      <c r="G2049" t="s">
        <v>859</v>
      </c>
    </row>
    <row r="2050" spans="1:7" x14ac:dyDescent="0.25">
      <c r="A2050" s="114">
        <v>8111197500</v>
      </c>
      <c r="B2050" s="90" t="s">
        <v>6862</v>
      </c>
      <c r="C2050" s="90" t="s">
        <v>508</v>
      </c>
      <c r="D2050" s="90" t="s">
        <v>6595</v>
      </c>
      <c r="E2050" s="90" t="s">
        <v>4884</v>
      </c>
      <c r="F2050" s="90" t="s">
        <v>6863</v>
      </c>
      <c r="G2050" t="s">
        <v>512</v>
      </c>
    </row>
    <row r="2051" spans="1:7" x14ac:dyDescent="0.25">
      <c r="A2051" s="114">
        <v>8111197520</v>
      </c>
      <c r="B2051" s="90" t="s">
        <v>5471</v>
      </c>
      <c r="C2051" s="90" t="s">
        <v>508</v>
      </c>
      <c r="D2051" s="90" t="s">
        <v>6595</v>
      </c>
      <c r="E2051" s="90" t="s">
        <v>539</v>
      </c>
      <c r="F2051" s="90" t="s">
        <v>6864</v>
      </c>
      <c r="G2051" t="s">
        <v>512</v>
      </c>
    </row>
    <row r="2052" spans="1:7" x14ac:dyDescent="0.25">
      <c r="A2052" s="114">
        <v>8111197530</v>
      </c>
      <c r="B2052" s="90" t="s">
        <v>6865</v>
      </c>
      <c r="C2052" s="90" t="s">
        <v>508</v>
      </c>
      <c r="D2052" s="90" t="s">
        <v>6595</v>
      </c>
      <c r="E2052" s="90" t="s">
        <v>539</v>
      </c>
      <c r="F2052" s="90" t="s">
        <v>6866</v>
      </c>
      <c r="G2052" t="s">
        <v>512</v>
      </c>
    </row>
    <row r="2053" spans="1:7" x14ac:dyDescent="0.25">
      <c r="A2053" s="114">
        <v>8111197540</v>
      </c>
      <c r="B2053" s="90" t="s">
        <v>6867</v>
      </c>
      <c r="C2053" s="90" t="s">
        <v>508</v>
      </c>
      <c r="D2053" s="90" t="s">
        <v>6595</v>
      </c>
      <c r="E2053" s="90" t="s">
        <v>539</v>
      </c>
      <c r="F2053" s="90" t="s">
        <v>6868</v>
      </c>
      <c r="G2053" t="s">
        <v>859</v>
      </c>
    </row>
    <row r="2054" spans="1:7" x14ac:dyDescent="0.25">
      <c r="A2054" s="114">
        <v>8111197550</v>
      </c>
      <c r="B2054" s="90" t="s">
        <v>1414</v>
      </c>
      <c r="C2054" s="90" t="s">
        <v>508</v>
      </c>
      <c r="D2054" s="90" t="s">
        <v>6595</v>
      </c>
      <c r="E2054" s="90" t="s">
        <v>539</v>
      </c>
      <c r="F2054" s="90" t="s">
        <v>6869</v>
      </c>
      <c r="G2054" t="s">
        <v>512</v>
      </c>
    </row>
    <row r="2055" spans="1:7" x14ac:dyDescent="0.25">
      <c r="A2055" s="114">
        <v>8111197560</v>
      </c>
      <c r="B2055" s="90" t="s">
        <v>6870</v>
      </c>
      <c r="C2055" s="90" t="s">
        <v>508</v>
      </c>
      <c r="D2055" s="90" t="s">
        <v>6595</v>
      </c>
      <c r="E2055" s="90" t="s">
        <v>539</v>
      </c>
      <c r="F2055" s="90" t="s">
        <v>6871</v>
      </c>
      <c r="G2055" t="s">
        <v>859</v>
      </c>
    </row>
    <row r="2056" spans="1:7" x14ac:dyDescent="0.25">
      <c r="A2056" s="114">
        <v>8111197590</v>
      </c>
      <c r="B2056" s="90" t="s">
        <v>6872</v>
      </c>
      <c r="C2056" s="90" t="s">
        <v>508</v>
      </c>
      <c r="D2056" s="90" t="s">
        <v>6595</v>
      </c>
      <c r="E2056" s="90" t="s">
        <v>539</v>
      </c>
      <c r="F2056" s="90" t="s">
        <v>6873</v>
      </c>
      <c r="G2056" t="s">
        <v>859</v>
      </c>
    </row>
    <row r="2057" spans="1:7" x14ac:dyDescent="0.25">
      <c r="A2057" s="114">
        <v>8111197600</v>
      </c>
      <c r="B2057" s="90" t="s">
        <v>6874</v>
      </c>
      <c r="C2057" s="90" t="s">
        <v>508</v>
      </c>
      <c r="D2057" s="90" t="s">
        <v>6595</v>
      </c>
      <c r="E2057" s="90" t="s">
        <v>539</v>
      </c>
      <c r="F2057" s="90" t="s">
        <v>6875</v>
      </c>
      <c r="G2057" t="s">
        <v>512</v>
      </c>
    </row>
    <row r="2058" spans="1:7" x14ac:dyDescent="0.25">
      <c r="A2058" s="114">
        <v>8111197610</v>
      </c>
      <c r="B2058" s="90" t="s">
        <v>6876</v>
      </c>
      <c r="C2058" s="90" t="s">
        <v>508</v>
      </c>
      <c r="D2058" s="90" t="s">
        <v>6595</v>
      </c>
      <c r="E2058" s="90" t="s">
        <v>539</v>
      </c>
      <c r="F2058" s="90" t="s">
        <v>6877</v>
      </c>
      <c r="G2058" t="s">
        <v>512</v>
      </c>
    </row>
    <row r="2059" spans="1:7" x14ac:dyDescent="0.25">
      <c r="A2059" s="114">
        <v>8111197620</v>
      </c>
      <c r="B2059" s="90" t="s">
        <v>6878</v>
      </c>
      <c r="C2059" s="90" t="s">
        <v>508</v>
      </c>
      <c r="D2059" s="90" t="s">
        <v>6595</v>
      </c>
      <c r="E2059" s="90" t="s">
        <v>539</v>
      </c>
      <c r="F2059" s="90" t="s">
        <v>6879</v>
      </c>
      <c r="G2059" t="s">
        <v>512</v>
      </c>
    </row>
    <row r="2060" spans="1:7" x14ac:dyDescent="0.25">
      <c r="A2060" s="114">
        <v>8111197630</v>
      </c>
      <c r="B2060" s="90" t="s">
        <v>6874</v>
      </c>
      <c r="C2060" s="90" t="s">
        <v>508</v>
      </c>
      <c r="D2060" s="90" t="s">
        <v>6595</v>
      </c>
      <c r="E2060" s="90" t="s">
        <v>539</v>
      </c>
      <c r="F2060" s="90" t="s">
        <v>6875</v>
      </c>
      <c r="G2060" t="s">
        <v>512</v>
      </c>
    </row>
    <row r="2061" spans="1:7" x14ac:dyDescent="0.25">
      <c r="A2061" s="114">
        <v>8111197640</v>
      </c>
      <c r="B2061" s="90" t="s">
        <v>6880</v>
      </c>
      <c r="C2061" s="90" t="s">
        <v>508</v>
      </c>
      <c r="D2061" s="90" t="s">
        <v>6595</v>
      </c>
      <c r="E2061" s="90" t="s">
        <v>539</v>
      </c>
      <c r="F2061" s="90" t="s">
        <v>6881</v>
      </c>
      <c r="G2061" t="s">
        <v>512</v>
      </c>
    </row>
    <row r="2062" spans="1:7" x14ac:dyDescent="0.25">
      <c r="A2062" s="114">
        <v>8111197660</v>
      </c>
      <c r="B2062" s="90" t="s">
        <v>6882</v>
      </c>
      <c r="C2062" s="90" t="s">
        <v>508</v>
      </c>
      <c r="D2062" s="90" t="s">
        <v>6595</v>
      </c>
      <c r="E2062" s="90" t="s">
        <v>539</v>
      </c>
      <c r="F2062" s="90" t="s">
        <v>6883</v>
      </c>
      <c r="G2062" t="s">
        <v>512</v>
      </c>
    </row>
    <row r="2063" spans="1:7" x14ac:dyDescent="0.25">
      <c r="A2063" s="114">
        <v>8111197670</v>
      </c>
      <c r="B2063" s="90" t="s">
        <v>6884</v>
      </c>
      <c r="C2063" s="90" t="s">
        <v>508</v>
      </c>
      <c r="D2063" s="90" t="s">
        <v>6595</v>
      </c>
      <c r="E2063" s="90" t="s">
        <v>539</v>
      </c>
      <c r="F2063" s="90" t="s">
        <v>6885</v>
      </c>
      <c r="G2063" t="s">
        <v>859</v>
      </c>
    </row>
    <row r="2064" spans="1:7" x14ac:dyDescent="0.25">
      <c r="A2064" s="114">
        <v>8111197680</v>
      </c>
      <c r="B2064" s="90" t="s">
        <v>2430</v>
      </c>
      <c r="C2064" s="90" t="s">
        <v>508</v>
      </c>
      <c r="D2064" s="90" t="s">
        <v>6595</v>
      </c>
      <c r="E2064" s="90" t="s">
        <v>4884</v>
      </c>
      <c r="F2064" s="90" t="s">
        <v>6886</v>
      </c>
      <c r="G2064" t="s">
        <v>512</v>
      </c>
    </row>
    <row r="2065" spans="1:7" x14ac:dyDescent="0.25">
      <c r="A2065" s="114">
        <v>8111197700</v>
      </c>
      <c r="B2065" s="90" t="s">
        <v>6887</v>
      </c>
      <c r="C2065" s="90" t="s">
        <v>508</v>
      </c>
      <c r="D2065" s="90" t="s">
        <v>6595</v>
      </c>
      <c r="E2065" s="90" t="s">
        <v>539</v>
      </c>
      <c r="F2065" s="90" t="s">
        <v>6888</v>
      </c>
      <c r="G2065" t="s">
        <v>859</v>
      </c>
    </row>
    <row r="2066" spans="1:7" x14ac:dyDescent="0.25">
      <c r="A2066" s="114">
        <v>8111197710</v>
      </c>
      <c r="B2066" s="90" t="s">
        <v>6889</v>
      </c>
      <c r="C2066" s="90" t="s">
        <v>508</v>
      </c>
      <c r="D2066" s="90" t="s">
        <v>6595</v>
      </c>
      <c r="E2066" s="90" t="s">
        <v>539</v>
      </c>
      <c r="F2066" s="90" t="s">
        <v>6890</v>
      </c>
      <c r="G2066" t="s">
        <v>859</v>
      </c>
    </row>
    <row r="2067" spans="1:7" x14ac:dyDescent="0.25">
      <c r="A2067" s="114">
        <v>8111197720</v>
      </c>
      <c r="B2067" s="90" t="s">
        <v>6891</v>
      </c>
      <c r="C2067" s="90" t="s">
        <v>508</v>
      </c>
      <c r="D2067" s="90" t="s">
        <v>6595</v>
      </c>
      <c r="E2067" s="90" t="s">
        <v>539</v>
      </c>
      <c r="F2067" s="90" t="s">
        <v>6892</v>
      </c>
      <c r="G2067" t="s">
        <v>859</v>
      </c>
    </row>
    <row r="2068" spans="1:7" x14ac:dyDescent="0.25">
      <c r="A2068" s="114">
        <v>8111197730</v>
      </c>
      <c r="B2068" s="90" t="s">
        <v>6893</v>
      </c>
      <c r="C2068" s="90" t="s">
        <v>508</v>
      </c>
      <c r="D2068" s="90" t="s">
        <v>6595</v>
      </c>
      <c r="E2068" s="90" t="s">
        <v>539</v>
      </c>
      <c r="F2068" s="90" t="s">
        <v>6894</v>
      </c>
      <c r="G2068" t="s">
        <v>859</v>
      </c>
    </row>
    <row r="2069" spans="1:7" x14ac:dyDescent="0.25">
      <c r="A2069" s="114">
        <v>8111197740</v>
      </c>
      <c r="B2069" s="90" t="s">
        <v>6895</v>
      </c>
      <c r="C2069" s="90" t="s">
        <v>508</v>
      </c>
      <c r="D2069" s="90" t="s">
        <v>6595</v>
      </c>
      <c r="E2069" s="90" t="s">
        <v>539</v>
      </c>
      <c r="F2069" s="90" t="s">
        <v>6896</v>
      </c>
      <c r="G2069" t="s">
        <v>859</v>
      </c>
    </row>
    <row r="2070" spans="1:7" x14ac:dyDescent="0.25">
      <c r="A2070" s="114">
        <v>8111197750</v>
      </c>
      <c r="B2070" s="90" t="s">
        <v>6897</v>
      </c>
      <c r="C2070" s="90" t="s">
        <v>508</v>
      </c>
      <c r="D2070" s="90" t="s">
        <v>6595</v>
      </c>
      <c r="E2070" s="90" t="s">
        <v>539</v>
      </c>
      <c r="F2070" s="90" t="s">
        <v>6898</v>
      </c>
      <c r="G2070" t="s">
        <v>859</v>
      </c>
    </row>
    <row r="2071" spans="1:7" x14ac:dyDescent="0.25">
      <c r="A2071" s="114">
        <v>8111197760</v>
      </c>
      <c r="B2071" s="90" t="s">
        <v>6899</v>
      </c>
      <c r="C2071" s="90" t="s">
        <v>508</v>
      </c>
      <c r="D2071" s="90" t="s">
        <v>6595</v>
      </c>
      <c r="E2071" s="90" t="s">
        <v>539</v>
      </c>
      <c r="F2071" s="90" t="s">
        <v>6900</v>
      </c>
      <c r="G2071" t="s">
        <v>512</v>
      </c>
    </row>
    <row r="2072" spans="1:7" x14ac:dyDescent="0.25">
      <c r="A2072" s="114">
        <v>8111197770</v>
      </c>
      <c r="B2072" s="90" t="s">
        <v>6901</v>
      </c>
      <c r="C2072" s="90" t="s">
        <v>508</v>
      </c>
      <c r="D2072" s="90" t="s">
        <v>6595</v>
      </c>
      <c r="E2072" s="90" t="s">
        <v>539</v>
      </c>
      <c r="F2072" s="90" t="s">
        <v>6902</v>
      </c>
      <c r="G2072" t="s">
        <v>512</v>
      </c>
    </row>
    <row r="2073" spans="1:7" x14ac:dyDescent="0.25">
      <c r="A2073" s="114">
        <v>8111197780</v>
      </c>
      <c r="B2073" s="90" t="s">
        <v>6903</v>
      </c>
      <c r="C2073" s="90" t="s">
        <v>508</v>
      </c>
      <c r="D2073" s="90" t="s">
        <v>6595</v>
      </c>
      <c r="E2073" s="90" t="s">
        <v>539</v>
      </c>
      <c r="F2073" s="90" t="s">
        <v>6904</v>
      </c>
      <c r="G2073" t="s">
        <v>859</v>
      </c>
    </row>
    <row r="2074" spans="1:7" x14ac:dyDescent="0.25">
      <c r="A2074" s="114">
        <v>8111197788</v>
      </c>
      <c r="B2074" s="90" t="s">
        <v>6905</v>
      </c>
      <c r="C2074" s="90" t="s">
        <v>508</v>
      </c>
      <c r="D2074" s="90" t="s">
        <v>6595</v>
      </c>
      <c r="E2074" s="90" t="s">
        <v>539</v>
      </c>
      <c r="F2074" s="90" t="s">
        <v>6906</v>
      </c>
      <c r="G2074" t="s">
        <v>859</v>
      </c>
    </row>
    <row r="2075" spans="1:7" x14ac:dyDescent="0.25">
      <c r="A2075" s="114">
        <v>8111197790</v>
      </c>
      <c r="B2075" s="90" t="s">
        <v>6907</v>
      </c>
      <c r="C2075" s="90" t="s">
        <v>508</v>
      </c>
      <c r="D2075" s="90" t="s">
        <v>6595</v>
      </c>
      <c r="E2075" s="90" t="s">
        <v>539</v>
      </c>
      <c r="F2075" s="90" t="s">
        <v>6908</v>
      </c>
      <c r="G2075" t="s">
        <v>859</v>
      </c>
    </row>
    <row r="2076" spans="1:7" x14ac:dyDescent="0.25">
      <c r="A2076" s="114">
        <v>8111197800</v>
      </c>
      <c r="B2076" s="90" t="s">
        <v>6909</v>
      </c>
      <c r="C2076" s="90" t="s">
        <v>508</v>
      </c>
      <c r="D2076" s="90" t="s">
        <v>6595</v>
      </c>
      <c r="E2076" s="90" t="s">
        <v>539</v>
      </c>
      <c r="F2076" s="90" t="s">
        <v>6910</v>
      </c>
      <c r="G2076" t="s">
        <v>512</v>
      </c>
    </row>
    <row r="2077" spans="1:7" x14ac:dyDescent="0.25">
      <c r="A2077" s="114">
        <v>8111198270</v>
      </c>
      <c r="B2077" s="90" t="s">
        <v>6911</v>
      </c>
      <c r="C2077" s="90" t="s">
        <v>508</v>
      </c>
      <c r="D2077" s="90" t="s">
        <v>1577</v>
      </c>
      <c r="E2077" s="90" t="s">
        <v>634</v>
      </c>
      <c r="F2077" s="90" t="s">
        <v>6912</v>
      </c>
      <c r="G2077" t="s">
        <v>859</v>
      </c>
    </row>
    <row r="2078" spans="1:7" x14ac:dyDescent="0.25">
      <c r="A2078" s="114">
        <v>8111198280</v>
      </c>
      <c r="B2078" s="90" t="s">
        <v>6913</v>
      </c>
      <c r="C2078" s="90" t="s">
        <v>508</v>
      </c>
      <c r="D2078" s="90" t="s">
        <v>1577</v>
      </c>
      <c r="E2078" s="90" t="s">
        <v>634</v>
      </c>
      <c r="F2078" s="90" t="s">
        <v>6914</v>
      </c>
      <c r="G2078" t="s">
        <v>512</v>
      </c>
    </row>
    <row r="2079" spans="1:7" x14ac:dyDescent="0.25">
      <c r="A2079" s="114">
        <v>8111198290</v>
      </c>
      <c r="B2079" s="90" t="s">
        <v>6915</v>
      </c>
      <c r="C2079" s="90" t="s">
        <v>508</v>
      </c>
      <c r="D2079" s="90" t="s">
        <v>1577</v>
      </c>
      <c r="E2079" s="90" t="s">
        <v>634</v>
      </c>
      <c r="F2079" s="90" t="s">
        <v>6916</v>
      </c>
      <c r="G2079" t="s">
        <v>859</v>
      </c>
    </row>
    <row r="2080" spans="1:7" x14ac:dyDescent="0.25">
      <c r="A2080" s="114">
        <v>8111198300</v>
      </c>
      <c r="B2080" s="90" t="s">
        <v>6917</v>
      </c>
      <c r="C2080" s="90" t="s">
        <v>508</v>
      </c>
      <c r="D2080" s="90" t="s">
        <v>1577</v>
      </c>
      <c r="E2080" s="90" t="s">
        <v>634</v>
      </c>
      <c r="F2080" s="90" t="s">
        <v>6918</v>
      </c>
      <c r="G2080" t="s">
        <v>859</v>
      </c>
    </row>
    <row r="2081" spans="1:7" x14ac:dyDescent="0.25">
      <c r="A2081" s="114">
        <v>8111198310</v>
      </c>
      <c r="B2081" s="90" t="s">
        <v>6919</v>
      </c>
      <c r="C2081" s="90" t="s">
        <v>508</v>
      </c>
      <c r="D2081" s="90" t="s">
        <v>1577</v>
      </c>
      <c r="E2081" s="90" t="s">
        <v>634</v>
      </c>
      <c r="F2081" s="90" t="s">
        <v>6920</v>
      </c>
      <c r="G2081" t="s">
        <v>859</v>
      </c>
    </row>
    <row r="2082" spans="1:7" x14ac:dyDescent="0.25">
      <c r="A2082" s="114">
        <v>8111198320</v>
      </c>
      <c r="B2082" s="90" t="s">
        <v>6921</v>
      </c>
      <c r="C2082" s="90" t="s">
        <v>508</v>
      </c>
      <c r="D2082" s="90" t="s">
        <v>1577</v>
      </c>
      <c r="E2082" s="90" t="s">
        <v>634</v>
      </c>
      <c r="F2082" s="90" t="s">
        <v>6922</v>
      </c>
      <c r="G2082" t="s">
        <v>859</v>
      </c>
    </row>
    <row r="2083" spans="1:7" x14ac:dyDescent="0.25">
      <c r="A2083" s="114">
        <v>8111198340</v>
      </c>
      <c r="B2083" s="90" t="s">
        <v>6836</v>
      </c>
      <c r="C2083" s="90" t="s">
        <v>508</v>
      </c>
      <c r="D2083" s="90" t="s">
        <v>1577</v>
      </c>
      <c r="E2083" s="90" t="s">
        <v>634</v>
      </c>
      <c r="F2083" s="90" t="s">
        <v>6923</v>
      </c>
      <c r="G2083" t="s">
        <v>859</v>
      </c>
    </row>
    <row r="2084" spans="1:7" x14ac:dyDescent="0.25">
      <c r="A2084" s="114">
        <v>8111198350</v>
      </c>
      <c r="B2084" s="90" t="s">
        <v>6924</v>
      </c>
      <c r="C2084" s="90" t="s">
        <v>508</v>
      </c>
      <c r="D2084" s="90" t="s">
        <v>1577</v>
      </c>
      <c r="E2084" s="90" t="s">
        <v>634</v>
      </c>
      <c r="F2084" s="90" t="s">
        <v>6925</v>
      </c>
      <c r="G2084" t="s">
        <v>859</v>
      </c>
    </row>
    <row r="2085" spans="1:7" x14ac:dyDescent="0.25">
      <c r="A2085" s="114">
        <v>8111198360</v>
      </c>
      <c r="B2085" s="90" t="s">
        <v>6926</v>
      </c>
      <c r="C2085" s="90" t="s">
        <v>508</v>
      </c>
      <c r="D2085" s="90" t="s">
        <v>1577</v>
      </c>
      <c r="E2085" s="90" t="s">
        <v>634</v>
      </c>
      <c r="F2085" s="90" t="s">
        <v>6927</v>
      </c>
      <c r="G2085" t="s">
        <v>859</v>
      </c>
    </row>
    <row r="2086" spans="1:7" x14ac:dyDescent="0.25">
      <c r="A2086" s="114">
        <v>8111198370</v>
      </c>
      <c r="B2086" s="90" t="s">
        <v>6928</v>
      </c>
      <c r="C2086" s="90" t="s">
        <v>508</v>
      </c>
      <c r="D2086" s="90" t="s">
        <v>1577</v>
      </c>
      <c r="E2086" s="90" t="s">
        <v>634</v>
      </c>
      <c r="F2086" s="90" t="s">
        <v>6929</v>
      </c>
      <c r="G2086" t="s">
        <v>859</v>
      </c>
    </row>
    <row r="2087" spans="1:7" x14ac:dyDescent="0.25">
      <c r="A2087" s="114">
        <v>8111198380</v>
      </c>
      <c r="B2087" s="90" t="s">
        <v>6930</v>
      </c>
      <c r="C2087" s="90" t="s">
        <v>508</v>
      </c>
      <c r="D2087" s="90" t="s">
        <v>1577</v>
      </c>
      <c r="E2087" s="90" t="s">
        <v>634</v>
      </c>
      <c r="F2087" s="90" t="s">
        <v>6931</v>
      </c>
      <c r="G2087" t="s">
        <v>859</v>
      </c>
    </row>
    <row r="2088" spans="1:7" x14ac:dyDescent="0.25">
      <c r="A2088" s="114">
        <v>8111198390</v>
      </c>
      <c r="B2088" s="90" t="s">
        <v>6932</v>
      </c>
      <c r="C2088" s="90" t="s">
        <v>508</v>
      </c>
      <c r="D2088" s="90" t="s">
        <v>1577</v>
      </c>
      <c r="E2088" s="90" t="s">
        <v>634</v>
      </c>
      <c r="F2088" s="90" t="s">
        <v>6933</v>
      </c>
      <c r="G2088" t="s">
        <v>512</v>
      </c>
    </row>
    <row r="2089" spans="1:7" x14ac:dyDescent="0.25">
      <c r="A2089" s="114">
        <v>8111198400</v>
      </c>
      <c r="B2089" s="90" t="s">
        <v>6934</v>
      </c>
      <c r="C2089" s="90" t="s">
        <v>508</v>
      </c>
      <c r="D2089" s="90" t="s">
        <v>6595</v>
      </c>
      <c r="E2089" s="90" t="s">
        <v>539</v>
      </c>
      <c r="F2089" s="90" t="s">
        <v>6935</v>
      </c>
      <c r="G2089" t="s">
        <v>859</v>
      </c>
    </row>
    <row r="2090" spans="1:7" x14ac:dyDescent="0.25">
      <c r="A2090" s="114">
        <v>8111198410</v>
      </c>
      <c r="B2090" s="90" t="s">
        <v>6698</v>
      </c>
      <c r="C2090" s="90" t="s">
        <v>508</v>
      </c>
      <c r="D2090" s="90" t="s">
        <v>1577</v>
      </c>
      <c r="E2090" s="90" t="s">
        <v>634</v>
      </c>
      <c r="F2090" s="90" t="s">
        <v>6936</v>
      </c>
      <c r="G2090" t="s">
        <v>859</v>
      </c>
    </row>
    <row r="2091" spans="1:7" x14ac:dyDescent="0.25">
      <c r="A2091" s="114">
        <v>8111198420</v>
      </c>
      <c r="B2091" s="90" t="s">
        <v>6937</v>
      </c>
      <c r="C2091" s="90" t="s">
        <v>508</v>
      </c>
      <c r="D2091" s="90" t="s">
        <v>1577</v>
      </c>
      <c r="E2091" s="90" t="s">
        <v>634</v>
      </c>
      <c r="F2091" s="90" t="s">
        <v>6938</v>
      </c>
      <c r="G2091" t="s">
        <v>859</v>
      </c>
    </row>
    <row r="2092" spans="1:7" x14ac:dyDescent="0.25">
      <c r="A2092" s="114">
        <v>8111198430</v>
      </c>
      <c r="B2092" s="90" t="s">
        <v>6643</v>
      </c>
      <c r="C2092" s="90" t="s">
        <v>508</v>
      </c>
      <c r="D2092" s="90" t="s">
        <v>1577</v>
      </c>
      <c r="E2092" s="90" t="s">
        <v>634</v>
      </c>
      <c r="F2092" s="90" t="s">
        <v>6939</v>
      </c>
      <c r="G2092" t="s">
        <v>859</v>
      </c>
    </row>
    <row r="2093" spans="1:7" x14ac:dyDescent="0.25">
      <c r="A2093" s="114">
        <v>8111198440</v>
      </c>
      <c r="B2093" s="90" t="s">
        <v>6940</v>
      </c>
      <c r="C2093" s="90" t="s">
        <v>508</v>
      </c>
      <c r="D2093" s="90" t="s">
        <v>1577</v>
      </c>
      <c r="E2093" s="90" t="s">
        <v>634</v>
      </c>
      <c r="F2093" s="90" t="s">
        <v>6941</v>
      </c>
      <c r="G2093" t="s">
        <v>859</v>
      </c>
    </row>
    <row r="2094" spans="1:7" x14ac:dyDescent="0.25">
      <c r="A2094" s="114">
        <v>8111198450</v>
      </c>
      <c r="B2094" s="90" t="s">
        <v>6942</v>
      </c>
      <c r="C2094" s="90" t="s">
        <v>508</v>
      </c>
      <c r="D2094" s="90" t="s">
        <v>1577</v>
      </c>
      <c r="E2094" s="90" t="s">
        <v>634</v>
      </c>
      <c r="F2094" s="90" t="s">
        <v>6943</v>
      </c>
      <c r="G2094" t="s">
        <v>859</v>
      </c>
    </row>
    <row r="2095" spans="1:7" x14ac:dyDescent="0.25">
      <c r="A2095" s="114">
        <v>8111198470</v>
      </c>
      <c r="B2095" s="90" t="s">
        <v>6944</v>
      </c>
      <c r="C2095" s="90" t="s">
        <v>508</v>
      </c>
      <c r="D2095" s="90" t="s">
        <v>1577</v>
      </c>
      <c r="E2095" s="90" t="s">
        <v>634</v>
      </c>
      <c r="F2095" s="90" t="s">
        <v>6945</v>
      </c>
      <c r="G2095" t="s">
        <v>512</v>
      </c>
    </row>
    <row r="2096" spans="1:7" x14ac:dyDescent="0.25">
      <c r="A2096" s="114">
        <v>8111198500</v>
      </c>
      <c r="B2096" s="90" t="s">
        <v>6946</v>
      </c>
      <c r="C2096" s="90" t="s">
        <v>508</v>
      </c>
      <c r="D2096" s="90" t="s">
        <v>1577</v>
      </c>
      <c r="E2096" s="90" t="s">
        <v>634</v>
      </c>
      <c r="F2096" s="90" t="s">
        <v>6947</v>
      </c>
      <c r="G2096" t="s">
        <v>859</v>
      </c>
    </row>
    <row r="2097" spans="1:7" x14ac:dyDescent="0.25">
      <c r="A2097" s="114">
        <v>8111198510</v>
      </c>
      <c r="B2097" s="90" t="s">
        <v>6948</v>
      </c>
      <c r="C2097" s="90" t="s">
        <v>508</v>
      </c>
      <c r="D2097" s="90" t="s">
        <v>1577</v>
      </c>
      <c r="E2097" s="90" t="s">
        <v>634</v>
      </c>
      <c r="F2097" s="90" t="s">
        <v>6949</v>
      </c>
      <c r="G2097" t="s">
        <v>512</v>
      </c>
    </row>
    <row r="2098" spans="1:7" x14ac:dyDescent="0.25">
      <c r="A2098" s="114">
        <v>8111198520</v>
      </c>
      <c r="B2098" s="90" t="s">
        <v>6950</v>
      </c>
      <c r="C2098" s="90" t="s">
        <v>508</v>
      </c>
      <c r="D2098" s="90" t="s">
        <v>1577</v>
      </c>
      <c r="E2098" s="90" t="s">
        <v>634</v>
      </c>
      <c r="F2098" s="90" t="s">
        <v>6951</v>
      </c>
      <c r="G2098" t="s">
        <v>859</v>
      </c>
    </row>
    <row r="2099" spans="1:7" x14ac:dyDescent="0.25">
      <c r="A2099" s="114">
        <v>8111198530</v>
      </c>
      <c r="B2099" s="90" t="s">
        <v>6952</v>
      </c>
      <c r="C2099" s="90" t="s">
        <v>508</v>
      </c>
      <c r="D2099" s="90" t="s">
        <v>1577</v>
      </c>
      <c r="E2099" s="90" t="s">
        <v>634</v>
      </c>
      <c r="F2099" s="90" t="s">
        <v>6953</v>
      </c>
      <c r="G2099" t="s">
        <v>512</v>
      </c>
    </row>
    <row r="2100" spans="1:7" x14ac:dyDescent="0.25">
      <c r="A2100" s="114">
        <v>8111198540</v>
      </c>
      <c r="B2100" s="90" t="s">
        <v>6954</v>
      </c>
      <c r="C2100" s="90" t="s">
        <v>508</v>
      </c>
      <c r="D2100" s="90" t="s">
        <v>1577</v>
      </c>
      <c r="E2100" s="90" t="s">
        <v>634</v>
      </c>
      <c r="F2100" s="90" t="s">
        <v>6955</v>
      </c>
      <c r="G2100" t="s">
        <v>512</v>
      </c>
    </row>
    <row r="2101" spans="1:7" x14ac:dyDescent="0.25">
      <c r="A2101" s="114">
        <v>8111198550</v>
      </c>
      <c r="B2101" s="90" t="s">
        <v>6956</v>
      </c>
      <c r="C2101" s="90" t="s">
        <v>508</v>
      </c>
      <c r="D2101" s="90" t="s">
        <v>1577</v>
      </c>
      <c r="E2101" s="90" t="s">
        <v>634</v>
      </c>
      <c r="F2101" s="90" t="s">
        <v>6957</v>
      </c>
      <c r="G2101" t="s">
        <v>512</v>
      </c>
    </row>
    <row r="2102" spans="1:7" x14ac:dyDescent="0.25">
      <c r="A2102" s="114">
        <v>8111198570</v>
      </c>
      <c r="B2102" s="90" t="s">
        <v>6958</v>
      </c>
      <c r="C2102" s="90" t="s">
        <v>508</v>
      </c>
      <c r="D2102" s="90" t="s">
        <v>6595</v>
      </c>
      <c r="E2102" s="90" t="s">
        <v>539</v>
      </c>
      <c r="F2102" s="90" t="s">
        <v>6959</v>
      </c>
      <c r="G2102" t="s">
        <v>859</v>
      </c>
    </row>
    <row r="2103" spans="1:7" x14ac:dyDescent="0.25">
      <c r="A2103" s="114">
        <v>8111198590</v>
      </c>
      <c r="B2103" s="90" t="s">
        <v>6960</v>
      </c>
      <c r="C2103" s="90" t="s">
        <v>508</v>
      </c>
      <c r="D2103" s="90" t="s">
        <v>1577</v>
      </c>
      <c r="E2103" s="90" t="s">
        <v>634</v>
      </c>
      <c r="F2103" s="90" t="s">
        <v>6961</v>
      </c>
      <c r="G2103" t="s">
        <v>859</v>
      </c>
    </row>
    <row r="2104" spans="1:7" x14ac:dyDescent="0.25">
      <c r="A2104" s="114">
        <v>8111198600</v>
      </c>
      <c r="B2104" s="90" t="s">
        <v>6962</v>
      </c>
      <c r="C2104" s="90" t="s">
        <v>508</v>
      </c>
      <c r="D2104" s="90" t="s">
        <v>1577</v>
      </c>
      <c r="E2104" s="90" t="s">
        <v>634</v>
      </c>
      <c r="F2104" s="90" t="s">
        <v>6963</v>
      </c>
      <c r="G2104" t="s">
        <v>512</v>
      </c>
    </row>
    <row r="2105" spans="1:7" x14ac:dyDescent="0.25">
      <c r="A2105" s="114">
        <v>8111198610</v>
      </c>
      <c r="B2105" s="90" t="s">
        <v>6964</v>
      </c>
      <c r="C2105" s="90" t="s">
        <v>508</v>
      </c>
      <c r="D2105" s="90" t="s">
        <v>1577</v>
      </c>
      <c r="E2105" s="90" t="s">
        <v>634</v>
      </c>
      <c r="F2105" s="90" t="s">
        <v>6965</v>
      </c>
      <c r="G2105" t="s">
        <v>859</v>
      </c>
    </row>
    <row r="2106" spans="1:7" x14ac:dyDescent="0.25">
      <c r="A2106" s="114">
        <v>8111198620</v>
      </c>
      <c r="B2106" s="90" t="s">
        <v>6966</v>
      </c>
      <c r="C2106" s="90" t="s">
        <v>508</v>
      </c>
      <c r="D2106" s="90" t="s">
        <v>1577</v>
      </c>
      <c r="E2106" s="90" t="s">
        <v>634</v>
      </c>
      <c r="F2106" s="90" t="s">
        <v>6967</v>
      </c>
      <c r="G2106" t="s">
        <v>859</v>
      </c>
    </row>
    <row r="2107" spans="1:7" x14ac:dyDescent="0.25">
      <c r="A2107" s="114">
        <v>8111198630</v>
      </c>
      <c r="B2107" s="90" t="s">
        <v>6968</v>
      </c>
      <c r="C2107" s="90" t="s">
        <v>508</v>
      </c>
      <c r="D2107" s="90" t="s">
        <v>1577</v>
      </c>
      <c r="E2107" s="90" t="s">
        <v>634</v>
      </c>
      <c r="F2107" s="90" t="s">
        <v>6969</v>
      </c>
      <c r="G2107" t="s">
        <v>512</v>
      </c>
    </row>
    <row r="2108" spans="1:7" x14ac:dyDescent="0.25">
      <c r="A2108" s="114">
        <v>8111198640</v>
      </c>
      <c r="B2108" s="90" t="s">
        <v>6970</v>
      </c>
      <c r="C2108" s="90" t="s">
        <v>508</v>
      </c>
      <c r="D2108" s="90" t="s">
        <v>1577</v>
      </c>
      <c r="E2108" s="90" t="s">
        <v>634</v>
      </c>
      <c r="F2108" s="90" t="s">
        <v>6971</v>
      </c>
      <c r="G2108" t="s">
        <v>859</v>
      </c>
    </row>
    <row r="2109" spans="1:7" x14ac:dyDescent="0.25">
      <c r="A2109" s="114">
        <v>8111198650</v>
      </c>
      <c r="B2109" s="90" t="s">
        <v>6972</v>
      </c>
      <c r="C2109" s="90" t="s">
        <v>508</v>
      </c>
      <c r="D2109" s="90" t="s">
        <v>1577</v>
      </c>
      <c r="E2109" s="90" t="s">
        <v>634</v>
      </c>
      <c r="F2109" s="90" t="s">
        <v>6973</v>
      </c>
      <c r="G2109" t="s">
        <v>859</v>
      </c>
    </row>
    <row r="2110" spans="1:7" x14ac:dyDescent="0.25">
      <c r="A2110" s="114">
        <v>8111198670</v>
      </c>
      <c r="B2110" s="90" t="s">
        <v>6974</v>
      </c>
      <c r="C2110" s="90" t="s">
        <v>508</v>
      </c>
      <c r="D2110" s="90" t="s">
        <v>1577</v>
      </c>
      <c r="E2110" s="90" t="s">
        <v>634</v>
      </c>
      <c r="F2110" s="90" t="s">
        <v>6975</v>
      </c>
      <c r="G2110" t="s">
        <v>859</v>
      </c>
    </row>
    <row r="2111" spans="1:7" x14ac:dyDescent="0.25">
      <c r="A2111" s="114">
        <v>8111198880</v>
      </c>
      <c r="B2111" s="90" t="s">
        <v>6633</v>
      </c>
      <c r="C2111" s="90" t="s">
        <v>508</v>
      </c>
      <c r="D2111" s="90" t="s">
        <v>1577</v>
      </c>
      <c r="E2111" s="90" t="s">
        <v>634</v>
      </c>
      <c r="F2111" s="90" t="s">
        <v>6976</v>
      </c>
      <c r="G2111" t="s">
        <v>859</v>
      </c>
    </row>
    <row r="2112" spans="1:7" x14ac:dyDescent="0.25">
      <c r="A2112" s="114">
        <v>8111198890</v>
      </c>
      <c r="B2112" s="90" t="s">
        <v>6977</v>
      </c>
      <c r="C2112" s="90" t="s">
        <v>508</v>
      </c>
      <c r="D2112" s="90" t="s">
        <v>1577</v>
      </c>
      <c r="E2112" s="90" t="s">
        <v>634</v>
      </c>
      <c r="F2112" s="90" t="s">
        <v>6978</v>
      </c>
      <c r="G2112" t="s">
        <v>859</v>
      </c>
    </row>
    <row r="2113" spans="1:7" x14ac:dyDescent="0.25">
      <c r="A2113" s="114">
        <v>8111198900</v>
      </c>
      <c r="B2113" s="90" t="s">
        <v>6979</v>
      </c>
      <c r="C2113" s="90" t="s">
        <v>508</v>
      </c>
      <c r="D2113" s="90" t="s">
        <v>1577</v>
      </c>
      <c r="E2113" s="90" t="s">
        <v>634</v>
      </c>
      <c r="F2113" s="90" t="s">
        <v>6980</v>
      </c>
      <c r="G2113" t="s">
        <v>859</v>
      </c>
    </row>
    <row r="2114" spans="1:7" x14ac:dyDescent="0.25">
      <c r="A2114" s="114">
        <v>8111198910</v>
      </c>
      <c r="B2114" s="90" t="s">
        <v>6981</v>
      </c>
      <c r="C2114" s="90" t="s">
        <v>508</v>
      </c>
      <c r="D2114" s="90" t="s">
        <v>1577</v>
      </c>
      <c r="E2114" s="90" t="s">
        <v>634</v>
      </c>
      <c r="F2114" s="90" t="s">
        <v>6982</v>
      </c>
      <c r="G2114" t="s">
        <v>859</v>
      </c>
    </row>
    <row r="2115" spans="1:7" x14ac:dyDescent="0.25">
      <c r="A2115" s="114">
        <v>8111198920</v>
      </c>
      <c r="B2115" s="90" t="s">
        <v>6983</v>
      </c>
      <c r="C2115" s="90" t="s">
        <v>508</v>
      </c>
      <c r="D2115" s="90" t="s">
        <v>1577</v>
      </c>
      <c r="E2115" s="90" t="s">
        <v>634</v>
      </c>
      <c r="F2115" s="90" t="s">
        <v>6984</v>
      </c>
      <c r="G2115" t="s">
        <v>512</v>
      </c>
    </row>
    <row r="2116" spans="1:7" x14ac:dyDescent="0.25">
      <c r="A2116" s="114">
        <v>8111198930</v>
      </c>
      <c r="B2116" s="90" t="s">
        <v>6985</v>
      </c>
      <c r="C2116" s="90" t="s">
        <v>508</v>
      </c>
      <c r="D2116" s="90" t="s">
        <v>1577</v>
      </c>
      <c r="E2116" s="90" t="s">
        <v>634</v>
      </c>
      <c r="F2116" s="90" t="s">
        <v>6986</v>
      </c>
      <c r="G2116" t="s">
        <v>859</v>
      </c>
    </row>
    <row r="2117" spans="1:7" x14ac:dyDescent="0.25">
      <c r="A2117" s="114">
        <v>8111199100</v>
      </c>
      <c r="B2117" s="90" t="s">
        <v>6987</v>
      </c>
      <c r="C2117" s="90" t="s">
        <v>508</v>
      </c>
      <c r="D2117" s="90" t="s">
        <v>1577</v>
      </c>
      <c r="E2117" s="90" t="s">
        <v>634</v>
      </c>
      <c r="F2117" s="90" t="s">
        <v>6988</v>
      </c>
      <c r="G2117" t="s">
        <v>512</v>
      </c>
    </row>
    <row r="2118" spans="1:7" x14ac:dyDescent="0.25">
      <c r="A2118" s="114">
        <v>8111199120</v>
      </c>
      <c r="B2118" s="90" t="s">
        <v>6989</v>
      </c>
      <c r="C2118" s="90" t="s">
        <v>508</v>
      </c>
      <c r="D2118" s="90" t="s">
        <v>1577</v>
      </c>
      <c r="E2118" s="90" t="s">
        <v>634</v>
      </c>
      <c r="F2118" s="90" t="s">
        <v>6990</v>
      </c>
      <c r="G2118" t="s">
        <v>512</v>
      </c>
    </row>
    <row r="2119" spans="1:7" x14ac:dyDescent="0.25">
      <c r="A2119" s="114">
        <v>8111199130</v>
      </c>
      <c r="B2119" s="90" t="s">
        <v>6635</v>
      </c>
      <c r="C2119" s="90" t="s">
        <v>508</v>
      </c>
      <c r="D2119" s="90" t="s">
        <v>1577</v>
      </c>
      <c r="E2119" s="90" t="s">
        <v>634</v>
      </c>
      <c r="F2119" s="90" t="s">
        <v>6991</v>
      </c>
      <c r="G2119" t="s">
        <v>859</v>
      </c>
    </row>
    <row r="2120" spans="1:7" x14ac:dyDescent="0.25">
      <c r="A2120" s="114">
        <v>8111199140</v>
      </c>
      <c r="B2120" s="90" t="s">
        <v>6992</v>
      </c>
      <c r="C2120" s="90" t="s">
        <v>508</v>
      </c>
      <c r="D2120" s="90" t="s">
        <v>1577</v>
      </c>
      <c r="E2120" s="90" t="s">
        <v>634</v>
      </c>
      <c r="F2120" s="90" t="s">
        <v>6993</v>
      </c>
      <c r="G2120" t="s">
        <v>859</v>
      </c>
    </row>
    <row r="2121" spans="1:7" x14ac:dyDescent="0.25">
      <c r="A2121" s="114">
        <v>8111199150</v>
      </c>
      <c r="B2121" s="90" t="s">
        <v>6994</v>
      </c>
      <c r="C2121" s="90" t="s">
        <v>508</v>
      </c>
      <c r="D2121" s="90" t="s">
        <v>1577</v>
      </c>
      <c r="E2121" s="90" t="s">
        <v>634</v>
      </c>
      <c r="F2121" s="90" t="s">
        <v>6995</v>
      </c>
      <c r="G2121" t="s">
        <v>859</v>
      </c>
    </row>
    <row r="2122" spans="1:7" x14ac:dyDescent="0.25">
      <c r="A2122" s="114">
        <v>8111199160</v>
      </c>
      <c r="B2122" s="90" t="s">
        <v>6996</v>
      </c>
      <c r="C2122" s="90" t="s">
        <v>508</v>
      </c>
      <c r="D2122" s="90" t="s">
        <v>1577</v>
      </c>
      <c r="E2122" s="90" t="s">
        <v>634</v>
      </c>
      <c r="F2122" s="90" t="s">
        <v>6997</v>
      </c>
      <c r="G2122" t="s">
        <v>859</v>
      </c>
    </row>
    <row r="2123" spans="1:7" x14ac:dyDescent="0.25">
      <c r="A2123" s="114">
        <v>8111199210</v>
      </c>
      <c r="B2123" s="90" t="s">
        <v>6998</v>
      </c>
      <c r="C2123" s="90" t="s">
        <v>508</v>
      </c>
      <c r="D2123" s="90" t="s">
        <v>1577</v>
      </c>
      <c r="E2123" s="90" t="s">
        <v>634</v>
      </c>
      <c r="F2123" s="90" t="s">
        <v>6999</v>
      </c>
      <c r="G2123" t="s">
        <v>859</v>
      </c>
    </row>
    <row r="2124" spans="1:7" x14ac:dyDescent="0.25">
      <c r="A2124" s="114">
        <v>8111199240</v>
      </c>
      <c r="B2124" s="90" t="s">
        <v>6681</v>
      </c>
      <c r="C2124" s="90" t="s">
        <v>508</v>
      </c>
      <c r="D2124" s="90" t="s">
        <v>6595</v>
      </c>
      <c r="E2124" s="90" t="s">
        <v>4884</v>
      </c>
      <c r="F2124" s="90" t="s">
        <v>7000</v>
      </c>
      <c r="G2124" t="s">
        <v>859</v>
      </c>
    </row>
    <row r="2125" spans="1:7" x14ac:dyDescent="0.25">
      <c r="A2125" s="114">
        <v>8111199250</v>
      </c>
      <c r="B2125" s="90" t="s">
        <v>6683</v>
      </c>
      <c r="C2125" s="90" t="s">
        <v>508</v>
      </c>
      <c r="D2125" s="90" t="s">
        <v>7001</v>
      </c>
      <c r="E2125" s="90" t="s">
        <v>4884</v>
      </c>
      <c r="F2125" s="90" t="s">
        <v>6684</v>
      </c>
      <c r="G2125" t="s">
        <v>859</v>
      </c>
    </row>
    <row r="2126" spans="1:7" x14ac:dyDescent="0.25">
      <c r="A2126" s="114">
        <v>8111199500</v>
      </c>
      <c r="B2126" s="90" t="s">
        <v>6659</v>
      </c>
      <c r="C2126" s="90" t="s">
        <v>508</v>
      </c>
      <c r="D2126" s="90" t="s">
        <v>6595</v>
      </c>
      <c r="E2126" s="90" t="s">
        <v>539</v>
      </c>
      <c r="F2126" s="90" t="s">
        <v>7002</v>
      </c>
      <c r="G2126" t="s">
        <v>859</v>
      </c>
    </row>
    <row r="2127" spans="1:7" x14ac:dyDescent="0.25">
      <c r="A2127" s="114">
        <v>8111199510</v>
      </c>
      <c r="B2127" s="90" t="s">
        <v>7003</v>
      </c>
      <c r="C2127" s="90" t="s">
        <v>508</v>
      </c>
      <c r="D2127" s="90" t="s">
        <v>6595</v>
      </c>
      <c r="E2127" s="90" t="s">
        <v>539</v>
      </c>
      <c r="F2127" s="90" t="s">
        <v>7004</v>
      </c>
      <c r="G2127" t="s">
        <v>859</v>
      </c>
    </row>
    <row r="2128" spans="1:7" x14ac:dyDescent="0.25">
      <c r="A2128" s="114">
        <v>8111199520</v>
      </c>
      <c r="B2128" s="90" t="s">
        <v>7005</v>
      </c>
      <c r="C2128" s="90" t="s">
        <v>508</v>
      </c>
      <c r="D2128" s="90" t="s">
        <v>6595</v>
      </c>
      <c r="E2128" s="90" t="s">
        <v>539</v>
      </c>
      <c r="F2128" s="90" t="s">
        <v>7006</v>
      </c>
      <c r="G2128" t="s">
        <v>859</v>
      </c>
    </row>
    <row r="2129" spans="1:7" x14ac:dyDescent="0.25">
      <c r="A2129" s="114">
        <v>8111199530</v>
      </c>
      <c r="B2129" s="90" t="s">
        <v>7007</v>
      </c>
      <c r="C2129" s="90" t="s">
        <v>508</v>
      </c>
      <c r="D2129" s="90" t="s">
        <v>6595</v>
      </c>
      <c r="E2129" s="90" t="s">
        <v>539</v>
      </c>
      <c r="F2129" s="90" t="s">
        <v>7008</v>
      </c>
      <c r="G2129" t="s">
        <v>512</v>
      </c>
    </row>
    <row r="2130" spans="1:7" x14ac:dyDescent="0.25">
      <c r="A2130" s="114">
        <v>8111199540</v>
      </c>
      <c r="B2130" s="90" t="s">
        <v>5117</v>
      </c>
      <c r="C2130" s="90" t="s">
        <v>508</v>
      </c>
      <c r="D2130" s="90" t="s">
        <v>6595</v>
      </c>
      <c r="E2130" s="90" t="s">
        <v>539</v>
      </c>
      <c r="F2130" s="90" t="s">
        <v>7009</v>
      </c>
      <c r="G2130" t="s">
        <v>512</v>
      </c>
    </row>
    <row r="2131" spans="1:7" x14ac:dyDescent="0.25">
      <c r="A2131" s="114">
        <v>8111199550</v>
      </c>
      <c r="B2131" s="90" t="s">
        <v>7010</v>
      </c>
      <c r="C2131" s="90" t="s">
        <v>508</v>
      </c>
      <c r="D2131" s="90" t="s">
        <v>6595</v>
      </c>
      <c r="E2131" s="90" t="s">
        <v>539</v>
      </c>
      <c r="F2131" s="90" t="s">
        <v>7011</v>
      </c>
      <c r="G2131" t="s">
        <v>859</v>
      </c>
    </row>
    <row r="2132" spans="1:7" x14ac:dyDescent="0.25">
      <c r="A2132" s="114">
        <v>8111199560</v>
      </c>
      <c r="B2132" s="90" t="s">
        <v>7012</v>
      </c>
      <c r="C2132" s="90" t="s">
        <v>508</v>
      </c>
      <c r="D2132" s="90" t="s">
        <v>6595</v>
      </c>
      <c r="E2132" s="90" t="s">
        <v>539</v>
      </c>
      <c r="F2132" s="90" t="s">
        <v>7013</v>
      </c>
      <c r="G2132" t="s">
        <v>512</v>
      </c>
    </row>
    <row r="2133" spans="1:7" x14ac:dyDescent="0.25">
      <c r="A2133" s="114">
        <v>8111199570</v>
      </c>
      <c r="B2133" s="90" t="s">
        <v>7014</v>
      </c>
      <c r="C2133" s="90" t="s">
        <v>508</v>
      </c>
      <c r="D2133" s="90" t="s">
        <v>6595</v>
      </c>
      <c r="E2133" s="90" t="s">
        <v>539</v>
      </c>
      <c r="F2133" s="90" t="s">
        <v>7015</v>
      </c>
      <c r="G2133" t="s">
        <v>512</v>
      </c>
    </row>
    <row r="2134" spans="1:7" x14ac:dyDescent="0.25">
      <c r="A2134" s="114">
        <v>8111199580</v>
      </c>
      <c r="B2134" s="90" t="s">
        <v>7016</v>
      </c>
      <c r="C2134" s="90" t="s">
        <v>508</v>
      </c>
      <c r="D2134" s="90" t="s">
        <v>6595</v>
      </c>
      <c r="E2134" s="90" t="s">
        <v>539</v>
      </c>
      <c r="F2134" s="90" t="s">
        <v>7017</v>
      </c>
      <c r="G2134" t="s">
        <v>512</v>
      </c>
    </row>
    <row r="2135" spans="1:7" x14ac:dyDescent="0.25">
      <c r="A2135" s="114">
        <v>8111199590</v>
      </c>
      <c r="B2135" s="90" t="s">
        <v>7018</v>
      </c>
      <c r="C2135" s="90" t="s">
        <v>508</v>
      </c>
      <c r="D2135" s="90" t="s">
        <v>6595</v>
      </c>
      <c r="E2135" s="90" t="s">
        <v>539</v>
      </c>
      <c r="F2135" s="90" t="s">
        <v>7019</v>
      </c>
      <c r="G2135" t="s">
        <v>859</v>
      </c>
    </row>
    <row r="2136" spans="1:7" x14ac:dyDescent="0.25">
      <c r="A2136" s="114">
        <v>8111199600</v>
      </c>
      <c r="B2136" s="90" t="s">
        <v>6633</v>
      </c>
      <c r="C2136" s="90" t="s">
        <v>508</v>
      </c>
      <c r="D2136" s="90" t="s">
        <v>6595</v>
      </c>
      <c r="E2136" s="90" t="s">
        <v>539</v>
      </c>
      <c r="F2136" s="90" t="s">
        <v>7020</v>
      </c>
      <c r="G2136" t="s">
        <v>859</v>
      </c>
    </row>
    <row r="2137" spans="1:7" x14ac:dyDescent="0.25">
      <c r="A2137" s="114">
        <v>8111199610</v>
      </c>
      <c r="B2137" s="90" t="s">
        <v>7021</v>
      </c>
      <c r="C2137" s="90" t="s">
        <v>508</v>
      </c>
      <c r="D2137" s="90" t="s">
        <v>6595</v>
      </c>
      <c r="E2137" s="90" t="s">
        <v>539</v>
      </c>
      <c r="F2137" s="90" t="s">
        <v>7022</v>
      </c>
      <c r="G2137" t="s">
        <v>859</v>
      </c>
    </row>
    <row r="2138" spans="1:7" x14ac:dyDescent="0.25">
      <c r="A2138" s="114">
        <v>8111199620</v>
      </c>
      <c r="B2138" s="90" t="s">
        <v>7023</v>
      </c>
      <c r="C2138" s="90" t="s">
        <v>508</v>
      </c>
      <c r="D2138" s="90" t="s">
        <v>6595</v>
      </c>
      <c r="E2138" s="90" t="s">
        <v>539</v>
      </c>
      <c r="F2138" s="90" t="s">
        <v>7024</v>
      </c>
      <c r="G2138" t="s">
        <v>512</v>
      </c>
    </row>
    <row r="2139" spans="1:7" x14ac:dyDescent="0.25">
      <c r="A2139" s="114">
        <v>8111199630</v>
      </c>
      <c r="B2139" s="90" t="s">
        <v>7025</v>
      </c>
      <c r="C2139" s="90" t="s">
        <v>508</v>
      </c>
      <c r="D2139" s="90" t="s">
        <v>6595</v>
      </c>
      <c r="E2139" s="90" t="s">
        <v>539</v>
      </c>
      <c r="F2139" s="90" t="s">
        <v>7026</v>
      </c>
      <c r="G2139" t="s">
        <v>859</v>
      </c>
    </row>
    <row r="2140" spans="1:7" x14ac:dyDescent="0.25">
      <c r="A2140" s="114">
        <v>8111199640</v>
      </c>
      <c r="B2140" s="90" t="s">
        <v>6633</v>
      </c>
      <c r="C2140" s="90" t="s">
        <v>508</v>
      </c>
      <c r="D2140" s="90" t="s">
        <v>6595</v>
      </c>
      <c r="E2140" s="90" t="s">
        <v>539</v>
      </c>
      <c r="F2140" s="90" t="s">
        <v>7027</v>
      </c>
      <c r="G2140" t="s">
        <v>859</v>
      </c>
    </row>
    <row r="2141" spans="1:7" x14ac:dyDescent="0.25">
      <c r="A2141" s="114">
        <v>8111199650</v>
      </c>
      <c r="B2141" s="90" t="s">
        <v>7028</v>
      </c>
      <c r="C2141" s="90" t="s">
        <v>508</v>
      </c>
      <c r="D2141" s="90" t="s">
        <v>6595</v>
      </c>
      <c r="E2141" s="90" t="s">
        <v>539</v>
      </c>
      <c r="F2141" s="90" t="s">
        <v>7029</v>
      </c>
      <c r="G2141" t="s">
        <v>859</v>
      </c>
    </row>
    <row r="2142" spans="1:7" x14ac:dyDescent="0.25">
      <c r="A2142" s="114">
        <v>8111199660</v>
      </c>
      <c r="B2142" s="90" t="s">
        <v>7030</v>
      </c>
      <c r="C2142" s="90" t="s">
        <v>508</v>
      </c>
      <c r="D2142" s="90" t="s">
        <v>6595</v>
      </c>
      <c r="E2142" s="90" t="s">
        <v>539</v>
      </c>
      <c r="F2142" s="90" t="s">
        <v>7031</v>
      </c>
      <c r="G2142" t="s">
        <v>859</v>
      </c>
    </row>
    <row r="2143" spans="1:7" x14ac:dyDescent="0.25">
      <c r="A2143" s="114">
        <v>8111199670</v>
      </c>
      <c r="B2143" s="90" t="s">
        <v>7032</v>
      </c>
      <c r="C2143" s="90" t="s">
        <v>508</v>
      </c>
      <c r="D2143" s="90" t="s">
        <v>6595</v>
      </c>
      <c r="E2143" s="90" t="s">
        <v>539</v>
      </c>
      <c r="F2143" s="90" t="s">
        <v>7033</v>
      </c>
      <c r="G2143" t="s">
        <v>859</v>
      </c>
    </row>
    <row r="2144" spans="1:7" x14ac:dyDescent="0.25">
      <c r="A2144" s="114">
        <v>8111199680</v>
      </c>
      <c r="B2144" s="90" t="s">
        <v>7034</v>
      </c>
      <c r="C2144" s="90" t="s">
        <v>508</v>
      </c>
      <c r="D2144" s="90" t="s">
        <v>6595</v>
      </c>
      <c r="E2144" s="90" t="s">
        <v>539</v>
      </c>
      <c r="F2144" s="90" t="s">
        <v>7035</v>
      </c>
      <c r="G2144" t="s">
        <v>859</v>
      </c>
    </row>
    <row r="2145" spans="1:7" x14ac:dyDescent="0.25">
      <c r="A2145" s="114">
        <v>8111199690</v>
      </c>
      <c r="B2145" s="90" t="s">
        <v>7036</v>
      </c>
      <c r="C2145" s="90" t="s">
        <v>508</v>
      </c>
      <c r="D2145" s="90" t="s">
        <v>6595</v>
      </c>
      <c r="E2145" s="90" t="s">
        <v>539</v>
      </c>
      <c r="F2145" s="90" t="s">
        <v>7037</v>
      </c>
      <c r="G2145" t="s">
        <v>859</v>
      </c>
    </row>
    <row r="2146" spans="1:7" x14ac:dyDescent="0.25">
      <c r="A2146" s="114">
        <v>8111199700</v>
      </c>
      <c r="B2146" s="90" t="s">
        <v>7038</v>
      </c>
      <c r="C2146" s="90" t="s">
        <v>508</v>
      </c>
      <c r="D2146" s="90" t="s">
        <v>6595</v>
      </c>
      <c r="E2146" s="90" t="s">
        <v>4884</v>
      </c>
      <c r="F2146" s="90" t="s">
        <v>7039</v>
      </c>
      <c r="G2146" t="s">
        <v>859</v>
      </c>
    </row>
    <row r="2147" spans="1:7" x14ac:dyDescent="0.25">
      <c r="A2147" s="114">
        <v>8111199710</v>
      </c>
      <c r="B2147" s="90" t="s">
        <v>7040</v>
      </c>
      <c r="C2147" s="90" t="s">
        <v>508</v>
      </c>
      <c r="D2147" s="90" t="s">
        <v>6595</v>
      </c>
      <c r="E2147" s="90" t="s">
        <v>539</v>
      </c>
      <c r="F2147" s="90" t="s">
        <v>7041</v>
      </c>
      <c r="G2147" t="s">
        <v>512</v>
      </c>
    </row>
    <row r="2148" spans="1:7" x14ac:dyDescent="0.25">
      <c r="A2148" s="114">
        <v>8111199720</v>
      </c>
      <c r="B2148" s="90" t="s">
        <v>7042</v>
      </c>
      <c r="C2148" s="90" t="s">
        <v>508</v>
      </c>
      <c r="D2148" s="90" t="s">
        <v>6595</v>
      </c>
      <c r="E2148" s="90" t="s">
        <v>539</v>
      </c>
      <c r="F2148" s="90" t="s">
        <v>7043</v>
      </c>
      <c r="G2148" t="s">
        <v>512</v>
      </c>
    </row>
    <row r="2149" spans="1:7" x14ac:dyDescent="0.25">
      <c r="A2149" s="114">
        <v>8111199730</v>
      </c>
      <c r="B2149" s="90" t="s">
        <v>7044</v>
      </c>
      <c r="C2149" s="90" t="s">
        <v>508</v>
      </c>
      <c r="D2149" s="90" t="s">
        <v>6595</v>
      </c>
      <c r="E2149" s="90" t="s">
        <v>539</v>
      </c>
      <c r="F2149" s="90" t="s">
        <v>7045</v>
      </c>
      <c r="G2149" t="s">
        <v>859</v>
      </c>
    </row>
    <row r="2150" spans="1:7" x14ac:dyDescent="0.25">
      <c r="A2150" s="114">
        <v>8111199750</v>
      </c>
      <c r="B2150" s="90" t="s">
        <v>7046</v>
      </c>
      <c r="C2150" s="90" t="s">
        <v>508</v>
      </c>
      <c r="D2150" s="90" t="s">
        <v>6595</v>
      </c>
      <c r="E2150" s="90" t="s">
        <v>539</v>
      </c>
      <c r="F2150" s="90" t="s">
        <v>7047</v>
      </c>
      <c r="G2150" t="s">
        <v>512</v>
      </c>
    </row>
    <row r="2151" spans="1:7" x14ac:dyDescent="0.25">
      <c r="A2151" s="114">
        <v>8111199760</v>
      </c>
      <c r="B2151" s="90" t="s">
        <v>7048</v>
      </c>
      <c r="C2151" s="90" t="s">
        <v>508</v>
      </c>
      <c r="D2151" s="90" t="s">
        <v>6595</v>
      </c>
      <c r="E2151" s="90" t="s">
        <v>539</v>
      </c>
      <c r="F2151" s="90" t="s">
        <v>7049</v>
      </c>
      <c r="G2151" t="s">
        <v>512</v>
      </c>
    </row>
    <row r="2152" spans="1:7" x14ac:dyDescent="0.25">
      <c r="A2152" s="114">
        <v>8111199780</v>
      </c>
      <c r="B2152" s="90" t="s">
        <v>7050</v>
      </c>
      <c r="C2152" s="90" t="s">
        <v>508</v>
      </c>
      <c r="D2152" s="90" t="s">
        <v>6595</v>
      </c>
      <c r="E2152" s="90" t="s">
        <v>7051</v>
      </c>
      <c r="F2152" s="90" t="s">
        <v>7052</v>
      </c>
      <c r="G2152" t="s">
        <v>859</v>
      </c>
    </row>
    <row r="2153" spans="1:7" x14ac:dyDescent="0.25">
      <c r="A2153" s="114">
        <v>8111199790</v>
      </c>
      <c r="B2153" s="90" t="s">
        <v>6700</v>
      </c>
      <c r="C2153" s="90" t="s">
        <v>508</v>
      </c>
      <c r="D2153" s="90" t="s">
        <v>6595</v>
      </c>
      <c r="E2153" s="90" t="s">
        <v>539</v>
      </c>
      <c r="F2153" s="90" t="s">
        <v>7053</v>
      </c>
      <c r="G2153" t="s">
        <v>859</v>
      </c>
    </row>
    <row r="2154" spans="1:7" x14ac:dyDescent="0.25">
      <c r="A2154" s="114">
        <v>8111200200</v>
      </c>
      <c r="B2154" s="90" t="s">
        <v>809</v>
      </c>
      <c r="C2154" s="90" t="s">
        <v>508</v>
      </c>
      <c r="D2154" s="90" t="s">
        <v>6595</v>
      </c>
      <c r="E2154" s="90" t="s">
        <v>539</v>
      </c>
      <c r="F2154" s="90" t="s">
        <v>7054</v>
      </c>
      <c r="G2154" t="s">
        <v>512</v>
      </c>
    </row>
    <row r="2155" spans="1:7" x14ac:dyDescent="0.25">
      <c r="A2155" s="114">
        <v>8111200210</v>
      </c>
      <c r="B2155" s="90" t="s">
        <v>7055</v>
      </c>
      <c r="C2155" s="90" t="s">
        <v>508</v>
      </c>
      <c r="D2155" s="90" t="s">
        <v>6595</v>
      </c>
      <c r="E2155" s="90" t="s">
        <v>4884</v>
      </c>
      <c r="F2155" s="90" t="s">
        <v>7056</v>
      </c>
      <c r="G2155" t="s">
        <v>859</v>
      </c>
    </row>
    <row r="2156" spans="1:7" x14ac:dyDescent="0.25">
      <c r="A2156" s="114">
        <v>8111200220</v>
      </c>
      <c r="B2156" s="90" t="s">
        <v>6605</v>
      </c>
      <c r="C2156" s="90" t="s">
        <v>508</v>
      </c>
      <c r="D2156" s="90" t="s">
        <v>6595</v>
      </c>
      <c r="E2156" s="90" t="s">
        <v>4884</v>
      </c>
      <c r="F2156" s="90" t="s">
        <v>6606</v>
      </c>
      <c r="G2156" t="s">
        <v>859</v>
      </c>
    </row>
    <row r="2157" spans="1:7" x14ac:dyDescent="0.25">
      <c r="A2157" s="114">
        <v>8111200230</v>
      </c>
      <c r="B2157" s="90" t="s">
        <v>7057</v>
      </c>
      <c r="C2157" s="90" t="s">
        <v>508</v>
      </c>
      <c r="D2157" s="90" t="s">
        <v>6595</v>
      </c>
      <c r="E2157" s="90" t="s">
        <v>539</v>
      </c>
      <c r="F2157" s="90" t="s">
        <v>7058</v>
      </c>
      <c r="G2157" t="s">
        <v>512</v>
      </c>
    </row>
    <row r="2158" spans="1:7" x14ac:dyDescent="0.25">
      <c r="A2158" s="114">
        <v>8111200240</v>
      </c>
      <c r="B2158" s="90" t="s">
        <v>7059</v>
      </c>
      <c r="C2158" s="90" t="s">
        <v>508</v>
      </c>
      <c r="D2158" s="90" t="s">
        <v>6595</v>
      </c>
      <c r="E2158" s="90" t="s">
        <v>4884</v>
      </c>
      <c r="F2158" s="90" t="s">
        <v>7060</v>
      </c>
      <c r="G2158" t="s">
        <v>859</v>
      </c>
    </row>
    <row r="2159" spans="1:7" x14ac:dyDescent="0.25">
      <c r="A2159" s="114">
        <v>8111200250</v>
      </c>
      <c r="B2159" s="90" t="s">
        <v>7061</v>
      </c>
      <c r="C2159" s="90" t="s">
        <v>508</v>
      </c>
      <c r="D2159" s="90" t="s">
        <v>6595</v>
      </c>
      <c r="E2159" s="90" t="s">
        <v>539</v>
      </c>
      <c r="F2159" s="90" t="s">
        <v>7062</v>
      </c>
      <c r="G2159" t="s">
        <v>859</v>
      </c>
    </row>
    <row r="2160" spans="1:7" x14ac:dyDescent="0.25">
      <c r="A2160" s="114">
        <v>8111200260</v>
      </c>
      <c r="B2160" s="90" t="s">
        <v>7063</v>
      </c>
      <c r="C2160" s="90" t="s">
        <v>508</v>
      </c>
      <c r="D2160" s="90" t="s">
        <v>6595</v>
      </c>
      <c r="E2160" s="90" t="s">
        <v>4884</v>
      </c>
      <c r="F2160" s="90" t="s">
        <v>7064</v>
      </c>
      <c r="G2160" t="s">
        <v>859</v>
      </c>
    </row>
    <row r="2161" spans="1:7" x14ac:dyDescent="0.25">
      <c r="A2161" s="114">
        <v>8111200270</v>
      </c>
      <c r="B2161" s="90" t="s">
        <v>7065</v>
      </c>
      <c r="C2161" s="90" t="s">
        <v>508</v>
      </c>
      <c r="D2161" s="90" t="s">
        <v>6595</v>
      </c>
      <c r="E2161" s="90" t="s">
        <v>4884</v>
      </c>
      <c r="F2161" s="90" t="s">
        <v>7066</v>
      </c>
      <c r="G2161" t="s">
        <v>512</v>
      </c>
    </row>
    <row r="2162" spans="1:7" x14ac:dyDescent="0.25">
      <c r="A2162" s="114">
        <v>8111200280</v>
      </c>
      <c r="B2162" s="90" t="s">
        <v>7067</v>
      </c>
      <c r="C2162" s="90" t="s">
        <v>508</v>
      </c>
      <c r="D2162" s="90" t="s">
        <v>6595</v>
      </c>
      <c r="E2162" s="90" t="s">
        <v>539</v>
      </c>
      <c r="F2162" s="90" t="s">
        <v>7068</v>
      </c>
      <c r="G2162" t="s">
        <v>512</v>
      </c>
    </row>
    <row r="2163" spans="1:7" x14ac:dyDescent="0.25">
      <c r="A2163" s="114">
        <v>8111200300</v>
      </c>
      <c r="B2163" s="90" t="s">
        <v>7069</v>
      </c>
      <c r="C2163" s="90" t="s">
        <v>508</v>
      </c>
      <c r="D2163" s="90" t="s">
        <v>7070</v>
      </c>
      <c r="E2163" s="90" t="s">
        <v>539</v>
      </c>
      <c r="F2163" s="90" t="s">
        <v>7071</v>
      </c>
      <c r="G2163" t="s">
        <v>859</v>
      </c>
    </row>
    <row r="2164" spans="1:7" x14ac:dyDescent="0.25">
      <c r="A2164" s="114">
        <v>8111200310</v>
      </c>
      <c r="B2164" s="90" t="s">
        <v>7072</v>
      </c>
      <c r="C2164" s="90" t="s">
        <v>508</v>
      </c>
      <c r="D2164" s="90" t="s">
        <v>6595</v>
      </c>
      <c r="E2164" s="90" t="s">
        <v>539</v>
      </c>
      <c r="F2164" s="90" t="s">
        <v>7073</v>
      </c>
      <c r="G2164" t="s">
        <v>512</v>
      </c>
    </row>
    <row r="2165" spans="1:7" x14ac:dyDescent="0.25">
      <c r="A2165" s="114">
        <v>8111200320</v>
      </c>
      <c r="B2165" s="90" t="s">
        <v>7074</v>
      </c>
      <c r="C2165" s="90" t="s">
        <v>508</v>
      </c>
      <c r="D2165" s="90" t="s">
        <v>6595</v>
      </c>
      <c r="E2165" s="90" t="s">
        <v>539</v>
      </c>
      <c r="F2165" s="90" t="s">
        <v>7075</v>
      </c>
      <c r="G2165" t="s">
        <v>859</v>
      </c>
    </row>
    <row r="2166" spans="1:7" x14ac:dyDescent="0.25">
      <c r="A2166" s="114">
        <v>8111200330</v>
      </c>
      <c r="B2166" s="90" t="s">
        <v>7076</v>
      </c>
      <c r="C2166" s="90" t="s">
        <v>508</v>
      </c>
      <c r="D2166" s="90" t="s">
        <v>6595</v>
      </c>
      <c r="E2166" s="90" t="s">
        <v>4884</v>
      </c>
      <c r="F2166" s="90" t="s">
        <v>7077</v>
      </c>
      <c r="G2166" t="s">
        <v>512</v>
      </c>
    </row>
    <row r="2167" spans="1:7" x14ac:dyDescent="0.25">
      <c r="A2167" s="114">
        <v>8111200350</v>
      </c>
      <c r="B2167" s="90" t="s">
        <v>7078</v>
      </c>
      <c r="C2167" s="90" t="s">
        <v>508</v>
      </c>
      <c r="D2167" s="90" t="s">
        <v>6595</v>
      </c>
      <c r="E2167" s="90" t="s">
        <v>4884</v>
      </c>
      <c r="F2167" s="90" t="s">
        <v>7079</v>
      </c>
      <c r="G2167" t="s">
        <v>859</v>
      </c>
    </row>
    <row r="2168" spans="1:7" x14ac:dyDescent="0.25">
      <c r="A2168" s="114">
        <v>8111200360</v>
      </c>
      <c r="B2168" s="90" t="s">
        <v>7080</v>
      </c>
      <c r="C2168" s="90" t="s">
        <v>508</v>
      </c>
      <c r="D2168" s="90" t="s">
        <v>6595</v>
      </c>
      <c r="E2168" s="90" t="s">
        <v>539</v>
      </c>
      <c r="F2168" s="90" t="s">
        <v>7081</v>
      </c>
      <c r="G2168" t="s">
        <v>512</v>
      </c>
    </row>
    <row r="2169" spans="1:7" x14ac:dyDescent="0.25">
      <c r="A2169" s="114">
        <v>8111200380</v>
      </c>
      <c r="B2169" s="90" t="s">
        <v>7082</v>
      </c>
      <c r="C2169" s="90" t="s">
        <v>508</v>
      </c>
      <c r="D2169" s="90" t="s">
        <v>6595</v>
      </c>
      <c r="E2169" s="90" t="s">
        <v>539</v>
      </c>
      <c r="F2169" s="90" t="s">
        <v>7083</v>
      </c>
      <c r="G2169" t="s">
        <v>859</v>
      </c>
    </row>
    <row r="2170" spans="1:7" x14ac:dyDescent="0.25">
      <c r="A2170" s="114">
        <v>8111200390</v>
      </c>
      <c r="B2170" s="90" t="s">
        <v>7084</v>
      </c>
      <c r="C2170" s="90" t="s">
        <v>508</v>
      </c>
      <c r="D2170" s="90" t="s">
        <v>6595</v>
      </c>
      <c r="E2170" s="90" t="s">
        <v>4884</v>
      </c>
      <c r="F2170" s="90" t="s">
        <v>7085</v>
      </c>
      <c r="G2170" t="s">
        <v>859</v>
      </c>
    </row>
    <row r="2171" spans="1:7" x14ac:dyDescent="0.25">
      <c r="A2171" s="114">
        <v>8111200400</v>
      </c>
      <c r="B2171" s="90" t="s">
        <v>7086</v>
      </c>
      <c r="C2171" s="90" t="s">
        <v>508</v>
      </c>
      <c r="D2171" s="90" t="s">
        <v>6595</v>
      </c>
      <c r="E2171" s="90" t="s">
        <v>539</v>
      </c>
      <c r="F2171" s="90" t="s">
        <v>7087</v>
      </c>
      <c r="G2171" t="s">
        <v>859</v>
      </c>
    </row>
    <row r="2172" spans="1:7" x14ac:dyDescent="0.25">
      <c r="A2172" s="114">
        <v>8111200410</v>
      </c>
      <c r="B2172" s="90" t="s">
        <v>7088</v>
      </c>
      <c r="C2172" s="90" t="s">
        <v>508</v>
      </c>
      <c r="D2172" s="90" t="s">
        <v>6595</v>
      </c>
      <c r="E2172" s="90" t="s">
        <v>539</v>
      </c>
      <c r="F2172" s="90" t="s">
        <v>7089</v>
      </c>
      <c r="G2172" t="s">
        <v>859</v>
      </c>
    </row>
    <row r="2173" spans="1:7" x14ac:dyDescent="0.25">
      <c r="A2173" s="114">
        <v>8111200430</v>
      </c>
      <c r="B2173" s="90" t="s">
        <v>7090</v>
      </c>
      <c r="C2173" s="90" t="s">
        <v>508</v>
      </c>
      <c r="D2173" s="90" t="s">
        <v>6595</v>
      </c>
      <c r="E2173" s="90" t="s">
        <v>539</v>
      </c>
      <c r="F2173" s="90" t="s">
        <v>7091</v>
      </c>
      <c r="G2173" t="s">
        <v>859</v>
      </c>
    </row>
    <row r="2174" spans="1:7" x14ac:dyDescent="0.25">
      <c r="A2174" s="114">
        <v>8111200440</v>
      </c>
      <c r="B2174" s="90" t="s">
        <v>7092</v>
      </c>
      <c r="C2174" s="90" t="s">
        <v>508</v>
      </c>
      <c r="D2174" s="90" t="s">
        <v>6595</v>
      </c>
      <c r="E2174" s="90" t="s">
        <v>539</v>
      </c>
      <c r="F2174" s="90" t="s">
        <v>7093</v>
      </c>
      <c r="G2174" t="s">
        <v>512</v>
      </c>
    </row>
    <row r="2175" spans="1:7" x14ac:dyDescent="0.25">
      <c r="A2175" s="114">
        <v>8111200450</v>
      </c>
      <c r="B2175" s="90" t="s">
        <v>7094</v>
      </c>
      <c r="C2175" s="90" t="s">
        <v>508</v>
      </c>
      <c r="D2175" s="90" t="s">
        <v>6595</v>
      </c>
      <c r="E2175" s="90" t="s">
        <v>539</v>
      </c>
      <c r="F2175" s="90" t="s">
        <v>7095</v>
      </c>
      <c r="G2175" t="s">
        <v>859</v>
      </c>
    </row>
    <row r="2176" spans="1:7" x14ac:dyDescent="0.25">
      <c r="A2176" s="114">
        <v>8111200470</v>
      </c>
      <c r="B2176" s="90" t="s">
        <v>7096</v>
      </c>
      <c r="C2176" s="90" t="s">
        <v>508</v>
      </c>
      <c r="D2176" s="90" t="s">
        <v>6595</v>
      </c>
      <c r="E2176" s="90" t="s">
        <v>539</v>
      </c>
      <c r="F2176" s="90" t="s">
        <v>7097</v>
      </c>
      <c r="G2176" t="s">
        <v>512</v>
      </c>
    </row>
    <row r="2177" spans="1:7" x14ac:dyDescent="0.25">
      <c r="A2177" s="114">
        <v>8111200480</v>
      </c>
      <c r="B2177" s="90" t="s">
        <v>7098</v>
      </c>
      <c r="C2177" s="90" t="s">
        <v>508</v>
      </c>
      <c r="D2177" s="90" t="s">
        <v>6595</v>
      </c>
      <c r="E2177" s="90" t="s">
        <v>539</v>
      </c>
      <c r="F2177" s="90" t="s">
        <v>7099</v>
      </c>
      <c r="G2177" t="s">
        <v>859</v>
      </c>
    </row>
    <row r="2178" spans="1:7" x14ac:dyDescent="0.25">
      <c r="A2178" s="114">
        <v>8111200490</v>
      </c>
      <c r="B2178" s="90" t="s">
        <v>7100</v>
      </c>
      <c r="C2178" s="90" t="s">
        <v>508</v>
      </c>
      <c r="D2178" s="90" t="s">
        <v>6595</v>
      </c>
      <c r="E2178" s="90" t="s">
        <v>539</v>
      </c>
      <c r="F2178" s="90" t="s">
        <v>7101</v>
      </c>
      <c r="G2178" t="s">
        <v>512</v>
      </c>
    </row>
    <row r="2179" spans="1:7" x14ac:dyDescent="0.25">
      <c r="A2179" s="114">
        <v>8111200520</v>
      </c>
      <c r="B2179" s="90" t="s">
        <v>7102</v>
      </c>
      <c r="C2179" s="90" t="s">
        <v>508</v>
      </c>
      <c r="D2179" s="90" t="s">
        <v>6595</v>
      </c>
      <c r="E2179" s="90" t="s">
        <v>539</v>
      </c>
      <c r="F2179" s="90" t="s">
        <v>7103</v>
      </c>
      <c r="G2179" t="s">
        <v>859</v>
      </c>
    </row>
    <row r="2180" spans="1:7" x14ac:dyDescent="0.25">
      <c r="A2180" s="114">
        <v>8111200530</v>
      </c>
      <c r="B2180" s="90" t="s">
        <v>7104</v>
      </c>
      <c r="C2180" s="90" t="s">
        <v>508</v>
      </c>
      <c r="D2180" s="90" t="s">
        <v>6595</v>
      </c>
      <c r="E2180" s="90" t="s">
        <v>539</v>
      </c>
      <c r="F2180" s="90" t="s">
        <v>7105</v>
      </c>
      <c r="G2180" t="s">
        <v>859</v>
      </c>
    </row>
    <row r="2181" spans="1:7" x14ac:dyDescent="0.25">
      <c r="A2181" s="114">
        <v>8111200540</v>
      </c>
      <c r="B2181" s="90" t="s">
        <v>6834</v>
      </c>
      <c r="C2181" s="90" t="s">
        <v>508</v>
      </c>
      <c r="D2181" s="90" t="s">
        <v>6595</v>
      </c>
      <c r="E2181" s="90" t="s">
        <v>539</v>
      </c>
      <c r="F2181" s="90" t="s">
        <v>7106</v>
      </c>
      <c r="G2181" t="s">
        <v>859</v>
      </c>
    </row>
    <row r="2182" spans="1:7" x14ac:dyDescent="0.25">
      <c r="A2182" s="114">
        <v>8111200550</v>
      </c>
      <c r="B2182" s="90" t="s">
        <v>7107</v>
      </c>
      <c r="C2182" s="90" t="s">
        <v>508</v>
      </c>
      <c r="D2182" s="90" t="s">
        <v>6595</v>
      </c>
      <c r="E2182" s="90" t="s">
        <v>539</v>
      </c>
      <c r="F2182" s="90" t="s">
        <v>7108</v>
      </c>
      <c r="G2182" t="s">
        <v>859</v>
      </c>
    </row>
    <row r="2183" spans="1:7" x14ac:dyDescent="0.25">
      <c r="A2183" s="114">
        <v>8111200560</v>
      </c>
      <c r="B2183" s="90" t="s">
        <v>7109</v>
      </c>
      <c r="C2183" s="90" t="s">
        <v>508</v>
      </c>
      <c r="D2183" s="90" t="s">
        <v>6595</v>
      </c>
      <c r="E2183" s="90" t="s">
        <v>539</v>
      </c>
      <c r="F2183" s="90" t="s">
        <v>7110</v>
      </c>
      <c r="G2183" t="s">
        <v>859</v>
      </c>
    </row>
    <row r="2184" spans="1:7" x14ac:dyDescent="0.25">
      <c r="A2184" s="114">
        <v>8111200570</v>
      </c>
      <c r="B2184" s="90" t="s">
        <v>7111</v>
      </c>
      <c r="C2184" s="90" t="s">
        <v>508</v>
      </c>
      <c r="D2184" s="90" t="s">
        <v>6595</v>
      </c>
      <c r="E2184" s="90" t="s">
        <v>539</v>
      </c>
      <c r="F2184" s="90" t="s">
        <v>7112</v>
      </c>
      <c r="G2184" t="s">
        <v>859</v>
      </c>
    </row>
    <row r="2185" spans="1:7" x14ac:dyDescent="0.25">
      <c r="A2185" s="114">
        <v>8111200580</v>
      </c>
      <c r="B2185" s="90" t="s">
        <v>7113</v>
      </c>
      <c r="C2185" s="90" t="s">
        <v>508</v>
      </c>
      <c r="D2185" s="90" t="s">
        <v>6595</v>
      </c>
      <c r="E2185" s="90" t="s">
        <v>539</v>
      </c>
      <c r="F2185" s="90" t="s">
        <v>7114</v>
      </c>
      <c r="G2185" t="s">
        <v>512</v>
      </c>
    </row>
    <row r="2186" spans="1:7" x14ac:dyDescent="0.25">
      <c r="A2186" s="114">
        <v>8111200590</v>
      </c>
      <c r="B2186" s="90" t="s">
        <v>7115</v>
      </c>
      <c r="C2186" s="90" t="s">
        <v>508</v>
      </c>
      <c r="D2186" s="90" t="s">
        <v>6595</v>
      </c>
      <c r="E2186" s="90" t="s">
        <v>539</v>
      </c>
      <c r="F2186" s="90" t="s">
        <v>7116</v>
      </c>
      <c r="G2186" t="s">
        <v>859</v>
      </c>
    </row>
    <row r="2187" spans="1:7" x14ac:dyDescent="0.25">
      <c r="A2187" s="114">
        <v>8111200600</v>
      </c>
      <c r="B2187" s="90" t="s">
        <v>7117</v>
      </c>
      <c r="C2187" s="90" t="s">
        <v>508</v>
      </c>
      <c r="D2187" s="90" t="s">
        <v>6595</v>
      </c>
      <c r="E2187" s="90" t="s">
        <v>539</v>
      </c>
      <c r="F2187" s="90" t="s">
        <v>7118</v>
      </c>
      <c r="G2187" t="s">
        <v>859</v>
      </c>
    </row>
    <row r="2188" spans="1:7" x14ac:dyDescent="0.25">
      <c r="A2188" s="114">
        <v>8111200610</v>
      </c>
      <c r="B2188" s="90" t="s">
        <v>7119</v>
      </c>
      <c r="C2188" s="90" t="s">
        <v>508</v>
      </c>
      <c r="D2188" s="90" t="s">
        <v>6595</v>
      </c>
      <c r="E2188" s="90" t="s">
        <v>539</v>
      </c>
      <c r="F2188" s="90" t="s">
        <v>7120</v>
      </c>
      <c r="G2188" t="s">
        <v>512</v>
      </c>
    </row>
    <row r="2189" spans="1:7" x14ac:dyDescent="0.25">
      <c r="A2189" s="114">
        <v>8111200630</v>
      </c>
      <c r="B2189" s="90" t="s">
        <v>7121</v>
      </c>
      <c r="C2189" s="90" t="s">
        <v>508</v>
      </c>
      <c r="D2189" s="90" t="s">
        <v>6595</v>
      </c>
      <c r="E2189" s="90" t="s">
        <v>539</v>
      </c>
      <c r="F2189" s="90" t="s">
        <v>7122</v>
      </c>
      <c r="G2189" t="s">
        <v>859</v>
      </c>
    </row>
    <row r="2190" spans="1:7" x14ac:dyDescent="0.25">
      <c r="A2190" s="114">
        <v>8111200650</v>
      </c>
      <c r="B2190" s="90" t="s">
        <v>7123</v>
      </c>
      <c r="C2190" s="90" t="s">
        <v>508</v>
      </c>
      <c r="D2190" s="90" t="s">
        <v>6595</v>
      </c>
      <c r="E2190" s="90" t="s">
        <v>539</v>
      </c>
      <c r="F2190" s="90" t="s">
        <v>7124</v>
      </c>
      <c r="G2190" t="s">
        <v>859</v>
      </c>
    </row>
    <row r="2191" spans="1:7" x14ac:dyDescent="0.25">
      <c r="A2191" s="114">
        <v>8111200660</v>
      </c>
      <c r="B2191" s="90" t="s">
        <v>7125</v>
      </c>
      <c r="C2191" s="90" t="s">
        <v>508</v>
      </c>
      <c r="D2191" s="90" t="s">
        <v>6595</v>
      </c>
      <c r="E2191" s="90" t="s">
        <v>539</v>
      </c>
      <c r="F2191" s="90" t="s">
        <v>7126</v>
      </c>
      <c r="G2191" t="s">
        <v>859</v>
      </c>
    </row>
    <row r="2192" spans="1:7" x14ac:dyDescent="0.25">
      <c r="A2192" s="114">
        <v>8111200680</v>
      </c>
      <c r="B2192" s="90" t="s">
        <v>6643</v>
      </c>
      <c r="C2192" s="90" t="s">
        <v>508</v>
      </c>
      <c r="D2192" s="90" t="s">
        <v>6595</v>
      </c>
      <c r="E2192" s="90" t="s">
        <v>539</v>
      </c>
      <c r="F2192" s="90" t="s">
        <v>7127</v>
      </c>
      <c r="G2192" t="s">
        <v>859</v>
      </c>
    </row>
    <row r="2193" spans="1:7" x14ac:dyDescent="0.25">
      <c r="A2193" s="114">
        <v>8111200690</v>
      </c>
      <c r="B2193" s="90" t="s">
        <v>7128</v>
      </c>
      <c r="C2193" s="90" t="s">
        <v>508</v>
      </c>
      <c r="D2193" s="90" t="s">
        <v>6595</v>
      </c>
      <c r="E2193" s="90" t="s">
        <v>539</v>
      </c>
      <c r="F2193" s="90" t="s">
        <v>7129</v>
      </c>
      <c r="G2193" t="s">
        <v>859</v>
      </c>
    </row>
    <row r="2194" spans="1:7" x14ac:dyDescent="0.25">
      <c r="A2194" s="114">
        <v>8111200700</v>
      </c>
      <c r="B2194" s="90" t="s">
        <v>7130</v>
      </c>
      <c r="C2194" s="90" t="s">
        <v>508</v>
      </c>
      <c r="D2194" s="90" t="s">
        <v>6595</v>
      </c>
      <c r="E2194" s="90" t="s">
        <v>539</v>
      </c>
      <c r="F2194" s="90" t="s">
        <v>7131</v>
      </c>
      <c r="G2194" t="s">
        <v>859</v>
      </c>
    </row>
    <row r="2195" spans="1:7" x14ac:dyDescent="0.25">
      <c r="A2195" s="114">
        <v>8111201200</v>
      </c>
      <c r="B2195" s="90" t="s">
        <v>7132</v>
      </c>
      <c r="C2195" s="90" t="s">
        <v>508</v>
      </c>
      <c r="D2195" s="90" t="s">
        <v>6595</v>
      </c>
      <c r="E2195" s="90" t="s">
        <v>539</v>
      </c>
      <c r="F2195" s="90" t="s">
        <v>7133</v>
      </c>
      <c r="G2195" t="s">
        <v>859</v>
      </c>
    </row>
    <row r="2196" spans="1:7" x14ac:dyDescent="0.25">
      <c r="A2196" s="114">
        <v>8111201210</v>
      </c>
      <c r="B2196" s="90" t="s">
        <v>7134</v>
      </c>
      <c r="C2196" s="90" t="s">
        <v>508</v>
      </c>
      <c r="D2196" s="90" t="s">
        <v>6595</v>
      </c>
      <c r="E2196" s="90" t="s">
        <v>539</v>
      </c>
      <c r="F2196" s="90" t="s">
        <v>7135</v>
      </c>
      <c r="G2196" t="s">
        <v>859</v>
      </c>
    </row>
    <row r="2197" spans="1:7" x14ac:dyDescent="0.25">
      <c r="A2197" s="114">
        <v>8111201220</v>
      </c>
      <c r="B2197" s="90" t="s">
        <v>7136</v>
      </c>
      <c r="C2197" s="90" t="s">
        <v>508</v>
      </c>
      <c r="D2197" s="90" t="s">
        <v>6595</v>
      </c>
      <c r="E2197" s="90" t="s">
        <v>539</v>
      </c>
      <c r="F2197" s="90" t="s">
        <v>7137</v>
      </c>
      <c r="G2197" t="s">
        <v>512</v>
      </c>
    </row>
    <row r="2198" spans="1:7" x14ac:dyDescent="0.25">
      <c r="A2198" s="114">
        <v>8111201230</v>
      </c>
      <c r="B2198" s="90" t="s">
        <v>7138</v>
      </c>
      <c r="C2198" s="90" t="s">
        <v>508</v>
      </c>
      <c r="D2198" s="90" t="s">
        <v>6595</v>
      </c>
      <c r="E2198" s="90" t="s">
        <v>539</v>
      </c>
      <c r="F2198" s="90" t="s">
        <v>7139</v>
      </c>
      <c r="G2198" t="s">
        <v>859</v>
      </c>
    </row>
    <row r="2199" spans="1:7" x14ac:dyDescent="0.25">
      <c r="A2199" s="114">
        <v>8111201240</v>
      </c>
      <c r="B2199" s="90" t="s">
        <v>7140</v>
      </c>
      <c r="C2199" s="90" t="s">
        <v>508</v>
      </c>
      <c r="D2199" s="90" t="s">
        <v>6595</v>
      </c>
      <c r="E2199" s="90" t="s">
        <v>539</v>
      </c>
      <c r="F2199" s="90" t="s">
        <v>7141</v>
      </c>
      <c r="G2199" t="s">
        <v>859</v>
      </c>
    </row>
    <row r="2200" spans="1:7" x14ac:dyDescent="0.25">
      <c r="A2200" s="114">
        <v>8111201250</v>
      </c>
      <c r="B2200" s="90" t="s">
        <v>7142</v>
      </c>
      <c r="C2200" s="90" t="s">
        <v>508</v>
      </c>
      <c r="D2200" s="90" t="s">
        <v>6595</v>
      </c>
      <c r="E2200" s="90" t="s">
        <v>539</v>
      </c>
      <c r="F2200" s="90" t="s">
        <v>7143</v>
      </c>
      <c r="G2200" t="s">
        <v>512</v>
      </c>
    </row>
    <row r="2201" spans="1:7" x14ac:dyDescent="0.25">
      <c r="A2201" s="114">
        <v>8111201260</v>
      </c>
      <c r="B2201" s="90" t="s">
        <v>7144</v>
      </c>
      <c r="C2201" s="90" t="s">
        <v>508</v>
      </c>
      <c r="D2201" s="90" t="s">
        <v>6595</v>
      </c>
      <c r="E2201" s="90" t="s">
        <v>539</v>
      </c>
      <c r="F2201" s="90" t="s">
        <v>7145</v>
      </c>
      <c r="G2201" t="s">
        <v>859</v>
      </c>
    </row>
    <row r="2202" spans="1:7" x14ac:dyDescent="0.25">
      <c r="A2202" s="114">
        <v>8111201270</v>
      </c>
      <c r="B2202" s="90" t="s">
        <v>7146</v>
      </c>
      <c r="C2202" s="90" t="s">
        <v>508</v>
      </c>
      <c r="D2202" s="90" t="s">
        <v>6595</v>
      </c>
      <c r="E2202" s="90" t="s">
        <v>539</v>
      </c>
      <c r="F2202" s="90" t="s">
        <v>7147</v>
      </c>
      <c r="G2202" t="s">
        <v>859</v>
      </c>
    </row>
    <row r="2203" spans="1:7" x14ac:dyDescent="0.25">
      <c r="A2203" s="114">
        <v>8111201290</v>
      </c>
      <c r="B2203" s="90" t="s">
        <v>7148</v>
      </c>
      <c r="C2203" s="90" t="s">
        <v>508</v>
      </c>
      <c r="D2203" s="90" t="s">
        <v>6595</v>
      </c>
      <c r="E2203" s="90" t="s">
        <v>539</v>
      </c>
      <c r="F2203" s="90" t="s">
        <v>7149</v>
      </c>
      <c r="G2203" t="s">
        <v>859</v>
      </c>
    </row>
    <row r="2204" spans="1:7" x14ac:dyDescent="0.25">
      <c r="A2204" s="114">
        <v>8111201300</v>
      </c>
      <c r="B2204" s="90" t="s">
        <v>7150</v>
      </c>
      <c r="C2204" s="90" t="s">
        <v>508</v>
      </c>
      <c r="D2204" s="90" t="s">
        <v>6595</v>
      </c>
      <c r="E2204" s="90" t="s">
        <v>539</v>
      </c>
      <c r="F2204" s="90" t="s">
        <v>7151</v>
      </c>
      <c r="G2204" t="s">
        <v>512</v>
      </c>
    </row>
    <row r="2205" spans="1:7" x14ac:dyDescent="0.25">
      <c r="A2205" s="114">
        <v>8111201310</v>
      </c>
      <c r="B2205" s="90" t="s">
        <v>6909</v>
      </c>
      <c r="C2205" s="90" t="s">
        <v>508</v>
      </c>
      <c r="D2205" s="90" t="s">
        <v>6595</v>
      </c>
      <c r="E2205" s="90" t="s">
        <v>539</v>
      </c>
      <c r="F2205" s="90" t="s">
        <v>7152</v>
      </c>
      <c r="G2205" t="s">
        <v>512</v>
      </c>
    </row>
    <row r="2206" spans="1:7" x14ac:dyDescent="0.25">
      <c r="A2206" s="114">
        <v>8111201320</v>
      </c>
      <c r="B2206" s="90" t="s">
        <v>6889</v>
      </c>
      <c r="C2206" s="90" t="s">
        <v>508</v>
      </c>
      <c r="D2206" s="90" t="s">
        <v>6595</v>
      </c>
      <c r="E2206" s="90" t="s">
        <v>539</v>
      </c>
      <c r="F2206" s="90" t="s">
        <v>7153</v>
      </c>
      <c r="G2206" t="s">
        <v>859</v>
      </c>
    </row>
    <row r="2207" spans="1:7" x14ac:dyDescent="0.25">
      <c r="A2207" s="114">
        <v>8111201330</v>
      </c>
      <c r="B2207" s="90" t="s">
        <v>7154</v>
      </c>
      <c r="C2207" s="90" t="s">
        <v>508</v>
      </c>
      <c r="D2207" s="90" t="s">
        <v>6595</v>
      </c>
      <c r="E2207" s="90" t="s">
        <v>539</v>
      </c>
      <c r="F2207" s="90" t="s">
        <v>7155</v>
      </c>
      <c r="G2207" t="s">
        <v>512</v>
      </c>
    </row>
    <row r="2208" spans="1:7" x14ac:dyDescent="0.25">
      <c r="A2208" s="114">
        <v>8111201340</v>
      </c>
      <c r="B2208" s="90" t="s">
        <v>7156</v>
      </c>
      <c r="C2208" s="90" t="s">
        <v>508</v>
      </c>
      <c r="D2208" s="90" t="s">
        <v>6595</v>
      </c>
      <c r="E2208" s="90" t="s">
        <v>539</v>
      </c>
      <c r="F2208" s="90" t="s">
        <v>7157</v>
      </c>
      <c r="G2208" t="s">
        <v>859</v>
      </c>
    </row>
    <row r="2209" spans="1:7" x14ac:dyDescent="0.25">
      <c r="A2209" s="114">
        <v>8111201350</v>
      </c>
      <c r="B2209" s="90" t="s">
        <v>7030</v>
      </c>
      <c r="C2209" s="90" t="s">
        <v>508</v>
      </c>
      <c r="D2209" s="90" t="s">
        <v>6595</v>
      </c>
      <c r="E2209" s="90" t="s">
        <v>539</v>
      </c>
      <c r="F2209" s="90" t="s">
        <v>7158</v>
      </c>
      <c r="G2209" t="s">
        <v>859</v>
      </c>
    </row>
    <row r="2210" spans="1:7" x14ac:dyDescent="0.25">
      <c r="A2210" s="114">
        <v>8111201360</v>
      </c>
      <c r="B2210" s="90" t="s">
        <v>7159</v>
      </c>
      <c r="C2210" s="90" t="s">
        <v>508</v>
      </c>
      <c r="D2210" s="90" t="s">
        <v>6595</v>
      </c>
      <c r="E2210" s="90" t="s">
        <v>539</v>
      </c>
      <c r="F2210" s="90" t="s">
        <v>7160</v>
      </c>
      <c r="G2210" t="s">
        <v>859</v>
      </c>
    </row>
    <row r="2211" spans="1:7" x14ac:dyDescent="0.25">
      <c r="A2211" s="114">
        <v>8111201390</v>
      </c>
      <c r="B2211" s="90" t="s">
        <v>7161</v>
      </c>
      <c r="C2211" s="90" t="s">
        <v>508</v>
      </c>
      <c r="D2211" s="90" t="s">
        <v>6595</v>
      </c>
      <c r="E2211" s="90" t="s">
        <v>539</v>
      </c>
      <c r="F2211" s="90" t="s">
        <v>7162</v>
      </c>
      <c r="G2211" t="s">
        <v>859</v>
      </c>
    </row>
    <row r="2212" spans="1:7" x14ac:dyDescent="0.25">
      <c r="A2212" s="114">
        <v>8111201400</v>
      </c>
      <c r="B2212" s="90" t="s">
        <v>7163</v>
      </c>
      <c r="C2212" s="90" t="s">
        <v>508</v>
      </c>
      <c r="D2212" s="90" t="s">
        <v>6595</v>
      </c>
      <c r="E2212" s="90" t="s">
        <v>539</v>
      </c>
      <c r="F2212" s="90" t="s">
        <v>7164</v>
      </c>
      <c r="G2212" t="s">
        <v>512</v>
      </c>
    </row>
    <row r="2213" spans="1:7" x14ac:dyDescent="0.25">
      <c r="A2213" s="114">
        <v>8111201420</v>
      </c>
      <c r="B2213" s="90" t="s">
        <v>6649</v>
      </c>
      <c r="C2213" s="90" t="s">
        <v>508</v>
      </c>
      <c r="D2213" s="90" t="s">
        <v>6595</v>
      </c>
      <c r="E2213" s="90" t="s">
        <v>539</v>
      </c>
      <c r="F2213" s="90" t="s">
        <v>7165</v>
      </c>
      <c r="G2213" t="s">
        <v>859</v>
      </c>
    </row>
    <row r="2214" spans="1:7" x14ac:dyDescent="0.25">
      <c r="A2214" s="114">
        <v>8111201430</v>
      </c>
      <c r="B2214" s="90" t="s">
        <v>7166</v>
      </c>
      <c r="C2214" s="90" t="s">
        <v>508</v>
      </c>
      <c r="D2214" s="90" t="s">
        <v>6595</v>
      </c>
      <c r="E2214" s="90" t="s">
        <v>539</v>
      </c>
      <c r="F2214" s="90" t="s">
        <v>7167</v>
      </c>
      <c r="G2214" t="s">
        <v>859</v>
      </c>
    </row>
    <row r="2215" spans="1:7" x14ac:dyDescent="0.25">
      <c r="A2215" s="114">
        <v>8111201440</v>
      </c>
      <c r="B2215" s="90" t="s">
        <v>7168</v>
      </c>
      <c r="C2215" s="90" t="s">
        <v>508</v>
      </c>
      <c r="D2215" s="90" t="s">
        <v>6595</v>
      </c>
      <c r="E2215" s="90" t="s">
        <v>539</v>
      </c>
      <c r="F2215" s="90" t="s">
        <v>7169</v>
      </c>
      <c r="G2215" t="s">
        <v>512</v>
      </c>
    </row>
    <row r="2216" spans="1:7" x14ac:dyDescent="0.25">
      <c r="A2216" s="114">
        <v>8111201450</v>
      </c>
      <c r="B2216" s="90" t="s">
        <v>7170</v>
      </c>
      <c r="C2216" s="90" t="s">
        <v>508</v>
      </c>
      <c r="D2216" s="90" t="s">
        <v>6595</v>
      </c>
      <c r="E2216" s="90" t="s">
        <v>539</v>
      </c>
      <c r="F2216" s="90" t="s">
        <v>7171</v>
      </c>
      <c r="G2216" t="s">
        <v>512</v>
      </c>
    </row>
    <row r="2217" spans="1:7" x14ac:dyDescent="0.25">
      <c r="A2217" s="114">
        <v>8111201460</v>
      </c>
      <c r="B2217" s="90" t="s">
        <v>6633</v>
      </c>
      <c r="C2217" s="90" t="s">
        <v>508</v>
      </c>
      <c r="D2217" s="90" t="s">
        <v>6595</v>
      </c>
      <c r="E2217" s="90" t="s">
        <v>539</v>
      </c>
      <c r="F2217" s="90" t="s">
        <v>7172</v>
      </c>
      <c r="G2217" t="s">
        <v>859</v>
      </c>
    </row>
    <row r="2218" spans="1:7" x14ac:dyDescent="0.25">
      <c r="A2218" s="114">
        <v>8111201470</v>
      </c>
      <c r="B2218" s="90" t="s">
        <v>7173</v>
      </c>
      <c r="C2218" s="90" t="s">
        <v>508</v>
      </c>
      <c r="D2218" s="90" t="s">
        <v>6595</v>
      </c>
      <c r="E2218" s="90" t="s">
        <v>539</v>
      </c>
      <c r="F2218" s="90" t="s">
        <v>7174</v>
      </c>
      <c r="G2218" t="s">
        <v>859</v>
      </c>
    </row>
    <row r="2219" spans="1:7" x14ac:dyDescent="0.25">
      <c r="A2219" s="114">
        <v>8111201490</v>
      </c>
      <c r="B2219" s="90" t="s">
        <v>7175</v>
      </c>
      <c r="C2219" s="90" t="s">
        <v>508</v>
      </c>
      <c r="D2219" s="90" t="s">
        <v>6595</v>
      </c>
      <c r="E2219" s="90" t="s">
        <v>539</v>
      </c>
      <c r="F2219" s="90" t="s">
        <v>7176</v>
      </c>
      <c r="G2219" t="s">
        <v>859</v>
      </c>
    </row>
    <row r="2220" spans="1:7" x14ac:dyDescent="0.25">
      <c r="A2220" s="114">
        <v>8111201500</v>
      </c>
      <c r="B2220" s="90" t="s">
        <v>7177</v>
      </c>
      <c r="C2220" s="90" t="s">
        <v>508</v>
      </c>
      <c r="D2220" s="90" t="s">
        <v>6595</v>
      </c>
      <c r="E2220" s="90" t="s">
        <v>4884</v>
      </c>
      <c r="F2220" s="90" t="s">
        <v>7178</v>
      </c>
      <c r="G2220" t="s">
        <v>512</v>
      </c>
    </row>
    <row r="2221" spans="1:7" x14ac:dyDescent="0.25">
      <c r="A2221" s="114">
        <v>8111201510</v>
      </c>
      <c r="B2221" s="90" t="s">
        <v>7179</v>
      </c>
      <c r="C2221" s="90" t="s">
        <v>508</v>
      </c>
      <c r="D2221" s="90" t="s">
        <v>6595</v>
      </c>
      <c r="E2221" s="90" t="s">
        <v>539</v>
      </c>
      <c r="F2221" s="90" t="s">
        <v>7180</v>
      </c>
      <c r="G2221" t="s">
        <v>859</v>
      </c>
    </row>
    <row r="2222" spans="1:7" x14ac:dyDescent="0.25">
      <c r="A2222" s="114">
        <v>8111201530</v>
      </c>
      <c r="B2222" s="90" t="s">
        <v>7181</v>
      </c>
      <c r="C2222" s="90" t="s">
        <v>508</v>
      </c>
      <c r="D2222" s="90" t="s">
        <v>6595</v>
      </c>
      <c r="E2222" s="90" t="s">
        <v>539</v>
      </c>
      <c r="F2222" s="90" t="s">
        <v>7182</v>
      </c>
      <c r="G2222" t="s">
        <v>859</v>
      </c>
    </row>
    <row r="2223" spans="1:7" x14ac:dyDescent="0.25">
      <c r="A2223" s="114">
        <v>8111201550</v>
      </c>
      <c r="B2223" s="90" t="s">
        <v>7183</v>
      </c>
      <c r="C2223" s="90" t="s">
        <v>508</v>
      </c>
      <c r="D2223" s="90" t="s">
        <v>6595</v>
      </c>
      <c r="E2223" s="90" t="s">
        <v>539</v>
      </c>
      <c r="F2223" s="90" t="s">
        <v>7184</v>
      </c>
      <c r="G2223" t="s">
        <v>859</v>
      </c>
    </row>
    <row r="2224" spans="1:7" x14ac:dyDescent="0.25">
      <c r="A2224" s="114">
        <v>8111201560</v>
      </c>
      <c r="B2224" s="90" t="s">
        <v>7185</v>
      </c>
      <c r="C2224" s="90" t="s">
        <v>508</v>
      </c>
      <c r="D2224" s="90" t="s">
        <v>6595</v>
      </c>
      <c r="E2224" s="90" t="s">
        <v>539</v>
      </c>
      <c r="F2224" s="90" t="s">
        <v>7186</v>
      </c>
      <c r="G2224" t="s">
        <v>512</v>
      </c>
    </row>
    <row r="2225" spans="1:7" x14ac:dyDescent="0.25">
      <c r="A2225" s="114">
        <v>8111201570</v>
      </c>
      <c r="B2225" s="90" t="s">
        <v>7187</v>
      </c>
      <c r="C2225" s="90" t="s">
        <v>508</v>
      </c>
      <c r="D2225" s="90" t="s">
        <v>6595</v>
      </c>
      <c r="E2225" s="90" t="s">
        <v>539</v>
      </c>
      <c r="F2225" s="90" t="s">
        <v>7188</v>
      </c>
      <c r="G2225" t="s">
        <v>859</v>
      </c>
    </row>
    <row r="2226" spans="1:7" x14ac:dyDescent="0.25">
      <c r="A2226" s="114">
        <v>8111201580</v>
      </c>
      <c r="B2226" s="90" t="s">
        <v>7189</v>
      </c>
      <c r="C2226" s="90" t="s">
        <v>508</v>
      </c>
      <c r="D2226" s="90" t="s">
        <v>6595</v>
      </c>
      <c r="E2226" s="90" t="s">
        <v>539</v>
      </c>
      <c r="F2226" s="90" t="s">
        <v>7190</v>
      </c>
      <c r="G2226" t="s">
        <v>512</v>
      </c>
    </row>
    <row r="2227" spans="1:7" x14ac:dyDescent="0.25">
      <c r="A2227" s="114">
        <v>8111201590</v>
      </c>
      <c r="B2227" s="90" t="s">
        <v>2784</v>
      </c>
      <c r="C2227" s="90" t="s">
        <v>508</v>
      </c>
      <c r="D2227" s="90" t="s">
        <v>6595</v>
      </c>
      <c r="E2227" s="90" t="s">
        <v>539</v>
      </c>
      <c r="F2227" s="90" t="s">
        <v>7191</v>
      </c>
      <c r="G2227" t="s">
        <v>512</v>
      </c>
    </row>
    <row r="2228" spans="1:7" x14ac:dyDescent="0.25">
      <c r="A2228" s="114">
        <v>8111201600</v>
      </c>
      <c r="B2228" s="90" t="s">
        <v>7192</v>
      </c>
      <c r="C2228" s="90" t="s">
        <v>508</v>
      </c>
      <c r="D2228" s="90" t="s">
        <v>6595</v>
      </c>
      <c r="E2228" s="90" t="s">
        <v>539</v>
      </c>
      <c r="F2228" s="90" t="s">
        <v>7193</v>
      </c>
      <c r="G2228" t="s">
        <v>512</v>
      </c>
    </row>
    <row r="2229" spans="1:7" x14ac:dyDescent="0.25">
      <c r="A2229" s="114">
        <v>8111201610</v>
      </c>
      <c r="B2229" s="90" t="s">
        <v>7194</v>
      </c>
      <c r="C2229" s="90" t="s">
        <v>508</v>
      </c>
      <c r="D2229" s="90" t="s">
        <v>6595</v>
      </c>
      <c r="E2229" s="90" t="s">
        <v>539</v>
      </c>
      <c r="F2229" s="90" t="s">
        <v>7195</v>
      </c>
      <c r="G2229" t="s">
        <v>859</v>
      </c>
    </row>
    <row r="2230" spans="1:7" x14ac:dyDescent="0.25">
      <c r="A2230" s="114">
        <v>8111201620</v>
      </c>
      <c r="B2230" s="90" t="s">
        <v>7196</v>
      </c>
      <c r="C2230" s="90" t="s">
        <v>508</v>
      </c>
      <c r="D2230" s="90" t="s">
        <v>6595</v>
      </c>
      <c r="E2230" s="90" t="s">
        <v>539</v>
      </c>
      <c r="F2230" s="90" t="s">
        <v>7197</v>
      </c>
      <c r="G2230" t="s">
        <v>859</v>
      </c>
    </row>
    <row r="2231" spans="1:7" x14ac:dyDescent="0.25">
      <c r="A2231" s="114">
        <v>8111201630</v>
      </c>
      <c r="B2231" s="90" t="s">
        <v>7198</v>
      </c>
      <c r="C2231" s="90" t="s">
        <v>508</v>
      </c>
      <c r="D2231" s="90" t="s">
        <v>6595</v>
      </c>
      <c r="E2231" s="90" t="s">
        <v>539</v>
      </c>
      <c r="F2231" s="90" t="s">
        <v>7199</v>
      </c>
      <c r="G2231" t="s">
        <v>859</v>
      </c>
    </row>
    <row r="2232" spans="1:7" x14ac:dyDescent="0.25">
      <c r="A2232" s="114">
        <v>8111201640</v>
      </c>
      <c r="B2232" s="90" t="s">
        <v>7200</v>
      </c>
      <c r="C2232" s="90" t="s">
        <v>508</v>
      </c>
      <c r="D2232" s="90" t="s">
        <v>6595</v>
      </c>
      <c r="E2232" s="90" t="s">
        <v>539</v>
      </c>
      <c r="F2232" s="90" t="s">
        <v>7201</v>
      </c>
      <c r="G2232" t="s">
        <v>859</v>
      </c>
    </row>
    <row r="2233" spans="1:7" x14ac:dyDescent="0.25">
      <c r="A2233" s="114">
        <v>8111201650</v>
      </c>
      <c r="B2233" s="90" t="s">
        <v>7202</v>
      </c>
      <c r="C2233" s="90" t="s">
        <v>508</v>
      </c>
      <c r="D2233" s="90" t="s">
        <v>6595</v>
      </c>
      <c r="E2233" s="90" t="s">
        <v>539</v>
      </c>
      <c r="F2233" s="90" t="s">
        <v>7203</v>
      </c>
      <c r="G2233" t="s">
        <v>859</v>
      </c>
    </row>
    <row r="2234" spans="1:7" x14ac:dyDescent="0.25">
      <c r="A2234" s="114">
        <v>8111201660</v>
      </c>
      <c r="B2234" s="90" t="s">
        <v>7204</v>
      </c>
      <c r="C2234" s="90" t="s">
        <v>508</v>
      </c>
      <c r="D2234" s="90" t="s">
        <v>6595</v>
      </c>
      <c r="E2234" s="90" t="s">
        <v>539</v>
      </c>
      <c r="F2234" s="90" t="s">
        <v>7205</v>
      </c>
      <c r="G2234" t="s">
        <v>512</v>
      </c>
    </row>
    <row r="2235" spans="1:7" x14ac:dyDescent="0.25">
      <c r="A2235" s="114">
        <v>8111201670</v>
      </c>
      <c r="B2235" s="90" t="s">
        <v>7206</v>
      </c>
      <c r="C2235" s="90" t="s">
        <v>508</v>
      </c>
      <c r="D2235" s="90" t="s">
        <v>6595</v>
      </c>
      <c r="E2235" s="90" t="s">
        <v>539</v>
      </c>
      <c r="F2235" s="90" t="s">
        <v>7207</v>
      </c>
      <c r="G2235" t="s">
        <v>512</v>
      </c>
    </row>
    <row r="2236" spans="1:7" x14ac:dyDescent="0.25">
      <c r="A2236" s="114">
        <v>8111201680</v>
      </c>
      <c r="B2236" s="90" t="s">
        <v>6856</v>
      </c>
      <c r="C2236" s="90" t="s">
        <v>508</v>
      </c>
      <c r="D2236" s="90" t="s">
        <v>6595</v>
      </c>
      <c r="E2236" s="90" t="s">
        <v>539</v>
      </c>
      <c r="F2236" s="90" t="s">
        <v>7208</v>
      </c>
      <c r="G2236" t="s">
        <v>859</v>
      </c>
    </row>
    <row r="2237" spans="1:7" x14ac:dyDescent="0.25">
      <c r="A2237" s="114">
        <v>8111201690</v>
      </c>
      <c r="B2237" s="90" t="s">
        <v>7209</v>
      </c>
      <c r="C2237" s="90" t="s">
        <v>508</v>
      </c>
      <c r="D2237" s="90" t="s">
        <v>6595</v>
      </c>
      <c r="E2237" s="90" t="s">
        <v>539</v>
      </c>
      <c r="F2237" s="90" t="s">
        <v>7210</v>
      </c>
      <c r="G2237" t="s">
        <v>859</v>
      </c>
    </row>
    <row r="2238" spans="1:7" x14ac:dyDescent="0.25">
      <c r="A2238" s="114">
        <v>8111201700</v>
      </c>
      <c r="B2238" s="90" t="s">
        <v>7211</v>
      </c>
      <c r="C2238" s="90" t="s">
        <v>508</v>
      </c>
      <c r="D2238" s="90" t="s">
        <v>6595</v>
      </c>
      <c r="E2238" s="90" t="s">
        <v>539</v>
      </c>
      <c r="F2238" s="90" t="s">
        <v>7212</v>
      </c>
      <c r="G2238" t="s">
        <v>859</v>
      </c>
    </row>
    <row r="2239" spans="1:7" x14ac:dyDescent="0.25">
      <c r="A2239" s="114">
        <v>8111201710</v>
      </c>
      <c r="B2239" s="90" t="s">
        <v>7213</v>
      </c>
      <c r="C2239" s="90" t="s">
        <v>508</v>
      </c>
      <c r="D2239" s="90" t="s">
        <v>6595</v>
      </c>
      <c r="E2239" s="90" t="s">
        <v>539</v>
      </c>
      <c r="F2239" s="90" t="s">
        <v>7214</v>
      </c>
      <c r="G2239" t="s">
        <v>859</v>
      </c>
    </row>
    <row r="2240" spans="1:7" x14ac:dyDescent="0.25">
      <c r="A2240" s="114">
        <v>8111201720</v>
      </c>
      <c r="B2240" s="90" t="s">
        <v>7215</v>
      </c>
      <c r="C2240" s="90" t="s">
        <v>508</v>
      </c>
      <c r="D2240" s="90" t="s">
        <v>6595</v>
      </c>
      <c r="E2240" s="90" t="s">
        <v>539</v>
      </c>
      <c r="F2240" s="90" t="s">
        <v>7216</v>
      </c>
      <c r="G2240" t="s">
        <v>859</v>
      </c>
    </row>
    <row r="2241" spans="1:7" x14ac:dyDescent="0.25">
      <c r="A2241" s="114">
        <v>8111201730</v>
      </c>
      <c r="B2241" s="90" t="s">
        <v>7217</v>
      </c>
      <c r="C2241" s="90" t="s">
        <v>508</v>
      </c>
      <c r="D2241" s="90" t="s">
        <v>6595</v>
      </c>
      <c r="E2241" s="90" t="s">
        <v>539</v>
      </c>
      <c r="F2241" s="90" t="s">
        <v>7218</v>
      </c>
      <c r="G2241" t="s">
        <v>859</v>
      </c>
    </row>
    <row r="2242" spans="1:7" x14ac:dyDescent="0.25">
      <c r="A2242" s="114">
        <v>8111201740</v>
      </c>
      <c r="B2242" s="90" t="s">
        <v>7219</v>
      </c>
      <c r="C2242" s="90" t="s">
        <v>508</v>
      </c>
      <c r="D2242" s="90" t="s">
        <v>6595</v>
      </c>
      <c r="E2242" s="90" t="s">
        <v>539</v>
      </c>
      <c r="F2242" s="90" t="s">
        <v>7220</v>
      </c>
      <c r="G2242" t="s">
        <v>859</v>
      </c>
    </row>
    <row r="2243" spans="1:7" x14ac:dyDescent="0.25">
      <c r="A2243" s="114">
        <v>8111201760</v>
      </c>
      <c r="B2243" s="90" t="s">
        <v>7221</v>
      </c>
      <c r="C2243" s="90" t="s">
        <v>508</v>
      </c>
      <c r="D2243" s="90" t="s">
        <v>6595</v>
      </c>
      <c r="E2243" s="90" t="s">
        <v>539</v>
      </c>
      <c r="F2243" s="90" t="s">
        <v>7222</v>
      </c>
      <c r="G2243" t="s">
        <v>512</v>
      </c>
    </row>
    <row r="2244" spans="1:7" x14ac:dyDescent="0.25">
      <c r="A2244" s="114">
        <v>8111201780</v>
      </c>
      <c r="B2244" s="90" t="s">
        <v>7223</v>
      </c>
      <c r="C2244" s="90" t="s">
        <v>508</v>
      </c>
      <c r="D2244" s="90" t="s">
        <v>6595</v>
      </c>
      <c r="E2244" s="90" t="s">
        <v>539</v>
      </c>
      <c r="F2244" s="90" t="s">
        <v>7224</v>
      </c>
      <c r="G2244" t="s">
        <v>512</v>
      </c>
    </row>
    <row r="2245" spans="1:7" x14ac:dyDescent="0.25">
      <c r="A2245" s="114">
        <v>8111201790</v>
      </c>
      <c r="B2245" s="90" t="s">
        <v>7225</v>
      </c>
      <c r="C2245" s="90" t="s">
        <v>508</v>
      </c>
      <c r="D2245" s="90" t="s">
        <v>6595</v>
      </c>
      <c r="E2245" s="90" t="s">
        <v>539</v>
      </c>
      <c r="F2245" s="90" t="s">
        <v>7226</v>
      </c>
      <c r="G2245" t="s">
        <v>859</v>
      </c>
    </row>
    <row r="2246" spans="1:7" x14ac:dyDescent="0.25">
      <c r="A2246" s="114">
        <v>8111201800</v>
      </c>
      <c r="B2246" s="90" t="s">
        <v>7227</v>
      </c>
      <c r="C2246" s="90" t="s">
        <v>508</v>
      </c>
      <c r="D2246" s="90" t="s">
        <v>6595</v>
      </c>
      <c r="E2246" s="90" t="s">
        <v>539</v>
      </c>
      <c r="F2246" s="90" t="s">
        <v>7228</v>
      </c>
      <c r="G2246" t="s">
        <v>859</v>
      </c>
    </row>
    <row r="2247" spans="1:7" x14ac:dyDescent="0.25">
      <c r="A2247" s="114">
        <v>8111201810</v>
      </c>
      <c r="B2247" s="90" t="s">
        <v>7229</v>
      </c>
      <c r="C2247" s="90" t="s">
        <v>508</v>
      </c>
      <c r="D2247" s="90" t="s">
        <v>6595</v>
      </c>
      <c r="E2247" s="90" t="s">
        <v>539</v>
      </c>
      <c r="F2247" s="90" t="s">
        <v>7230</v>
      </c>
      <c r="G2247" t="s">
        <v>859</v>
      </c>
    </row>
    <row r="2248" spans="1:7" x14ac:dyDescent="0.25">
      <c r="A2248" s="114">
        <v>8111201820</v>
      </c>
      <c r="B2248" s="90" t="s">
        <v>3516</v>
      </c>
      <c r="C2248" s="90" t="s">
        <v>508</v>
      </c>
      <c r="D2248" s="90" t="s">
        <v>6595</v>
      </c>
      <c r="E2248" s="90" t="s">
        <v>539</v>
      </c>
      <c r="F2248" s="90" t="s">
        <v>7231</v>
      </c>
      <c r="G2248" t="s">
        <v>512</v>
      </c>
    </row>
    <row r="2249" spans="1:7" x14ac:dyDescent="0.25">
      <c r="A2249" s="114">
        <v>8111201830</v>
      </c>
      <c r="B2249" s="90" t="s">
        <v>7232</v>
      </c>
      <c r="C2249" s="90" t="s">
        <v>508</v>
      </c>
      <c r="D2249" s="90" t="s">
        <v>6595</v>
      </c>
      <c r="E2249" s="90" t="s">
        <v>539</v>
      </c>
      <c r="F2249" s="90" t="s">
        <v>7233</v>
      </c>
      <c r="G2249" t="s">
        <v>859</v>
      </c>
    </row>
    <row r="2250" spans="1:7" x14ac:dyDescent="0.25">
      <c r="A2250" s="114">
        <v>8111201840</v>
      </c>
      <c r="B2250" s="90" t="s">
        <v>7234</v>
      </c>
      <c r="C2250" s="90" t="s">
        <v>508</v>
      </c>
      <c r="D2250" s="90" t="s">
        <v>6595</v>
      </c>
      <c r="E2250" s="90" t="s">
        <v>539</v>
      </c>
      <c r="F2250" s="90" t="s">
        <v>7235</v>
      </c>
      <c r="G2250" t="s">
        <v>859</v>
      </c>
    </row>
    <row r="2251" spans="1:7" x14ac:dyDescent="0.25">
      <c r="A2251" s="114">
        <v>8111201850</v>
      </c>
      <c r="B2251" s="90" t="s">
        <v>7236</v>
      </c>
      <c r="C2251" s="90" t="s">
        <v>508</v>
      </c>
      <c r="D2251" s="90" t="s">
        <v>6595</v>
      </c>
      <c r="E2251" s="90" t="s">
        <v>539</v>
      </c>
      <c r="F2251" s="90" t="s">
        <v>7237</v>
      </c>
      <c r="G2251" t="s">
        <v>512</v>
      </c>
    </row>
    <row r="2252" spans="1:7" x14ac:dyDescent="0.25">
      <c r="A2252" s="114">
        <v>8111201860</v>
      </c>
      <c r="B2252" s="90" t="s">
        <v>7238</v>
      </c>
      <c r="C2252" s="90" t="s">
        <v>508</v>
      </c>
      <c r="D2252" s="90" t="s">
        <v>6595</v>
      </c>
      <c r="E2252" s="90" t="s">
        <v>539</v>
      </c>
      <c r="F2252" s="90" t="s">
        <v>7239</v>
      </c>
      <c r="G2252" t="s">
        <v>859</v>
      </c>
    </row>
    <row r="2253" spans="1:7" x14ac:dyDescent="0.25">
      <c r="A2253" s="114">
        <v>8111201880</v>
      </c>
      <c r="B2253" s="90" t="s">
        <v>7240</v>
      </c>
      <c r="C2253" s="90" t="s">
        <v>508</v>
      </c>
      <c r="D2253" s="90" t="s">
        <v>6595</v>
      </c>
      <c r="E2253" s="90" t="s">
        <v>539</v>
      </c>
      <c r="F2253" s="90" t="s">
        <v>7241</v>
      </c>
      <c r="G2253" t="s">
        <v>512</v>
      </c>
    </row>
    <row r="2254" spans="1:7" x14ac:dyDescent="0.25">
      <c r="A2254" s="114">
        <v>8111201890</v>
      </c>
      <c r="B2254" s="90" t="s">
        <v>7242</v>
      </c>
      <c r="C2254" s="90" t="s">
        <v>508</v>
      </c>
      <c r="D2254" s="90" t="s">
        <v>6595</v>
      </c>
      <c r="E2254" s="90" t="s">
        <v>539</v>
      </c>
      <c r="F2254" s="90" t="s">
        <v>7243</v>
      </c>
      <c r="G2254" t="s">
        <v>512</v>
      </c>
    </row>
    <row r="2255" spans="1:7" x14ac:dyDescent="0.25">
      <c r="A2255" s="114">
        <v>8111201900</v>
      </c>
      <c r="B2255" s="90" t="s">
        <v>7244</v>
      </c>
      <c r="C2255" s="90" t="s">
        <v>508</v>
      </c>
      <c r="D2255" s="90" t="s">
        <v>6595</v>
      </c>
      <c r="E2255" s="90" t="s">
        <v>539</v>
      </c>
      <c r="F2255" s="90" t="s">
        <v>7245</v>
      </c>
      <c r="G2255" t="s">
        <v>859</v>
      </c>
    </row>
    <row r="2256" spans="1:7" x14ac:dyDescent="0.25">
      <c r="A2256" s="114">
        <v>8111201910</v>
      </c>
      <c r="B2256" s="90" t="s">
        <v>7246</v>
      </c>
      <c r="C2256" s="90" t="s">
        <v>508</v>
      </c>
      <c r="D2256" s="90" t="s">
        <v>6595</v>
      </c>
      <c r="E2256" s="90" t="s">
        <v>539</v>
      </c>
      <c r="F2256" s="90" t="s">
        <v>7247</v>
      </c>
      <c r="G2256" t="s">
        <v>859</v>
      </c>
    </row>
    <row r="2257" spans="1:7" x14ac:dyDescent="0.25">
      <c r="A2257" s="114">
        <v>8111201920</v>
      </c>
      <c r="B2257" s="90" t="s">
        <v>7248</v>
      </c>
      <c r="C2257" s="90" t="s">
        <v>508</v>
      </c>
      <c r="D2257" s="90" t="s">
        <v>6595</v>
      </c>
      <c r="E2257" s="90" t="s">
        <v>539</v>
      </c>
      <c r="F2257" s="90" t="s">
        <v>7249</v>
      </c>
      <c r="G2257" t="s">
        <v>512</v>
      </c>
    </row>
    <row r="2258" spans="1:7" x14ac:dyDescent="0.25">
      <c r="A2258" s="114">
        <v>8111201930</v>
      </c>
      <c r="B2258" s="90" t="s">
        <v>6778</v>
      </c>
      <c r="C2258" s="90" t="s">
        <v>508</v>
      </c>
      <c r="D2258" s="90" t="s">
        <v>6595</v>
      </c>
      <c r="E2258" s="90" t="s">
        <v>539</v>
      </c>
      <c r="F2258" s="90" t="s">
        <v>7250</v>
      </c>
      <c r="G2258" t="s">
        <v>512</v>
      </c>
    </row>
    <row r="2259" spans="1:7" x14ac:dyDescent="0.25">
      <c r="A2259" s="114">
        <v>8111201940</v>
      </c>
      <c r="B2259" s="90" t="s">
        <v>7251</v>
      </c>
      <c r="C2259" s="90" t="s">
        <v>508</v>
      </c>
      <c r="D2259" s="90" t="s">
        <v>6595</v>
      </c>
      <c r="E2259" s="90" t="s">
        <v>539</v>
      </c>
      <c r="F2259" s="90" t="s">
        <v>7252</v>
      </c>
      <c r="G2259" t="s">
        <v>859</v>
      </c>
    </row>
    <row r="2260" spans="1:7" x14ac:dyDescent="0.25">
      <c r="A2260" s="114">
        <v>8111201950</v>
      </c>
      <c r="B2260" s="90" t="s">
        <v>7253</v>
      </c>
      <c r="C2260" s="90" t="s">
        <v>508</v>
      </c>
      <c r="D2260" s="90" t="s">
        <v>6595</v>
      </c>
      <c r="E2260" s="90" t="s">
        <v>539</v>
      </c>
      <c r="F2260" s="90" t="s">
        <v>7254</v>
      </c>
      <c r="G2260" t="s">
        <v>859</v>
      </c>
    </row>
    <row r="2261" spans="1:7" x14ac:dyDescent="0.25">
      <c r="A2261" s="114">
        <v>8111201960</v>
      </c>
      <c r="B2261" s="90" t="s">
        <v>7255</v>
      </c>
      <c r="C2261" s="90" t="s">
        <v>508</v>
      </c>
      <c r="D2261" s="90" t="s">
        <v>6595</v>
      </c>
      <c r="E2261" s="90" t="s">
        <v>539</v>
      </c>
      <c r="F2261" s="90" t="s">
        <v>7256</v>
      </c>
      <c r="G2261" t="s">
        <v>859</v>
      </c>
    </row>
    <row r="2262" spans="1:7" x14ac:dyDescent="0.25">
      <c r="A2262" s="114">
        <v>8111201970</v>
      </c>
      <c r="B2262" s="90" t="s">
        <v>7257</v>
      </c>
      <c r="C2262" s="90" t="s">
        <v>508</v>
      </c>
      <c r="D2262" s="90" t="s">
        <v>6595</v>
      </c>
      <c r="E2262" s="90" t="s">
        <v>539</v>
      </c>
      <c r="F2262" s="90" t="s">
        <v>7258</v>
      </c>
      <c r="G2262" t="s">
        <v>859</v>
      </c>
    </row>
    <row r="2263" spans="1:7" x14ac:dyDescent="0.25">
      <c r="A2263" s="114">
        <v>8111201980</v>
      </c>
      <c r="B2263" s="90" t="s">
        <v>7259</v>
      </c>
      <c r="C2263" s="90" t="s">
        <v>508</v>
      </c>
      <c r="D2263" s="90" t="s">
        <v>6595</v>
      </c>
      <c r="E2263" s="90" t="s">
        <v>539</v>
      </c>
      <c r="F2263" s="90" t="s">
        <v>7260</v>
      </c>
      <c r="G2263" t="s">
        <v>512</v>
      </c>
    </row>
    <row r="2264" spans="1:7" x14ac:dyDescent="0.25">
      <c r="A2264" s="114">
        <v>8111201990</v>
      </c>
      <c r="B2264" s="90" t="s">
        <v>7261</v>
      </c>
      <c r="C2264" s="90" t="s">
        <v>508</v>
      </c>
      <c r="D2264" s="90" t="s">
        <v>6595</v>
      </c>
      <c r="E2264" s="90" t="s">
        <v>539</v>
      </c>
      <c r="F2264" s="90" t="s">
        <v>7262</v>
      </c>
      <c r="G2264" t="s">
        <v>859</v>
      </c>
    </row>
    <row r="2265" spans="1:7" x14ac:dyDescent="0.25">
      <c r="A2265" s="114">
        <v>8111202000</v>
      </c>
      <c r="B2265" s="90" t="s">
        <v>7263</v>
      </c>
      <c r="C2265" s="90" t="s">
        <v>508</v>
      </c>
      <c r="D2265" s="90" t="s">
        <v>6595</v>
      </c>
      <c r="E2265" s="90" t="s">
        <v>539</v>
      </c>
      <c r="F2265" s="90" t="s">
        <v>7264</v>
      </c>
      <c r="G2265" t="s">
        <v>859</v>
      </c>
    </row>
    <row r="2266" spans="1:7" x14ac:dyDescent="0.25">
      <c r="A2266" s="114">
        <v>8111202010</v>
      </c>
      <c r="B2266" s="90" t="s">
        <v>7265</v>
      </c>
      <c r="C2266" s="90" t="s">
        <v>508</v>
      </c>
      <c r="D2266" s="90" t="s">
        <v>6595</v>
      </c>
      <c r="E2266" s="90" t="s">
        <v>539</v>
      </c>
      <c r="F2266" s="90" t="s">
        <v>7266</v>
      </c>
      <c r="G2266" t="s">
        <v>859</v>
      </c>
    </row>
    <row r="2267" spans="1:7" x14ac:dyDescent="0.25">
      <c r="A2267" s="114">
        <v>8111202020</v>
      </c>
      <c r="B2267" s="90" t="s">
        <v>1177</v>
      </c>
      <c r="C2267" s="90" t="s">
        <v>508</v>
      </c>
      <c r="D2267" s="90" t="s">
        <v>6595</v>
      </c>
      <c r="E2267" s="90" t="s">
        <v>539</v>
      </c>
      <c r="F2267" s="90" t="s">
        <v>7267</v>
      </c>
      <c r="G2267" t="s">
        <v>512</v>
      </c>
    </row>
    <row r="2268" spans="1:7" x14ac:dyDescent="0.25">
      <c r="A2268" s="114">
        <v>8111202030</v>
      </c>
      <c r="B2268" s="90" t="s">
        <v>1414</v>
      </c>
      <c r="C2268" s="90" t="s">
        <v>508</v>
      </c>
      <c r="D2268" s="90" t="s">
        <v>6595</v>
      </c>
      <c r="E2268" s="90" t="s">
        <v>539</v>
      </c>
      <c r="F2268" s="90" t="s">
        <v>7268</v>
      </c>
      <c r="G2268" t="s">
        <v>512</v>
      </c>
    </row>
    <row r="2269" spans="1:7" x14ac:dyDescent="0.25">
      <c r="A2269" s="114">
        <v>8111202040</v>
      </c>
      <c r="B2269" s="90" t="s">
        <v>7269</v>
      </c>
      <c r="C2269" s="90" t="s">
        <v>508</v>
      </c>
      <c r="D2269" s="90" t="s">
        <v>6595</v>
      </c>
      <c r="E2269" s="90" t="s">
        <v>539</v>
      </c>
      <c r="F2269" s="90" t="s">
        <v>7270</v>
      </c>
      <c r="G2269" t="s">
        <v>512</v>
      </c>
    </row>
    <row r="2270" spans="1:7" x14ac:dyDescent="0.25">
      <c r="A2270" s="114">
        <v>8111202060</v>
      </c>
      <c r="B2270" s="90" t="s">
        <v>7271</v>
      </c>
      <c r="C2270" s="90" t="s">
        <v>508</v>
      </c>
      <c r="D2270" s="90" t="s">
        <v>6595</v>
      </c>
      <c r="E2270" s="90" t="s">
        <v>539</v>
      </c>
      <c r="F2270" s="90" t="s">
        <v>7272</v>
      </c>
      <c r="G2270" t="s">
        <v>859</v>
      </c>
    </row>
    <row r="2271" spans="1:7" x14ac:dyDescent="0.25">
      <c r="A2271" s="114">
        <v>8111202070</v>
      </c>
      <c r="B2271" s="90" t="s">
        <v>6643</v>
      </c>
      <c r="C2271" s="90" t="s">
        <v>508</v>
      </c>
      <c r="D2271" s="90" t="s">
        <v>6595</v>
      </c>
      <c r="E2271" s="90" t="s">
        <v>7273</v>
      </c>
      <c r="F2271" s="90" t="s">
        <v>7274</v>
      </c>
      <c r="G2271" t="s">
        <v>859</v>
      </c>
    </row>
    <row r="2272" spans="1:7" x14ac:dyDescent="0.25">
      <c r="A2272" s="114">
        <v>8111202080</v>
      </c>
      <c r="B2272" s="90" t="s">
        <v>7275</v>
      </c>
      <c r="C2272" s="90" t="s">
        <v>508</v>
      </c>
      <c r="D2272" s="90" t="s">
        <v>6595</v>
      </c>
      <c r="E2272" s="90" t="s">
        <v>539</v>
      </c>
      <c r="F2272" s="90" t="s">
        <v>7276</v>
      </c>
      <c r="G2272" t="s">
        <v>859</v>
      </c>
    </row>
    <row r="2273" spans="1:7" x14ac:dyDescent="0.25">
      <c r="A2273" s="114">
        <v>8111202090</v>
      </c>
      <c r="B2273" s="90" t="s">
        <v>7277</v>
      </c>
      <c r="C2273" s="90" t="s">
        <v>508</v>
      </c>
      <c r="D2273" s="90" t="s">
        <v>6595</v>
      </c>
      <c r="E2273" s="90" t="s">
        <v>539</v>
      </c>
      <c r="F2273" s="90" t="s">
        <v>7278</v>
      </c>
      <c r="G2273" t="s">
        <v>859</v>
      </c>
    </row>
    <row r="2274" spans="1:7" x14ac:dyDescent="0.25">
      <c r="A2274" s="114">
        <v>8111202100</v>
      </c>
      <c r="B2274" s="90" t="s">
        <v>7279</v>
      </c>
      <c r="C2274" s="90" t="s">
        <v>508</v>
      </c>
      <c r="D2274" s="90" t="s">
        <v>6595</v>
      </c>
      <c r="E2274" s="90" t="s">
        <v>539</v>
      </c>
      <c r="F2274" s="90" t="s">
        <v>7280</v>
      </c>
      <c r="G2274" t="s">
        <v>859</v>
      </c>
    </row>
    <row r="2275" spans="1:7" x14ac:dyDescent="0.25">
      <c r="A2275" s="114">
        <v>8111202110</v>
      </c>
      <c r="B2275" s="90" t="s">
        <v>7281</v>
      </c>
      <c r="C2275" s="90" t="s">
        <v>508</v>
      </c>
      <c r="D2275" s="90" t="s">
        <v>6595</v>
      </c>
      <c r="E2275" s="90" t="s">
        <v>539</v>
      </c>
      <c r="F2275" s="90" t="s">
        <v>7282</v>
      </c>
      <c r="G2275" t="s">
        <v>859</v>
      </c>
    </row>
    <row r="2276" spans="1:7" x14ac:dyDescent="0.25">
      <c r="A2276" s="114">
        <v>8111202130</v>
      </c>
      <c r="B2276" s="90" t="s">
        <v>7248</v>
      </c>
      <c r="C2276" s="90" t="s">
        <v>508</v>
      </c>
      <c r="D2276" s="90" t="s">
        <v>6595</v>
      </c>
      <c r="E2276" s="90" t="s">
        <v>539</v>
      </c>
      <c r="F2276" s="90" t="s">
        <v>7283</v>
      </c>
      <c r="G2276" t="s">
        <v>512</v>
      </c>
    </row>
    <row r="2277" spans="1:7" x14ac:dyDescent="0.25">
      <c r="A2277" s="114">
        <v>8111202140</v>
      </c>
      <c r="B2277" s="90" t="s">
        <v>7284</v>
      </c>
      <c r="C2277" s="90" t="s">
        <v>508</v>
      </c>
      <c r="D2277" s="90" t="s">
        <v>6595</v>
      </c>
      <c r="E2277" s="90" t="s">
        <v>539</v>
      </c>
      <c r="F2277" s="90" t="s">
        <v>7285</v>
      </c>
      <c r="G2277" t="s">
        <v>512</v>
      </c>
    </row>
    <row r="2278" spans="1:7" x14ac:dyDescent="0.25">
      <c r="A2278" s="114">
        <v>8111202150</v>
      </c>
      <c r="B2278" s="90" t="s">
        <v>7286</v>
      </c>
      <c r="C2278" s="90" t="s">
        <v>508</v>
      </c>
      <c r="D2278" s="90" t="s">
        <v>6595</v>
      </c>
      <c r="E2278" s="90" t="s">
        <v>539</v>
      </c>
      <c r="F2278" s="90" t="s">
        <v>7287</v>
      </c>
      <c r="G2278" t="s">
        <v>512</v>
      </c>
    </row>
    <row r="2279" spans="1:7" x14ac:dyDescent="0.25">
      <c r="A2279" s="114">
        <v>8111202160</v>
      </c>
      <c r="B2279" s="90" t="s">
        <v>7288</v>
      </c>
      <c r="C2279" s="90" t="s">
        <v>508</v>
      </c>
      <c r="D2279" s="90" t="s">
        <v>6595</v>
      </c>
      <c r="E2279" s="90" t="s">
        <v>539</v>
      </c>
      <c r="F2279" s="90" t="s">
        <v>7289</v>
      </c>
      <c r="G2279" t="s">
        <v>512</v>
      </c>
    </row>
    <row r="2280" spans="1:7" x14ac:dyDescent="0.25">
      <c r="A2280" s="114">
        <v>8111202170</v>
      </c>
      <c r="B2280" s="90" t="s">
        <v>7290</v>
      </c>
      <c r="C2280" s="90" t="s">
        <v>508</v>
      </c>
      <c r="D2280" s="90" t="s">
        <v>6595</v>
      </c>
      <c r="E2280" s="90" t="s">
        <v>539</v>
      </c>
      <c r="F2280" s="90" t="s">
        <v>7291</v>
      </c>
      <c r="G2280" t="s">
        <v>859</v>
      </c>
    </row>
    <row r="2281" spans="1:7" x14ac:dyDescent="0.25">
      <c r="A2281" s="114">
        <v>8111202190</v>
      </c>
      <c r="B2281" s="90" t="s">
        <v>7292</v>
      </c>
      <c r="C2281" s="90" t="s">
        <v>508</v>
      </c>
      <c r="D2281" s="90" t="s">
        <v>6595</v>
      </c>
      <c r="E2281" s="90" t="s">
        <v>539</v>
      </c>
      <c r="F2281" s="90" t="s">
        <v>7293</v>
      </c>
      <c r="G2281" t="s">
        <v>859</v>
      </c>
    </row>
    <row r="2282" spans="1:7" x14ac:dyDescent="0.25">
      <c r="A2282" s="114">
        <v>8111202200</v>
      </c>
      <c r="B2282" s="90" t="s">
        <v>7294</v>
      </c>
      <c r="C2282" s="90" t="s">
        <v>508</v>
      </c>
      <c r="D2282" s="90" t="s">
        <v>6595</v>
      </c>
      <c r="E2282" s="90" t="s">
        <v>539</v>
      </c>
      <c r="F2282" s="90" t="s">
        <v>7295</v>
      </c>
      <c r="G2282" t="s">
        <v>859</v>
      </c>
    </row>
    <row r="2283" spans="1:7" x14ac:dyDescent="0.25">
      <c r="A2283" s="114">
        <v>8111202210</v>
      </c>
      <c r="B2283" s="90" t="s">
        <v>7296</v>
      </c>
      <c r="C2283" s="90" t="s">
        <v>508</v>
      </c>
      <c r="D2283" s="90" t="s">
        <v>6595</v>
      </c>
      <c r="E2283" s="90" t="s">
        <v>539</v>
      </c>
      <c r="F2283" s="90" t="s">
        <v>7297</v>
      </c>
      <c r="G2283" t="s">
        <v>512</v>
      </c>
    </row>
    <row r="2284" spans="1:7" x14ac:dyDescent="0.25">
      <c r="A2284" s="114">
        <v>8111203200</v>
      </c>
      <c r="B2284" s="90" t="s">
        <v>7298</v>
      </c>
      <c r="C2284" s="90" t="s">
        <v>508</v>
      </c>
      <c r="D2284" s="90" t="s">
        <v>6595</v>
      </c>
      <c r="E2284" s="90" t="s">
        <v>539</v>
      </c>
      <c r="F2284" s="90" t="s">
        <v>7299</v>
      </c>
      <c r="G2284" t="s">
        <v>512</v>
      </c>
    </row>
    <row r="2285" spans="1:7" x14ac:dyDescent="0.25">
      <c r="A2285" s="114">
        <v>8111203210</v>
      </c>
      <c r="B2285" s="90" t="s">
        <v>7300</v>
      </c>
      <c r="C2285" s="90" t="s">
        <v>508</v>
      </c>
      <c r="D2285" s="90" t="s">
        <v>6595</v>
      </c>
      <c r="E2285" s="90" t="s">
        <v>539</v>
      </c>
      <c r="F2285" s="90" t="s">
        <v>7301</v>
      </c>
      <c r="G2285" t="s">
        <v>859</v>
      </c>
    </row>
    <row r="2286" spans="1:7" x14ac:dyDescent="0.25">
      <c r="A2286" s="114">
        <v>8111203220</v>
      </c>
      <c r="B2286" s="90" t="s">
        <v>7302</v>
      </c>
      <c r="C2286" s="90" t="s">
        <v>508</v>
      </c>
      <c r="D2286" s="90" t="s">
        <v>6595</v>
      </c>
      <c r="E2286" s="90" t="s">
        <v>539</v>
      </c>
      <c r="F2286" s="90" t="s">
        <v>7303</v>
      </c>
      <c r="G2286" t="s">
        <v>512</v>
      </c>
    </row>
    <row r="2287" spans="1:7" x14ac:dyDescent="0.25">
      <c r="A2287" s="114">
        <v>8111203230</v>
      </c>
      <c r="B2287" s="90" t="s">
        <v>7304</v>
      </c>
      <c r="C2287" s="90" t="s">
        <v>508</v>
      </c>
      <c r="D2287" s="90" t="s">
        <v>6595</v>
      </c>
      <c r="E2287" s="90" t="s">
        <v>539</v>
      </c>
      <c r="F2287" s="90" t="s">
        <v>7305</v>
      </c>
      <c r="G2287" t="s">
        <v>512</v>
      </c>
    </row>
    <row r="2288" spans="1:7" x14ac:dyDescent="0.25">
      <c r="A2288" s="114">
        <v>8111203240</v>
      </c>
      <c r="B2288" s="90" t="s">
        <v>7284</v>
      </c>
      <c r="C2288" s="90" t="s">
        <v>508</v>
      </c>
      <c r="D2288" s="90" t="s">
        <v>6595</v>
      </c>
      <c r="E2288" s="90" t="s">
        <v>539</v>
      </c>
      <c r="F2288" s="90" t="s">
        <v>7306</v>
      </c>
      <c r="G2288" t="s">
        <v>512</v>
      </c>
    </row>
    <row r="2289" spans="1:7" x14ac:dyDescent="0.25">
      <c r="A2289" s="114">
        <v>8111203260</v>
      </c>
      <c r="B2289" s="90" t="s">
        <v>7307</v>
      </c>
      <c r="C2289" s="90" t="s">
        <v>508</v>
      </c>
      <c r="D2289" s="90" t="s">
        <v>6595</v>
      </c>
      <c r="E2289" s="90" t="s">
        <v>539</v>
      </c>
      <c r="F2289" s="90" t="s">
        <v>7308</v>
      </c>
      <c r="G2289" t="s">
        <v>859</v>
      </c>
    </row>
    <row r="2290" spans="1:7" x14ac:dyDescent="0.25">
      <c r="A2290" s="114">
        <v>8111203270</v>
      </c>
      <c r="B2290" s="90" t="s">
        <v>7309</v>
      </c>
      <c r="C2290" s="90" t="s">
        <v>508</v>
      </c>
      <c r="D2290" s="90" t="s">
        <v>6595</v>
      </c>
      <c r="E2290" s="90" t="s">
        <v>539</v>
      </c>
      <c r="F2290" s="90" t="s">
        <v>7310</v>
      </c>
      <c r="G2290" t="s">
        <v>859</v>
      </c>
    </row>
    <row r="2291" spans="1:7" x14ac:dyDescent="0.25">
      <c r="A2291" s="114">
        <v>8111203280</v>
      </c>
      <c r="B2291" s="90" t="s">
        <v>7311</v>
      </c>
      <c r="C2291" s="90" t="s">
        <v>508</v>
      </c>
      <c r="D2291" s="90" t="s">
        <v>6595</v>
      </c>
      <c r="E2291" s="90" t="s">
        <v>539</v>
      </c>
      <c r="F2291" s="90" t="s">
        <v>7312</v>
      </c>
      <c r="G2291" t="s">
        <v>512</v>
      </c>
    </row>
    <row r="2292" spans="1:7" x14ac:dyDescent="0.25">
      <c r="A2292" s="114">
        <v>8111203290</v>
      </c>
      <c r="B2292" s="90" t="s">
        <v>7313</v>
      </c>
      <c r="C2292" s="90" t="s">
        <v>508</v>
      </c>
      <c r="D2292" s="90" t="s">
        <v>6595</v>
      </c>
      <c r="E2292" s="90" t="s">
        <v>539</v>
      </c>
      <c r="F2292" s="90" t="s">
        <v>7314</v>
      </c>
      <c r="G2292" t="s">
        <v>512</v>
      </c>
    </row>
    <row r="2293" spans="1:7" x14ac:dyDescent="0.25">
      <c r="A2293" s="114">
        <v>8111203300</v>
      </c>
      <c r="B2293" s="90" t="s">
        <v>7315</v>
      </c>
      <c r="C2293" s="90" t="s">
        <v>508</v>
      </c>
      <c r="D2293" s="90" t="s">
        <v>6595</v>
      </c>
      <c r="E2293" s="90" t="s">
        <v>539</v>
      </c>
      <c r="F2293" s="90" t="s">
        <v>7316</v>
      </c>
      <c r="G2293" t="s">
        <v>859</v>
      </c>
    </row>
    <row r="2294" spans="1:7" x14ac:dyDescent="0.25">
      <c r="A2294" s="114">
        <v>8111203310</v>
      </c>
      <c r="B2294" s="90" t="s">
        <v>7317</v>
      </c>
      <c r="C2294" s="90" t="s">
        <v>508</v>
      </c>
      <c r="D2294" s="90" t="s">
        <v>6595</v>
      </c>
      <c r="E2294" s="90" t="s">
        <v>539</v>
      </c>
      <c r="F2294" s="90" t="s">
        <v>7318</v>
      </c>
      <c r="G2294" t="s">
        <v>859</v>
      </c>
    </row>
    <row r="2295" spans="1:7" x14ac:dyDescent="0.25">
      <c r="A2295" s="114">
        <v>8111203320</v>
      </c>
      <c r="B2295" s="90" t="s">
        <v>7319</v>
      </c>
      <c r="C2295" s="90" t="s">
        <v>508</v>
      </c>
      <c r="D2295" s="90" t="s">
        <v>6595</v>
      </c>
      <c r="E2295" s="90" t="s">
        <v>539</v>
      </c>
      <c r="F2295" s="90" t="s">
        <v>7320</v>
      </c>
      <c r="G2295" t="s">
        <v>859</v>
      </c>
    </row>
    <row r="2296" spans="1:7" x14ac:dyDescent="0.25">
      <c r="A2296" s="114">
        <v>8111203330</v>
      </c>
      <c r="B2296" s="90" t="s">
        <v>7187</v>
      </c>
      <c r="C2296" s="90" t="s">
        <v>508</v>
      </c>
      <c r="D2296" s="90" t="s">
        <v>7070</v>
      </c>
      <c r="E2296" s="90" t="s">
        <v>539</v>
      </c>
      <c r="F2296" s="90" t="s">
        <v>7321</v>
      </c>
      <c r="G2296" t="s">
        <v>859</v>
      </c>
    </row>
    <row r="2297" spans="1:7" x14ac:dyDescent="0.25">
      <c r="A2297" s="114">
        <v>8111203340</v>
      </c>
      <c r="B2297" s="90" t="s">
        <v>7322</v>
      </c>
      <c r="C2297" s="90" t="s">
        <v>508</v>
      </c>
      <c r="D2297" s="90" t="s">
        <v>6595</v>
      </c>
      <c r="E2297" s="90" t="s">
        <v>539</v>
      </c>
      <c r="F2297" s="90" t="s">
        <v>7323</v>
      </c>
      <c r="G2297" t="s">
        <v>859</v>
      </c>
    </row>
    <row r="2298" spans="1:7" x14ac:dyDescent="0.25">
      <c r="A2298" s="114">
        <v>8111203350</v>
      </c>
      <c r="B2298" s="90" t="s">
        <v>7324</v>
      </c>
      <c r="C2298" s="90" t="s">
        <v>508</v>
      </c>
      <c r="D2298" s="90" t="s">
        <v>6595</v>
      </c>
      <c r="E2298" s="90" t="s">
        <v>539</v>
      </c>
      <c r="F2298" s="90" t="s">
        <v>7325</v>
      </c>
      <c r="G2298" t="s">
        <v>859</v>
      </c>
    </row>
    <row r="2299" spans="1:7" x14ac:dyDescent="0.25">
      <c r="A2299" s="114">
        <v>8111203360</v>
      </c>
      <c r="B2299" s="90" t="s">
        <v>2687</v>
      </c>
      <c r="C2299" s="90" t="s">
        <v>508</v>
      </c>
      <c r="D2299" s="90" t="s">
        <v>6595</v>
      </c>
      <c r="E2299" s="90" t="s">
        <v>539</v>
      </c>
      <c r="F2299" s="90" t="s">
        <v>7326</v>
      </c>
      <c r="G2299" t="s">
        <v>512</v>
      </c>
    </row>
    <row r="2300" spans="1:7" x14ac:dyDescent="0.25">
      <c r="A2300" s="114">
        <v>8111203380</v>
      </c>
      <c r="B2300" s="90" t="s">
        <v>7327</v>
      </c>
      <c r="C2300" s="90" t="s">
        <v>508</v>
      </c>
      <c r="D2300" s="90" t="s">
        <v>6595</v>
      </c>
      <c r="E2300" s="90" t="s">
        <v>539</v>
      </c>
      <c r="F2300" s="90" t="s">
        <v>7328</v>
      </c>
      <c r="G2300" t="s">
        <v>859</v>
      </c>
    </row>
    <row r="2301" spans="1:7" x14ac:dyDescent="0.25">
      <c r="A2301" s="114">
        <v>8111203390</v>
      </c>
      <c r="B2301" s="90" t="s">
        <v>2395</v>
      </c>
      <c r="C2301" s="90" t="s">
        <v>508</v>
      </c>
      <c r="D2301" s="90" t="s">
        <v>6595</v>
      </c>
      <c r="E2301" s="90" t="s">
        <v>539</v>
      </c>
      <c r="F2301" s="90" t="s">
        <v>7329</v>
      </c>
      <c r="G2301" t="s">
        <v>512</v>
      </c>
    </row>
    <row r="2302" spans="1:7" x14ac:dyDescent="0.25">
      <c r="A2302" s="114">
        <v>8111203400</v>
      </c>
      <c r="B2302" s="90" t="s">
        <v>7330</v>
      </c>
      <c r="C2302" s="90" t="s">
        <v>508</v>
      </c>
      <c r="D2302" s="90" t="s">
        <v>6595</v>
      </c>
      <c r="E2302" s="90" t="s">
        <v>539</v>
      </c>
      <c r="F2302" s="90" t="s">
        <v>7331</v>
      </c>
      <c r="G2302" t="s">
        <v>859</v>
      </c>
    </row>
    <row r="2303" spans="1:7" x14ac:dyDescent="0.25">
      <c r="A2303" s="114">
        <v>8111203410</v>
      </c>
      <c r="B2303" s="90" t="s">
        <v>7332</v>
      </c>
      <c r="C2303" s="90" t="s">
        <v>508</v>
      </c>
      <c r="D2303" s="90" t="s">
        <v>6595</v>
      </c>
      <c r="E2303" s="90" t="s">
        <v>539</v>
      </c>
      <c r="F2303" s="90" t="s">
        <v>7333</v>
      </c>
      <c r="G2303" t="s">
        <v>859</v>
      </c>
    </row>
    <row r="2304" spans="1:7" x14ac:dyDescent="0.25">
      <c r="A2304" s="114">
        <v>8111203440</v>
      </c>
      <c r="B2304" s="90" t="s">
        <v>7334</v>
      </c>
      <c r="C2304" s="90" t="s">
        <v>508</v>
      </c>
      <c r="D2304" s="90" t="s">
        <v>6595</v>
      </c>
      <c r="E2304" s="90" t="s">
        <v>539</v>
      </c>
      <c r="F2304" s="90" t="s">
        <v>7335</v>
      </c>
      <c r="G2304" t="s">
        <v>512</v>
      </c>
    </row>
    <row r="2305" spans="1:7" x14ac:dyDescent="0.25">
      <c r="A2305" s="114">
        <v>8111203450</v>
      </c>
      <c r="B2305" s="90" t="s">
        <v>7336</v>
      </c>
      <c r="C2305" s="90" t="s">
        <v>508</v>
      </c>
      <c r="D2305" s="90" t="s">
        <v>6595</v>
      </c>
      <c r="E2305" s="90" t="s">
        <v>539</v>
      </c>
      <c r="F2305" s="90" t="s">
        <v>7337</v>
      </c>
      <c r="G2305" t="s">
        <v>859</v>
      </c>
    </row>
    <row r="2306" spans="1:7" x14ac:dyDescent="0.25">
      <c r="A2306" s="114">
        <v>8111203460</v>
      </c>
      <c r="B2306" s="90" t="s">
        <v>7338</v>
      </c>
      <c r="C2306" s="90" t="s">
        <v>508</v>
      </c>
      <c r="D2306" s="90" t="s">
        <v>6595</v>
      </c>
      <c r="E2306" s="90" t="s">
        <v>539</v>
      </c>
      <c r="F2306" s="90" t="s">
        <v>7339</v>
      </c>
      <c r="G2306" t="s">
        <v>512</v>
      </c>
    </row>
    <row r="2307" spans="1:7" x14ac:dyDescent="0.25">
      <c r="A2307" s="114">
        <v>8111203470</v>
      </c>
      <c r="B2307" s="90" t="s">
        <v>7340</v>
      </c>
      <c r="C2307" s="90" t="s">
        <v>508</v>
      </c>
      <c r="D2307" s="90" t="s">
        <v>6595</v>
      </c>
      <c r="E2307" s="90" t="s">
        <v>539</v>
      </c>
      <c r="F2307" s="90" t="s">
        <v>7341</v>
      </c>
      <c r="G2307" t="s">
        <v>859</v>
      </c>
    </row>
    <row r="2308" spans="1:7" x14ac:dyDescent="0.25">
      <c r="A2308" s="114">
        <v>8111203490</v>
      </c>
      <c r="B2308" s="90" t="s">
        <v>7342</v>
      </c>
      <c r="C2308" s="90" t="s">
        <v>508</v>
      </c>
      <c r="D2308" s="90" t="s">
        <v>6595</v>
      </c>
      <c r="E2308" s="90" t="s">
        <v>539</v>
      </c>
      <c r="F2308" s="90" t="s">
        <v>7343</v>
      </c>
      <c r="G2308" t="s">
        <v>859</v>
      </c>
    </row>
    <row r="2309" spans="1:7" x14ac:dyDescent="0.25">
      <c r="A2309" s="114">
        <v>8111203500</v>
      </c>
      <c r="B2309" s="90" t="s">
        <v>7344</v>
      </c>
      <c r="C2309" s="90" t="s">
        <v>508</v>
      </c>
      <c r="D2309" s="90" t="s">
        <v>6595</v>
      </c>
      <c r="E2309" s="90" t="s">
        <v>539</v>
      </c>
      <c r="F2309" s="90" t="s">
        <v>7345</v>
      </c>
      <c r="G2309" t="s">
        <v>859</v>
      </c>
    </row>
    <row r="2310" spans="1:7" x14ac:dyDescent="0.25">
      <c r="A2310" s="114">
        <v>8111203510</v>
      </c>
      <c r="B2310" s="90" t="s">
        <v>7346</v>
      </c>
      <c r="C2310" s="90" t="s">
        <v>508</v>
      </c>
      <c r="D2310" s="90" t="s">
        <v>6595</v>
      </c>
      <c r="E2310" s="90" t="s">
        <v>539</v>
      </c>
      <c r="F2310" s="90" t="s">
        <v>7347</v>
      </c>
      <c r="G2310" t="s">
        <v>859</v>
      </c>
    </row>
    <row r="2311" spans="1:7" x14ac:dyDescent="0.25">
      <c r="A2311" s="114">
        <v>8111203520</v>
      </c>
      <c r="B2311" s="90" t="s">
        <v>7348</v>
      </c>
      <c r="C2311" s="90" t="s">
        <v>508</v>
      </c>
      <c r="D2311" s="90" t="s">
        <v>6595</v>
      </c>
      <c r="E2311" s="90" t="s">
        <v>539</v>
      </c>
      <c r="F2311" s="90" t="s">
        <v>7349</v>
      </c>
      <c r="G2311" t="s">
        <v>859</v>
      </c>
    </row>
    <row r="2312" spans="1:7" x14ac:dyDescent="0.25">
      <c r="A2312" s="114">
        <v>8111203530</v>
      </c>
      <c r="B2312" s="90" t="s">
        <v>7350</v>
      </c>
      <c r="C2312" s="90" t="s">
        <v>508</v>
      </c>
      <c r="D2312" s="90" t="s">
        <v>6595</v>
      </c>
      <c r="E2312" s="90" t="s">
        <v>539</v>
      </c>
      <c r="F2312" s="90" t="s">
        <v>7351</v>
      </c>
      <c r="G2312" t="s">
        <v>859</v>
      </c>
    </row>
    <row r="2313" spans="1:7" x14ac:dyDescent="0.25">
      <c r="A2313" s="114">
        <v>8111203540</v>
      </c>
      <c r="B2313" s="90" t="s">
        <v>7352</v>
      </c>
      <c r="C2313" s="90" t="s">
        <v>508</v>
      </c>
      <c r="D2313" s="90" t="s">
        <v>6595</v>
      </c>
      <c r="E2313" s="90" t="s">
        <v>539</v>
      </c>
      <c r="F2313" s="90" t="s">
        <v>7353</v>
      </c>
      <c r="G2313" t="s">
        <v>512</v>
      </c>
    </row>
    <row r="2314" spans="1:7" x14ac:dyDescent="0.25">
      <c r="A2314" s="114">
        <v>8111203550</v>
      </c>
      <c r="B2314" s="90" t="s">
        <v>7354</v>
      </c>
      <c r="C2314" s="90" t="s">
        <v>508</v>
      </c>
      <c r="D2314" s="90" t="s">
        <v>6595</v>
      </c>
      <c r="E2314" s="90" t="s">
        <v>539</v>
      </c>
      <c r="F2314" s="90" t="s">
        <v>7355</v>
      </c>
      <c r="G2314" t="s">
        <v>859</v>
      </c>
    </row>
    <row r="2315" spans="1:7" x14ac:dyDescent="0.25">
      <c r="A2315" s="114">
        <v>8111203570</v>
      </c>
      <c r="B2315" s="90" t="s">
        <v>7356</v>
      </c>
      <c r="C2315" s="90" t="s">
        <v>508</v>
      </c>
      <c r="D2315" s="90" t="s">
        <v>6595</v>
      </c>
      <c r="E2315" s="90" t="s">
        <v>539</v>
      </c>
      <c r="F2315" s="90" t="s">
        <v>7357</v>
      </c>
      <c r="G2315" t="s">
        <v>859</v>
      </c>
    </row>
    <row r="2316" spans="1:7" x14ac:dyDescent="0.25">
      <c r="A2316" s="114">
        <v>8111203580</v>
      </c>
      <c r="B2316" s="90" t="s">
        <v>7358</v>
      </c>
      <c r="C2316" s="90" t="s">
        <v>508</v>
      </c>
      <c r="D2316" s="90" t="s">
        <v>6595</v>
      </c>
      <c r="E2316" s="90" t="s">
        <v>539</v>
      </c>
      <c r="F2316" s="90" t="s">
        <v>7359</v>
      </c>
      <c r="G2316" t="s">
        <v>512</v>
      </c>
    </row>
    <row r="2317" spans="1:7" x14ac:dyDescent="0.25">
      <c r="A2317" s="114">
        <v>8111203590</v>
      </c>
      <c r="B2317" s="90" t="s">
        <v>4607</v>
      </c>
      <c r="C2317" s="90" t="s">
        <v>508</v>
      </c>
      <c r="D2317" s="90" t="s">
        <v>6595</v>
      </c>
      <c r="E2317" s="90" t="s">
        <v>539</v>
      </c>
      <c r="F2317" s="90" t="s">
        <v>7360</v>
      </c>
      <c r="G2317" t="s">
        <v>512</v>
      </c>
    </row>
    <row r="2318" spans="1:7" x14ac:dyDescent="0.25">
      <c r="A2318" s="114">
        <v>8111203600</v>
      </c>
      <c r="B2318" s="90" t="s">
        <v>7361</v>
      </c>
      <c r="C2318" s="90" t="s">
        <v>508</v>
      </c>
      <c r="D2318" s="90" t="s">
        <v>6595</v>
      </c>
      <c r="E2318" s="90" t="s">
        <v>539</v>
      </c>
      <c r="F2318" s="90" t="s">
        <v>7362</v>
      </c>
      <c r="G2318" t="s">
        <v>859</v>
      </c>
    </row>
    <row r="2319" spans="1:7" x14ac:dyDescent="0.25">
      <c r="A2319" s="114">
        <v>8111203610</v>
      </c>
      <c r="B2319" s="90" t="s">
        <v>7363</v>
      </c>
      <c r="C2319" s="90" t="s">
        <v>508</v>
      </c>
      <c r="D2319" s="90" t="s">
        <v>6595</v>
      </c>
      <c r="E2319" s="90" t="s">
        <v>539</v>
      </c>
      <c r="F2319" s="90" t="s">
        <v>7364</v>
      </c>
      <c r="G2319" t="s">
        <v>859</v>
      </c>
    </row>
    <row r="2320" spans="1:7" x14ac:dyDescent="0.25">
      <c r="A2320" s="114">
        <v>8111203620</v>
      </c>
      <c r="B2320" s="90" t="s">
        <v>7365</v>
      </c>
      <c r="C2320" s="90" t="s">
        <v>508</v>
      </c>
      <c r="D2320" s="90" t="s">
        <v>6595</v>
      </c>
      <c r="E2320" s="90" t="s">
        <v>539</v>
      </c>
      <c r="F2320" s="90" t="s">
        <v>7366</v>
      </c>
      <c r="G2320" t="s">
        <v>859</v>
      </c>
    </row>
    <row r="2321" spans="1:7" x14ac:dyDescent="0.25">
      <c r="A2321" s="114">
        <v>8111203630</v>
      </c>
      <c r="B2321" s="90" t="s">
        <v>1996</v>
      </c>
      <c r="C2321" s="90" t="s">
        <v>508</v>
      </c>
      <c r="D2321" s="90" t="s">
        <v>6595</v>
      </c>
      <c r="E2321" s="90" t="s">
        <v>539</v>
      </c>
      <c r="F2321" s="90" t="s">
        <v>7367</v>
      </c>
      <c r="G2321" t="s">
        <v>512</v>
      </c>
    </row>
    <row r="2322" spans="1:7" x14ac:dyDescent="0.25">
      <c r="A2322" s="114">
        <v>8111203640</v>
      </c>
      <c r="B2322" s="90" t="s">
        <v>6802</v>
      </c>
      <c r="C2322" s="90" t="s">
        <v>508</v>
      </c>
      <c r="D2322" s="90" t="s">
        <v>6595</v>
      </c>
      <c r="E2322" s="90" t="s">
        <v>539</v>
      </c>
      <c r="F2322" s="90" t="s">
        <v>7368</v>
      </c>
      <c r="G2322" t="s">
        <v>859</v>
      </c>
    </row>
    <row r="2323" spans="1:7" x14ac:dyDescent="0.25">
      <c r="A2323" s="114">
        <v>8111203650</v>
      </c>
      <c r="B2323" s="90" t="s">
        <v>7369</v>
      </c>
      <c r="C2323" s="90" t="s">
        <v>508</v>
      </c>
      <c r="D2323" s="90" t="s">
        <v>6595</v>
      </c>
      <c r="E2323" s="90" t="s">
        <v>539</v>
      </c>
      <c r="F2323" s="90" t="s">
        <v>7370</v>
      </c>
      <c r="G2323" t="s">
        <v>512</v>
      </c>
    </row>
    <row r="2324" spans="1:7" x14ac:dyDescent="0.25">
      <c r="A2324" s="114">
        <v>8111203660</v>
      </c>
      <c r="B2324" s="90" t="s">
        <v>7371</v>
      </c>
      <c r="C2324" s="90" t="s">
        <v>508</v>
      </c>
      <c r="D2324" s="90" t="s">
        <v>6595</v>
      </c>
      <c r="E2324" s="90" t="s">
        <v>539</v>
      </c>
      <c r="F2324" s="90" t="s">
        <v>7372</v>
      </c>
      <c r="G2324" t="s">
        <v>859</v>
      </c>
    </row>
    <row r="2325" spans="1:7" x14ac:dyDescent="0.25">
      <c r="A2325" s="114">
        <v>8111203670</v>
      </c>
      <c r="B2325" s="90" t="s">
        <v>7373</v>
      </c>
      <c r="C2325" s="90" t="s">
        <v>508</v>
      </c>
      <c r="D2325" s="90" t="s">
        <v>6595</v>
      </c>
      <c r="E2325" s="90" t="s">
        <v>539</v>
      </c>
      <c r="F2325" s="90" t="s">
        <v>7374</v>
      </c>
      <c r="G2325" t="s">
        <v>512</v>
      </c>
    </row>
    <row r="2326" spans="1:7" x14ac:dyDescent="0.25">
      <c r="A2326" s="114">
        <v>8111203680</v>
      </c>
      <c r="B2326" s="90" t="s">
        <v>7375</v>
      </c>
      <c r="C2326" s="90" t="s">
        <v>508</v>
      </c>
      <c r="D2326" s="90" t="s">
        <v>6595</v>
      </c>
      <c r="E2326" s="90" t="s">
        <v>539</v>
      </c>
      <c r="F2326" s="90" t="s">
        <v>7376</v>
      </c>
      <c r="G2326" t="s">
        <v>859</v>
      </c>
    </row>
    <row r="2327" spans="1:7" x14ac:dyDescent="0.25">
      <c r="A2327" s="114">
        <v>8111203690</v>
      </c>
      <c r="B2327" s="90" t="s">
        <v>7377</v>
      </c>
      <c r="C2327" s="90" t="s">
        <v>508</v>
      </c>
      <c r="D2327" s="90" t="s">
        <v>6595</v>
      </c>
      <c r="E2327" s="90" t="s">
        <v>539</v>
      </c>
      <c r="F2327" s="90" t="s">
        <v>7378</v>
      </c>
      <c r="G2327" t="s">
        <v>512</v>
      </c>
    </row>
    <row r="2328" spans="1:7" x14ac:dyDescent="0.25">
      <c r="A2328" s="114">
        <v>8111203700</v>
      </c>
      <c r="B2328" s="90" t="s">
        <v>7379</v>
      </c>
      <c r="C2328" s="90" t="s">
        <v>508</v>
      </c>
      <c r="D2328" s="90" t="s">
        <v>6595</v>
      </c>
      <c r="E2328" s="90" t="s">
        <v>539</v>
      </c>
      <c r="F2328" s="90" t="s">
        <v>7380</v>
      </c>
      <c r="G2328" t="s">
        <v>859</v>
      </c>
    </row>
    <row r="2329" spans="1:7" x14ac:dyDescent="0.25">
      <c r="A2329" s="114">
        <v>8111203840</v>
      </c>
      <c r="B2329" s="90" t="s">
        <v>7381</v>
      </c>
      <c r="C2329" s="90" t="s">
        <v>508</v>
      </c>
      <c r="D2329" s="90" t="s">
        <v>6595</v>
      </c>
      <c r="E2329" s="90" t="s">
        <v>4884</v>
      </c>
      <c r="F2329" s="90" t="s">
        <v>7382</v>
      </c>
      <c r="G2329" t="s">
        <v>859</v>
      </c>
    </row>
    <row r="2330" spans="1:7" x14ac:dyDescent="0.25">
      <c r="A2330" s="114">
        <v>8111204350</v>
      </c>
      <c r="B2330" s="90" t="s">
        <v>7383</v>
      </c>
      <c r="C2330" s="90" t="s">
        <v>508</v>
      </c>
      <c r="D2330" s="90" t="s">
        <v>6595</v>
      </c>
      <c r="E2330" s="90" t="s">
        <v>539</v>
      </c>
      <c r="F2330" s="90" t="s">
        <v>7384</v>
      </c>
      <c r="G2330" t="s">
        <v>859</v>
      </c>
    </row>
    <row r="2331" spans="1:7" x14ac:dyDescent="0.25">
      <c r="A2331" s="114">
        <v>8111204360</v>
      </c>
      <c r="B2331" s="90" t="s">
        <v>7385</v>
      </c>
      <c r="C2331" s="90" t="s">
        <v>508</v>
      </c>
      <c r="D2331" s="90" t="s">
        <v>6595</v>
      </c>
      <c r="E2331" s="90" t="s">
        <v>539</v>
      </c>
      <c r="F2331" s="90" t="s">
        <v>7386</v>
      </c>
      <c r="G2331" t="s">
        <v>859</v>
      </c>
    </row>
    <row r="2332" spans="1:7" x14ac:dyDescent="0.25">
      <c r="A2332" s="114">
        <v>8111204380</v>
      </c>
      <c r="B2332" s="90" t="s">
        <v>7387</v>
      </c>
      <c r="C2332" s="90" t="s">
        <v>508</v>
      </c>
      <c r="D2332" s="90" t="s">
        <v>6595</v>
      </c>
      <c r="E2332" s="90" t="s">
        <v>539</v>
      </c>
      <c r="F2332" s="90" t="s">
        <v>7388</v>
      </c>
      <c r="G2332" t="s">
        <v>859</v>
      </c>
    </row>
    <row r="2333" spans="1:7" x14ac:dyDescent="0.25">
      <c r="A2333" s="114">
        <v>8111204390</v>
      </c>
      <c r="B2333" s="90" t="s">
        <v>7389</v>
      </c>
      <c r="C2333" s="90" t="s">
        <v>508</v>
      </c>
      <c r="D2333" s="90" t="s">
        <v>6595</v>
      </c>
      <c r="E2333" s="90" t="s">
        <v>539</v>
      </c>
      <c r="F2333" s="90" t="s">
        <v>7390</v>
      </c>
      <c r="G2333" t="s">
        <v>512</v>
      </c>
    </row>
    <row r="2334" spans="1:7" x14ac:dyDescent="0.25">
      <c r="A2334" s="114">
        <v>8111204400</v>
      </c>
      <c r="B2334" s="90" t="s">
        <v>7391</v>
      </c>
      <c r="C2334" s="90" t="s">
        <v>508</v>
      </c>
      <c r="D2334" s="90" t="s">
        <v>6595</v>
      </c>
      <c r="E2334" s="90" t="s">
        <v>539</v>
      </c>
      <c r="F2334" s="90" t="s">
        <v>7392</v>
      </c>
      <c r="G2334" t="s">
        <v>859</v>
      </c>
    </row>
    <row r="2335" spans="1:7" x14ac:dyDescent="0.25">
      <c r="A2335" s="114">
        <v>8111204420</v>
      </c>
      <c r="B2335" s="90" t="s">
        <v>7393</v>
      </c>
      <c r="C2335" s="90" t="s">
        <v>508</v>
      </c>
      <c r="D2335" s="90" t="s">
        <v>6595</v>
      </c>
      <c r="E2335" s="90" t="s">
        <v>539</v>
      </c>
      <c r="F2335" s="90" t="s">
        <v>7394</v>
      </c>
      <c r="G2335" t="s">
        <v>859</v>
      </c>
    </row>
    <row r="2336" spans="1:7" x14ac:dyDescent="0.25">
      <c r="A2336" s="114">
        <v>8111204430</v>
      </c>
      <c r="B2336" s="90" t="s">
        <v>7395</v>
      </c>
      <c r="C2336" s="90" t="s">
        <v>508</v>
      </c>
      <c r="D2336" s="90" t="s">
        <v>6595</v>
      </c>
      <c r="E2336" s="90" t="s">
        <v>539</v>
      </c>
      <c r="F2336" s="90" t="s">
        <v>7396</v>
      </c>
      <c r="G2336" t="s">
        <v>512</v>
      </c>
    </row>
    <row r="2337" spans="1:7" x14ac:dyDescent="0.25">
      <c r="A2337" s="114">
        <v>8111204460</v>
      </c>
      <c r="B2337" s="90" t="s">
        <v>7397</v>
      </c>
      <c r="C2337" s="90" t="s">
        <v>508</v>
      </c>
      <c r="D2337" s="90" t="s">
        <v>6595</v>
      </c>
      <c r="E2337" s="90" t="s">
        <v>539</v>
      </c>
      <c r="F2337" s="90" t="s">
        <v>7398</v>
      </c>
      <c r="G2337" t="s">
        <v>859</v>
      </c>
    </row>
    <row r="2338" spans="1:7" x14ac:dyDescent="0.25">
      <c r="A2338" s="114">
        <v>8111204470</v>
      </c>
      <c r="B2338" s="90" t="s">
        <v>7399</v>
      </c>
      <c r="C2338" s="90" t="s">
        <v>508</v>
      </c>
      <c r="D2338" s="90" t="s">
        <v>6595</v>
      </c>
      <c r="E2338" s="90" t="s">
        <v>539</v>
      </c>
      <c r="F2338" s="90" t="s">
        <v>7400</v>
      </c>
      <c r="G2338" t="s">
        <v>859</v>
      </c>
    </row>
    <row r="2339" spans="1:7" x14ac:dyDescent="0.25">
      <c r="A2339" s="114">
        <v>8111204490</v>
      </c>
      <c r="B2339" s="90" t="s">
        <v>7401</v>
      </c>
      <c r="C2339" s="90" t="s">
        <v>508</v>
      </c>
      <c r="D2339" s="90" t="s">
        <v>6595</v>
      </c>
      <c r="E2339" s="90" t="s">
        <v>539</v>
      </c>
      <c r="F2339" s="90" t="s">
        <v>7402</v>
      </c>
      <c r="G2339" t="s">
        <v>859</v>
      </c>
    </row>
    <row r="2340" spans="1:7" x14ac:dyDescent="0.25">
      <c r="A2340" s="114">
        <v>8111204500</v>
      </c>
      <c r="B2340" s="90" t="s">
        <v>7403</v>
      </c>
      <c r="C2340" s="90" t="s">
        <v>508</v>
      </c>
      <c r="D2340" s="90" t="s">
        <v>6595</v>
      </c>
      <c r="E2340" s="90" t="s">
        <v>539</v>
      </c>
      <c r="F2340" s="90" t="s">
        <v>7404</v>
      </c>
      <c r="G2340" t="s">
        <v>512</v>
      </c>
    </row>
    <row r="2341" spans="1:7" x14ac:dyDescent="0.25">
      <c r="A2341" s="114">
        <v>8111204510</v>
      </c>
      <c r="B2341" s="90" t="s">
        <v>7405</v>
      </c>
      <c r="C2341" s="90" t="s">
        <v>508</v>
      </c>
      <c r="D2341" s="90" t="s">
        <v>6595</v>
      </c>
      <c r="E2341" s="90" t="s">
        <v>539</v>
      </c>
      <c r="F2341" s="90" t="s">
        <v>7406</v>
      </c>
      <c r="G2341" t="s">
        <v>512</v>
      </c>
    </row>
    <row r="2342" spans="1:7" x14ac:dyDescent="0.25">
      <c r="A2342" s="114">
        <v>8111204520</v>
      </c>
      <c r="B2342" s="90" t="s">
        <v>7407</v>
      </c>
      <c r="C2342" s="90" t="s">
        <v>508</v>
      </c>
      <c r="D2342" s="90" t="s">
        <v>6595</v>
      </c>
      <c r="E2342" s="90" t="s">
        <v>539</v>
      </c>
      <c r="F2342" s="90" t="s">
        <v>7408</v>
      </c>
      <c r="G2342" t="s">
        <v>859</v>
      </c>
    </row>
    <row r="2343" spans="1:7" x14ac:dyDescent="0.25">
      <c r="A2343" s="114">
        <v>8111204530</v>
      </c>
      <c r="B2343" s="90" t="s">
        <v>7409</v>
      </c>
      <c r="C2343" s="90" t="s">
        <v>508</v>
      </c>
      <c r="D2343" s="90" t="s">
        <v>6595</v>
      </c>
      <c r="E2343" s="90" t="s">
        <v>539</v>
      </c>
      <c r="F2343" s="90" t="s">
        <v>7410</v>
      </c>
      <c r="G2343" t="s">
        <v>512</v>
      </c>
    </row>
    <row r="2344" spans="1:7" x14ac:dyDescent="0.25">
      <c r="A2344" s="114">
        <v>8111204540</v>
      </c>
      <c r="B2344" s="90" t="s">
        <v>6856</v>
      </c>
      <c r="C2344" s="90" t="s">
        <v>508</v>
      </c>
      <c r="D2344" s="90" t="s">
        <v>6595</v>
      </c>
      <c r="E2344" s="90" t="s">
        <v>539</v>
      </c>
      <c r="F2344" s="90" t="s">
        <v>7411</v>
      </c>
      <c r="G2344" t="s">
        <v>859</v>
      </c>
    </row>
    <row r="2345" spans="1:7" x14ac:dyDescent="0.25">
      <c r="A2345" s="114">
        <v>8111204560</v>
      </c>
      <c r="B2345" s="90" t="s">
        <v>7412</v>
      </c>
      <c r="C2345" s="90" t="s">
        <v>508</v>
      </c>
      <c r="D2345" s="90" t="s">
        <v>6595</v>
      </c>
      <c r="E2345" s="90" t="s">
        <v>539</v>
      </c>
      <c r="F2345" s="90" t="s">
        <v>7413</v>
      </c>
      <c r="G2345" t="s">
        <v>859</v>
      </c>
    </row>
    <row r="2346" spans="1:7" x14ac:dyDescent="0.25">
      <c r="A2346" s="114">
        <v>8111204570</v>
      </c>
      <c r="B2346" s="90" t="s">
        <v>7414</v>
      </c>
      <c r="C2346" s="90" t="s">
        <v>508</v>
      </c>
      <c r="D2346" s="90" t="s">
        <v>6595</v>
      </c>
      <c r="E2346" s="90" t="s">
        <v>539</v>
      </c>
      <c r="F2346" s="90" t="s">
        <v>7415</v>
      </c>
      <c r="G2346" t="s">
        <v>859</v>
      </c>
    </row>
    <row r="2347" spans="1:7" x14ac:dyDescent="0.25">
      <c r="A2347" s="114">
        <v>8111204590</v>
      </c>
      <c r="B2347" s="90" t="s">
        <v>7416</v>
      </c>
      <c r="C2347" s="90" t="s">
        <v>508</v>
      </c>
      <c r="D2347" s="90" t="s">
        <v>6595</v>
      </c>
      <c r="E2347" s="90" t="s">
        <v>539</v>
      </c>
      <c r="F2347" s="90" t="s">
        <v>7417</v>
      </c>
      <c r="G2347" t="s">
        <v>859</v>
      </c>
    </row>
    <row r="2348" spans="1:7" x14ac:dyDescent="0.25">
      <c r="A2348" s="114">
        <v>8111204600</v>
      </c>
      <c r="B2348" s="90" t="s">
        <v>7418</v>
      </c>
      <c r="C2348" s="90" t="s">
        <v>508</v>
      </c>
      <c r="D2348" s="90" t="s">
        <v>6595</v>
      </c>
      <c r="E2348" s="90" t="s">
        <v>539</v>
      </c>
      <c r="F2348" s="90" t="s">
        <v>7419</v>
      </c>
      <c r="G2348" t="s">
        <v>859</v>
      </c>
    </row>
    <row r="2349" spans="1:7" x14ac:dyDescent="0.25">
      <c r="A2349" s="114">
        <v>8111204610</v>
      </c>
      <c r="B2349" s="90" t="s">
        <v>7420</v>
      </c>
      <c r="C2349" s="90" t="s">
        <v>508</v>
      </c>
      <c r="D2349" s="90" t="s">
        <v>6595</v>
      </c>
      <c r="E2349" s="90" t="s">
        <v>539</v>
      </c>
      <c r="F2349" s="90" t="s">
        <v>7421</v>
      </c>
      <c r="G2349" t="s">
        <v>512</v>
      </c>
    </row>
    <row r="2350" spans="1:7" x14ac:dyDescent="0.25">
      <c r="A2350" s="114">
        <v>8111204620</v>
      </c>
      <c r="B2350" s="90" t="s">
        <v>7422</v>
      </c>
      <c r="C2350" s="90" t="s">
        <v>508</v>
      </c>
      <c r="D2350" s="90" t="s">
        <v>6595</v>
      </c>
      <c r="E2350" s="90" t="s">
        <v>539</v>
      </c>
      <c r="F2350" s="90" t="s">
        <v>7423</v>
      </c>
      <c r="G2350" t="s">
        <v>859</v>
      </c>
    </row>
    <row r="2351" spans="1:7" x14ac:dyDescent="0.25">
      <c r="A2351" s="114">
        <v>8111204630</v>
      </c>
      <c r="B2351" s="90" t="s">
        <v>7424</v>
      </c>
      <c r="C2351" s="90" t="s">
        <v>508</v>
      </c>
      <c r="D2351" s="90" t="s">
        <v>6595</v>
      </c>
      <c r="E2351" s="90" t="s">
        <v>539</v>
      </c>
      <c r="F2351" s="90" t="s">
        <v>7425</v>
      </c>
      <c r="G2351" t="s">
        <v>512</v>
      </c>
    </row>
    <row r="2352" spans="1:7" x14ac:dyDescent="0.25">
      <c r="A2352" s="114">
        <v>8111204640</v>
      </c>
      <c r="B2352" s="90" t="s">
        <v>7426</v>
      </c>
      <c r="C2352" s="90" t="s">
        <v>508</v>
      </c>
      <c r="D2352" s="90" t="s">
        <v>6595</v>
      </c>
      <c r="E2352" s="90" t="s">
        <v>539</v>
      </c>
      <c r="F2352" s="90" t="s">
        <v>7427</v>
      </c>
      <c r="G2352" t="s">
        <v>512</v>
      </c>
    </row>
    <row r="2353" spans="1:7" x14ac:dyDescent="0.25">
      <c r="A2353" s="114">
        <v>8111204650</v>
      </c>
      <c r="B2353" s="90" t="s">
        <v>7428</v>
      </c>
      <c r="C2353" s="90" t="s">
        <v>508</v>
      </c>
      <c r="D2353" s="90" t="s">
        <v>6595</v>
      </c>
      <c r="E2353" s="90" t="s">
        <v>539</v>
      </c>
      <c r="F2353" s="90" t="s">
        <v>7429</v>
      </c>
      <c r="G2353" t="s">
        <v>859</v>
      </c>
    </row>
    <row r="2354" spans="1:7" x14ac:dyDescent="0.25">
      <c r="A2354" s="114">
        <v>8111204660</v>
      </c>
      <c r="B2354" s="90" t="s">
        <v>7430</v>
      </c>
      <c r="C2354" s="90" t="s">
        <v>508</v>
      </c>
      <c r="D2354" s="90" t="s">
        <v>6595</v>
      </c>
      <c r="E2354" s="90" t="s">
        <v>539</v>
      </c>
      <c r="F2354" s="90" t="s">
        <v>7431</v>
      </c>
      <c r="G2354" t="s">
        <v>859</v>
      </c>
    </row>
    <row r="2355" spans="1:7" x14ac:dyDescent="0.25">
      <c r="A2355" s="114">
        <v>8111204670</v>
      </c>
      <c r="B2355" s="90" t="s">
        <v>7432</v>
      </c>
      <c r="C2355" s="90" t="s">
        <v>508</v>
      </c>
      <c r="D2355" s="90" t="s">
        <v>6595</v>
      </c>
      <c r="E2355" s="90" t="s">
        <v>539</v>
      </c>
      <c r="F2355" s="90" t="s">
        <v>7433</v>
      </c>
      <c r="G2355" t="s">
        <v>859</v>
      </c>
    </row>
    <row r="2356" spans="1:7" x14ac:dyDescent="0.25">
      <c r="A2356" s="114">
        <v>8111204680</v>
      </c>
      <c r="B2356" s="90" t="s">
        <v>7434</v>
      </c>
      <c r="C2356" s="90" t="s">
        <v>508</v>
      </c>
      <c r="D2356" s="90" t="s">
        <v>6595</v>
      </c>
      <c r="E2356" s="90" t="s">
        <v>539</v>
      </c>
      <c r="F2356" s="90" t="s">
        <v>7435</v>
      </c>
      <c r="G2356" t="s">
        <v>859</v>
      </c>
    </row>
    <row r="2357" spans="1:7" x14ac:dyDescent="0.25">
      <c r="A2357" s="114">
        <v>8111204700</v>
      </c>
      <c r="B2357" s="90" t="s">
        <v>7436</v>
      </c>
      <c r="C2357" s="90" t="s">
        <v>508</v>
      </c>
      <c r="D2357" s="90" t="s">
        <v>6595</v>
      </c>
      <c r="E2357" s="90" t="s">
        <v>539</v>
      </c>
      <c r="F2357" s="90" t="s">
        <v>7437</v>
      </c>
      <c r="G2357" t="s">
        <v>859</v>
      </c>
    </row>
    <row r="2358" spans="1:7" x14ac:dyDescent="0.25">
      <c r="A2358" s="114">
        <v>8111204710</v>
      </c>
      <c r="B2358" s="90" t="s">
        <v>7438</v>
      </c>
      <c r="C2358" s="90" t="s">
        <v>508</v>
      </c>
      <c r="D2358" s="90" t="s">
        <v>6595</v>
      </c>
      <c r="E2358" s="90" t="s">
        <v>539</v>
      </c>
      <c r="F2358" s="90" t="s">
        <v>7439</v>
      </c>
      <c r="G2358" t="s">
        <v>859</v>
      </c>
    </row>
    <row r="2359" spans="1:7" x14ac:dyDescent="0.25">
      <c r="A2359" s="114">
        <v>8111204720</v>
      </c>
      <c r="B2359" s="90" t="s">
        <v>7084</v>
      </c>
      <c r="C2359" s="90" t="s">
        <v>508</v>
      </c>
      <c r="D2359" s="90" t="s">
        <v>6595</v>
      </c>
      <c r="E2359" s="90" t="s">
        <v>539</v>
      </c>
      <c r="F2359" s="90" t="s">
        <v>7440</v>
      </c>
      <c r="G2359" t="s">
        <v>859</v>
      </c>
    </row>
    <row r="2360" spans="1:7" x14ac:dyDescent="0.25">
      <c r="A2360" s="114">
        <v>8111204730</v>
      </c>
      <c r="B2360" s="90" t="s">
        <v>7441</v>
      </c>
      <c r="C2360" s="90" t="s">
        <v>508</v>
      </c>
      <c r="D2360" s="90" t="s">
        <v>6595</v>
      </c>
      <c r="E2360" s="90" t="s">
        <v>539</v>
      </c>
      <c r="F2360" s="90" t="s">
        <v>7442</v>
      </c>
      <c r="G2360" t="s">
        <v>859</v>
      </c>
    </row>
    <row r="2361" spans="1:7" x14ac:dyDescent="0.25">
      <c r="A2361" s="114">
        <v>8111204740</v>
      </c>
      <c r="B2361" s="90" t="s">
        <v>7443</v>
      </c>
      <c r="C2361" s="90" t="s">
        <v>508</v>
      </c>
      <c r="D2361" s="90" t="s">
        <v>6595</v>
      </c>
      <c r="E2361" s="90" t="s">
        <v>539</v>
      </c>
      <c r="F2361" s="90" t="s">
        <v>7444</v>
      </c>
      <c r="G2361" t="s">
        <v>859</v>
      </c>
    </row>
    <row r="2362" spans="1:7" x14ac:dyDescent="0.25">
      <c r="A2362" s="114">
        <v>8111204760</v>
      </c>
      <c r="B2362" s="90" t="s">
        <v>7445</v>
      </c>
      <c r="C2362" s="90" t="s">
        <v>508</v>
      </c>
      <c r="D2362" s="90" t="s">
        <v>6595</v>
      </c>
      <c r="E2362" s="90" t="s">
        <v>539</v>
      </c>
      <c r="F2362" s="90" t="s">
        <v>7446</v>
      </c>
      <c r="G2362" t="s">
        <v>859</v>
      </c>
    </row>
    <row r="2363" spans="1:7" x14ac:dyDescent="0.25">
      <c r="A2363" s="114">
        <v>8111204780</v>
      </c>
      <c r="B2363" s="90" t="s">
        <v>7447</v>
      </c>
      <c r="C2363" s="90" t="s">
        <v>508</v>
      </c>
      <c r="D2363" s="90" t="s">
        <v>6595</v>
      </c>
      <c r="E2363" s="90" t="s">
        <v>539</v>
      </c>
      <c r="F2363" s="90" t="s">
        <v>7448</v>
      </c>
      <c r="G2363" t="s">
        <v>512</v>
      </c>
    </row>
    <row r="2364" spans="1:7" x14ac:dyDescent="0.25">
      <c r="A2364" s="114">
        <v>8111204790</v>
      </c>
      <c r="B2364" s="90" t="s">
        <v>7449</v>
      </c>
      <c r="C2364" s="90" t="s">
        <v>508</v>
      </c>
      <c r="D2364" s="90" t="s">
        <v>6595</v>
      </c>
      <c r="E2364" s="90" t="s">
        <v>539</v>
      </c>
      <c r="F2364" s="90" t="s">
        <v>7450</v>
      </c>
      <c r="G2364" t="s">
        <v>512</v>
      </c>
    </row>
    <row r="2365" spans="1:7" x14ac:dyDescent="0.25">
      <c r="A2365" s="114">
        <v>8111204810</v>
      </c>
      <c r="B2365" s="90" t="s">
        <v>7451</v>
      </c>
      <c r="C2365" s="90" t="s">
        <v>508</v>
      </c>
      <c r="D2365" s="90" t="s">
        <v>6595</v>
      </c>
      <c r="E2365" s="90" t="s">
        <v>539</v>
      </c>
      <c r="F2365" s="90" t="s">
        <v>7452</v>
      </c>
      <c r="G2365" t="s">
        <v>859</v>
      </c>
    </row>
    <row r="2366" spans="1:7" x14ac:dyDescent="0.25">
      <c r="A2366" s="114">
        <v>8111204830</v>
      </c>
      <c r="B2366" s="90" t="s">
        <v>7453</v>
      </c>
      <c r="C2366" s="90" t="s">
        <v>508</v>
      </c>
      <c r="D2366" s="90" t="s">
        <v>6595</v>
      </c>
      <c r="E2366" s="90" t="s">
        <v>539</v>
      </c>
      <c r="F2366" s="90" t="s">
        <v>7454</v>
      </c>
      <c r="G2366" t="s">
        <v>859</v>
      </c>
    </row>
    <row r="2367" spans="1:7" x14ac:dyDescent="0.25">
      <c r="A2367" s="114">
        <v>8111204840</v>
      </c>
      <c r="B2367" s="90" t="s">
        <v>7455</v>
      </c>
      <c r="C2367" s="90" t="s">
        <v>508</v>
      </c>
      <c r="D2367" s="90" t="s">
        <v>6595</v>
      </c>
      <c r="E2367" s="90" t="s">
        <v>539</v>
      </c>
      <c r="F2367" s="90" t="s">
        <v>7456</v>
      </c>
      <c r="G2367" t="s">
        <v>859</v>
      </c>
    </row>
    <row r="2368" spans="1:7" x14ac:dyDescent="0.25">
      <c r="A2368" s="114">
        <v>8111204850</v>
      </c>
      <c r="B2368" s="90" t="s">
        <v>7457</v>
      </c>
      <c r="C2368" s="90" t="s">
        <v>508</v>
      </c>
      <c r="D2368" s="90" t="s">
        <v>6595</v>
      </c>
      <c r="E2368" s="90" t="s">
        <v>539</v>
      </c>
      <c r="F2368" s="90" t="s">
        <v>7458</v>
      </c>
      <c r="G2368" t="s">
        <v>512</v>
      </c>
    </row>
    <row r="2369" spans="1:7" x14ac:dyDescent="0.25">
      <c r="A2369" s="114">
        <v>8111204870</v>
      </c>
      <c r="B2369" s="90" t="s">
        <v>7459</v>
      </c>
      <c r="C2369" s="90" t="s">
        <v>508</v>
      </c>
      <c r="D2369" s="90" t="s">
        <v>6595</v>
      </c>
      <c r="E2369" s="90" t="s">
        <v>539</v>
      </c>
      <c r="F2369" s="90" t="s">
        <v>7460</v>
      </c>
      <c r="G2369" t="s">
        <v>859</v>
      </c>
    </row>
    <row r="2370" spans="1:7" x14ac:dyDescent="0.25">
      <c r="A2370" s="114">
        <v>8111204890</v>
      </c>
      <c r="B2370" s="90" t="s">
        <v>7461</v>
      </c>
      <c r="C2370" s="90" t="s">
        <v>508</v>
      </c>
      <c r="D2370" s="90" t="s">
        <v>6595</v>
      </c>
      <c r="E2370" s="90" t="s">
        <v>539</v>
      </c>
      <c r="F2370" s="90" t="s">
        <v>7462</v>
      </c>
      <c r="G2370" t="s">
        <v>512</v>
      </c>
    </row>
    <row r="2371" spans="1:7" x14ac:dyDescent="0.25">
      <c r="A2371" s="114">
        <v>8111204900</v>
      </c>
      <c r="B2371" s="90" t="s">
        <v>7463</v>
      </c>
      <c r="C2371" s="90" t="s">
        <v>508</v>
      </c>
      <c r="D2371" s="90" t="s">
        <v>6595</v>
      </c>
      <c r="E2371" s="90" t="s">
        <v>539</v>
      </c>
      <c r="F2371" s="90" t="s">
        <v>7464</v>
      </c>
      <c r="G2371" t="s">
        <v>859</v>
      </c>
    </row>
    <row r="2372" spans="1:7" x14ac:dyDescent="0.25">
      <c r="A2372" s="114">
        <v>8111204920</v>
      </c>
      <c r="B2372" s="90" t="s">
        <v>7465</v>
      </c>
      <c r="C2372" s="90" t="s">
        <v>508</v>
      </c>
      <c r="D2372" s="90" t="s">
        <v>6595</v>
      </c>
      <c r="E2372" s="90" t="s">
        <v>539</v>
      </c>
      <c r="F2372" s="90" t="s">
        <v>7466</v>
      </c>
      <c r="G2372" t="s">
        <v>512</v>
      </c>
    </row>
    <row r="2373" spans="1:7" x14ac:dyDescent="0.25">
      <c r="A2373" s="114">
        <v>8111204930</v>
      </c>
      <c r="B2373" s="90" t="s">
        <v>7467</v>
      </c>
      <c r="C2373" s="90" t="s">
        <v>508</v>
      </c>
      <c r="D2373" s="90" t="s">
        <v>6595</v>
      </c>
      <c r="E2373" s="90" t="s">
        <v>539</v>
      </c>
      <c r="F2373" s="90" t="s">
        <v>7468</v>
      </c>
      <c r="G2373" t="s">
        <v>512</v>
      </c>
    </row>
    <row r="2374" spans="1:7" x14ac:dyDescent="0.25">
      <c r="A2374" s="114">
        <v>8111204950</v>
      </c>
      <c r="B2374" s="90" t="s">
        <v>7469</v>
      </c>
      <c r="C2374" s="90" t="s">
        <v>508</v>
      </c>
      <c r="D2374" s="90" t="s">
        <v>6595</v>
      </c>
      <c r="E2374" s="90" t="s">
        <v>539</v>
      </c>
      <c r="F2374" s="90" t="s">
        <v>7470</v>
      </c>
      <c r="G2374" t="s">
        <v>859</v>
      </c>
    </row>
    <row r="2375" spans="1:7" x14ac:dyDescent="0.25">
      <c r="A2375" s="114">
        <v>8111204960</v>
      </c>
      <c r="B2375" s="90" t="s">
        <v>7471</v>
      </c>
      <c r="C2375" s="90" t="s">
        <v>508</v>
      </c>
      <c r="D2375" s="90" t="s">
        <v>6595</v>
      </c>
      <c r="E2375" s="90" t="s">
        <v>7472</v>
      </c>
      <c r="F2375" s="90" t="s">
        <v>7473</v>
      </c>
      <c r="G2375" t="s">
        <v>512</v>
      </c>
    </row>
    <row r="2376" spans="1:7" x14ac:dyDescent="0.25">
      <c r="A2376" s="114">
        <v>8111204970</v>
      </c>
      <c r="B2376" s="90" t="s">
        <v>7474</v>
      </c>
      <c r="C2376" s="90" t="s">
        <v>508</v>
      </c>
      <c r="D2376" s="90" t="s">
        <v>6595</v>
      </c>
      <c r="E2376" s="90" t="s">
        <v>539</v>
      </c>
      <c r="F2376" s="90" t="s">
        <v>7475</v>
      </c>
      <c r="G2376" t="s">
        <v>512</v>
      </c>
    </row>
    <row r="2377" spans="1:7" x14ac:dyDescent="0.25">
      <c r="A2377" s="114">
        <v>8111204980</v>
      </c>
      <c r="B2377" s="90" t="s">
        <v>7294</v>
      </c>
      <c r="C2377" s="90" t="s">
        <v>508</v>
      </c>
      <c r="D2377" s="90" t="s">
        <v>6595</v>
      </c>
      <c r="E2377" s="90" t="s">
        <v>539</v>
      </c>
      <c r="F2377" s="90" t="s">
        <v>7476</v>
      </c>
      <c r="G2377" t="s">
        <v>859</v>
      </c>
    </row>
    <row r="2378" spans="1:7" x14ac:dyDescent="0.25">
      <c r="A2378" s="114">
        <v>8111204990</v>
      </c>
      <c r="B2378" s="90" t="s">
        <v>7477</v>
      </c>
      <c r="C2378" s="90" t="s">
        <v>508</v>
      </c>
      <c r="D2378" s="90" t="s">
        <v>6595</v>
      </c>
      <c r="E2378" s="90" t="s">
        <v>539</v>
      </c>
      <c r="F2378" s="90" t="s">
        <v>7478</v>
      </c>
      <c r="G2378" t="s">
        <v>859</v>
      </c>
    </row>
    <row r="2379" spans="1:7" x14ac:dyDescent="0.25">
      <c r="A2379" s="114">
        <v>8111205000</v>
      </c>
      <c r="B2379" s="90" t="s">
        <v>7479</v>
      </c>
      <c r="C2379" s="90" t="s">
        <v>508</v>
      </c>
      <c r="D2379" s="90" t="s">
        <v>6595</v>
      </c>
      <c r="E2379" s="90" t="s">
        <v>539</v>
      </c>
      <c r="F2379" s="90" t="s">
        <v>7480</v>
      </c>
      <c r="G2379" t="s">
        <v>859</v>
      </c>
    </row>
    <row r="2380" spans="1:7" x14ac:dyDescent="0.25">
      <c r="A2380" s="114">
        <v>8111205010</v>
      </c>
      <c r="B2380" s="90" t="s">
        <v>7481</v>
      </c>
      <c r="C2380" s="90" t="s">
        <v>508</v>
      </c>
      <c r="D2380" s="90" t="s">
        <v>6595</v>
      </c>
      <c r="E2380" s="90" t="s">
        <v>539</v>
      </c>
      <c r="F2380" s="90" t="s">
        <v>7482</v>
      </c>
      <c r="G2380" t="s">
        <v>859</v>
      </c>
    </row>
    <row r="2381" spans="1:7" x14ac:dyDescent="0.25">
      <c r="A2381" s="114">
        <v>8111205020</v>
      </c>
      <c r="B2381" s="90" t="s">
        <v>7483</v>
      </c>
      <c r="C2381" s="90" t="s">
        <v>508</v>
      </c>
      <c r="D2381" s="90" t="s">
        <v>6595</v>
      </c>
      <c r="E2381" s="90" t="s">
        <v>539</v>
      </c>
      <c r="F2381" s="90" t="s">
        <v>7484</v>
      </c>
      <c r="G2381" t="s">
        <v>859</v>
      </c>
    </row>
    <row r="2382" spans="1:7" x14ac:dyDescent="0.25">
      <c r="A2382" s="114">
        <v>8111205030</v>
      </c>
      <c r="B2382" s="90" t="s">
        <v>6683</v>
      </c>
      <c r="C2382" s="90" t="s">
        <v>508</v>
      </c>
      <c r="D2382" s="90" t="s">
        <v>6595</v>
      </c>
      <c r="E2382" s="90" t="s">
        <v>539</v>
      </c>
      <c r="F2382" s="90" t="s">
        <v>7485</v>
      </c>
      <c r="G2382" t="s">
        <v>859</v>
      </c>
    </row>
    <row r="2383" spans="1:7" x14ac:dyDescent="0.25">
      <c r="A2383" s="114">
        <v>8111205040</v>
      </c>
      <c r="B2383" s="90" t="s">
        <v>7486</v>
      </c>
      <c r="C2383" s="90" t="s">
        <v>508</v>
      </c>
      <c r="D2383" s="90" t="s">
        <v>6595</v>
      </c>
      <c r="E2383" s="90" t="s">
        <v>539</v>
      </c>
      <c r="F2383" s="90" t="s">
        <v>7487</v>
      </c>
      <c r="G2383" t="s">
        <v>859</v>
      </c>
    </row>
    <row r="2384" spans="1:7" x14ac:dyDescent="0.25">
      <c r="A2384" s="114">
        <v>8111205050</v>
      </c>
      <c r="B2384" s="90" t="s">
        <v>7488</v>
      </c>
      <c r="C2384" s="90" t="s">
        <v>508</v>
      </c>
      <c r="D2384" s="90" t="s">
        <v>6595</v>
      </c>
      <c r="E2384" s="90" t="s">
        <v>539</v>
      </c>
      <c r="F2384" s="90" t="s">
        <v>7489</v>
      </c>
      <c r="G2384" t="s">
        <v>859</v>
      </c>
    </row>
    <row r="2385" spans="1:7" x14ac:dyDescent="0.25">
      <c r="A2385" s="114">
        <v>8111205060</v>
      </c>
      <c r="B2385" s="90" t="s">
        <v>7490</v>
      </c>
      <c r="C2385" s="90" t="s">
        <v>508</v>
      </c>
      <c r="D2385" s="90" t="s">
        <v>6595</v>
      </c>
      <c r="E2385" s="90" t="s">
        <v>539</v>
      </c>
      <c r="F2385" s="90" t="s">
        <v>7491</v>
      </c>
      <c r="G2385" t="s">
        <v>859</v>
      </c>
    </row>
    <row r="2386" spans="1:7" x14ac:dyDescent="0.25">
      <c r="A2386" s="114">
        <v>8111205080</v>
      </c>
      <c r="B2386" s="90" t="s">
        <v>7492</v>
      </c>
      <c r="C2386" s="90" t="s">
        <v>508</v>
      </c>
      <c r="D2386" s="90" t="s">
        <v>6595</v>
      </c>
      <c r="E2386" s="90" t="s">
        <v>539</v>
      </c>
      <c r="F2386" s="90" t="s">
        <v>7493</v>
      </c>
      <c r="G2386" t="s">
        <v>512</v>
      </c>
    </row>
    <row r="2387" spans="1:7" x14ac:dyDescent="0.25">
      <c r="A2387" s="114">
        <v>8111205090</v>
      </c>
      <c r="B2387" s="90" t="s">
        <v>7494</v>
      </c>
      <c r="C2387" s="90" t="s">
        <v>508</v>
      </c>
      <c r="D2387" s="90" t="s">
        <v>6595</v>
      </c>
      <c r="E2387" s="90" t="s">
        <v>4884</v>
      </c>
      <c r="F2387" s="90" t="s">
        <v>7495</v>
      </c>
      <c r="G2387" t="s">
        <v>512</v>
      </c>
    </row>
    <row r="2388" spans="1:7" x14ac:dyDescent="0.25">
      <c r="A2388" s="114">
        <v>8111205110</v>
      </c>
      <c r="B2388" s="90" t="s">
        <v>7496</v>
      </c>
      <c r="C2388" s="90" t="s">
        <v>508</v>
      </c>
      <c r="D2388" s="90" t="s">
        <v>6595</v>
      </c>
      <c r="E2388" s="90" t="s">
        <v>539</v>
      </c>
      <c r="F2388" s="90" t="s">
        <v>7497</v>
      </c>
      <c r="G2388" t="s">
        <v>859</v>
      </c>
    </row>
    <row r="2389" spans="1:7" x14ac:dyDescent="0.25">
      <c r="A2389" s="114">
        <v>8111205120</v>
      </c>
      <c r="B2389" s="90" t="s">
        <v>7498</v>
      </c>
      <c r="C2389" s="90" t="s">
        <v>508</v>
      </c>
      <c r="D2389" s="90" t="s">
        <v>6595</v>
      </c>
      <c r="E2389" s="90" t="s">
        <v>539</v>
      </c>
      <c r="F2389" s="90" t="s">
        <v>7499</v>
      </c>
      <c r="G2389" t="s">
        <v>859</v>
      </c>
    </row>
    <row r="2390" spans="1:7" x14ac:dyDescent="0.25">
      <c r="A2390" s="114">
        <v>8111205150</v>
      </c>
      <c r="B2390" s="90" t="s">
        <v>7500</v>
      </c>
      <c r="C2390" s="90" t="s">
        <v>508</v>
      </c>
      <c r="D2390" s="90" t="s">
        <v>6595</v>
      </c>
      <c r="E2390" s="90" t="s">
        <v>539</v>
      </c>
      <c r="F2390" s="90" t="s">
        <v>7501</v>
      </c>
      <c r="G2390" t="s">
        <v>859</v>
      </c>
    </row>
    <row r="2391" spans="1:7" x14ac:dyDescent="0.25">
      <c r="A2391" s="114">
        <v>8111205160</v>
      </c>
      <c r="B2391" s="90" t="s">
        <v>7502</v>
      </c>
      <c r="C2391" s="90" t="s">
        <v>508</v>
      </c>
      <c r="D2391" s="90" t="s">
        <v>6595</v>
      </c>
      <c r="E2391" s="90" t="s">
        <v>539</v>
      </c>
      <c r="F2391" s="90" t="s">
        <v>7503</v>
      </c>
      <c r="G2391" t="s">
        <v>512</v>
      </c>
    </row>
    <row r="2392" spans="1:7" x14ac:dyDescent="0.25">
      <c r="A2392" s="114">
        <v>8111205170</v>
      </c>
      <c r="B2392" s="90" t="s">
        <v>6633</v>
      </c>
      <c r="C2392" s="90" t="s">
        <v>508</v>
      </c>
      <c r="D2392" s="90" t="s">
        <v>6595</v>
      </c>
      <c r="E2392" s="90" t="s">
        <v>539</v>
      </c>
      <c r="F2392" s="90" t="s">
        <v>7504</v>
      </c>
      <c r="G2392" t="s">
        <v>859</v>
      </c>
    </row>
    <row r="2393" spans="1:7" x14ac:dyDescent="0.25">
      <c r="A2393" s="114">
        <v>8111205180</v>
      </c>
      <c r="B2393" s="90" t="s">
        <v>7505</v>
      </c>
      <c r="C2393" s="90" t="s">
        <v>508</v>
      </c>
      <c r="D2393" s="90" t="s">
        <v>6595</v>
      </c>
      <c r="E2393" s="90" t="s">
        <v>539</v>
      </c>
      <c r="F2393" s="90" t="s">
        <v>7506</v>
      </c>
      <c r="G2393" t="s">
        <v>512</v>
      </c>
    </row>
    <row r="2394" spans="1:7" x14ac:dyDescent="0.25">
      <c r="A2394" s="114">
        <v>8111205190</v>
      </c>
      <c r="B2394" s="90" t="s">
        <v>7507</v>
      </c>
      <c r="C2394" s="90" t="s">
        <v>508</v>
      </c>
      <c r="D2394" s="90" t="s">
        <v>6595</v>
      </c>
      <c r="E2394" s="90" t="s">
        <v>4884</v>
      </c>
      <c r="F2394" s="90" t="s">
        <v>7508</v>
      </c>
      <c r="G2394" t="s">
        <v>512</v>
      </c>
    </row>
    <row r="2395" spans="1:7" x14ac:dyDescent="0.25">
      <c r="A2395" s="114">
        <v>8111205200</v>
      </c>
      <c r="B2395" s="90" t="s">
        <v>7509</v>
      </c>
      <c r="C2395" s="90" t="s">
        <v>508</v>
      </c>
      <c r="D2395" s="90" t="s">
        <v>6595</v>
      </c>
      <c r="E2395" s="90" t="s">
        <v>539</v>
      </c>
      <c r="F2395" s="90" t="s">
        <v>7510</v>
      </c>
      <c r="G2395" t="s">
        <v>859</v>
      </c>
    </row>
    <row r="2396" spans="1:7" x14ac:dyDescent="0.25">
      <c r="A2396" s="114">
        <v>8111205210</v>
      </c>
      <c r="B2396" s="90" t="s">
        <v>7511</v>
      </c>
      <c r="C2396" s="90" t="s">
        <v>508</v>
      </c>
      <c r="D2396" s="90" t="s">
        <v>6595</v>
      </c>
      <c r="E2396" s="90" t="s">
        <v>539</v>
      </c>
      <c r="F2396" s="90" t="s">
        <v>7512</v>
      </c>
      <c r="G2396" t="s">
        <v>512</v>
      </c>
    </row>
    <row r="2397" spans="1:7" x14ac:dyDescent="0.25">
      <c r="A2397" s="114">
        <v>8111205230</v>
      </c>
      <c r="B2397" s="90" t="s">
        <v>7513</v>
      </c>
      <c r="C2397" s="90" t="s">
        <v>508</v>
      </c>
      <c r="D2397" s="90" t="s">
        <v>6595</v>
      </c>
      <c r="E2397" s="90" t="s">
        <v>539</v>
      </c>
      <c r="F2397" s="90" t="s">
        <v>7514</v>
      </c>
      <c r="G2397" t="s">
        <v>512</v>
      </c>
    </row>
    <row r="2398" spans="1:7" x14ac:dyDescent="0.25">
      <c r="A2398" s="114">
        <v>8111205240</v>
      </c>
      <c r="B2398" s="90" t="s">
        <v>7515</v>
      </c>
      <c r="C2398" s="90" t="s">
        <v>508</v>
      </c>
      <c r="D2398" s="90" t="s">
        <v>6595</v>
      </c>
      <c r="E2398" s="90" t="s">
        <v>539</v>
      </c>
      <c r="F2398" s="90" t="s">
        <v>7516</v>
      </c>
      <c r="G2398" t="s">
        <v>512</v>
      </c>
    </row>
    <row r="2399" spans="1:7" x14ac:dyDescent="0.25">
      <c r="A2399" s="114">
        <v>8111205250</v>
      </c>
      <c r="B2399" s="90" t="s">
        <v>7517</v>
      </c>
      <c r="C2399" s="90" t="s">
        <v>508</v>
      </c>
      <c r="D2399" s="90" t="s">
        <v>6595</v>
      </c>
      <c r="E2399" s="90" t="s">
        <v>539</v>
      </c>
      <c r="F2399" s="90" t="s">
        <v>7518</v>
      </c>
      <c r="G2399" t="s">
        <v>859</v>
      </c>
    </row>
    <row r="2400" spans="1:7" x14ac:dyDescent="0.25">
      <c r="A2400" s="114">
        <v>8111205270</v>
      </c>
      <c r="B2400" s="90" t="s">
        <v>7519</v>
      </c>
      <c r="C2400" s="90" t="s">
        <v>508</v>
      </c>
      <c r="D2400" s="90" t="s">
        <v>6595</v>
      </c>
      <c r="E2400" s="90" t="s">
        <v>539</v>
      </c>
      <c r="F2400" s="90" t="s">
        <v>7520</v>
      </c>
      <c r="G2400" t="s">
        <v>859</v>
      </c>
    </row>
    <row r="2401" spans="1:7" x14ac:dyDescent="0.25">
      <c r="A2401" s="114">
        <v>8111205280</v>
      </c>
      <c r="B2401" s="90" t="s">
        <v>7521</v>
      </c>
      <c r="C2401" s="90" t="s">
        <v>508</v>
      </c>
      <c r="D2401" s="90" t="s">
        <v>6595</v>
      </c>
      <c r="E2401" s="90" t="s">
        <v>4884</v>
      </c>
      <c r="F2401" s="90" t="s">
        <v>7522</v>
      </c>
      <c r="G2401" t="s">
        <v>512</v>
      </c>
    </row>
    <row r="2402" spans="1:7" x14ac:dyDescent="0.25">
      <c r="A2402" s="114">
        <v>8111205290</v>
      </c>
      <c r="B2402" s="90" t="s">
        <v>7523</v>
      </c>
      <c r="C2402" s="90" t="s">
        <v>508</v>
      </c>
      <c r="D2402" s="90" t="s">
        <v>6595</v>
      </c>
      <c r="E2402" s="90" t="s">
        <v>4884</v>
      </c>
      <c r="F2402" s="90" t="s">
        <v>7524</v>
      </c>
      <c r="G2402" t="s">
        <v>512</v>
      </c>
    </row>
    <row r="2403" spans="1:7" x14ac:dyDescent="0.25">
      <c r="A2403" s="114">
        <v>8111205300</v>
      </c>
      <c r="B2403" s="90" t="s">
        <v>7525</v>
      </c>
      <c r="C2403" s="90" t="s">
        <v>508</v>
      </c>
      <c r="D2403" s="90" t="s">
        <v>6595</v>
      </c>
      <c r="E2403" s="90" t="s">
        <v>539</v>
      </c>
      <c r="F2403" s="90" t="s">
        <v>7526</v>
      </c>
      <c r="G2403" t="s">
        <v>512</v>
      </c>
    </row>
    <row r="2404" spans="1:7" x14ac:dyDescent="0.25">
      <c r="A2404" s="114">
        <v>8111205310</v>
      </c>
      <c r="B2404" s="90" t="s">
        <v>7527</v>
      </c>
      <c r="C2404" s="90" t="s">
        <v>508</v>
      </c>
      <c r="D2404" s="90" t="s">
        <v>6595</v>
      </c>
      <c r="E2404" s="90" t="s">
        <v>539</v>
      </c>
      <c r="F2404" s="90" t="s">
        <v>7528</v>
      </c>
      <c r="G2404" t="s">
        <v>859</v>
      </c>
    </row>
    <row r="2405" spans="1:7" x14ac:dyDescent="0.25">
      <c r="A2405" s="114">
        <v>8111205320</v>
      </c>
      <c r="B2405" s="90" t="s">
        <v>7529</v>
      </c>
      <c r="C2405" s="90" t="s">
        <v>508</v>
      </c>
      <c r="D2405" s="90" t="s">
        <v>6595</v>
      </c>
      <c r="E2405" s="90" t="s">
        <v>539</v>
      </c>
      <c r="F2405" s="90" t="s">
        <v>7530</v>
      </c>
      <c r="G2405" t="s">
        <v>512</v>
      </c>
    </row>
    <row r="2406" spans="1:7" x14ac:dyDescent="0.25">
      <c r="A2406" s="114">
        <v>8111205330</v>
      </c>
      <c r="B2406" s="90" t="s">
        <v>7531</v>
      </c>
      <c r="C2406" s="90" t="s">
        <v>508</v>
      </c>
      <c r="D2406" s="90" t="s">
        <v>6595</v>
      </c>
      <c r="E2406" s="90" t="s">
        <v>539</v>
      </c>
      <c r="F2406" s="90" t="s">
        <v>7532</v>
      </c>
      <c r="G2406" t="s">
        <v>859</v>
      </c>
    </row>
    <row r="2407" spans="1:7" x14ac:dyDescent="0.25">
      <c r="A2407" s="114">
        <v>8111205350</v>
      </c>
      <c r="B2407" s="90" t="s">
        <v>7533</v>
      </c>
      <c r="C2407" s="90" t="s">
        <v>508</v>
      </c>
      <c r="D2407" s="90" t="s">
        <v>6595</v>
      </c>
      <c r="E2407" s="90" t="s">
        <v>539</v>
      </c>
      <c r="F2407" s="90" t="s">
        <v>7534</v>
      </c>
      <c r="G2407" t="s">
        <v>512</v>
      </c>
    </row>
    <row r="2408" spans="1:7" x14ac:dyDescent="0.25">
      <c r="A2408" s="114">
        <v>8111205360</v>
      </c>
      <c r="B2408" s="90" t="s">
        <v>7535</v>
      </c>
      <c r="C2408" s="90" t="s">
        <v>508</v>
      </c>
      <c r="D2408" s="90" t="s">
        <v>6595</v>
      </c>
      <c r="E2408" s="90" t="s">
        <v>539</v>
      </c>
      <c r="F2408" s="90" t="s">
        <v>7536</v>
      </c>
      <c r="G2408" t="s">
        <v>512</v>
      </c>
    </row>
    <row r="2409" spans="1:7" x14ac:dyDescent="0.25">
      <c r="A2409" s="114">
        <v>8111205370</v>
      </c>
      <c r="B2409" s="90" t="s">
        <v>7537</v>
      </c>
      <c r="C2409" s="90" t="s">
        <v>508</v>
      </c>
      <c r="D2409" s="90" t="s">
        <v>6595</v>
      </c>
      <c r="E2409" s="90" t="s">
        <v>539</v>
      </c>
      <c r="F2409" s="90" t="s">
        <v>7538</v>
      </c>
      <c r="G2409" t="s">
        <v>859</v>
      </c>
    </row>
    <row r="2410" spans="1:7" x14ac:dyDescent="0.25">
      <c r="A2410" s="114">
        <v>8111205380</v>
      </c>
      <c r="B2410" s="90" t="s">
        <v>7539</v>
      </c>
      <c r="C2410" s="90" t="s">
        <v>508</v>
      </c>
      <c r="D2410" s="90" t="s">
        <v>6595</v>
      </c>
      <c r="E2410" s="90" t="s">
        <v>539</v>
      </c>
      <c r="F2410" s="90" t="s">
        <v>7540</v>
      </c>
      <c r="G2410" t="s">
        <v>859</v>
      </c>
    </row>
    <row r="2411" spans="1:7" x14ac:dyDescent="0.25">
      <c r="A2411" s="114">
        <v>8111205390</v>
      </c>
      <c r="B2411" s="90" t="s">
        <v>7338</v>
      </c>
      <c r="C2411" s="90" t="s">
        <v>508</v>
      </c>
      <c r="D2411" s="90" t="s">
        <v>6595</v>
      </c>
      <c r="E2411" s="90" t="s">
        <v>539</v>
      </c>
      <c r="F2411" s="90" t="s">
        <v>7541</v>
      </c>
      <c r="G2411" t="s">
        <v>512</v>
      </c>
    </row>
    <row r="2412" spans="1:7" x14ac:dyDescent="0.25">
      <c r="A2412" s="114">
        <v>8111205400</v>
      </c>
      <c r="B2412" s="90" t="s">
        <v>7542</v>
      </c>
      <c r="C2412" s="90" t="s">
        <v>508</v>
      </c>
      <c r="D2412" s="90" t="s">
        <v>6595</v>
      </c>
      <c r="E2412" s="90" t="s">
        <v>539</v>
      </c>
      <c r="F2412" s="90" t="s">
        <v>7543</v>
      </c>
      <c r="G2412" t="s">
        <v>859</v>
      </c>
    </row>
    <row r="2413" spans="1:7" x14ac:dyDescent="0.25">
      <c r="A2413" s="114">
        <v>8111205410</v>
      </c>
      <c r="B2413" s="90" t="s">
        <v>7544</v>
      </c>
      <c r="C2413" s="90" t="s">
        <v>508</v>
      </c>
      <c r="D2413" s="90" t="s">
        <v>6595</v>
      </c>
      <c r="E2413" s="90" t="s">
        <v>539</v>
      </c>
      <c r="F2413" s="90" t="s">
        <v>7545</v>
      </c>
      <c r="G2413" t="s">
        <v>859</v>
      </c>
    </row>
    <row r="2414" spans="1:7" x14ac:dyDescent="0.25">
      <c r="A2414" s="114">
        <v>8111205430</v>
      </c>
      <c r="B2414" s="90" t="s">
        <v>7546</v>
      </c>
      <c r="C2414" s="90" t="s">
        <v>508</v>
      </c>
      <c r="D2414" s="90" t="s">
        <v>6595</v>
      </c>
      <c r="E2414" s="90" t="s">
        <v>539</v>
      </c>
      <c r="F2414" s="90" t="s">
        <v>7547</v>
      </c>
      <c r="G2414" t="s">
        <v>512</v>
      </c>
    </row>
    <row r="2415" spans="1:7" x14ac:dyDescent="0.25">
      <c r="A2415" s="114">
        <v>8111205440</v>
      </c>
      <c r="B2415" s="90" t="s">
        <v>7548</v>
      </c>
      <c r="C2415" s="90" t="s">
        <v>508</v>
      </c>
      <c r="D2415" s="90" t="s">
        <v>6595</v>
      </c>
      <c r="E2415" s="90" t="s">
        <v>539</v>
      </c>
      <c r="F2415" s="90" t="s">
        <v>7549</v>
      </c>
      <c r="G2415" t="s">
        <v>512</v>
      </c>
    </row>
    <row r="2416" spans="1:7" x14ac:dyDescent="0.25">
      <c r="A2416" s="114">
        <v>8111205450</v>
      </c>
      <c r="B2416" s="90" t="s">
        <v>7550</v>
      </c>
      <c r="C2416" s="90" t="s">
        <v>508</v>
      </c>
      <c r="D2416" s="90" t="s">
        <v>6595</v>
      </c>
      <c r="E2416" s="90" t="s">
        <v>539</v>
      </c>
      <c r="F2416" s="90" t="s">
        <v>7551</v>
      </c>
      <c r="G2416" t="s">
        <v>512</v>
      </c>
    </row>
    <row r="2417" spans="1:7" x14ac:dyDescent="0.25">
      <c r="A2417" s="114">
        <v>8111205460</v>
      </c>
      <c r="B2417" s="90" t="s">
        <v>7552</v>
      </c>
      <c r="C2417" s="90" t="s">
        <v>508</v>
      </c>
      <c r="D2417" s="90" t="s">
        <v>6595</v>
      </c>
      <c r="E2417" s="90" t="s">
        <v>539</v>
      </c>
      <c r="F2417" s="90" t="s">
        <v>7553</v>
      </c>
      <c r="G2417" t="s">
        <v>512</v>
      </c>
    </row>
    <row r="2418" spans="1:7" x14ac:dyDescent="0.25">
      <c r="A2418" s="114">
        <v>8111205480</v>
      </c>
      <c r="B2418" s="90" t="s">
        <v>7393</v>
      </c>
      <c r="C2418" s="90" t="s">
        <v>508</v>
      </c>
      <c r="D2418" s="90" t="s">
        <v>6595</v>
      </c>
      <c r="E2418" s="90" t="s">
        <v>539</v>
      </c>
      <c r="F2418" s="90" t="s">
        <v>7554</v>
      </c>
      <c r="G2418" t="s">
        <v>859</v>
      </c>
    </row>
    <row r="2419" spans="1:7" x14ac:dyDescent="0.25">
      <c r="A2419" s="114">
        <v>8111205490</v>
      </c>
      <c r="B2419" s="90" t="s">
        <v>7555</v>
      </c>
      <c r="C2419" s="90" t="s">
        <v>508</v>
      </c>
      <c r="D2419" s="90" t="s">
        <v>6595</v>
      </c>
      <c r="E2419" s="90" t="s">
        <v>539</v>
      </c>
      <c r="F2419" s="90" t="s">
        <v>7556</v>
      </c>
      <c r="G2419" t="s">
        <v>859</v>
      </c>
    </row>
    <row r="2420" spans="1:7" x14ac:dyDescent="0.25">
      <c r="A2420" s="114">
        <v>8111205500</v>
      </c>
      <c r="B2420" s="90" t="s">
        <v>7557</v>
      </c>
      <c r="C2420" s="90" t="s">
        <v>508</v>
      </c>
      <c r="D2420" s="90" t="s">
        <v>6595</v>
      </c>
      <c r="E2420" s="90" t="s">
        <v>539</v>
      </c>
      <c r="F2420" s="90" t="s">
        <v>7558</v>
      </c>
      <c r="G2420" t="s">
        <v>512</v>
      </c>
    </row>
    <row r="2421" spans="1:7" x14ac:dyDescent="0.25">
      <c r="A2421" s="114">
        <v>8111205510</v>
      </c>
      <c r="B2421" s="90" t="s">
        <v>6810</v>
      </c>
      <c r="C2421" s="90" t="s">
        <v>508</v>
      </c>
      <c r="D2421" s="90" t="s">
        <v>6595</v>
      </c>
      <c r="E2421" s="90" t="s">
        <v>539</v>
      </c>
      <c r="F2421" s="90" t="s">
        <v>7559</v>
      </c>
      <c r="G2421" t="s">
        <v>859</v>
      </c>
    </row>
    <row r="2422" spans="1:7" x14ac:dyDescent="0.25">
      <c r="A2422" s="114">
        <v>8111205520</v>
      </c>
      <c r="B2422" s="90" t="s">
        <v>7560</v>
      </c>
      <c r="C2422" s="90" t="s">
        <v>508</v>
      </c>
      <c r="D2422" s="90" t="s">
        <v>6595</v>
      </c>
      <c r="E2422" s="90" t="s">
        <v>539</v>
      </c>
      <c r="F2422" s="90" t="s">
        <v>7561</v>
      </c>
      <c r="G2422" t="s">
        <v>859</v>
      </c>
    </row>
    <row r="2423" spans="1:7" x14ac:dyDescent="0.25">
      <c r="A2423" s="114">
        <v>8111205530</v>
      </c>
      <c r="B2423" s="90" t="s">
        <v>7562</v>
      </c>
      <c r="C2423" s="90" t="s">
        <v>508</v>
      </c>
      <c r="D2423" s="90" t="s">
        <v>6595</v>
      </c>
      <c r="E2423" s="90" t="s">
        <v>539</v>
      </c>
      <c r="F2423" s="90" t="s">
        <v>7563</v>
      </c>
      <c r="G2423" t="s">
        <v>859</v>
      </c>
    </row>
    <row r="2424" spans="1:7" x14ac:dyDescent="0.25">
      <c r="A2424" s="114">
        <v>8111205540</v>
      </c>
      <c r="B2424" s="90" t="s">
        <v>7564</v>
      </c>
      <c r="C2424" s="90" t="s">
        <v>508</v>
      </c>
      <c r="D2424" s="90" t="s">
        <v>6595</v>
      </c>
      <c r="E2424" s="90" t="s">
        <v>539</v>
      </c>
      <c r="F2424" s="90" t="s">
        <v>7565</v>
      </c>
      <c r="G2424" t="s">
        <v>859</v>
      </c>
    </row>
    <row r="2425" spans="1:7" x14ac:dyDescent="0.25">
      <c r="A2425" s="114">
        <v>8111205550</v>
      </c>
      <c r="B2425" s="90" t="s">
        <v>7566</v>
      </c>
      <c r="C2425" s="90" t="s">
        <v>508</v>
      </c>
      <c r="D2425" s="90" t="s">
        <v>6595</v>
      </c>
      <c r="E2425" s="90" t="s">
        <v>539</v>
      </c>
      <c r="F2425" s="90" t="s">
        <v>7567</v>
      </c>
      <c r="G2425" t="s">
        <v>859</v>
      </c>
    </row>
    <row r="2426" spans="1:7" x14ac:dyDescent="0.25">
      <c r="A2426" s="114">
        <v>8111205560</v>
      </c>
      <c r="B2426" s="90" t="s">
        <v>7568</v>
      </c>
      <c r="C2426" s="90" t="s">
        <v>508</v>
      </c>
      <c r="D2426" s="90" t="s">
        <v>6595</v>
      </c>
      <c r="E2426" s="90" t="s">
        <v>539</v>
      </c>
      <c r="F2426" s="90" t="s">
        <v>7569</v>
      </c>
      <c r="G2426" t="s">
        <v>512</v>
      </c>
    </row>
    <row r="2427" spans="1:7" x14ac:dyDescent="0.25">
      <c r="A2427" s="114">
        <v>8111205570</v>
      </c>
      <c r="B2427" s="90" t="s">
        <v>7570</v>
      </c>
      <c r="C2427" s="90" t="s">
        <v>508</v>
      </c>
      <c r="D2427" s="90" t="s">
        <v>6595</v>
      </c>
      <c r="E2427" s="90" t="s">
        <v>539</v>
      </c>
      <c r="F2427" s="90" t="s">
        <v>7571</v>
      </c>
      <c r="G2427" t="s">
        <v>859</v>
      </c>
    </row>
    <row r="2428" spans="1:7" x14ac:dyDescent="0.25">
      <c r="A2428" s="114">
        <v>8111205580</v>
      </c>
      <c r="B2428" s="90" t="s">
        <v>7572</v>
      </c>
      <c r="C2428" s="90" t="s">
        <v>508</v>
      </c>
      <c r="D2428" s="90" t="s">
        <v>6595</v>
      </c>
      <c r="E2428" s="90" t="s">
        <v>539</v>
      </c>
      <c r="F2428" s="90" t="s">
        <v>7573</v>
      </c>
      <c r="G2428" t="s">
        <v>512</v>
      </c>
    </row>
    <row r="2429" spans="1:7" x14ac:dyDescent="0.25">
      <c r="A2429" s="114">
        <v>8111205590</v>
      </c>
      <c r="B2429" s="90" t="s">
        <v>7574</v>
      </c>
      <c r="C2429" s="90" t="s">
        <v>508</v>
      </c>
      <c r="D2429" s="90" t="s">
        <v>6595</v>
      </c>
      <c r="E2429" s="90" t="s">
        <v>539</v>
      </c>
      <c r="F2429" s="90" t="s">
        <v>7575</v>
      </c>
      <c r="G2429" t="s">
        <v>859</v>
      </c>
    </row>
    <row r="2430" spans="1:7" x14ac:dyDescent="0.25">
      <c r="A2430" s="114">
        <v>8111205610</v>
      </c>
      <c r="B2430" s="90" t="s">
        <v>7564</v>
      </c>
      <c r="C2430" s="90" t="s">
        <v>508</v>
      </c>
      <c r="D2430" s="90" t="s">
        <v>6595</v>
      </c>
      <c r="E2430" s="90" t="s">
        <v>539</v>
      </c>
      <c r="F2430" s="90" t="s">
        <v>7576</v>
      </c>
      <c r="G2430" t="s">
        <v>859</v>
      </c>
    </row>
    <row r="2431" spans="1:7" x14ac:dyDescent="0.25">
      <c r="A2431" s="114">
        <v>8111205630</v>
      </c>
      <c r="B2431" s="90" t="s">
        <v>7577</v>
      </c>
      <c r="C2431" s="90" t="s">
        <v>508</v>
      </c>
      <c r="D2431" s="90" t="s">
        <v>6595</v>
      </c>
      <c r="E2431" s="90" t="s">
        <v>539</v>
      </c>
      <c r="F2431" s="90" t="s">
        <v>7578</v>
      </c>
      <c r="G2431" t="s">
        <v>512</v>
      </c>
    </row>
    <row r="2432" spans="1:7" x14ac:dyDescent="0.25">
      <c r="A2432" s="114">
        <v>8111205640</v>
      </c>
      <c r="B2432" s="90" t="s">
        <v>7579</v>
      </c>
      <c r="C2432" s="90" t="s">
        <v>508</v>
      </c>
      <c r="D2432" s="90" t="s">
        <v>6595</v>
      </c>
      <c r="E2432" s="90" t="s">
        <v>539</v>
      </c>
      <c r="F2432" s="90" t="s">
        <v>7580</v>
      </c>
      <c r="G2432" t="s">
        <v>859</v>
      </c>
    </row>
    <row r="2433" spans="1:7" x14ac:dyDescent="0.25">
      <c r="A2433" s="114">
        <v>8111205650</v>
      </c>
      <c r="B2433" s="90" t="s">
        <v>7581</v>
      </c>
      <c r="C2433" s="90" t="s">
        <v>508</v>
      </c>
      <c r="D2433" s="90" t="s">
        <v>6595</v>
      </c>
      <c r="E2433" s="90" t="s">
        <v>539</v>
      </c>
      <c r="F2433" s="90" t="s">
        <v>7582</v>
      </c>
      <c r="G2433" t="s">
        <v>859</v>
      </c>
    </row>
    <row r="2434" spans="1:7" x14ac:dyDescent="0.25">
      <c r="A2434" s="114">
        <v>8111205660</v>
      </c>
      <c r="B2434" s="90" t="s">
        <v>7583</v>
      </c>
      <c r="C2434" s="90" t="s">
        <v>508</v>
      </c>
      <c r="D2434" s="90" t="s">
        <v>6595</v>
      </c>
      <c r="E2434" s="90" t="s">
        <v>539</v>
      </c>
      <c r="F2434" s="90" t="s">
        <v>7584</v>
      </c>
      <c r="G2434" t="s">
        <v>512</v>
      </c>
    </row>
    <row r="2435" spans="1:7" x14ac:dyDescent="0.25">
      <c r="A2435" s="114">
        <v>8111205690</v>
      </c>
      <c r="B2435" s="90" t="s">
        <v>7585</v>
      </c>
      <c r="C2435" s="90" t="s">
        <v>508</v>
      </c>
      <c r="D2435" s="90" t="s">
        <v>6595</v>
      </c>
      <c r="E2435" s="90" t="s">
        <v>539</v>
      </c>
      <c r="F2435" s="90" t="s">
        <v>7586</v>
      </c>
      <c r="G2435" t="s">
        <v>512</v>
      </c>
    </row>
    <row r="2436" spans="1:7" x14ac:dyDescent="0.25">
      <c r="A2436" s="114">
        <v>8111205700</v>
      </c>
      <c r="B2436" s="90" t="s">
        <v>7587</v>
      </c>
      <c r="C2436" s="90" t="s">
        <v>508</v>
      </c>
      <c r="D2436" s="90" t="s">
        <v>6595</v>
      </c>
      <c r="E2436" s="90" t="s">
        <v>539</v>
      </c>
      <c r="F2436" s="90" t="s">
        <v>7588</v>
      </c>
      <c r="G2436" t="s">
        <v>512</v>
      </c>
    </row>
    <row r="2437" spans="1:7" x14ac:dyDescent="0.25">
      <c r="A2437" s="114">
        <v>8111206530</v>
      </c>
      <c r="B2437" s="90" t="s">
        <v>7577</v>
      </c>
      <c r="C2437" s="90" t="s">
        <v>508</v>
      </c>
      <c r="D2437" s="90" t="s">
        <v>6595</v>
      </c>
      <c r="E2437" s="90" t="s">
        <v>539</v>
      </c>
      <c r="F2437" s="90" t="s">
        <v>7589</v>
      </c>
      <c r="G2437" t="s">
        <v>512</v>
      </c>
    </row>
    <row r="2438" spans="1:7" x14ac:dyDescent="0.25">
      <c r="A2438" s="114">
        <v>8111206550</v>
      </c>
      <c r="B2438" s="90" t="s">
        <v>6834</v>
      </c>
      <c r="C2438" s="90" t="s">
        <v>508</v>
      </c>
      <c r="D2438" s="90" t="s">
        <v>6595</v>
      </c>
      <c r="E2438" s="90" t="s">
        <v>539</v>
      </c>
      <c r="F2438" s="90" t="s">
        <v>7590</v>
      </c>
      <c r="G2438" t="s">
        <v>859</v>
      </c>
    </row>
    <row r="2439" spans="1:7" x14ac:dyDescent="0.25">
      <c r="A2439" s="114">
        <v>8111206560</v>
      </c>
      <c r="B2439" s="90" t="s">
        <v>7591</v>
      </c>
      <c r="C2439" s="90" t="s">
        <v>508</v>
      </c>
      <c r="D2439" s="90" t="s">
        <v>6595</v>
      </c>
      <c r="E2439" s="90" t="s">
        <v>4884</v>
      </c>
      <c r="F2439" s="90" t="s">
        <v>7592</v>
      </c>
      <c r="G2439" t="s">
        <v>512</v>
      </c>
    </row>
    <row r="2440" spans="1:7" x14ac:dyDescent="0.25">
      <c r="A2440" s="114">
        <v>8111206580</v>
      </c>
      <c r="B2440" s="90" t="s">
        <v>7593</v>
      </c>
      <c r="C2440" s="90" t="s">
        <v>508</v>
      </c>
      <c r="D2440" s="90" t="s">
        <v>6595</v>
      </c>
      <c r="E2440" s="90" t="s">
        <v>539</v>
      </c>
      <c r="F2440" s="90" t="s">
        <v>7594</v>
      </c>
      <c r="G2440" t="s">
        <v>512</v>
      </c>
    </row>
    <row r="2441" spans="1:7" x14ac:dyDescent="0.25">
      <c r="A2441" s="114">
        <v>8111206590</v>
      </c>
      <c r="B2441" s="90" t="s">
        <v>7595</v>
      </c>
      <c r="C2441" s="90" t="s">
        <v>508</v>
      </c>
      <c r="D2441" s="90" t="s">
        <v>6595</v>
      </c>
      <c r="E2441" s="90" t="s">
        <v>539</v>
      </c>
      <c r="F2441" s="90" t="s">
        <v>7596</v>
      </c>
      <c r="G2441" t="s">
        <v>512</v>
      </c>
    </row>
    <row r="2442" spans="1:7" x14ac:dyDescent="0.25">
      <c r="A2442" s="114">
        <v>8111206600</v>
      </c>
      <c r="B2442" s="90" t="s">
        <v>7597</v>
      </c>
      <c r="C2442" s="90" t="s">
        <v>508</v>
      </c>
      <c r="D2442" s="90" t="s">
        <v>6595</v>
      </c>
      <c r="E2442" s="90" t="s">
        <v>539</v>
      </c>
      <c r="F2442" s="90" t="s">
        <v>7598</v>
      </c>
      <c r="G2442" t="s">
        <v>859</v>
      </c>
    </row>
    <row r="2443" spans="1:7" x14ac:dyDescent="0.25">
      <c r="A2443" s="114">
        <v>8111206610</v>
      </c>
      <c r="B2443" s="90" t="s">
        <v>7599</v>
      </c>
      <c r="C2443" s="90" t="s">
        <v>508</v>
      </c>
      <c r="D2443" s="90" t="s">
        <v>6595</v>
      </c>
      <c r="E2443" s="90" t="s">
        <v>539</v>
      </c>
      <c r="F2443" s="90" t="s">
        <v>7600</v>
      </c>
      <c r="G2443" t="s">
        <v>859</v>
      </c>
    </row>
    <row r="2444" spans="1:7" x14ac:dyDescent="0.25">
      <c r="A2444" s="114">
        <v>8111206630</v>
      </c>
      <c r="B2444" s="90" t="s">
        <v>3855</v>
      </c>
      <c r="C2444" s="90" t="s">
        <v>508</v>
      </c>
      <c r="D2444" s="90" t="s">
        <v>6595</v>
      </c>
      <c r="E2444" s="90" t="s">
        <v>539</v>
      </c>
      <c r="F2444" s="90" t="s">
        <v>7601</v>
      </c>
      <c r="G2444" t="s">
        <v>512</v>
      </c>
    </row>
    <row r="2445" spans="1:7" x14ac:dyDescent="0.25">
      <c r="A2445" s="114">
        <v>8111206640</v>
      </c>
      <c r="B2445" s="90" t="s">
        <v>6613</v>
      </c>
      <c r="C2445" s="90" t="s">
        <v>508</v>
      </c>
      <c r="D2445" s="90" t="s">
        <v>6595</v>
      </c>
      <c r="E2445" s="90" t="s">
        <v>4884</v>
      </c>
      <c r="F2445" s="90" t="s">
        <v>7602</v>
      </c>
      <c r="G2445" t="s">
        <v>859</v>
      </c>
    </row>
    <row r="2446" spans="1:7" x14ac:dyDescent="0.25">
      <c r="A2446" s="114">
        <v>8111206650</v>
      </c>
      <c r="B2446" s="90" t="s">
        <v>7603</v>
      </c>
      <c r="C2446" s="90" t="s">
        <v>508</v>
      </c>
      <c r="D2446" s="90" t="s">
        <v>6595</v>
      </c>
      <c r="E2446" s="90" t="s">
        <v>539</v>
      </c>
      <c r="F2446" s="90" t="s">
        <v>7604</v>
      </c>
      <c r="G2446" t="s">
        <v>859</v>
      </c>
    </row>
    <row r="2447" spans="1:7" x14ac:dyDescent="0.25">
      <c r="A2447" s="114">
        <v>8111206660</v>
      </c>
      <c r="B2447" s="90" t="s">
        <v>7605</v>
      </c>
      <c r="C2447" s="90" t="s">
        <v>508</v>
      </c>
      <c r="D2447" s="90" t="s">
        <v>6595</v>
      </c>
      <c r="E2447" s="90" t="s">
        <v>4884</v>
      </c>
      <c r="F2447" s="90" t="s">
        <v>7606</v>
      </c>
      <c r="G2447" t="s">
        <v>512</v>
      </c>
    </row>
    <row r="2448" spans="1:7" x14ac:dyDescent="0.25">
      <c r="A2448" s="114">
        <v>8111206670</v>
      </c>
      <c r="B2448" s="90" t="s">
        <v>7607</v>
      </c>
      <c r="C2448" s="90" t="s">
        <v>508</v>
      </c>
      <c r="D2448" s="90" t="s">
        <v>6595</v>
      </c>
      <c r="E2448" s="90" t="s">
        <v>539</v>
      </c>
      <c r="F2448" s="90" t="s">
        <v>7608</v>
      </c>
      <c r="G2448" t="s">
        <v>859</v>
      </c>
    </row>
    <row r="2449" spans="1:7" x14ac:dyDescent="0.25">
      <c r="A2449" s="114">
        <v>8111206680</v>
      </c>
      <c r="B2449" s="90" t="s">
        <v>7609</v>
      </c>
      <c r="C2449" s="90" t="s">
        <v>508</v>
      </c>
      <c r="D2449" s="90" t="s">
        <v>6595</v>
      </c>
      <c r="E2449" s="90" t="s">
        <v>539</v>
      </c>
      <c r="F2449" s="90" t="s">
        <v>7610</v>
      </c>
      <c r="G2449" t="s">
        <v>512</v>
      </c>
    </row>
    <row r="2450" spans="1:7" x14ac:dyDescent="0.25">
      <c r="A2450" s="114">
        <v>8111206690</v>
      </c>
      <c r="B2450" s="90" t="s">
        <v>7611</v>
      </c>
      <c r="C2450" s="90" t="s">
        <v>508</v>
      </c>
      <c r="D2450" s="90" t="s">
        <v>6595</v>
      </c>
      <c r="E2450" s="90" t="s">
        <v>539</v>
      </c>
      <c r="F2450" s="90" t="s">
        <v>7612</v>
      </c>
      <c r="G2450" t="s">
        <v>859</v>
      </c>
    </row>
    <row r="2451" spans="1:7" x14ac:dyDescent="0.25">
      <c r="A2451" s="114">
        <v>8111206700</v>
      </c>
      <c r="B2451" s="90" t="s">
        <v>7613</v>
      </c>
      <c r="C2451" s="90" t="s">
        <v>508</v>
      </c>
      <c r="D2451" s="90" t="s">
        <v>6595</v>
      </c>
      <c r="E2451" s="90" t="s">
        <v>539</v>
      </c>
      <c r="F2451" s="90" t="s">
        <v>7614</v>
      </c>
      <c r="G2451" t="s">
        <v>512</v>
      </c>
    </row>
    <row r="2452" spans="1:7" x14ac:dyDescent="0.25">
      <c r="A2452" s="114">
        <v>8111206730</v>
      </c>
      <c r="B2452" s="90" t="s">
        <v>7615</v>
      </c>
      <c r="C2452" s="90" t="s">
        <v>508</v>
      </c>
      <c r="D2452" s="90" t="s">
        <v>6595</v>
      </c>
      <c r="E2452" s="90" t="s">
        <v>539</v>
      </c>
      <c r="F2452" s="90" t="s">
        <v>7616</v>
      </c>
      <c r="G2452" t="s">
        <v>859</v>
      </c>
    </row>
    <row r="2453" spans="1:7" x14ac:dyDescent="0.25">
      <c r="A2453" s="114">
        <v>8111206740</v>
      </c>
      <c r="B2453" s="90" t="s">
        <v>7617</v>
      </c>
      <c r="C2453" s="90" t="s">
        <v>508</v>
      </c>
      <c r="D2453" s="90" t="s">
        <v>6595</v>
      </c>
      <c r="E2453" s="90" t="s">
        <v>4884</v>
      </c>
      <c r="F2453" s="90" t="s">
        <v>7618</v>
      </c>
      <c r="G2453" t="s">
        <v>859</v>
      </c>
    </row>
    <row r="2454" spans="1:7" x14ac:dyDescent="0.25">
      <c r="A2454" s="114">
        <v>8111206750</v>
      </c>
      <c r="B2454" s="90" t="s">
        <v>7619</v>
      </c>
      <c r="C2454" s="90" t="s">
        <v>508</v>
      </c>
      <c r="D2454" s="90" t="s">
        <v>6595</v>
      </c>
      <c r="E2454" s="90" t="s">
        <v>539</v>
      </c>
      <c r="F2454" s="90" t="s">
        <v>7620</v>
      </c>
      <c r="G2454" t="s">
        <v>512</v>
      </c>
    </row>
    <row r="2455" spans="1:7" x14ac:dyDescent="0.25">
      <c r="A2455" s="114">
        <v>8111206760</v>
      </c>
      <c r="B2455" s="90" t="s">
        <v>7621</v>
      </c>
      <c r="C2455" s="90" t="s">
        <v>508</v>
      </c>
      <c r="D2455" s="90" t="s">
        <v>6595</v>
      </c>
      <c r="E2455" s="90" t="s">
        <v>4884</v>
      </c>
      <c r="F2455" s="90" t="s">
        <v>7622</v>
      </c>
      <c r="G2455" t="s">
        <v>859</v>
      </c>
    </row>
    <row r="2456" spans="1:7" x14ac:dyDescent="0.25">
      <c r="A2456" s="114">
        <v>8111206770</v>
      </c>
      <c r="B2456" s="90" t="s">
        <v>7623</v>
      </c>
      <c r="C2456" s="90" t="s">
        <v>508</v>
      </c>
      <c r="D2456" s="90" t="s">
        <v>6595</v>
      </c>
      <c r="E2456" s="90" t="s">
        <v>539</v>
      </c>
      <c r="F2456" s="90" t="s">
        <v>7624</v>
      </c>
      <c r="G2456" t="s">
        <v>512</v>
      </c>
    </row>
    <row r="2457" spans="1:7" x14ac:dyDescent="0.25">
      <c r="A2457" s="114">
        <v>8111206780</v>
      </c>
      <c r="B2457" s="90" t="s">
        <v>7515</v>
      </c>
      <c r="C2457" s="90" t="s">
        <v>508</v>
      </c>
      <c r="D2457" s="90" t="s">
        <v>6595</v>
      </c>
      <c r="E2457" s="90" t="s">
        <v>539</v>
      </c>
      <c r="F2457" s="90" t="s">
        <v>7625</v>
      </c>
      <c r="G2457" t="s">
        <v>512</v>
      </c>
    </row>
    <row r="2458" spans="1:7" x14ac:dyDescent="0.25">
      <c r="A2458" s="114">
        <v>8111206790</v>
      </c>
      <c r="B2458" s="90" t="s">
        <v>7626</v>
      </c>
      <c r="C2458" s="90" t="s">
        <v>508</v>
      </c>
      <c r="D2458" s="90" t="s">
        <v>6595</v>
      </c>
      <c r="E2458" s="90" t="s">
        <v>4884</v>
      </c>
      <c r="F2458" s="90" t="s">
        <v>7627</v>
      </c>
      <c r="G2458" t="s">
        <v>859</v>
      </c>
    </row>
    <row r="2459" spans="1:7" x14ac:dyDescent="0.25">
      <c r="A2459" s="114">
        <v>8111206800</v>
      </c>
      <c r="B2459" s="90" t="s">
        <v>7628</v>
      </c>
      <c r="C2459" s="90" t="s">
        <v>508</v>
      </c>
      <c r="D2459" s="90" t="s">
        <v>6595</v>
      </c>
      <c r="E2459" s="90" t="s">
        <v>539</v>
      </c>
      <c r="F2459" s="90" t="s">
        <v>7629</v>
      </c>
      <c r="G2459" t="s">
        <v>859</v>
      </c>
    </row>
    <row r="2460" spans="1:7" x14ac:dyDescent="0.25">
      <c r="A2460" s="114">
        <v>8111206840</v>
      </c>
      <c r="B2460" s="90" t="s">
        <v>7630</v>
      </c>
      <c r="C2460" s="90" t="s">
        <v>508</v>
      </c>
      <c r="D2460" s="90" t="s">
        <v>6595</v>
      </c>
      <c r="E2460" s="90" t="s">
        <v>4884</v>
      </c>
      <c r="F2460" s="90" t="s">
        <v>7631</v>
      </c>
      <c r="G2460" t="s">
        <v>512</v>
      </c>
    </row>
    <row r="2461" spans="1:7" x14ac:dyDescent="0.25">
      <c r="A2461" s="114">
        <v>8111206850</v>
      </c>
      <c r="B2461" s="90" t="s">
        <v>4341</v>
      </c>
      <c r="C2461" s="90" t="s">
        <v>508</v>
      </c>
      <c r="D2461" s="90" t="s">
        <v>6595</v>
      </c>
      <c r="E2461" s="90" t="s">
        <v>4884</v>
      </c>
      <c r="F2461" s="90" t="s">
        <v>7632</v>
      </c>
      <c r="G2461" t="s">
        <v>512</v>
      </c>
    </row>
    <row r="2462" spans="1:7" x14ac:dyDescent="0.25">
      <c r="A2462" s="114">
        <v>8111206880</v>
      </c>
      <c r="B2462" s="90" t="s">
        <v>7633</v>
      </c>
      <c r="C2462" s="90" t="s">
        <v>508</v>
      </c>
      <c r="D2462" s="90" t="s">
        <v>6595</v>
      </c>
      <c r="E2462" s="90" t="s">
        <v>539</v>
      </c>
      <c r="F2462" s="90" t="s">
        <v>7634</v>
      </c>
      <c r="G2462" t="s">
        <v>512</v>
      </c>
    </row>
    <row r="2463" spans="1:7" x14ac:dyDescent="0.25">
      <c r="A2463" s="114">
        <v>8111206890</v>
      </c>
      <c r="B2463" s="90" t="s">
        <v>7635</v>
      </c>
      <c r="C2463" s="90" t="s">
        <v>508</v>
      </c>
      <c r="D2463" s="90" t="s">
        <v>6595</v>
      </c>
      <c r="E2463" s="90" t="s">
        <v>539</v>
      </c>
      <c r="F2463" s="90" t="s">
        <v>7636</v>
      </c>
      <c r="G2463" t="s">
        <v>859</v>
      </c>
    </row>
    <row r="2464" spans="1:7" x14ac:dyDescent="0.25">
      <c r="A2464" s="114">
        <v>8111206900</v>
      </c>
      <c r="B2464" s="90" t="s">
        <v>7637</v>
      </c>
      <c r="C2464" s="90" t="s">
        <v>508</v>
      </c>
      <c r="D2464" s="90" t="s">
        <v>6595</v>
      </c>
      <c r="E2464" s="90" t="s">
        <v>4884</v>
      </c>
      <c r="F2464" s="90" t="s">
        <v>7638</v>
      </c>
      <c r="G2464" t="s">
        <v>859</v>
      </c>
    </row>
    <row r="2465" spans="1:7" x14ac:dyDescent="0.25">
      <c r="A2465" s="114">
        <v>8111206910</v>
      </c>
      <c r="B2465" s="90" t="s">
        <v>7615</v>
      </c>
      <c r="C2465" s="90" t="s">
        <v>508</v>
      </c>
      <c r="D2465" s="90" t="s">
        <v>6595</v>
      </c>
      <c r="E2465" s="90" t="s">
        <v>539</v>
      </c>
      <c r="F2465" s="90" t="s">
        <v>7639</v>
      </c>
      <c r="G2465" t="s">
        <v>859</v>
      </c>
    </row>
    <row r="2466" spans="1:7" x14ac:dyDescent="0.25">
      <c r="A2466" s="114">
        <v>8111206920</v>
      </c>
      <c r="B2466" s="90" t="s">
        <v>7640</v>
      </c>
      <c r="C2466" s="90" t="s">
        <v>508</v>
      </c>
      <c r="D2466" s="90" t="s">
        <v>6595</v>
      </c>
      <c r="E2466" s="90" t="s">
        <v>4884</v>
      </c>
      <c r="F2466" s="90" t="s">
        <v>7641</v>
      </c>
      <c r="G2466" t="s">
        <v>859</v>
      </c>
    </row>
    <row r="2467" spans="1:7" x14ac:dyDescent="0.25">
      <c r="A2467" s="114">
        <v>8111206930</v>
      </c>
      <c r="B2467" s="90" t="s">
        <v>7642</v>
      </c>
      <c r="C2467" s="90" t="s">
        <v>508</v>
      </c>
      <c r="D2467" s="90" t="s">
        <v>6595</v>
      </c>
      <c r="E2467" s="90" t="s">
        <v>4884</v>
      </c>
      <c r="F2467" s="90" t="s">
        <v>7643</v>
      </c>
      <c r="G2467" t="s">
        <v>859</v>
      </c>
    </row>
    <row r="2468" spans="1:7" x14ac:dyDescent="0.25">
      <c r="A2468" s="114">
        <v>8111206940</v>
      </c>
      <c r="B2468" s="90" t="s">
        <v>7644</v>
      </c>
      <c r="C2468" s="90" t="s">
        <v>508</v>
      </c>
      <c r="D2468" s="90" t="s">
        <v>6595</v>
      </c>
      <c r="E2468" s="90" t="s">
        <v>539</v>
      </c>
      <c r="F2468" s="90" t="s">
        <v>7645</v>
      </c>
      <c r="G2468" t="s">
        <v>859</v>
      </c>
    </row>
    <row r="2469" spans="1:7" x14ac:dyDescent="0.25">
      <c r="A2469" s="114">
        <v>8111206950</v>
      </c>
      <c r="B2469" s="90" t="s">
        <v>7646</v>
      </c>
      <c r="C2469" s="90" t="s">
        <v>508</v>
      </c>
      <c r="D2469" s="90" t="s">
        <v>6595</v>
      </c>
      <c r="E2469" s="90" t="s">
        <v>539</v>
      </c>
      <c r="F2469" s="90" t="s">
        <v>7647</v>
      </c>
      <c r="G2469" t="s">
        <v>859</v>
      </c>
    </row>
    <row r="2470" spans="1:7" x14ac:dyDescent="0.25">
      <c r="A2470" s="114">
        <v>8111206990</v>
      </c>
      <c r="B2470" s="90" t="s">
        <v>7648</v>
      </c>
      <c r="C2470" s="90" t="s">
        <v>508</v>
      </c>
      <c r="D2470" s="90" t="s">
        <v>6595</v>
      </c>
      <c r="E2470" s="90" t="s">
        <v>4884</v>
      </c>
      <c r="F2470" s="90" t="s">
        <v>7649</v>
      </c>
      <c r="G2470" t="s">
        <v>512</v>
      </c>
    </row>
    <row r="2471" spans="1:7" x14ac:dyDescent="0.25">
      <c r="A2471" s="114">
        <v>8111207000</v>
      </c>
      <c r="B2471" s="90" t="s">
        <v>7650</v>
      </c>
      <c r="C2471" s="90" t="s">
        <v>508</v>
      </c>
      <c r="D2471" s="90" t="s">
        <v>6595</v>
      </c>
      <c r="E2471" s="90" t="s">
        <v>539</v>
      </c>
      <c r="F2471" s="90" t="s">
        <v>7651</v>
      </c>
      <c r="G2471" t="s">
        <v>859</v>
      </c>
    </row>
    <row r="2472" spans="1:7" x14ac:dyDescent="0.25">
      <c r="A2472" s="114">
        <v>8111207010</v>
      </c>
      <c r="B2472" s="90" t="s">
        <v>7652</v>
      </c>
      <c r="C2472" s="90" t="s">
        <v>508</v>
      </c>
      <c r="D2472" s="90" t="s">
        <v>6595</v>
      </c>
      <c r="E2472" s="90" t="s">
        <v>539</v>
      </c>
      <c r="F2472" s="90" t="s">
        <v>7653</v>
      </c>
      <c r="G2472" t="s">
        <v>859</v>
      </c>
    </row>
    <row r="2473" spans="1:7" x14ac:dyDescent="0.25">
      <c r="A2473" s="114">
        <v>8111207020</v>
      </c>
      <c r="B2473" s="90" t="s">
        <v>7654</v>
      </c>
      <c r="C2473" s="90" t="s">
        <v>508</v>
      </c>
      <c r="D2473" s="90" t="s">
        <v>6595</v>
      </c>
      <c r="E2473" s="90" t="s">
        <v>539</v>
      </c>
      <c r="F2473" s="90" t="s">
        <v>7655</v>
      </c>
      <c r="G2473" t="s">
        <v>512</v>
      </c>
    </row>
    <row r="2474" spans="1:7" x14ac:dyDescent="0.25">
      <c r="A2474" s="114">
        <v>8111207060</v>
      </c>
      <c r="B2474" s="90" t="s">
        <v>7656</v>
      </c>
      <c r="C2474" s="90" t="s">
        <v>508</v>
      </c>
      <c r="D2474" s="90" t="s">
        <v>6595</v>
      </c>
      <c r="E2474" s="90" t="s">
        <v>4884</v>
      </c>
      <c r="F2474" s="90" t="s">
        <v>7657</v>
      </c>
      <c r="G2474" t="s">
        <v>512</v>
      </c>
    </row>
    <row r="2475" spans="1:7" x14ac:dyDescent="0.25">
      <c r="A2475" s="114">
        <v>8111207070</v>
      </c>
      <c r="B2475" s="90" t="s">
        <v>7658</v>
      </c>
      <c r="C2475" s="90" t="s">
        <v>508</v>
      </c>
      <c r="D2475" s="90" t="s">
        <v>6595</v>
      </c>
      <c r="E2475" s="90" t="s">
        <v>4884</v>
      </c>
      <c r="F2475" s="90" t="s">
        <v>7659</v>
      </c>
      <c r="G2475" t="s">
        <v>512</v>
      </c>
    </row>
    <row r="2476" spans="1:7" x14ac:dyDescent="0.25">
      <c r="A2476" s="114">
        <v>8111207080</v>
      </c>
      <c r="B2476" s="90" t="s">
        <v>7660</v>
      </c>
      <c r="C2476" s="90" t="s">
        <v>508</v>
      </c>
      <c r="D2476" s="90" t="s">
        <v>6595</v>
      </c>
      <c r="E2476" s="90" t="s">
        <v>4884</v>
      </c>
      <c r="F2476" s="90" t="s">
        <v>7661</v>
      </c>
      <c r="G2476" t="s">
        <v>859</v>
      </c>
    </row>
    <row r="2477" spans="1:7" x14ac:dyDescent="0.25">
      <c r="A2477" s="114">
        <v>8111207090</v>
      </c>
      <c r="B2477" s="90" t="s">
        <v>7662</v>
      </c>
      <c r="C2477" s="90" t="s">
        <v>508</v>
      </c>
      <c r="D2477" s="90" t="s">
        <v>6595</v>
      </c>
      <c r="E2477" s="90" t="s">
        <v>4884</v>
      </c>
      <c r="F2477" s="90" t="s">
        <v>7663</v>
      </c>
      <c r="G2477" t="s">
        <v>512</v>
      </c>
    </row>
    <row r="2478" spans="1:7" x14ac:dyDescent="0.25">
      <c r="A2478" s="114">
        <v>8111207100</v>
      </c>
      <c r="B2478" s="90" t="s">
        <v>7664</v>
      </c>
      <c r="C2478" s="90" t="s">
        <v>508</v>
      </c>
      <c r="D2478" s="90" t="s">
        <v>6595</v>
      </c>
      <c r="E2478" s="90" t="s">
        <v>4884</v>
      </c>
      <c r="F2478" s="90" t="s">
        <v>7665</v>
      </c>
      <c r="G2478" t="s">
        <v>512</v>
      </c>
    </row>
    <row r="2479" spans="1:7" x14ac:dyDescent="0.25">
      <c r="A2479" s="114">
        <v>8111207110</v>
      </c>
      <c r="B2479" s="90" t="s">
        <v>7666</v>
      </c>
      <c r="C2479" s="90" t="s">
        <v>508</v>
      </c>
      <c r="D2479" s="90" t="s">
        <v>6595</v>
      </c>
      <c r="E2479" s="90" t="s">
        <v>4884</v>
      </c>
      <c r="F2479" s="90" t="s">
        <v>7667</v>
      </c>
      <c r="G2479" t="s">
        <v>859</v>
      </c>
    </row>
    <row r="2480" spans="1:7" x14ac:dyDescent="0.25">
      <c r="A2480" s="114">
        <v>8111207120</v>
      </c>
      <c r="B2480" s="90" t="s">
        <v>7668</v>
      </c>
      <c r="C2480" s="90" t="s">
        <v>508</v>
      </c>
      <c r="D2480" s="90" t="s">
        <v>6595</v>
      </c>
      <c r="E2480" s="90" t="s">
        <v>4884</v>
      </c>
      <c r="F2480" s="90" t="s">
        <v>7669</v>
      </c>
      <c r="G2480" t="s">
        <v>512</v>
      </c>
    </row>
    <row r="2481" spans="1:7" x14ac:dyDescent="0.25">
      <c r="A2481" s="114">
        <v>8111207370</v>
      </c>
      <c r="B2481" s="90" t="s">
        <v>7670</v>
      </c>
      <c r="C2481" s="90" t="s">
        <v>508</v>
      </c>
      <c r="D2481" s="90" t="s">
        <v>6595</v>
      </c>
      <c r="E2481" s="90" t="s">
        <v>4884</v>
      </c>
      <c r="F2481" s="90" t="s">
        <v>7671</v>
      </c>
      <c r="G2481" t="s">
        <v>859</v>
      </c>
    </row>
    <row r="2482" spans="1:7" x14ac:dyDescent="0.25">
      <c r="A2482" s="114">
        <v>8111207400</v>
      </c>
      <c r="B2482" s="90" t="s">
        <v>7672</v>
      </c>
      <c r="C2482" s="90" t="s">
        <v>508</v>
      </c>
      <c r="D2482" s="90" t="s">
        <v>6595</v>
      </c>
      <c r="E2482" s="90" t="s">
        <v>4884</v>
      </c>
      <c r="F2482" s="90" t="s">
        <v>7673</v>
      </c>
      <c r="G2482" t="s">
        <v>512</v>
      </c>
    </row>
    <row r="2483" spans="1:7" x14ac:dyDescent="0.25">
      <c r="A2483" s="114">
        <v>8111207410</v>
      </c>
      <c r="B2483" s="90" t="s">
        <v>7674</v>
      </c>
      <c r="C2483" s="90" t="s">
        <v>508</v>
      </c>
      <c r="D2483" s="90" t="s">
        <v>6595</v>
      </c>
      <c r="E2483" s="90" t="s">
        <v>4884</v>
      </c>
      <c r="F2483" s="90" t="s">
        <v>7675</v>
      </c>
      <c r="G2483" t="s">
        <v>859</v>
      </c>
    </row>
    <row r="2484" spans="1:7" x14ac:dyDescent="0.25">
      <c r="A2484" s="114">
        <v>8111207430</v>
      </c>
      <c r="B2484" s="90" t="s">
        <v>7676</v>
      </c>
      <c r="C2484" s="90" t="s">
        <v>508</v>
      </c>
      <c r="D2484" s="90" t="s">
        <v>6595</v>
      </c>
      <c r="E2484" s="90" t="s">
        <v>4884</v>
      </c>
      <c r="F2484" s="90" t="s">
        <v>7677</v>
      </c>
      <c r="G2484" t="s">
        <v>512</v>
      </c>
    </row>
    <row r="2485" spans="1:7" x14ac:dyDescent="0.25">
      <c r="A2485" s="114">
        <v>8111207440</v>
      </c>
      <c r="B2485" s="90" t="s">
        <v>7678</v>
      </c>
      <c r="C2485" s="90" t="s">
        <v>508</v>
      </c>
      <c r="D2485" s="90" t="s">
        <v>6595</v>
      </c>
      <c r="E2485" s="90" t="s">
        <v>4884</v>
      </c>
      <c r="F2485" s="90" t="s">
        <v>7679</v>
      </c>
      <c r="G2485" t="s">
        <v>859</v>
      </c>
    </row>
    <row r="2486" spans="1:7" x14ac:dyDescent="0.25">
      <c r="A2486" s="114">
        <v>8111207450</v>
      </c>
      <c r="B2486" s="90" t="s">
        <v>7279</v>
      </c>
      <c r="C2486" s="90" t="s">
        <v>508</v>
      </c>
      <c r="D2486" s="90" t="s">
        <v>6595</v>
      </c>
      <c r="E2486" s="90" t="s">
        <v>4884</v>
      </c>
      <c r="F2486" s="90" t="s">
        <v>7680</v>
      </c>
      <c r="G2486" t="s">
        <v>859</v>
      </c>
    </row>
    <row r="2487" spans="1:7" x14ac:dyDescent="0.25">
      <c r="A2487" s="114">
        <v>8111207460</v>
      </c>
      <c r="B2487" s="90" t="s">
        <v>7681</v>
      </c>
      <c r="C2487" s="90" t="s">
        <v>508</v>
      </c>
      <c r="D2487" s="90" t="s">
        <v>6595</v>
      </c>
      <c r="E2487" s="90" t="s">
        <v>4884</v>
      </c>
      <c r="F2487" s="90" t="s">
        <v>7682</v>
      </c>
      <c r="G2487" t="s">
        <v>512</v>
      </c>
    </row>
    <row r="2488" spans="1:7" x14ac:dyDescent="0.25">
      <c r="A2488" s="114">
        <v>8111207480</v>
      </c>
      <c r="B2488" s="90" t="s">
        <v>6679</v>
      </c>
      <c r="C2488" s="90" t="s">
        <v>508</v>
      </c>
      <c r="D2488" s="90" t="s">
        <v>6595</v>
      </c>
      <c r="E2488" s="90" t="s">
        <v>4884</v>
      </c>
      <c r="F2488" s="90" t="s">
        <v>7683</v>
      </c>
      <c r="G2488" t="s">
        <v>859</v>
      </c>
    </row>
    <row r="2489" spans="1:7" x14ac:dyDescent="0.25">
      <c r="A2489" s="114">
        <v>8111207500</v>
      </c>
      <c r="B2489" s="90" t="s">
        <v>7684</v>
      </c>
      <c r="C2489" s="90" t="s">
        <v>508</v>
      </c>
      <c r="D2489" s="90" t="s">
        <v>6595</v>
      </c>
      <c r="E2489" s="90" t="s">
        <v>4884</v>
      </c>
      <c r="F2489" s="90" t="s">
        <v>7685</v>
      </c>
      <c r="G2489" t="s">
        <v>512</v>
      </c>
    </row>
    <row r="2490" spans="1:7" x14ac:dyDescent="0.25">
      <c r="A2490" s="114">
        <v>8111208260</v>
      </c>
      <c r="B2490" s="90" t="s">
        <v>3322</v>
      </c>
      <c r="C2490" s="90" t="s">
        <v>508</v>
      </c>
      <c r="D2490" s="90" t="s">
        <v>6595</v>
      </c>
      <c r="E2490" s="90" t="s">
        <v>4884</v>
      </c>
      <c r="F2490" s="90" t="s">
        <v>7686</v>
      </c>
      <c r="G2490" t="s">
        <v>512</v>
      </c>
    </row>
    <row r="2491" spans="1:7" x14ac:dyDescent="0.25">
      <c r="A2491" s="114">
        <v>8111208270</v>
      </c>
      <c r="B2491" s="90" t="s">
        <v>7687</v>
      </c>
      <c r="C2491" s="90" t="s">
        <v>508</v>
      </c>
      <c r="D2491" s="90" t="s">
        <v>6595</v>
      </c>
      <c r="E2491" s="90" t="s">
        <v>4884</v>
      </c>
      <c r="F2491" s="90" t="s">
        <v>7688</v>
      </c>
      <c r="G2491" t="s">
        <v>512</v>
      </c>
    </row>
    <row r="2492" spans="1:7" x14ac:dyDescent="0.25">
      <c r="A2492" s="114">
        <v>8111208280</v>
      </c>
      <c r="B2492" s="90" t="s">
        <v>7689</v>
      </c>
      <c r="C2492" s="90" t="s">
        <v>508</v>
      </c>
      <c r="D2492" s="90" t="s">
        <v>6595</v>
      </c>
      <c r="E2492" s="90" t="s">
        <v>4884</v>
      </c>
      <c r="F2492" s="90" t="s">
        <v>7690</v>
      </c>
      <c r="G2492" t="s">
        <v>859</v>
      </c>
    </row>
    <row r="2493" spans="1:7" x14ac:dyDescent="0.25">
      <c r="A2493" s="114">
        <v>8111208290</v>
      </c>
      <c r="B2493" s="90" t="s">
        <v>7691</v>
      </c>
      <c r="C2493" s="90" t="s">
        <v>508</v>
      </c>
      <c r="D2493" s="90" t="s">
        <v>6595</v>
      </c>
      <c r="E2493" s="90" t="s">
        <v>4884</v>
      </c>
      <c r="F2493" s="90" t="s">
        <v>7692</v>
      </c>
      <c r="G2493" t="s">
        <v>512</v>
      </c>
    </row>
    <row r="2494" spans="1:7" x14ac:dyDescent="0.25">
      <c r="A2494" s="114">
        <v>8111208310</v>
      </c>
      <c r="B2494" s="90" t="s">
        <v>7693</v>
      </c>
      <c r="C2494" s="90" t="s">
        <v>508</v>
      </c>
      <c r="D2494" s="90" t="s">
        <v>6595</v>
      </c>
      <c r="E2494" s="90" t="s">
        <v>4884</v>
      </c>
      <c r="F2494" s="90" t="s">
        <v>7694</v>
      </c>
      <c r="G2494" t="s">
        <v>512</v>
      </c>
    </row>
    <row r="2495" spans="1:7" x14ac:dyDescent="0.25">
      <c r="A2495" s="114">
        <v>8111208320</v>
      </c>
      <c r="B2495" s="90" t="s">
        <v>7695</v>
      </c>
      <c r="C2495" s="90" t="s">
        <v>508</v>
      </c>
      <c r="D2495" s="90" t="s">
        <v>6595</v>
      </c>
      <c r="E2495" s="90" t="s">
        <v>4884</v>
      </c>
      <c r="F2495" s="90" t="s">
        <v>7696</v>
      </c>
      <c r="G2495" t="s">
        <v>859</v>
      </c>
    </row>
    <row r="2496" spans="1:7" x14ac:dyDescent="0.25">
      <c r="A2496" s="114">
        <v>8111208330</v>
      </c>
      <c r="B2496" s="90" t="s">
        <v>7697</v>
      </c>
      <c r="C2496" s="90" t="s">
        <v>508</v>
      </c>
      <c r="D2496" s="90" t="s">
        <v>6595</v>
      </c>
      <c r="E2496" s="90" t="s">
        <v>4884</v>
      </c>
      <c r="F2496" s="90" t="s">
        <v>7698</v>
      </c>
      <c r="G2496" t="s">
        <v>512</v>
      </c>
    </row>
    <row r="2497" spans="1:7" x14ac:dyDescent="0.25">
      <c r="A2497" s="114">
        <v>8111208360</v>
      </c>
      <c r="B2497" s="90" t="s">
        <v>7699</v>
      </c>
      <c r="C2497" s="90" t="s">
        <v>508</v>
      </c>
      <c r="D2497" s="90" t="s">
        <v>6595</v>
      </c>
      <c r="E2497" s="90" t="s">
        <v>4884</v>
      </c>
      <c r="F2497" s="90" t="s">
        <v>7700</v>
      </c>
      <c r="G2497" t="s">
        <v>859</v>
      </c>
    </row>
    <row r="2498" spans="1:7" x14ac:dyDescent="0.25">
      <c r="A2498" s="114">
        <v>8111208380</v>
      </c>
      <c r="B2498" s="90" t="s">
        <v>7701</v>
      </c>
      <c r="C2498" s="90" t="s">
        <v>508</v>
      </c>
      <c r="D2498" s="90" t="s">
        <v>6595</v>
      </c>
      <c r="E2498" s="90" t="s">
        <v>4884</v>
      </c>
      <c r="F2498" s="90" t="s">
        <v>7702</v>
      </c>
      <c r="G2498" t="s">
        <v>859</v>
      </c>
    </row>
    <row r="2499" spans="1:7" x14ac:dyDescent="0.25">
      <c r="A2499" s="114">
        <v>8111208390</v>
      </c>
      <c r="B2499" s="90" t="s">
        <v>7703</v>
      </c>
      <c r="C2499" s="90" t="s">
        <v>508</v>
      </c>
      <c r="D2499" s="90" t="s">
        <v>6595</v>
      </c>
      <c r="E2499" s="90" t="s">
        <v>4884</v>
      </c>
      <c r="F2499" s="90" t="s">
        <v>7704</v>
      </c>
      <c r="G2499" t="s">
        <v>512</v>
      </c>
    </row>
    <row r="2500" spans="1:7" x14ac:dyDescent="0.25">
      <c r="A2500" s="114">
        <v>8111208420</v>
      </c>
      <c r="B2500" s="90" t="s">
        <v>7705</v>
      </c>
      <c r="C2500" s="90" t="s">
        <v>508</v>
      </c>
      <c r="D2500" s="90" t="s">
        <v>6595</v>
      </c>
      <c r="E2500" s="90" t="s">
        <v>4884</v>
      </c>
      <c r="F2500" s="90" t="s">
        <v>7706</v>
      </c>
      <c r="G2500" t="s">
        <v>859</v>
      </c>
    </row>
    <row r="2501" spans="1:7" x14ac:dyDescent="0.25">
      <c r="A2501" s="114">
        <v>8111208430</v>
      </c>
      <c r="B2501" s="90" t="s">
        <v>7707</v>
      </c>
      <c r="C2501" s="90" t="s">
        <v>508</v>
      </c>
      <c r="D2501" s="90" t="s">
        <v>6595</v>
      </c>
      <c r="E2501" s="90" t="s">
        <v>539</v>
      </c>
      <c r="F2501" s="90" t="s">
        <v>7708</v>
      </c>
      <c r="G2501" t="s">
        <v>512</v>
      </c>
    </row>
    <row r="2502" spans="1:7" x14ac:dyDescent="0.25">
      <c r="A2502" s="114">
        <v>8111208450</v>
      </c>
      <c r="B2502" s="90" t="s">
        <v>7709</v>
      </c>
      <c r="C2502" s="90" t="s">
        <v>508</v>
      </c>
      <c r="D2502" s="90" t="s">
        <v>6595</v>
      </c>
      <c r="E2502" s="90" t="s">
        <v>4884</v>
      </c>
      <c r="F2502" s="90" t="s">
        <v>7710</v>
      </c>
      <c r="G2502" t="s">
        <v>512</v>
      </c>
    </row>
    <row r="2503" spans="1:7" x14ac:dyDescent="0.25">
      <c r="A2503" s="114">
        <v>8111208460</v>
      </c>
      <c r="B2503" s="90" t="s">
        <v>7711</v>
      </c>
      <c r="C2503" s="90" t="s">
        <v>508</v>
      </c>
      <c r="D2503" s="90" t="s">
        <v>6595</v>
      </c>
      <c r="E2503" s="90" t="s">
        <v>4884</v>
      </c>
      <c r="F2503" s="90" t="s">
        <v>7712</v>
      </c>
      <c r="G2503" t="s">
        <v>512</v>
      </c>
    </row>
    <row r="2504" spans="1:7" x14ac:dyDescent="0.25">
      <c r="A2504" s="114">
        <v>8111208470</v>
      </c>
      <c r="B2504" s="90" t="s">
        <v>7713</v>
      </c>
      <c r="C2504" s="90" t="s">
        <v>508</v>
      </c>
      <c r="D2504" s="90" t="s">
        <v>6595</v>
      </c>
      <c r="E2504" s="90" t="s">
        <v>4884</v>
      </c>
      <c r="F2504" s="90" t="s">
        <v>7714</v>
      </c>
      <c r="G2504" t="s">
        <v>859</v>
      </c>
    </row>
    <row r="2505" spans="1:7" x14ac:dyDescent="0.25">
      <c r="A2505" s="114">
        <v>8111208480</v>
      </c>
      <c r="B2505" s="90" t="s">
        <v>7715</v>
      </c>
      <c r="C2505" s="90" t="s">
        <v>508</v>
      </c>
      <c r="D2505" s="90" t="s">
        <v>6595</v>
      </c>
      <c r="E2505" s="90" t="s">
        <v>4884</v>
      </c>
      <c r="F2505" s="90" t="s">
        <v>7716</v>
      </c>
      <c r="G2505" t="s">
        <v>512</v>
      </c>
    </row>
    <row r="2506" spans="1:7" x14ac:dyDescent="0.25">
      <c r="A2506" s="114">
        <v>8111208490</v>
      </c>
      <c r="B2506" s="90" t="s">
        <v>7102</v>
      </c>
      <c r="C2506" s="90" t="s">
        <v>508</v>
      </c>
      <c r="D2506" s="90" t="s">
        <v>6595</v>
      </c>
      <c r="E2506" s="90" t="s">
        <v>4884</v>
      </c>
      <c r="F2506" s="90" t="s">
        <v>7717</v>
      </c>
      <c r="G2506" t="s">
        <v>859</v>
      </c>
    </row>
    <row r="2507" spans="1:7" x14ac:dyDescent="0.25">
      <c r="A2507" s="114">
        <v>8111208500</v>
      </c>
      <c r="B2507" s="90" t="s">
        <v>7718</v>
      </c>
      <c r="C2507" s="90" t="s">
        <v>508</v>
      </c>
      <c r="D2507" s="90" t="s">
        <v>6595</v>
      </c>
      <c r="E2507" s="90" t="s">
        <v>4884</v>
      </c>
      <c r="F2507" s="90" t="s">
        <v>7719</v>
      </c>
      <c r="G2507" t="s">
        <v>859</v>
      </c>
    </row>
    <row r="2508" spans="1:7" x14ac:dyDescent="0.25">
      <c r="A2508" s="114">
        <v>8111208510</v>
      </c>
      <c r="B2508" s="90" t="s">
        <v>7720</v>
      </c>
      <c r="C2508" s="90" t="s">
        <v>508</v>
      </c>
      <c r="D2508" s="90" t="s">
        <v>6595</v>
      </c>
      <c r="E2508" s="90" t="s">
        <v>4884</v>
      </c>
      <c r="F2508" s="90" t="s">
        <v>7721</v>
      </c>
      <c r="G2508" t="s">
        <v>859</v>
      </c>
    </row>
    <row r="2509" spans="1:7" x14ac:dyDescent="0.25">
      <c r="A2509" s="114">
        <v>8111208520</v>
      </c>
      <c r="B2509" s="90" t="s">
        <v>547</v>
      </c>
      <c r="C2509" s="90" t="s">
        <v>508</v>
      </c>
      <c r="D2509" s="90" t="s">
        <v>6595</v>
      </c>
      <c r="E2509" s="90" t="s">
        <v>4884</v>
      </c>
      <c r="F2509" s="90" t="s">
        <v>7722</v>
      </c>
      <c r="G2509" t="s">
        <v>512</v>
      </c>
    </row>
    <row r="2510" spans="1:7" x14ac:dyDescent="0.25">
      <c r="A2510" s="114">
        <v>8111208530</v>
      </c>
      <c r="B2510" s="90" t="s">
        <v>4501</v>
      </c>
      <c r="C2510" s="90" t="s">
        <v>508</v>
      </c>
      <c r="D2510" s="90" t="s">
        <v>6595</v>
      </c>
      <c r="E2510" s="90" t="s">
        <v>4884</v>
      </c>
      <c r="F2510" s="90" t="s">
        <v>7723</v>
      </c>
      <c r="G2510" t="s">
        <v>512</v>
      </c>
    </row>
    <row r="2511" spans="1:7" x14ac:dyDescent="0.25">
      <c r="A2511" s="114">
        <v>8111208540</v>
      </c>
      <c r="B2511" s="90" t="s">
        <v>7724</v>
      </c>
      <c r="C2511" s="90" t="s">
        <v>508</v>
      </c>
      <c r="D2511" s="90" t="s">
        <v>6595</v>
      </c>
      <c r="E2511" s="90" t="s">
        <v>4884</v>
      </c>
      <c r="F2511" s="90" t="s">
        <v>7725</v>
      </c>
      <c r="G2511" t="s">
        <v>512</v>
      </c>
    </row>
    <row r="2512" spans="1:7" x14ac:dyDescent="0.25">
      <c r="A2512" s="114">
        <v>8111208560</v>
      </c>
      <c r="B2512" s="90" t="s">
        <v>6870</v>
      </c>
      <c r="C2512" s="90" t="s">
        <v>508</v>
      </c>
      <c r="D2512" s="90" t="s">
        <v>6595</v>
      </c>
      <c r="E2512" s="90" t="s">
        <v>4884</v>
      </c>
      <c r="F2512" s="90" t="s">
        <v>7726</v>
      </c>
      <c r="G2512" t="s">
        <v>859</v>
      </c>
    </row>
    <row r="2513" spans="1:7" x14ac:dyDescent="0.25">
      <c r="A2513" s="114">
        <v>8111208570</v>
      </c>
      <c r="B2513" s="90" t="s">
        <v>7727</v>
      </c>
      <c r="C2513" s="90" t="s">
        <v>508</v>
      </c>
      <c r="D2513" s="90" t="s">
        <v>6595</v>
      </c>
      <c r="E2513" s="90" t="s">
        <v>4884</v>
      </c>
      <c r="F2513" s="90" t="s">
        <v>7728</v>
      </c>
      <c r="G2513" t="s">
        <v>859</v>
      </c>
    </row>
    <row r="2514" spans="1:7" x14ac:dyDescent="0.25">
      <c r="A2514" s="114">
        <v>8111208590</v>
      </c>
      <c r="B2514" s="90" t="s">
        <v>7729</v>
      </c>
      <c r="C2514" s="90" t="s">
        <v>508</v>
      </c>
      <c r="D2514" s="90" t="s">
        <v>6595</v>
      </c>
      <c r="E2514" s="90" t="s">
        <v>4884</v>
      </c>
      <c r="F2514" s="90" t="s">
        <v>7730</v>
      </c>
      <c r="G2514" t="s">
        <v>512</v>
      </c>
    </row>
    <row r="2515" spans="1:7" x14ac:dyDescent="0.25">
      <c r="A2515" s="114">
        <v>8111208600</v>
      </c>
      <c r="B2515" s="90" t="s">
        <v>7731</v>
      </c>
      <c r="C2515" s="90" t="s">
        <v>508</v>
      </c>
      <c r="D2515" s="90" t="s">
        <v>6595</v>
      </c>
      <c r="E2515" s="90" t="s">
        <v>4884</v>
      </c>
      <c r="F2515" s="90" t="s">
        <v>7732</v>
      </c>
      <c r="G2515" t="s">
        <v>512</v>
      </c>
    </row>
    <row r="2516" spans="1:7" x14ac:dyDescent="0.25">
      <c r="A2516" s="114">
        <v>8111208620</v>
      </c>
      <c r="B2516" s="90" t="s">
        <v>7733</v>
      </c>
      <c r="C2516" s="90" t="s">
        <v>508</v>
      </c>
      <c r="D2516" s="90" t="s">
        <v>6595</v>
      </c>
      <c r="E2516" s="90" t="s">
        <v>4884</v>
      </c>
      <c r="F2516" s="90" t="s">
        <v>7734</v>
      </c>
      <c r="G2516" t="s">
        <v>512</v>
      </c>
    </row>
    <row r="2517" spans="1:7" x14ac:dyDescent="0.25">
      <c r="A2517" s="114">
        <v>8111208630</v>
      </c>
      <c r="B2517" s="90" t="s">
        <v>7735</v>
      </c>
      <c r="C2517" s="90" t="s">
        <v>508</v>
      </c>
      <c r="D2517" s="90" t="s">
        <v>6595</v>
      </c>
      <c r="E2517" s="90" t="s">
        <v>4884</v>
      </c>
      <c r="F2517" s="90" t="s">
        <v>7736</v>
      </c>
      <c r="G2517" t="s">
        <v>512</v>
      </c>
    </row>
    <row r="2518" spans="1:7" x14ac:dyDescent="0.25">
      <c r="A2518" s="114">
        <v>8111208650</v>
      </c>
      <c r="B2518" s="90" t="s">
        <v>7737</v>
      </c>
      <c r="C2518" s="90" t="s">
        <v>508</v>
      </c>
      <c r="D2518" s="90" t="s">
        <v>6595</v>
      </c>
      <c r="E2518" s="90" t="s">
        <v>4884</v>
      </c>
      <c r="F2518" s="90" t="s">
        <v>7738</v>
      </c>
      <c r="G2518" t="s">
        <v>512</v>
      </c>
    </row>
    <row r="2519" spans="1:7" x14ac:dyDescent="0.25">
      <c r="A2519" s="114">
        <v>8111208660</v>
      </c>
      <c r="B2519" s="90" t="s">
        <v>7739</v>
      </c>
      <c r="C2519" s="90" t="s">
        <v>508</v>
      </c>
      <c r="D2519" s="90" t="s">
        <v>6595</v>
      </c>
      <c r="E2519" s="90" t="s">
        <v>4884</v>
      </c>
      <c r="F2519" s="90" t="s">
        <v>7740</v>
      </c>
      <c r="G2519" t="s">
        <v>859</v>
      </c>
    </row>
    <row r="2520" spans="1:7" x14ac:dyDescent="0.25">
      <c r="A2520" s="114">
        <v>8111208670</v>
      </c>
      <c r="B2520" s="90" t="s">
        <v>7741</v>
      </c>
      <c r="C2520" s="90" t="s">
        <v>508</v>
      </c>
      <c r="D2520" s="90" t="s">
        <v>6595</v>
      </c>
      <c r="E2520" s="90" t="s">
        <v>4884</v>
      </c>
      <c r="F2520" s="90" t="s">
        <v>7742</v>
      </c>
      <c r="G2520" t="s">
        <v>512</v>
      </c>
    </row>
    <row r="2521" spans="1:7" x14ac:dyDescent="0.25">
      <c r="A2521" s="114">
        <v>8111208680</v>
      </c>
      <c r="B2521" s="90" t="s">
        <v>7743</v>
      </c>
      <c r="C2521" s="90" t="s">
        <v>508</v>
      </c>
      <c r="D2521" s="90" t="s">
        <v>6595</v>
      </c>
      <c r="E2521" s="90" t="s">
        <v>4884</v>
      </c>
      <c r="F2521" s="90" t="s">
        <v>7744</v>
      </c>
      <c r="G2521" t="s">
        <v>512</v>
      </c>
    </row>
    <row r="2522" spans="1:7" x14ac:dyDescent="0.25">
      <c r="A2522" s="114">
        <v>8111208700</v>
      </c>
      <c r="B2522" s="90" t="s">
        <v>6643</v>
      </c>
      <c r="C2522" s="90" t="s">
        <v>508</v>
      </c>
      <c r="D2522" s="90" t="s">
        <v>6595</v>
      </c>
      <c r="E2522" s="90" t="s">
        <v>4884</v>
      </c>
      <c r="F2522" s="90" t="s">
        <v>7745</v>
      </c>
      <c r="G2522" t="s">
        <v>859</v>
      </c>
    </row>
    <row r="2523" spans="1:7" x14ac:dyDescent="0.25">
      <c r="A2523" s="114">
        <v>8111208710</v>
      </c>
      <c r="B2523" s="90" t="s">
        <v>7746</v>
      </c>
      <c r="C2523" s="90" t="s">
        <v>508</v>
      </c>
      <c r="D2523" s="90" t="s">
        <v>6595</v>
      </c>
      <c r="E2523" s="90" t="s">
        <v>4884</v>
      </c>
      <c r="F2523" s="90" t="s">
        <v>7747</v>
      </c>
      <c r="G2523" t="s">
        <v>859</v>
      </c>
    </row>
    <row r="2524" spans="1:7" x14ac:dyDescent="0.25">
      <c r="A2524" s="114">
        <v>8111208720</v>
      </c>
      <c r="B2524" s="90" t="s">
        <v>7748</v>
      </c>
      <c r="C2524" s="90" t="s">
        <v>508</v>
      </c>
      <c r="D2524" s="90" t="s">
        <v>6595</v>
      </c>
      <c r="E2524" s="90" t="s">
        <v>4884</v>
      </c>
      <c r="F2524" s="90" t="s">
        <v>7749</v>
      </c>
      <c r="G2524" t="s">
        <v>859</v>
      </c>
    </row>
    <row r="2525" spans="1:7" x14ac:dyDescent="0.25">
      <c r="A2525" s="114">
        <v>8111208730</v>
      </c>
      <c r="B2525" s="90" t="s">
        <v>7750</v>
      </c>
      <c r="C2525" s="90" t="s">
        <v>508</v>
      </c>
      <c r="D2525" s="90" t="s">
        <v>6595</v>
      </c>
      <c r="E2525" s="90" t="s">
        <v>4884</v>
      </c>
      <c r="F2525" s="90" t="s">
        <v>7751</v>
      </c>
      <c r="G2525" t="s">
        <v>512</v>
      </c>
    </row>
    <row r="2526" spans="1:7" x14ac:dyDescent="0.25">
      <c r="A2526" s="114">
        <v>8111208740</v>
      </c>
      <c r="B2526" s="90" t="s">
        <v>7752</v>
      </c>
      <c r="C2526" s="90" t="s">
        <v>508</v>
      </c>
      <c r="D2526" s="90" t="s">
        <v>6595</v>
      </c>
      <c r="E2526" s="90" t="s">
        <v>4884</v>
      </c>
      <c r="F2526" s="90" t="s">
        <v>7753</v>
      </c>
      <c r="G2526" t="s">
        <v>512</v>
      </c>
    </row>
    <row r="2527" spans="1:7" x14ac:dyDescent="0.25">
      <c r="A2527" s="114">
        <v>8111208750</v>
      </c>
      <c r="B2527" s="90" t="s">
        <v>7393</v>
      </c>
      <c r="C2527" s="90" t="s">
        <v>508</v>
      </c>
      <c r="D2527" s="90" t="s">
        <v>6595</v>
      </c>
      <c r="E2527" s="90" t="s">
        <v>4884</v>
      </c>
      <c r="F2527" s="90" t="s">
        <v>7754</v>
      </c>
      <c r="G2527" t="s">
        <v>859</v>
      </c>
    </row>
    <row r="2528" spans="1:7" x14ac:dyDescent="0.25">
      <c r="A2528" s="114">
        <v>8111208760</v>
      </c>
      <c r="B2528" s="90" t="s">
        <v>7755</v>
      </c>
      <c r="C2528" s="90" t="s">
        <v>508</v>
      </c>
      <c r="D2528" s="90" t="s">
        <v>6595</v>
      </c>
      <c r="E2528" s="90" t="s">
        <v>4884</v>
      </c>
      <c r="F2528" s="90" t="s">
        <v>7756</v>
      </c>
      <c r="G2528" t="s">
        <v>859</v>
      </c>
    </row>
    <row r="2529" spans="1:7" x14ac:dyDescent="0.25">
      <c r="A2529" s="114">
        <v>8111208780</v>
      </c>
      <c r="B2529" s="90" t="s">
        <v>7757</v>
      </c>
      <c r="C2529" s="90" t="s">
        <v>508</v>
      </c>
      <c r="D2529" s="90" t="s">
        <v>6595</v>
      </c>
      <c r="E2529" s="90" t="s">
        <v>4884</v>
      </c>
      <c r="F2529" s="90" t="s">
        <v>7758</v>
      </c>
      <c r="G2529" t="s">
        <v>512</v>
      </c>
    </row>
    <row r="2530" spans="1:7" x14ac:dyDescent="0.25">
      <c r="A2530" s="114">
        <v>8111208790</v>
      </c>
      <c r="B2530" s="90" t="s">
        <v>7701</v>
      </c>
      <c r="C2530" s="90" t="s">
        <v>508</v>
      </c>
      <c r="D2530" s="90" t="s">
        <v>6595</v>
      </c>
      <c r="E2530" s="90" t="s">
        <v>4884</v>
      </c>
      <c r="F2530" s="90" t="s">
        <v>7759</v>
      </c>
      <c r="G2530" t="s">
        <v>859</v>
      </c>
    </row>
    <row r="2531" spans="1:7" x14ac:dyDescent="0.25">
      <c r="A2531" s="114">
        <v>8111208820</v>
      </c>
      <c r="B2531" s="90" t="s">
        <v>7760</v>
      </c>
      <c r="C2531" s="90" t="s">
        <v>508</v>
      </c>
      <c r="D2531" s="90" t="s">
        <v>6595</v>
      </c>
      <c r="E2531" s="90" t="s">
        <v>4884</v>
      </c>
      <c r="F2531" s="90" t="s">
        <v>7761</v>
      </c>
      <c r="G2531" t="s">
        <v>512</v>
      </c>
    </row>
    <row r="2532" spans="1:7" x14ac:dyDescent="0.25">
      <c r="A2532" s="114">
        <v>8111208830</v>
      </c>
      <c r="B2532" s="90" t="s">
        <v>7762</v>
      </c>
      <c r="C2532" s="90" t="s">
        <v>508</v>
      </c>
      <c r="D2532" s="90" t="s">
        <v>6595</v>
      </c>
      <c r="E2532" s="90" t="s">
        <v>4884</v>
      </c>
      <c r="F2532" s="90" t="s">
        <v>7763</v>
      </c>
      <c r="G2532" t="s">
        <v>512</v>
      </c>
    </row>
    <row r="2533" spans="1:7" x14ac:dyDescent="0.25">
      <c r="A2533" s="114">
        <v>8111208840</v>
      </c>
      <c r="B2533" s="90" t="s">
        <v>6633</v>
      </c>
      <c r="C2533" s="90" t="s">
        <v>508</v>
      </c>
      <c r="D2533" s="90" t="s">
        <v>6595</v>
      </c>
      <c r="E2533" s="90" t="s">
        <v>4884</v>
      </c>
      <c r="F2533" s="90" t="s">
        <v>7764</v>
      </c>
      <c r="G2533" t="s">
        <v>859</v>
      </c>
    </row>
    <row r="2534" spans="1:7" x14ac:dyDescent="0.25">
      <c r="A2534" s="114">
        <v>8111208850</v>
      </c>
      <c r="B2534" s="90" t="s">
        <v>7765</v>
      </c>
      <c r="C2534" s="90" t="s">
        <v>508</v>
      </c>
      <c r="D2534" s="90" t="s">
        <v>6595</v>
      </c>
      <c r="E2534" s="90" t="s">
        <v>4884</v>
      </c>
      <c r="F2534" s="90" t="s">
        <v>7766</v>
      </c>
      <c r="G2534" t="s">
        <v>859</v>
      </c>
    </row>
    <row r="2535" spans="1:7" x14ac:dyDescent="0.25">
      <c r="A2535" s="114">
        <v>8111208860</v>
      </c>
      <c r="B2535" s="90" t="s">
        <v>7767</v>
      </c>
      <c r="C2535" s="90" t="s">
        <v>508</v>
      </c>
      <c r="D2535" s="90" t="s">
        <v>6595</v>
      </c>
      <c r="E2535" s="90" t="s">
        <v>4884</v>
      </c>
      <c r="F2535" s="90" t="s">
        <v>7768</v>
      </c>
      <c r="G2535" t="s">
        <v>512</v>
      </c>
    </row>
    <row r="2536" spans="1:7" x14ac:dyDescent="0.25">
      <c r="A2536" s="114">
        <v>8111208870</v>
      </c>
      <c r="B2536" s="90" t="s">
        <v>7769</v>
      </c>
      <c r="C2536" s="90" t="s">
        <v>508</v>
      </c>
      <c r="D2536" s="90" t="s">
        <v>6595</v>
      </c>
      <c r="E2536" s="90" t="s">
        <v>4884</v>
      </c>
      <c r="F2536" s="90" t="s">
        <v>7770</v>
      </c>
      <c r="G2536" t="s">
        <v>859</v>
      </c>
    </row>
    <row r="2537" spans="1:7" x14ac:dyDescent="0.25">
      <c r="A2537" s="114">
        <v>8111208880</v>
      </c>
      <c r="B2537" s="90" t="s">
        <v>4343</v>
      </c>
      <c r="C2537" s="90" t="s">
        <v>508</v>
      </c>
      <c r="D2537" s="90" t="s">
        <v>6595</v>
      </c>
      <c r="E2537" s="90" t="s">
        <v>4884</v>
      </c>
      <c r="F2537" s="90" t="s">
        <v>7771</v>
      </c>
      <c r="G2537" t="s">
        <v>512</v>
      </c>
    </row>
    <row r="2538" spans="1:7" x14ac:dyDescent="0.25">
      <c r="A2538" s="114">
        <v>8111208900</v>
      </c>
      <c r="B2538" s="90" t="s">
        <v>7772</v>
      </c>
      <c r="C2538" s="90" t="s">
        <v>508</v>
      </c>
      <c r="D2538" s="90" t="s">
        <v>6595</v>
      </c>
      <c r="E2538" s="90" t="s">
        <v>4884</v>
      </c>
      <c r="F2538" s="90" t="s">
        <v>7773</v>
      </c>
      <c r="G2538" t="s">
        <v>512</v>
      </c>
    </row>
    <row r="2539" spans="1:7" x14ac:dyDescent="0.25">
      <c r="A2539" s="114">
        <v>8111208910</v>
      </c>
      <c r="B2539" s="90" t="s">
        <v>7774</v>
      </c>
      <c r="C2539" s="90" t="s">
        <v>508</v>
      </c>
      <c r="D2539" s="90" t="s">
        <v>6595</v>
      </c>
      <c r="E2539" s="90" t="s">
        <v>4884</v>
      </c>
      <c r="F2539" s="90" t="s">
        <v>7775</v>
      </c>
      <c r="G2539" t="s">
        <v>512</v>
      </c>
    </row>
    <row r="2540" spans="1:7" x14ac:dyDescent="0.25">
      <c r="A2540" s="114">
        <v>8111208920</v>
      </c>
      <c r="B2540" s="90" t="s">
        <v>7776</v>
      </c>
      <c r="C2540" s="90" t="s">
        <v>508</v>
      </c>
      <c r="D2540" s="90" t="s">
        <v>6595</v>
      </c>
      <c r="E2540" s="90" t="s">
        <v>4884</v>
      </c>
      <c r="F2540" s="90" t="s">
        <v>7777</v>
      </c>
      <c r="G2540" t="s">
        <v>512</v>
      </c>
    </row>
    <row r="2541" spans="1:7" x14ac:dyDescent="0.25">
      <c r="A2541" s="114">
        <v>8111208930</v>
      </c>
      <c r="B2541" s="90" t="s">
        <v>7778</v>
      </c>
      <c r="C2541" s="90" t="s">
        <v>508</v>
      </c>
      <c r="D2541" s="90" t="s">
        <v>6595</v>
      </c>
      <c r="E2541" s="90" t="s">
        <v>4884</v>
      </c>
      <c r="F2541" s="90" t="s">
        <v>7779</v>
      </c>
      <c r="G2541" t="s">
        <v>512</v>
      </c>
    </row>
    <row r="2542" spans="1:7" x14ac:dyDescent="0.25">
      <c r="A2542" s="114">
        <v>8111208950</v>
      </c>
      <c r="B2542" s="90" t="s">
        <v>7780</v>
      </c>
      <c r="C2542" s="90" t="s">
        <v>508</v>
      </c>
      <c r="D2542" s="90" t="s">
        <v>6595</v>
      </c>
      <c r="E2542" s="90" t="s">
        <v>4884</v>
      </c>
      <c r="F2542" s="90" t="s">
        <v>7781</v>
      </c>
      <c r="G2542" t="s">
        <v>512</v>
      </c>
    </row>
    <row r="2543" spans="1:7" x14ac:dyDescent="0.25">
      <c r="A2543" s="114">
        <v>8111208970</v>
      </c>
      <c r="B2543" s="90" t="s">
        <v>7782</v>
      </c>
      <c r="C2543" s="90" t="s">
        <v>508</v>
      </c>
      <c r="D2543" s="90" t="s">
        <v>6595</v>
      </c>
      <c r="E2543" s="90" t="s">
        <v>4884</v>
      </c>
      <c r="F2543" s="90" t="s">
        <v>7783</v>
      </c>
      <c r="G2543" t="s">
        <v>859</v>
      </c>
    </row>
    <row r="2544" spans="1:7" x14ac:dyDescent="0.25">
      <c r="A2544" s="114">
        <v>8111208980</v>
      </c>
      <c r="B2544" s="90" t="s">
        <v>7784</v>
      </c>
      <c r="C2544" s="90" t="s">
        <v>508</v>
      </c>
      <c r="D2544" s="90" t="s">
        <v>6595</v>
      </c>
      <c r="E2544" s="90" t="s">
        <v>4884</v>
      </c>
      <c r="F2544" s="90" t="s">
        <v>7785</v>
      </c>
      <c r="G2544" t="s">
        <v>859</v>
      </c>
    </row>
    <row r="2545" spans="1:7" x14ac:dyDescent="0.25">
      <c r="A2545" s="114">
        <v>8111209010</v>
      </c>
      <c r="B2545" s="90" t="s">
        <v>7786</v>
      </c>
      <c r="C2545" s="90" t="s">
        <v>508</v>
      </c>
      <c r="D2545" s="90" t="s">
        <v>6595</v>
      </c>
      <c r="E2545" s="90" t="s">
        <v>4884</v>
      </c>
      <c r="F2545" s="90" t="s">
        <v>7787</v>
      </c>
      <c r="G2545" t="s">
        <v>512</v>
      </c>
    </row>
    <row r="2546" spans="1:7" x14ac:dyDescent="0.25">
      <c r="A2546" s="114">
        <v>8111209060</v>
      </c>
      <c r="B2546" s="90" t="s">
        <v>7788</v>
      </c>
      <c r="C2546" s="90" t="s">
        <v>508</v>
      </c>
      <c r="D2546" s="90" t="s">
        <v>6595</v>
      </c>
      <c r="E2546" s="90" t="s">
        <v>4884</v>
      </c>
      <c r="F2546" s="90" t="s">
        <v>7789</v>
      </c>
      <c r="G2546" t="s">
        <v>859</v>
      </c>
    </row>
    <row r="2547" spans="1:7" x14ac:dyDescent="0.25">
      <c r="A2547" s="114">
        <v>8111209070</v>
      </c>
      <c r="B2547" s="90" t="s">
        <v>7790</v>
      </c>
      <c r="C2547" s="90" t="s">
        <v>508</v>
      </c>
      <c r="D2547" s="90" t="s">
        <v>6595</v>
      </c>
      <c r="E2547" s="90" t="s">
        <v>4884</v>
      </c>
      <c r="F2547" s="90" t="s">
        <v>7791</v>
      </c>
      <c r="G2547" t="s">
        <v>512</v>
      </c>
    </row>
    <row r="2548" spans="1:7" x14ac:dyDescent="0.25">
      <c r="A2548" s="114">
        <v>8111209080</v>
      </c>
      <c r="B2548" s="90" t="s">
        <v>7792</v>
      </c>
      <c r="C2548" s="90" t="s">
        <v>508</v>
      </c>
      <c r="D2548" s="90" t="s">
        <v>6595</v>
      </c>
      <c r="E2548" s="90" t="s">
        <v>4884</v>
      </c>
      <c r="F2548" s="90" t="s">
        <v>7793</v>
      </c>
      <c r="G2548" t="s">
        <v>859</v>
      </c>
    </row>
    <row r="2549" spans="1:7" x14ac:dyDescent="0.25">
      <c r="A2549" s="114">
        <v>8111209090</v>
      </c>
      <c r="B2549" s="90" t="s">
        <v>3588</v>
      </c>
      <c r="C2549" s="90" t="s">
        <v>508</v>
      </c>
      <c r="D2549" s="90" t="s">
        <v>6595</v>
      </c>
      <c r="E2549" s="90" t="s">
        <v>4884</v>
      </c>
      <c r="F2549" s="90" t="s">
        <v>7794</v>
      </c>
      <c r="G2549" t="s">
        <v>512</v>
      </c>
    </row>
    <row r="2550" spans="1:7" x14ac:dyDescent="0.25">
      <c r="A2550" s="114">
        <v>8111209100</v>
      </c>
      <c r="B2550" s="90" t="s">
        <v>7795</v>
      </c>
      <c r="C2550" s="90" t="s">
        <v>508</v>
      </c>
      <c r="D2550" s="90" t="s">
        <v>6595</v>
      </c>
      <c r="E2550" s="90" t="s">
        <v>4884</v>
      </c>
      <c r="F2550" s="90" t="s">
        <v>7796</v>
      </c>
      <c r="G2550" t="s">
        <v>859</v>
      </c>
    </row>
    <row r="2551" spans="1:7" x14ac:dyDescent="0.25">
      <c r="A2551" s="114">
        <v>8111209110</v>
      </c>
      <c r="B2551" s="90" t="s">
        <v>7797</v>
      </c>
      <c r="C2551" s="90" t="s">
        <v>508</v>
      </c>
      <c r="D2551" s="90" t="s">
        <v>6595</v>
      </c>
      <c r="E2551" s="90" t="s">
        <v>4884</v>
      </c>
      <c r="F2551" s="90" t="s">
        <v>7798</v>
      </c>
      <c r="G2551" t="s">
        <v>859</v>
      </c>
    </row>
    <row r="2552" spans="1:7" x14ac:dyDescent="0.25">
      <c r="A2552" s="114">
        <v>8111209150</v>
      </c>
      <c r="B2552" s="90" t="s">
        <v>7799</v>
      </c>
      <c r="C2552" s="90" t="s">
        <v>508</v>
      </c>
      <c r="D2552" s="90" t="s">
        <v>6595</v>
      </c>
      <c r="E2552" s="90" t="s">
        <v>4884</v>
      </c>
      <c r="F2552" s="90" t="s">
        <v>7800</v>
      </c>
      <c r="G2552" t="s">
        <v>512</v>
      </c>
    </row>
    <row r="2553" spans="1:7" x14ac:dyDescent="0.25">
      <c r="A2553" s="114">
        <v>8111209170</v>
      </c>
      <c r="B2553" s="90" t="s">
        <v>7801</v>
      </c>
      <c r="C2553" s="90" t="s">
        <v>508</v>
      </c>
      <c r="D2553" s="90" t="s">
        <v>6595</v>
      </c>
      <c r="E2553" s="90" t="s">
        <v>4884</v>
      </c>
      <c r="F2553" s="90" t="s">
        <v>7802</v>
      </c>
      <c r="G2553" t="s">
        <v>512</v>
      </c>
    </row>
    <row r="2554" spans="1:7" x14ac:dyDescent="0.25">
      <c r="A2554" s="114">
        <v>8111209180</v>
      </c>
      <c r="B2554" s="90" t="s">
        <v>7803</v>
      </c>
      <c r="C2554" s="90" t="s">
        <v>508</v>
      </c>
      <c r="D2554" s="90" t="s">
        <v>6595</v>
      </c>
      <c r="E2554" s="90" t="s">
        <v>4884</v>
      </c>
      <c r="F2554" s="90" t="s">
        <v>7804</v>
      </c>
      <c r="G2554" t="s">
        <v>512</v>
      </c>
    </row>
    <row r="2555" spans="1:7" x14ac:dyDescent="0.25">
      <c r="A2555" s="114">
        <v>8111209190</v>
      </c>
      <c r="B2555" s="90" t="s">
        <v>7805</v>
      </c>
      <c r="C2555" s="90" t="s">
        <v>508</v>
      </c>
      <c r="D2555" s="90" t="s">
        <v>6595</v>
      </c>
      <c r="E2555" s="90" t="s">
        <v>4884</v>
      </c>
      <c r="F2555" s="90" t="s">
        <v>7806</v>
      </c>
      <c r="G2555" t="s">
        <v>512</v>
      </c>
    </row>
    <row r="2556" spans="1:7" x14ac:dyDescent="0.25">
      <c r="A2556" s="114">
        <v>8111209210</v>
      </c>
      <c r="B2556" s="90" t="s">
        <v>7807</v>
      </c>
      <c r="C2556" s="90" t="s">
        <v>508</v>
      </c>
      <c r="D2556" s="90" t="s">
        <v>6595</v>
      </c>
      <c r="E2556" s="90" t="s">
        <v>4884</v>
      </c>
      <c r="F2556" s="90" t="s">
        <v>7808</v>
      </c>
      <c r="G2556" t="s">
        <v>512</v>
      </c>
    </row>
    <row r="2557" spans="1:7" x14ac:dyDescent="0.25">
      <c r="A2557" s="114">
        <v>8111209230</v>
      </c>
      <c r="B2557" s="90" t="s">
        <v>7809</v>
      </c>
      <c r="C2557" s="90" t="s">
        <v>508</v>
      </c>
      <c r="D2557" s="90" t="s">
        <v>6595</v>
      </c>
      <c r="E2557" s="90" t="s">
        <v>4884</v>
      </c>
      <c r="F2557" s="90" t="s">
        <v>7810</v>
      </c>
      <c r="G2557" t="s">
        <v>859</v>
      </c>
    </row>
    <row r="2558" spans="1:7" x14ac:dyDescent="0.25">
      <c r="A2558" s="114">
        <v>8111209240</v>
      </c>
      <c r="B2558" s="90" t="s">
        <v>7811</v>
      </c>
      <c r="C2558" s="90" t="s">
        <v>508</v>
      </c>
      <c r="D2558" s="90" t="s">
        <v>6595</v>
      </c>
      <c r="E2558" s="90" t="s">
        <v>4884</v>
      </c>
      <c r="F2558" s="90" t="s">
        <v>7812</v>
      </c>
      <c r="G2558" t="s">
        <v>859</v>
      </c>
    </row>
    <row r="2559" spans="1:7" x14ac:dyDescent="0.25">
      <c r="A2559" s="114">
        <v>8111209250</v>
      </c>
      <c r="B2559" s="90" t="s">
        <v>7813</v>
      </c>
      <c r="C2559" s="90" t="s">
        <v>508</v>
      </c>
      <c r="D2559" s="90" t="s">
        <v>6595</v>
      </c>
      <c r="E2559" s="90" t="s">
        <v>4884</v>
      </c>
      <c r="F2559" s="90" t="s">
        <v>7814</v>
      </c>
      <c r="G2559" t="s">
        <v>512</v>
      </c>
    </row>
    <row r="2560" spans="1:7" x14ac:dyDescent="0.25">
      <c r="A2560" s="114">
        <v>8111209920</v>
      </c>
      <c r="B2560" s="90" t="s">
        <v>7815</v>
      </c>
      <c r="C2560" s="90" t="s">
        <v>508</v>
      </c>
      <c r="D2560" s="90" t="s">
        <v>6595</v>
      </c>
      <c r="E2560" s="90" t="s">
        <v>4884</v>
      </c>
      <c r="F2560" s="90" t="s">
        <v>7816</v>
      </c>
      <c r="G2560" t="s">
        <v>512</v>
      </c>
    </row>
    <row r="2561" spans="1:7" x14ac:dyDescent="0.25">
      <c r="A2561" s="114">
        <v>8111209930</v>
      </c>
      <c r="B2561" s="90" t="s">
        <v>7817</v>
      </c>
      <c r="C2561" s="90" t="s">
        <v>508</v>
      </c>
      <c r="D2561" s="90" t="s">
        <v>6595</v>
      </c>
      <c r="E2561" s="90" t="s">
        <v>4884</v>
      </c>
      <c r="F2561" s="90" t="s">
        <v>7818</v>
      </c>
      <c r="G2561" t="s">
        <v>512</v>
      </c>
    </row>
    <row r="2562" spans="1:7" x14ac:dyDescent="0.25">
      <c r="A2562" s="114">
        <v>8111209940</v>
      </c>
      <c r="B2562" s="90" t="s">
        <v>7819</v>
      </c>
      <c r="C2562" s="90" t="s">
        <v>508</v>
      </c>
      <c r="D2562" s="90" t="s">
        <v>6595</v>
      </c>
      <c r="E2562" s="90" t="s">
        <v>4884</v>
      </c>
      <c r="F2562" s="90" t="s">
        <v>7820</v>
      </c>
      <c r="G2562" t="s">
        <v>512</v>
      </c>
    </row>
    <row r="2563" spans="1:7" x14ac:dyDescent="0.25">
      <c r="A2563" s="114">
        <v>8111209950</v>
      </c>
      <c r="B2563" s="90" t="s">
        <v>7821</v>
      </c>
      <c r="C2563" s="90" t="s">
        <v>508</v>
      </c>
      <c r="D2563" s="90" t="s">
        <v>6595</v>
      </c>
      <c r="E2563" s="90" t="s">
        <v>4884</v>
      </c>
      <c r="F2563" s="90" t="s">
        <v>7822</v>
      </c>
      <c r="G2563" t="s">
        <v>859</v>
      </c>
    </row>
    <row r="2564" spans="1:7" x14ac:dyDescent="0.25">
      <c r="A2564" s="114">
        <v>8111209960</v>
      </c>
      <c r="B2564" s="90" t="s">
        <v>7823</v>
      </c>
      <c r="C2564" s="90" t="s">
        <v>508</v>
      </c>
      <c r="D2564" s="90" t="s">
        <v>6595</v>
      </c>
      <c r="E2564" s="90" t="s">
        <v>4884</v>
      </c>
      <c r="F2564" s="90" t="s">
        <v>7824</v>
      </c>
      <c r="G2564" t="s">
        <v>859</v>
      </c>
    </row>
    <row r="2565" spans="1:7" x14ac:dyDescent="0.25">
      <c r="A2565" s="114">
        <v>8111209970</v>
      </c>
      <c r="B2565" s="90" t="s">
        <v>7825</v>
      </c>
      <c r="C2565" s="90" t="s">
        <v>508</v>
      </c>
      <c r="D2565" s="90" t="s">
        <v>6595</v>
      </c>
      <c r="E2565" s="90" t="s">
        <v>4884</v>
      </c>
      <c r="F2565" s="90" t="s">
        <v>7826</v>
      </c>
      <c r="G2565" t="s">
        <v>859</v>
      </c>
    </row>
    <row r="2566" spans="1:7" x14ac:dyDescent="0.25">
      <c r="A2566" s="114">
        <v>8111209980</v>
      </c>
      <c r="B2566" s="90" t="s">
        <v>7827</v>
      </c>
      <c r="C2566" s="90" t="s">
        <v>508</v>
      </c>
      <c r="D2566" s="90" t="s">
        <v>6595</v>
      </c>
      <c r="E2566" s="90" t="s">
        <v>4884</v>
      </c>
      <c r="F2566" s="90" t="s">
        <v>7828</v>
      </c>
      <c r="G2566" t="s">
        <v>859</v>
      </c>
    </row>
    <row r="2567" spans="1:7" x14ac:dyDescent="0.25">
      <c r="A2567" s="114">
        <v>8111209990</v>
      </c>
      <c r="B2567" s="90" t="s">
        <v>7829</v>
      </c>
      <c r="C2567" s="90" t="s">
        <v>508</v>
      </c>
      <c r="D2567" s="90" t="s">
        <v>6595</v>
      </c>
      <c r="E2567" s="90" t="s">
        <v>4884</v>
      </c>
      <c r="F2567" s="90" t="s">
        <v>7830</v>
      </c>
      <c r="G2567" t="s">
        <v>512</v>
      </c>
    </row>
    <row r="2568" spans="1:7" x14ac:dyDescent="0.25">
      <c r="A2568" s="114">
        <v>8111210000</v>
      </c>
      <c r="B2568" s="90" t="s">
        <v>7831</v>
      </c>
      <c r="C2568" s="90" t="s">
        <v>508</v>
      </c>
      <c r="D2568" s="90" t="s">
        <v>6595</v>
      </c>
      <c r="E2568" s="90" t="s">
        <v>4884</v>
      </c>
      <c r="F2568" s="90" t="s">
        <v>7832</v>
      </c>
      <c r="G2568" t="s">
        <v>512</v>
      </c>
    </row>
    <row r="2569" spans="1:7" x14ac:dyDescent="0.25">
      <c r="A2569" s="114">
        <v>8111210010</v>
      </c>
      <c r="B2569" s="90" t="s">
        <v>7833</v>
      </c>
      <c r="C2569" s="90" t="s">
        <v>508</v>
      </c>
      <c r="D2569" s="90" t="s">
        <v>6595</v>
      </c>
      <c r="E2569" s="90" t="s">
        <v>4884</v>
      </c>
      <c r="F2569" s="90" t="s">
        <v>7834</v>
      </c>
      <c r="G2569" t="s">
        <v>512</v>
      </c>
    </row>
    <row r="2570" spans="1:7" x14ac:dyDescent="0.25">
      <c r="A2570" s="114">
        <v>8111210020</v>
      </c>
      <c r="B2570" s="90" t="s">
        <v>7835</v>
      </c>
      <c r="C2570" s="90" t="s">
        <v>508</v>
      </c>
      <c r="D2570" s="90" t="s">
        <v>6595</v>
      </c>
      <c r="E2570" s="90" t="s">
        <v>4884</v>
      </c>
      <c r="F2570" s="90" t="s">
        <v>7836</v>
      </c>
      <c r="G2570" t="s">
        <v>512</v>
      </c>
    </row>
    <row r="2571" spans="1:7" x14ac:dyDescent="0.25">
      <c r="A2571" s="114">
        <v>8111210030</v>
      </c>
      <c r="B2571" s="90" t="s">
        <v>7837</v>
      </c>
      <c r="C2571" s="90" t="s">
        <v>508</v>
      </c>
      <c r="D2571" s="90" t="s">
        <v>6595</v>
      </c>
      <c r="E2571" s="90" t="s">
        <v>4884</v>
      </c>
      <c r="F2571" s="90" t="s">
        <v>7838</v>
      </c>
      <c r="G2571" t="s">
        <v>512</v>
      </c>
    </row>
    <row r="2572" spans="1:7" x14ac:dyDescent="0.25">
      <c r="A2572" s="114">
        <v>8111210040</v>
      </c>
      <c r="B2572" s="90" t="s">
        <v>7839</v>
      </c>
      <c r="C2572" s="90" t="s">
        <v>508</v>
      </c>
      <c r="D2572" s="90" t="s">
        <v>6595</v>
      </c>
      <c r="E2572" s="90" t="s">
        <v>4884</v>
      </c>
      <c r="F2572" s="90" t="s">
        <v>7840</v>
      </c>
      <c r="G2572" t="s">
        <v>859</v>
      </c>
    </row>
    <row r="2573" spans="1:7" x14ac:dyDescent="0.25">
      <c r="A2573" s="114">
        <v>8111210050</v>
      </c>
      <c r="B2573" s="90" t="s">
        <v>7841</v>
      </c>
      <c r="C2573" s="90" t="s">
        <v>508</v>
      </c>
      <c r="D2573" s="90" t="s">
        <v>6595</v>
      </c>
      <c r="E2573" s="90" t="s">
        <v>4884</v>
      </c>
      <c r="F2573" s="90" t="s">
        <v>7842</v>
      </c>
      <c r="G2573" t="s">
        <v>512</v>
      </c>
    </row>
    <row r="2574" spans="1:7" x14ac:dyDescent="0.25">
      <c r="A2574" s="114">
        <v>8111210060</v>
      </c>
      <c r="B2574" s="90" t="s">
        <v>7843</v>
      </c>
      <c r="C2574" s="90" t="s">
        <v>508</v>
      </c>
      <c r="D2574" s="90" t="s">
        <v>6595</v>
      </c>
      <c r="E2574" s="90" t="s">
        <v>4884</v>
      </c>
      <c r="F2574" s="90" t="s">
        <v>7844</v>
      </c>
      <c r="G2574" t="s">
        <v>859</v>
      </c>
    </row>
    <row r="2575" spans="1:7" x14ac:dyDescent="0.25">
      <c r="A2575" s="114">
        <v>8111210080</v>
      </c>
      <c r="B2575" s="90" t="s">
        <v>7845</v>
      </c>
      <c r="C2575" s="90" t="s">
        <v>508</v>
      </c>
      <c r="D2575" s="90" t="s">
        <v>6595</v>
      </c>
      <c r="E2575" s="90" t="s">
        <v>4884</v>
      </c>
      <c r="F2575" s="90" t="s">
        <v>7846</v>
      </c>
      <c r="G2575" t="s">
        <v>859</v>
      </c>
    </row>
    <row r="2576" spans="1:7" x14ac:dyDescent="0.25">
      <c r="A2576" s="114">
        <v>8111210090</v>
      </c>
      <c r="B2576" s="90" t="s">
        <v>7689</v>
      </c>
      <c r="C2576" s="90" t="s">
        <v>508</v>
      </c>
      <c r="D2576" s="90" t="s">
        <v>6595</v>
      </c>
      <c r="E2576" s="90" t="s">
        <v>4884</v>
      </c>
      <c r="F2576" s="90" t="s">
        <v>7847</v>
      </c>
      <c r="G2576" t="s">
        <v>859</v>
      </c>
    </row>
    <row r="2577" spans="1:7" x14ac:dyDescent="0.25">
      <c r="A2577" s="114">
        <v>8111210100</v>
      </c>
      <c r="B2577" s="90" t="s">
        <v>7848</v>
      </c>
      <c r="C2577" s="90" t="s">
        <v>508</v>
      </c>
      <c r="D2577" s="90" t="s">
        <v>6595</v>
      </c>
      <c r="E2577" s="90" t="s">
        <v>4884</v>
      </c>
      <c r="F2577" s="90" t="s">
        <v>7849</v>
      </c>
      <c r="G2577" t="s">
        <v>512</v>
      </c>
    </row>
    <row r="2578" spans="1:7" x14ac:dyDescent="0.25">
      <c r="A2578" s="114">
        <v>8111210110</v>
      </c>
      <c r="B2578" s="90" t="s">
        <v>7850</v>
      </c>
      <c r="C2578" s="90" t="s">
        <v>508</v>
      </c>
      <c r="D2578" s="90" t="s">
        <v>6595</v>
      </c>
      <c r="E2578" s="90" t="s">
        <v>4884</v>
      </c>
      <c r="F2578" s="90" t="s">
        <v>7851</v>
      </c>
      <c r="G2578" t="s">
        <v>512</v>
      </c>
    </row>
    <row r="2579" spans="1:7" x14ac:dyDescent="0.25">
      <c r="A2579" s="114">
        <v>8111210130</v>
      </c>
      <c r="B2579" s="90" t="s">
        <v>7852</v>
      </c>
      <c r="C2579" s="90" t="s">
        <v>508</v>
      </c>
      <c r="D2579" s="90" t="s">
        <v>6595</v>
      </c>
      <c r="E2579" s="90" t="s">
        <v>4884</v>
      </c>
      <c r="F2579" s="90" t="s">
        <v>7853</v>
      </c>
      <c r="G2579" t="s">
        <v>512</v>
      </c>
    </row>
    <row r="2580" spans="1:7" x14ac:dyDescent="0.25">
      <c r="A2580" s="114">
        <v>8111210140</v>
      </c>
      <c r="B2580" s="90" t="s">
        <v>7854</v>
      </c>
      <c r="C2580" s="90" t="s">
        <v>508</v>
      </c>
      <c r="D2580" s="90" t="s">
        <v>6595</v>
      </c>
      <c r="E2580" s="90" t="s">
        <v>4884</v>
      </c>
      <c r="F2580" s="90" t="s">
        <v>7855</v>
      </c>
      <c r="G2580" t="s">
        <v>859</v>
      </c>
    </row>
    <row r="2581" spans="1:7" x14ac:dyDescent="0.25">
      <c r="A2581" s="114">
        <v>8111210150</v>
      </c>
      <c r="B2581" s="90" t="s">
        <v>7856</v>
      </c>
      <c r="C2581" s="90" t="s">
        <v>508</v>
      </c>
      <c r="D2581" s="90" t="s">
        <v>6595</v>
      </c>
      <c r="E2581" s="90" t="s">
        <v>4884</v>
      </c>
      <c r="F2581" s="90" t="s">
        <v>7857</v>
      </c>
      <c r="G2581" t="s">
        <v>512</v>
      </c>
    </row>
    <row r="2582" spans="1:7" x14ac:dyDescent="0.25">
      <c r="A2582" s="114">
        <v>8111210170</v>
      </c>
      <c r="B2582" s="90" t="s">
        <v>7858</v>
      </c>
      <c r="C2582" s="90" t="s">
        <v>508</v>
      </c>
      <c r="D2582" s="90" t="s">
        <v>6595</v>
      </c>
      <c r="E2582" s="90" t="s">
        <v>4884</v>
      </c>
      <c r="F2582" s="90" t="s">
        <v>7859</v>
      </c>
      <c r="G2582" t="s">
        <v>512</v>
      </c>
    </row>
    <row r="2583" spans="1:7" x14ac:dyDescent="0.25">
      <c r="A2583" s="114">
        <v>8111210190</v>
      </c>
      <c r="B2583" s="90" t="s">
        <v>7860</v>
      </c>
      <c r="C2583" s="90" t="s">
        <v>508</v>
      </c>
      <c r="D2583" s="90" t="s">
        <v>6595</v>
      </c>
      <c r="E2583" s="90" t="s">
        <v>4884</v>
      </c>
      <c r="F2583" s="90" t="s">
        <v>7861</v>
      </c>
      <c r="G2583" t="s">
        <v>859</v>
      </c>
    </row>
    <row r="2584" spans="1:7" x14ac:dyDescent="0.25">
      <c r="A2584" s="114">
        <v>8111210200</v>
      </c>
      <c r="B2584" s="90" t="s">
        <v>7862</v>
      </c>
      <c r="C2584" s="90" t="s">
        <v>508</v>
      </c>
      <c r="D2584" s="90" t="s">
        <v>6595</v>
      </c>
      <c r="E2584" s="90" t="s">
        <v>4884</v>
      </c>
      <c r="F2584" s="90" t="s">
        <v>7863</v>
      </c>
      <c r="G2584" t="s">
        <v>512</v>
      </c>
    </row>
    <row r="2585" spans="1:7" x14ac:dyDescent="0.25">
      <c r="A2585" s="114">
        <v>8111210210</v>
      </c>
      <c r="B2585" s="90" t="s">
        <v>7117</v>
      </c>
      <c r="C2585" s="90" t="s">
        <v>508</v>
      </c>
      <c r="D2585" s="90" t="s">
        <v>6595</v>
      </c>
      <c r="E2585" s="90" t="s">
        <v>4884</v>
      </c>
      <c r="F2585" s="90" t="s">
        <v>7864</v>
      </c>
      <c r="G2585" t="s">
        <v>859</v>
      </c>
    </row>
    <row r="2586" spans="1:7" x14ac:dyDescent="0.25">
      <c r="A2586" s="114">
        <v>8111210220</v>
      </c>
      <c r="B2586" s="90" t="s">
        <v>6611</v>
      </c>
      <c r="C2586" s="90" t="s">
        <v>508</v>
      </c>
      <c r="D2586" s="90" t="s">
        <v>6595</v>
      </c>
      <c r="E2586" s="90" t="s">
        <v>4884</v>
      </c>
      <c r="F2586" s="90" t="s">
        <v>6612</v>
      </c>
      <c r="G2586" t="s">
        <v>512</v>
      </c>
    </row>
    <row r="2587" spans="1:7" x14ac:dyDescent="0.25">
      <c r="A2587" s="114">
        <v>8111210230</v>
      </c>
      <c r="B2587" s="90" t="s">
        <v>7865</v>
      </c>
      <c r="C2587" s="90" t="s">
        <v>508</v>
      </c>
      <c r="D2587" s="90" t="s">
        <v>6595</v>
      </c>
      <c r="E2587" s="90" t="s">
        <v>4884</v>
      </c>
      <c r="F2587" s="90" t="s">
        <v>7866</v>
      </c>
      <c r="G2587" t="s">
        <v>859</v>
      </c>
    </row>
    <row r="2588" spans="1:7" x14ac:dyDescent="0.25">
      <c r="A2588" s="114">
        <v>8111210260</v>
      </c>
      <c r="B2588" s="90" t="s">
        <v>7867</v>
      </c>
      <c r="C2588" s="90" t="s">
        <v>508</v>
      </c>
      <c r="D2588" s="90" t="s">
        <v>6595</v>
      </c>
      <c r="E2588" s="90" t="s">
        <v>4884</v>
      </c>
      <c r="F2588" s="90" t="s">
        <v>7868</v>
      </c>
      <c r="G2588" t="s">
        <v>512</v>
      </c>
    </row>
    <row r="2589" spans="1:7" x14ac:dyDescent="0.25">
      <c r="A2589" s="114">
        <v>8111210270</v>
      </c>
      <c r="B2589" s="90" t="s">
        <v>7869</v>
      </c>
      <c r="C2589" s="90" t="s">
        <v>508</v>
      </c>
      <c r="D2589" s="90" t="s">
        <v>6595</v>
      </c>
      <c r="E2589" s="90" t="s">
        <v>4884</v>
      </c>
      <c r="F2589" s="90" t="s">
        <v>7870</v>
      </c>
      <c r="G2589" t="s">
        <v>512</v>
      </c>
    </row>
    <row r="2590" spans="1:7" x14ac:dyDescent="0.25">
      <c r="A2590" s="114">
        <v>8111210280</v>
      </c>
      <c r="B2590" s="90" t="s">
        <v>7871</v>
      </c>
      <c r="C2590" s="90" t="s">
        <v>508</v>
      </c>
      <c r="D2590" s="90" t="s">
        <v>6595</v>
      </c>
      <c r="E2590" s="90" t="s">
        <v>4884</v>
      </c>
      <c r="F2590" s="90" t="s">
        <v>7872</v>
      </c>
      <c r="G2590" t="s">
        <v>512</v>
      </c>
    </row>
    <row r="2591" spans="1:7" x14ac:dyDescent="0.25">
      <c r="A2591" s="114">
        <v>8111210290</v>
      </c>
      <c r="B2591" s="90" t="s">
        <v>6840</v>
      </c>
      <c r="C2591" s="90" t="s">
        <v>508</v>
      </c>
      <c r="D2591" s="90" t="s">
        <v>6595</v>
      </c>
      <c r="E2591" s="90" t="s">
        <v>4884</v>
      </c>
      <c r="F2591" s="90" t="s">
        <v>7873</v>
      </c>
      <c r="G2591" t="s">
        <v>512</v>
      </c>
    </row>
    <row r="2592" spans="1:7" x14ac:dyDescent="0.25">
      <c r="A2592" s="114">
        <v>8111210300</v>
      </c>
      <c r="B2592" s="90" t="s">
        <v>7874</v>
      </c>
      <c r="C2592" s="90" t="s">
        <v>508</v>
      </c>
      <c r="D2592" s="90" t="s">
        <v>6595</v>
      </c>
      <c r="E2592" s="90" t="s">
        <v>4884</v>
      </c>
      <c r="F2592" s="90" t="s">
        <v>7875</v>
      </c>
      <c r="G2592" t="s">
        <v>512</v>
      </c>
    </row>
    <row r="2593" spans="1:7" x14ac:dyDescent="0.25">
      <c r="A2593" s="114">
        <v>8111210310</v>
      </c>
      <c r="B2593" s="90" t="s">
        <v>7876</v>
      </c>
      <c r="C2593" s="90" t="s">
        <v>508</v>
      </c>
      <c r="D2593" s="90" t="s">
        <v>6595</v>
      </c>
      <c r="E2593" s="90" t="s">
        <v>4884</v>
      </c>
      <c r="F2593" s="90" t="s">
        <v>7877</v>
      </c>
      <c r="G2593" t="s">
        <v>859</v>
      </c>
    </row>
    <row r="2594" spans="1:7" x14ac:dyDescent="0.25">
      <c r="A2594" s="114">
        <v>8111210320</v>
      </c>
      <c r="B2594" s="90" t="s">
        <v>7878</v>
      </c>
      <c r="C2594" s="90" t="s">
        <v>508</v>
      </c>
      <c r="D2594" s="90" t="s">
        <v>6595</v>
      </c>
      <c r="E2594" s="90" t="s">
        <v>4884</v>
      </c>
      <c r="F2594" s="90" t="s">
        <v>7879</v>
      </c>
      <c r="G2594" t="s">
        <v>512</v>
      </c>
    </row>
    <row r="2595" spans="1:7" x14ac:dyDescent="0.25">
      <c r="A2595" s="114">
        <v>8111210330</v>
      </c>
      <c r="B2595" s="90" t="s">
        <v>4343</v>
      </c>
      <c r="C2595" s="90" t="s">
        <v>508</v>
      </c>
      <c r="D2595" s="90" t="s">
        <v>6595</v>
      </c>
      <c r="E2595" s="90" t="s">
        <v>4884</v>
      </c>
      <c r="F2595" s="90" t="s">
        <v>7880</v>
      </c>
      <c r="G2595" t="s">
        <v>512</v>
      </c>
    </row>
    <row r="2596" spans="1:7" x14ac:dyDescent="0.25">
      <c r="A2596" s="114">
        <v>8111210340</v>
      </c>
      <c r="B2596" s="90" t="s">
        <v>7259</v>
      </c>
      <c r="C2596" s="90" t="s">
        <v>508</v>
      </c>
      <c r="D2596" s="90" t="s">
        <v>6595</v>
      </c>
      <c r="E2596" s="90" t="s">
        <v>4884</v>
      </c>
      <c r="F2596" s="90" t="s">
        <v>7881</v>
      </c>
      <c r="G2596" t="s">
        <v>512</v>
      </c>
    </row>
    <row r="2597" spans="1:7" x14ac:dyDescent="0.25">
      <c r="A2597" s="114">
        <v>8111210370</v>
      </c>
      <c r="B2597" s="90" t="s">
        <v>7882</v>
      </c>
      <c r="C2597" s="90" t="s">
        <v>508</v>
      </c>
      <c r="D2597" s="90" t="s">
        <v>6595</v>
      </c>
      <c r="E2597" s="90" t="s">
        <v>4884</v>
      </c>
      <c r="F2597" s="90" t="s">
        <v>7883</v>
      </c>
      <c r="G2597" t="s">
        <v>512</v>
      </c>
    </row>
    <row r="2598" spans="1:7" x14ac:dyDescent="0.25">
      <c r="A2598" s="114">
        <v>8111210390</v>
      </c>
      <c r="B2598" s="90" t="s">
        <v>7884</v>
      </c>
      <c r="C2598" s="90" t="s">
        <v>508</v>
      </c>
      <c r="D2598" s="90" t="s">
        <v>6595</v>
      </c>
      <c r="E2598" s="90" t="s">
        <v>4884</v>
      </c>
      <c r="F2598" s="90" t="s">
        <v>7885</v>
      </c>
      <c r="G2598" t="s">
        <v>859</v>
      </c>
    </row>
    <row r="2599" spans="1:7" x14ac:dyDescent="0.25">
      <c r="A2599" s="114">
        <v>8111210400</v>
      </c>
      <c r="B2599" s="90" t="s">
        <v>2806</v>
      </c>
      <c r="C2599" s="90" t="s">
        <v>508</v>
      </c>
      <c r="D2599" s="90" t="s">
        <v>6595</v>
      </c>
      <c r="E2599" s="90" t="s">
        <v>4884</v>
      </c>
      <c r="F2599" s="90" t="s">
        <v>7886</v>
      </c>
      <c r="G2599" t="s">
        <v>512</v>
      </c>
    </row>
    <row r="2600" spans="1:7" x14ac:dyDescent="0.25">
      <c r="A2600" s="114">
        <v>8111210420</v>
      </c>
      <c r="B2600" s="90" t="s">
        <v>7887</v>
      </c>
      <c r="C2600" s="90" t="s">
        <v>508</v>
      </c>
      <c r="D2600" s="90" t="s">
        <v>6595</v>
      </c>
      <c r="E2600" s="90" t="s">
        <v>4884</v>
      </c>
      <c r="F2600" s="90" t="s">
        <v>7888</v>
      </c>
      <c r="G2600" t="s">
        <v>859</v>
      </c>
    </row>
    <row r="2601" spans="1:7" x14ac:dyDescent="0.25">
      <c r="A2601" s="114">
        <v>8111210430</v>
      </c>
      <c r="B2601" s="90" t="s">
        <v>7889</v>
      </c>
      <c r="C2601" s="90" t="s">
        <v>508</v>
      </c>
      <c r="D2601" s="90" t="s">
        <v>6595</v>
      </c>
      <c r="E2601" s="90" t="s">
        <v>4884</v>
      </c>
      <c r="F2601" s="90" t="s">
        <v>7890</v>
      </c>
      <c r="G2601" t="s">
        <v>512</v>
      </c>
    </row>
    <row r="2602" spans="1:7" x14ac:dyDescent="0.25">
      <c r="A2602" s="114">
        <v>8111210440</v>
      </c>
      <c r="B2602" s="90" t="s">
        <v>7891</v>
      </c>
      <c r="C2602" s="90" t="s">
        <v>508</v>
      </c>
      <c r="D2602" s="90" t="s">
        <v>6595</v>
      </c>
      <c r="E2602" s="90" t="s">
        <v>4884</v>
      </c>
      <c r="F2602" s="90" t="s">
        <v>7892</v>
      </c>
      <c r="G2602" t="s">
        <v>512</v>
      </c>
    </row>
    <row r="2603" spans="1:7" x14ac:dyDescent="0.25">
      <c r="A2603" s="114">
        <v>8111210450</v>
      </c>
      <c r="B2603" s="90" t="s">
        <v>7893</v>
      </c>
      <c r="C2603" s="90" t="s">
        <v>508</v>
      </c>
      <c r="D2603" s="90" t="s">
        <v>6595</v>
      </c>
      <c r="E2603" s="90" t="s">
        <v>4884</v>
      </c>
      <c r="F2603" s="90" t="s">
        <v>7894</v>
      </c>
      <c r="G2603" t="s">
        <v>512</v>
      </c>
    </row>
    <row r="2604" spans="1:7" x14ac:dyDescent="0.25">
      <c r="A2604" s="114">
        <v>8111210460</v>
      </c>
      <c r="B2604" s="90" t="s">
        <v>1414</v>
      </c>
      <c r="C2604" s="90" t="s">
        <v>508</v>
      </c>
      <c r="D2604" s="90" t="s">
        <v>6595</v>
      </c>
      <c r="E2604" s="90" t="s">
        <v>4884</v>
      </c>
      <c r="F2604" s="90" t="s">
        <v>7895</v>
      </c>
      <c r="G2604" t="s">
        <v>512</v>
      </c>
    </row>
    <row r="2605" spans="1:7" x14ac:dyDescent="0.25">
      <c r="A2605" s="114">
        <v>8111210470</v>
      </c>
      <c r="B2605" s="90" t="s">
        <v>7896</v>
      </c>
      <c r="C2605" s="90" t="s">
        <v>508</v>
      </c>
      <c r="D2605" s="90" t="s">
        <v>6595</v>
      </c>
      <c r="E2605" s="90" t="s">
        <v>4884</v>
      </c>
      <c r="F2605" s="90" t="s">
        <v>7897</v>
      </c>
      <c r="G2605" t="s">
        <v>512</v>
      </c>
    </row>
    <row r="2606" spans="1:7" x14ac:dyDescent="0.25">
      <c r="A2606" s="114">
        <v>8111210480</v>
      </c>
      <c r="B2606" s="90" t="s">
        <v>7898</v>
      </c>
      <c r="C2606" s="90" t="s">
        <v>508</v>
      </c>
      <c r="D2606" s="90" t="s">
        <v>6595</v>
      </c>
      <c r="E2606" s="90" t="s">
        <v>4884</v>
      </c>
      <c r="F2606" s="90" t="s">
        <v>7899</v>
      </c>
      <c r="G2606" t="s">
        <v>512</v>
      </c>
    </row>
    <row r="2607" spans="1:7" x14ac:dyDescent="0.25">
      <c r="A2607" s="114">
        <v>8111210490</v>
      </c>
      <c r="B2607" s="90" t="s">
        <v>7900</v>
      </c>
      <c r="C2607" s="90" t="s">
        <v>508</v>
      </c>
      <c r="D2607" s="90" t="s">
        <v>6595</v>
      </c>
      <c r="E2607" s="90" t="s">
        <v>4884</v>
      </c>
      <c r="F2607" s="90" t="s">
        <v>7901</v>
      </c>
      <c r="G2607" t="s">
        <v>859</v>
      </c>
    </row>
    <row r="2608" spans="1:7" x14ac:dyDescent="0.25">
      <c r="A2608" s="114">
        <v>8111210500</v>
      </c>
      <c r="B2608" s="90" t="s">
        <v>7902</v>
      </c>
      <c r="C2608" s="90" t="s">
        <v>508</v>
      </c>
      <c r="D2608" s="90" t="s">
        <v>6595</v>
      </c>
      <c r="E2608" s="90" t="s">
        <v>4884</v>
      </c>
      <c r="F2608" s="90" t="s">
        <v>7903</v>
      </c>
      <c r="G2608" t="s">
        <v>512</v>
      </c>
    </row>
    <row r="2609" spans="1:7" x14ac:dyDescent="0.25">
      <c r="A2609" s="114">
        <v>8111210510</v>
      </c>
      <c r="B2609" s="90" t="s">
        <v>7904</v>
      </c>
      <c r="C2609" s="90" t="s">
        <v>508</v>
      </c>
      <c r="D2609" s="90" t="s">
        <v>6595</v>
      </c>
      <c r="E2609" s="90" t="s">
        <v>4884</v>
      </c>
      <c r="F2609" s="90" t="s">
        <v>7905</v>
      </c>
      <c r="G2609" t="s">
        <v>859</v>
      </c>
    </row>
    <row r="2610" spans="1:7" x14ac:dyDescent="0.25">
      <c r="A2610" s="114">
        <v>8111210520</v>
      </c>
      <c r="B2610" s="90" t="s">
        <v>2061</v>
      </c>
      <c r="C2610" s="90" t="s">
        <v>508</v>
      </c>
      <c r="D2610" s="90" t="s">
        <v>6595</v>
      </c>
      <c r="E2610" s="90" t="s">
        <v>4884</v>
      </c>
      <c r="F2610" s="90" t="s">
        <v>7906</v>
      </c>
      <c r="G2610" t="s">
        <v>512</v>
      </c>
    </row>
    <row r="2611" spans="1:7" x14ac:dyDescent="0.25">
      <c r="A2611" s="114">
        <v>8111210530</v>
      </c>
      <c r="B2611" s="90" t="s">
        <v>7907</v>
      </c>
      <c r="C2611" s="90" t="s">
        <v>508</v>
      </c>
      <c r="D2611" s="90" t="s">
        <v>6595</v>
      </c>
      <c r="E2611" s="90" t="s">
        <v>4884</v>
      </c>
      <c r="F2611" s="90" t="s">
        <v>7908</v>
      </c>
      <c r="G2611" t="s">
        <v>512</v>
      </c>
    </row>
    <row r="2612" spans="1:7" x14ac:dyDescent="0.25">
      <c r="A2612" s="114">
        <v>8111210550</v>
      </c>
      <c r="B2612" s="90" t="s">
        <v>7909</v>
      </c>
      <c r="C2612" s="90" t="s">
        <v>508</v>
      </c>
      <c r="D2612" s="90" t="s">
        <v>6595</v>
      </c>
      <c r="E2612" s="90" t="s">
        <v>4884</v>
      </c>
      <c r="F2612" s="90" t="s">
        <v>7910</v>
      </c>
      <c r="G2612" t="s">
        <v>512</v>
      </c>
    </row>
    <row r="2613" spans="1:7" x14ac:dyDescent="0.25">
      <c r="A2613" s="114">
        <v>8111210560</v>
      </c>
      <c r="B2613" s="90" t="s">
        <v>7911</v>
      </c>
      <c r="C2613" s="90" t="s">
        <v>508</v>
      </c>
      <c r="D2613" s="90" t="s">
        <v>6595</v>
      </c>
      <c r="E2613" s="90" t="s">
        <v>4884</v>
      </c>
      <c r="F2613" s="90" t="s">
        <v>7912</v>
      </c>
      <c r="G2613" t="s">
        <v>512</v>
      </c>
    </row>
    <row r="2614" spans="1:7" x14ac:dyDescent="0.25">
      <c r="A2614" s="114">
        <v>8111210570</v>
      </c>
      <c r="B2614" s="90" t="s">
        <v>7913</v>
      </c>
      <c r="C2614" s="90" t="s">
        <v>508</v>
      </c>
      <c r="D2614" s="90" t="s">
        <v>6595</v>
      </c>
      <c r="E2614" s="90" t="s">
        <v>4884</v>
      </c>
      <c r="F2614" s="90" t="s">
        <v>7914</v>
      </c>
      <c r="G2614" t="s">
        <v>512</v>
      </c>
    </row>
    <row r="2615" spans="1:7" x14ac:dyDescent="0.25">
      <c r="A2615" s="114">
        <v>8111210580</v>
      </c>
      <c r="B2615" s="90" t="s">
        <v>7915</v>
      </c>
      <c r="C2615" s="90" t="s">
        <v>508</v>
      </c>
      <c r="D2615" s="90" t="s">
        <v>6595</v>
      </c>
      <c r="E2615" s="90" t="s">
        <v>4884</v>
      </c>
      <c r="F2615" s="90" t="s">
        <v>7916</v>
      </c>
      <c r="G2615" t="s">
        <v>859</v>
      </c>
    </row>
    <row r="2616" spans="1:7" x14ac:dyDescent="0.25">
      <c r="A2616" s="114">
        <v>8111210590</v>
      </c>
      <c r="B2616" s="90" t="s">
        <v>7917</v>
      </c>
      <c r="C2616" s="90" t="s">
        <v>508</v>
      </c>
      <c r="D2616" s="90" t="s">
        <v>6595</v>
      </c>
      <c r="E2616" s="90" t="s">
        <v>4884</v>
      </c>
      <c r="F2616" s="90" t="s">
        <v>7918</v>
      </c>
      <c r="G2616" t="s">
        <v>512</v>
      </c>
    </row>
    <row r="2617" spans="1:7" x14ac:dyDescent="0.25">
      <c r="A2617" s="114">
        <v>8111210630</v>
      </c>
      <c r="B2617" s="90" t="s">
        <v>7919</v>
      </c>
      <c r="C2617" s="90" t="s">
        <v>508</v>
      </c>
      <c r="D2617" s="90" t="s">
        <v>6595</v>
      </c>
      <c r="E2617" s="90" t="s">
        <v>4884</v>
      </c>
      <c r="F2617" s="90" t="s">
        <v>7920</v>
      </c>
      <c r="G2617" t="s">
        <v>512</v>
      </c>
    </row>
    <row r="2618" spans="1:7" x14ac:dyDescent="0.25">
      <c r="A2618" s="114">
        <v>8111210640</v>
      </c>
      <c r="B2618" s="90" t="s">
        <v>7921</v>
      </c>
      <c r="C2618" s="90" t="s">
        <v>508</v>
      </c>
      <c r="D2618" s="90" t="s">
        <v>6595</v>
      </c>
      <c r="E2618" s="90" t="s">
        <v>4884</v>
      </c>
      <c r="F2618" s="90" t="s">
        <v>7922</v>
      </c>
      <c r="G2618" t="s">
        <v>859</v>
      </c>
    </row>
    <row r="2619" spans="1:7" x14ac:dyDescent="0.25">
      <c r="A2619" s="114">
        <v>8111210680</v>
      </c>
      <c r="B2619" s="90" t="s">
        <v>7923</v>
      </c>
      <c r="C2619" s="90" t="s">
        <v>508</v>
      </c>
      <c r="D2619" s="90" t="s">
        <v>6595</v>
      </c>
      <c r="E2619" s="90" t="s">
        <v>4884</v>
      </c>
      <c r="F2619" s="90" t="s">
        <v>7924</v>
      </c>
      <c r="G2619" t="s">
        <v>512</v>
      </c>
    </row>
    <row r="2620" spans="1:7" x14ac:dyDescent="0.25">
      <c r="A2620" s="114">
        <v>8111210690</v>
      </c>
      <c r="B2620" s="90" t="s">
        <v>7925</v>
      </c>
      <c r="C2620" s="90" t="s">
        <v>508</v>
      </c>
      <c r="D2620" s="90" t="s">
        <v>6595</v>
      </c>
      <c r="E2620" s="90" t="s">
        <v>4884</v>
      </c>
      <c r="F2620" s="90" t="s">
        <v>7926</v>
      </c>
      <c r="G2620" t="s">
        <v>512</v>
      </c>
    </row>
    <row r="2621" spans="1:7" x14ac:dyDescent="0.25">
      <c r="A2621" s="114">
        <v>8111210720</v>
      </c>
      <c r="B2621" s="90" t="s">
        <v>7927</v>
      </c>
      <c r="C2621" s="90" t="s">
        <v>508</v>
      </c>
      <c r="D2621" s="90" t="s">
        <v>6595</v>
      </c>
      <c r="E2621" s="90" t="s">
        <v>4884</v>
      </c>
      <c r="F2621" s="90" t="s">
        <v>7928</v>
      </c>
      <c r="G2621" t="s">
        <v>512</v>
      </c>
    </row>
    <row r="2622" spans="1:7" x14ac:dyDescent="0.25">
      <c r="A2622" s="114">
        <v>8111210730</v>
      </c>
      <c r="B2622" s="90" t="s">
        <v>7929</v>
      </c>
      <c r="C2622" s="90" t="s">
        <v>508</v>
      </c>
      <c r="D2622" s="90" t="s">
        <v>6595</v>
      </c>
      <c r="E2622" s="90" t="s">
        <v>4884</v>
      </c>
      <c r="F2622" s="90" t="s">
        <v>7930</v>
      </c>
      <c r="G2622" t="s">
        <v>512</v>
      </c>
    </row>
    <row r="2623" spans="1:7" x14ac:dyDescent="0.25">
      <c r="A2623" s="114">
        <v>8111210750</v>
      </c>
      <c r="B2623" s="90" t="s">
        <v>7931</v>
      </c>
      <c r="C2623" s="90" t="s">
        <v>508</v>
      </c>
      <c r="D2623" s="90" t="s">
        <v>6595</v>
      </c>
      <c r="E2623" s="90" t="s">
        <v>4884</v>
      </c>
      <c r="F2623" s="90" t="s">
        <v>7932</v>
      </c>
      <c r="G2623" t="s">
        <v>859</v>
      </c>
    </row>
    <row r="2624" spans="1:7" x14ac:dyDescent="0.25">
      <c r="A2624" s="114">
        <v>8111210770</v>
      </c>
      <c r="B2624" s="90" t="s">
        <v>7933</v>
      </c>
      <c r="C2624" s="90" t="s">
        <v>508</v>
      </c>
      <c r="D2624" s="90" t="s">
        <v>6595</v>
      </c>
      <c r="E2624" s="90" t="s">
        <v>4884</v>
      </c>
      <c r="F2624" s="90" t="s">
        <v>7934</v>
      </c>
      <c r="G2624" t="s">
        <v>512</v>
      </c>
    </row>
    <row r="2625" spans="1:7" x14ac:dyDescent="0.25">
      <c r="A2625" s="114">
        <v>8111210780</v>
      </c>
      <c r="B2625" s="90" t="s">
        <v>7935</v>
      </c>
      <c r="C2625" s="90" t="s">
        <v>508</v>
      </c>
      <c r="D2625" s="90" t="s">
        <v>6595</v>
      </c>
      <c r="E2625" s="90" t="s">
        <v>4884</v>
      </c>
      <c r="F2625" s="90" t="s">
        <v>7936</v>
      </c>
      <c r="G2625" t="s">
        <v>512</v>
      </c>
    </row>
    <row r="2626" spans="1:7" x14ac:dyDescent="0.25">
      <c r="A2626" s="114">
        <v>8111210790</v>
      </c>
      <c r="B2626" s="90" t="s">
        <v>7937</v>
      </c>
      <c r="C2626" s="90" t="s">
        <v>508</v>
      </c>
      <c r="D2626" s="90" t="s">
        <v>6595</v>
      </c>
      <c r="E2626" s="90" t="s">
        <v>4884</v>
      </c>
      <c r="F2626" s="90" t="s">
        <v>7938</v>
      </c>
      <c r="G2626" t="s">
        <v>512</v>
      </c>
    </row>
    <row r="2627" spans="1:7" x14ac:dyDescent="0.25">
      <c r="A2627" s="114">
        <v>8111210820</v>
      </c>
      <c r="B2627" s="90" t="s">
        <v>7939</v>
      </c>
      <c r="C2627" s="90" t="s">
        <v>508</v>
      </c>
      <c r="D2627" s="90" t="s">
        <v>6595</v>
      </c>
      <c r="E2627" s="90" t="s">
        <v>4884</v>
      </c>
      <c r="F2627" s="90" t="s">
        <v>7940</v>
      </c>
      <c r="G2627" t="s">
        <v>512</v>
      </c>
    </row>
    <row r="2628" spans="1:7" x14ac:dyDescent="0.25">
      <c r="A2628" s="114">
        <v>8111210830</v>
      </c>
      <c r="B2628" s="90" t="s">
        <v>7941</v>
      </c>
      <c r="C2628" s="90" t="s">
        <v>508</v>
      </c>
      <c r="D2628" s="90" t="s">
        <v>6595</v>
      </c>
      <c r="E2628" s="90" t="s">
        <v>4884</v>
      </c>
      <c r="F2628" s="90" t="s">
        <v>7942</v>
      </c>
      <c r="G2628" t="s">
        <v>859</v>
      </c>
    </row>
    <row r="2629" spans="1:7" x14ac:dyDescent="0.25">
      <c r="A2629" s="114">
        <v>8111210840</v>
      </c>
      <c r="B2629" s="90" t="s">
        <v>7943</v>
      </c>
      <c r="C2629" s="90" t="s">
        <v>508</v>
      </c>
      <c r="D2629" s="90" t="s">
        <v>6595</v>
      </c>
      <c r="E2629" s="90" t="s">
        <v>4884</v>
      </c>
      <c r="F2629" s="90" t="s">
        <v>7944</v>
      </c>
      <c r="G2629" t="s">
        <v>512</v>
      </c>
    </row>
    <row r="2630" spans="1:7" x14ac:dyDescent="0.25">
      <c r="A2630" s="114">
        <v>8111210850</v>
      </c>
      <c r="B2630" s="90" t="s">
        <v>7945</v>
      </c>
      <c r="C2630" s="90" t="s">
        <v>508</v>
      </c>
      <c r="D2630" s="90" t="s">
        <v>6595</v>
      </c>
      <c r="E2630" s="90" t="s">
        <v>4884</v>
      </c>
      <c r="F2630" s="90" t="s">
        <v>7946</v>
      </c>
      <c r="G2630" t="s">
        <v>859</v>
      </c>
    </row>
    <row r="2631" spans="1:7" x14ac:dyDescent="0.25">
      <c r="A2631" s="114">
        <v>8111210860</v>
      </c>
      <c r="B2631" s="90" t="s">
        <v>7947</v>
      </c>
      <c r="C2631" s="90" t="s">
        <v>508</v>
      </c>
      <c r="D2631" s="90" t="s">
        <v>6595</v>
      </c>
      <c r="E2631" s="90" t="s">
        <v>4884</v>
      </c>
      <c r="F2631" s="90" t="s">
        <v>7948</v>
      </c>
      <c r="G2631" t="s">
        <v>859</v>
      </c>
    </row>
    <row r="2632" spans="1:7" x14ac:dyDescent="0.25">
      <c r="A2632" s="114">
        <v>8111210880</v>
      </c>
      <c r="B2632" s="90" t="s">
        <v>7949</v>
      </c>
      <c r="C2632" s="90" t="s">
        <v>508</v>
      </c>
      <c r="D2632" s="90" t="s">
        <v>6595</v>
      </c>
      <c r="E2632" s="90" t="s">
        <v>4884</v>
      </c>
      <c r="F2632" s="90" t="s">
        <v>7950</v>
      </c>
      <c r="G2632" t="s">
        <v>512</v>
      </c>
    </row>
    <row r="2633" spans="1:7" x14ac:dyDescent="0.25">
      <c r="A2633" s="114">
        <v>8111210900</v>
      </c>
      <c r="B2633" s="90" t="s">
        <v>7951</v>
      </c>
      <c r="C2633" s="90" t="s">
        <v>508</v>
      </c>
      <c r="D2633" s="90" t="s">
        <v>6595</v>
      </c>
      <c r="E2633" s="90" t="s">
        <v>4884</v>
      </c>
      <c r="F2633" s="90" t="s">
        <v>7952</v>
      </c>
      <c r="G2633" t="s">
        <v>512</v>
      </c>
    </row>
    <row r="2634" spans="1:7" x14ac:dyDescent="0.25">
      <c r="A2634" s="114">
        <v>8111210910</v>
      </c>
      <c r="B2634" s="90" t="s">
        <v>5117</v>
      </c>
      <c r="C2634" s="90" t="s">
        <v>508</v>
      </c>
      <c r="D2634" s="90" t="s">
        <v>6595</v>
      </c>
      <c r="E2634" s="90" t="s">
        <v>4884</v>
      </c>
      <c r="F2634" s="90" t="s">
        <v>7953</v>
      </c>
      <c r="G2634" t="s">
        <v>512</v>
      </c>
    </row>
    <row r="2635" spans="1:7" x14ac:dyDescent="0.25">
      <c r="A2635" s="114">
        <v>8111210920</v>
      </c>
      <c r="B2635" s="90" t="s">
        <v>4607</v>
      </c>
      <c r="C2635" s="90" t="s">
        <v>508</v>
      </c>
      <c r="D2635" s="90" t="s">
        <v>6595</v>
      </c>
      <c r="E2635" s="90" t="s">
        <v>4884</v>
      </c>
      <c r="F2635" s="90" t="s">
        <v>7954</v>
      </c>
      <c r="G2635" t="s">
        <v>512</v>
      </c>
    </row>
    <row r="2636" spans="1:7" x14ac:dyDescent="0.25">
      <c r="A2636" s="114">
        <v>8111210930</v>
      </c>
      <c r="B2636" s="90" t="s">
        <v>7955</v>
      </c>
      <c r="C2636" s="90" t="s">
        <v>508</v>
      </c>
      <c r="D2636" s="90" t="s">
        <v>6595</v>
      </c>
      <c r="E2636" s="90" t="s">
        <v>4884</v>
      </c>
      <c r="F2636" s="90" t="s">
        <v>7956</v>
      </c>
      <c r="G2636" t="s">
        <v>512</v>
      </c>
    </row>
    <row r="2637" spans="1:7" x14ac:dyDescent="0.25">
      <c r="A2637" s="114">
        <v>8111210940</v>
      </c>
      <c r="B2637" s="90" t="s">
        <v>7957</v>
      </c>
      <c r="C2637" s="90" t="s">
        <v>508</v>
      </c>
      <c r="D2637" s="90" t="s">
        <v>6595</v>
      </c>
      <c r="E2637" s="90" t="s">
        <v>4884</v>
      </c>
      <c r="F2637" s="90" t="s">
        <v>7958</v>
      </c>
      <c r="G2637" t="s">
        <v>512</v>
      </c>
    </row>
    <row r="2638" spans="1:7" x14ac:dyDescent="0.25">
      <c r="A2638" s="114">
        <v>8111210950</v>
      </c>
      <c r="B2638" s="90" t="s">
        <v>7959</v>
      </c>
      <c r="C2638" s="90" t="s">
        <v>508</v>
      </c>
      <c r="D2638" s="90" t="s">
        <v>6595</v>
      </c>
      <c r="E2638" s="90" t="s">
        <v>4884</v>
      </c>
      <c r="F2638" s="90" t="s">
        <v>7960</v>
      </c>
      <c r="G2638" t="s">
        <v>512</v>
      </c>
    </row>
    <row r="2639" spans="1:7" x14ac:dyDescent="0.25">
      <c r="A2639" s="114">
        <v>8111210980</v>
      </c>
      <c r="B2639" s="90" t="s">
        <v>7961</v>
      </c>
      <c r="C2639" s="90" t="s">
        <v>508</v>
      </c>
      <c r="D2639" s="90" t="s">
        <v>6595</v>
      </c>
      <c r="E2639" s="90" t="s">
        <v>4884</v>
      </c>
      <c r="F2639" s="90" t="s">
        <v>7962</v>
      </c>
      <c r="G2639" t="s">
        <v>512</v>
      </c>
    </row>
    <row r="2640" spans="1:7" x14ac:dyDescent="0.25">
      <c r="A2640" s="114">
        <v>8111210990</v>
      </c>
      <c r="B2640" s="90" t="s">
        <v>7963</v>
      </c>
      <c r="C2640" s="90" t="s">
        <v>508</v>
      </c>
      <c r="D2640" s="90" t="s">
        <v>6595</v>
      </c>
      <c r="E2640" s="90" t="s">
        <v>4884</v>
      </c>
      <c r="F2640" s="90" t="s">
        <v>7964</v>
      </c>
      <c r="G2640" t="s">
        <v>512</v>
      </c>
    </row>
    <row r="2641" spans="1:7" x14ac:dyDescent="0.25">
      <c r="A2641" s="114">
        <v>8111211010</v>
      </c>
      <c r="B2641" s="90" t="s">
        <v>7741</v>
      </c>
      <c r="C2641" s="90" t="s">
        <v>508</v>
      </c>
      <c r="D2641" s="90" t="s">
        <v>6595</v>
      </c>
      <c r="E2641" s="90" t="s">
        <v>4884</v>
      </c>
      <c r="F2641" s="90" t="s">
        <v>7965</v>
      </c>
      <c r="G2641" t="s">
        <v>512</v>
      </c>
    </row>
    <row r="2642" spans="1:7" x14ac:dyDescent="0.25">
      <c r="A2642" s="114">
        <v>8111211020</v>
      </c>
      <c r="B2642" s="90" t="s">
        <v>7966</v>
      </c>
      <c r="C2642" s="90" t="s">
        <v>508</v>
      </c>
      <c r="D2642" s="90" t="s">
        <v>6595</v>
      </c>
      <c r="E2642" s="90" t="s">
        <v>4884</v>
      </c>
      <c r="F2642" s="90" t="s">
        <v>7967</v>
      </c>
      <c r="G2642" t="s">
        <v>512</v>
      </c>
    </row>
    <row r="2643" spans="1:7" x14ac:dyDescent="0.25">
      <c r="A2643" s="114">
        <v>8111211030</v>
      </c>
      <c r="B2643" s="90" t="s">
        <v>7968</v>
      </c>
      <c r="C2643" s="90" t="s">
        <v>508</v>
      </c>
      <c r="D2643" s="90" t="s">
        <v>6595</v>
      </c>
      <c r="E2643" s="90" t="s">
        <v>539</v>
      </c>
      <c r="F2643" s="90" t="s">
        <v>7969</v>
      </c>
      <c r="G2643" t="s">
        <v>512</v>
      </c>
    </row>
    <row r="2644" spans="1:7" x14ac:dyDescent="0.25">
      <c r="A2644" s="114">
        <v>8111211040</v>
      </c>
      <c r="B2644" s="90" t="s">
        <v>3460</v>
      </c>
      <c r="C2644" s="90" t="s">
        <v>508</v>
      </c>
      <c r="D2644" s="90" t="s">
        <v>6595</v>
      </c>
      <c r="E2644" s="90" t="s">
        <v>4884</v>
      </c>
      <c r="F2644" s="90" t="s">
        <v>7970</v>
      </c>
      <c r="G2644" t="s">
        <v>512</v>
      </c>
    </row>
    <row r="2645" spans="1:7" x14ac:dyDescent="0.25">
      <c r="A2645" s="114">
        <v>8111211050</v>
      </c>
      <c r="B2645" s="90" t="s">
        <v>7971</v>
      </c>
      <c r="C2645" s="90" t="s">
        <v>508</v>
      </c>
      <c r="D2645" s="90" t="s">
        <v>6595</v>
      </c>
      <c r="E2645" s="90" t="s">
        <v>4884</v>
      </c>
      <c r="F2645" s="90" t="s">
        <v>7972</v>
      </c>
      <c r="G2645" t="s">
        <v>512</v>
      </c>
    </row>
    <row r="2646" spans="1:7" x14ac:dyDescent="0.25">
      <c r="A2646" s="114">
        <v>8111211080</v>
      </c>
      <c r="B2646" s="90" t="s">
        <v>7854</v>
      </c>
      <c r="C2646" s="90" t="s">
        <v>508</v>
      </c>
      <c r="D2646" s="90" t="s">
        <v>6595</v>
      </c>
      <c r="E2646" s="90" t="s">
        <v>4884</v>
      </c>
      <c r="F2646" s="90" t="s">
        <v>7973</v>
      </c>
      <c r="G2646" t="s">
        <v>859</v>
      </c>
    </row>
    <row r="2647" spans="1:7" x14ac:dyDescent="0.25">
      <c r="A2647" s="114">
        <v>8111211090</v>
      </c>
      <c r="B2647" s="90" t="s">
        <v>7974</v>
      </c>
      <c r="C2647" s="90" t="s">
        <v>508</v>
      </c>
      <c r="D2647" s="90" t="s">
        <v>6595</v>
      </c>
      <c r="E2647" s="90" t="s">
        <v>4884</v>
      </c>
      <c r="F2647" s="90" t="s">
        <v>7975</v>
      </c>
      <c r="G2647" t="s">
        <v>859</v>
      </c>
    </row>
    <row r="2648" spans="1:7" x14ac:dyDescent="0.25">
      <c r="A2648" s="114">
        <v>8111211100</v>
      </c>
      <c r="B2648" s="90" t="s">
        <v>7976</v>
      </c>
      <c r="C2648" s="90" t="s">
        <v>508</v>
      </c>
      <c r="D2648" s="90" t="s">
        <v>6595</v>
      </c>
      <c r="E2648" s="90" t="s">
        <v>4884</v>
      </c>
      <c r="F2648" s="90" t="s">
        <v>7977</v>
      </c>
      <c r="G2648" t="s">
        <v>512</v>
      </c>
    </row>
    <row r="2649" spans="1:7" x14ac:dyDescent="0.25">
      <c r="A2649" s="114">
        <v>8111211120</v>
      </c>
      <c r="B2649" s="90" t="s">
        <v>7978</v>
      </c>
      <c r="C2649" s="90" t="s">
        <v>508</v>
      </c>
      <c r="D2649" s="90" t="s">
        <v>6595</v>
      </c>
      <c r="E2649" s="90" t="s">
        <v>4884</v>
      </c>
      <c r="F2649" s="90" t="s">
        <v>7979</v>
      </c>
      <c r="G2649" t="s">
        <v>512</v>
      </c>
    </row>
    <row r="2650" spans="1:7" x14ac:dyDescent="0.25">
      <c r="A2650" s="114">
        <v>8111211160</v>
      </c>
      <c r="B2650" s="90" t="s">
        <v>7980</v>
      </c>
      <c r="C2650" s="90" t="s">
        <v>508</v>
      </c>
      <c r="D2650" s="90" t="s">
        <v>6595</v>
      </c>
      <c r="E2650" s="90" t="s">
        <v>4884</v>
      </c>
      <c r="F2650" s="90" t="s">
        <v>7981</v>
      </c>
      <c r="G2650" t="s">
        <v>859</v>
      </c>
    </row>
    <row r="2651" spans="1:7" x14ac:dyDescent="0.25">
      <c r="A2651" s="114">
        <v>8111211180</v>
      </c>
      <c r="B2651" s="90" t="s">
        <v>7982</v>
      </c>
      <c r="C2651" s="90" t="s">
        <v>508</v>
      </c>
      <c r="D2651" s="90" t="s">
        <v>6595</v>
      </c>
      <c r="E2651" s="90" t="s">
        <v>4884</v>
      </c>
      <c r="F2651" s="90" t="s">
        <v>7983</v>
      </c>
      <c r="G2651" t="s">
        <v>512</v>
      </c>
    </row>
    <row r="2652" spans="1:7" x14ac:dyDescent="0.25">
      <c r="A2652" s="114">
        <v>8111211190</v>
      </c>
      <c r="B2652" s="90" t="s">
        <v>7984</v>
      </c>
      <c r="C2652" s="90" t="s">
        <v>508</v>
      </c>
      <c r="D2652" s="90" t="s">
        <v>6595</v>
      </c>
      <c r="E2652" s="90" t="s">
        <v>4884</v>
      </c>
      <c r="F2652" s="90" t="s">
        <v>7985</v>
      </c>
      <c r="G2652" t="s">
        <v>512</v>
      </c>
    </row>
    <row r="2653" spans="1:7" x14ac:dyDescent="0.25">
      <c r="A2653" s="114">
        <v>8111211200</v>
      </c>
      <c r="B2653" s="90" t="s">
        <v>7521</v>
      </c>
      <c r="C2653" s="90" t="s">
        <v>508</v>
      </c>
      <c r="D2653" s="90" t="s">
        <v>6595</v>
      </c>
      <c r="E2653" s="90" t="s">
        <v>4884</v>
      </c>
      <c r="F2653" s="90" t="s">
        <v>7986</v>
      </c>
      <c r="G2653" t="s">
        <v>512</v>
      </c>
    </row>
    <row r="2654" spans="1:7" x14ac:dyDescent="0.25">
      <c r="A2654" s="114">
        <v>8111211220</v>
      </c>
      <c r="B2654" s="90" t="s">
        <v>7987</v>
      </c>
      <c r="C2654" s="90" t="s">
        <v>508</v>
      </c>
      <c r="D2654" s="90" t="s">
        <v>6595</v>
      </c>
      <c r="E2654" s="90" t="s">
        <v>4884</v>
      </c>
      <c r="F2654" s="90" t="s">
        <v>7988</v>
      </c>
      <c r="G2654" t="s">
        <v>859</v>
      </c>
    </row>
    <row r="2655" spans="1:7" x14ac:dyDescent="0.25">
      <c r="A2655" s="114">
        <v>8111211240</v>
      </c>
      <c r="B2655" s="90" t="s">
        <v>7989</v>
      </c>
      <c r="C2655" s="90" t="s">
        <v>508</v>
      </c>
      <c r="D2655" s="90" t="s">
        <v>6595</v>
      </c>
      <c r="E2655" s="90" t="s">
        <v>4884</v>
      </c>
      <c r="F2655" s="90" t="s">
        <v>7990</v>
      </c>
      <c r="G2655" t="s">
        <v>512</v>
      </c>
    </row>
    <row r="2656" spans="1:7" x14ac:dyDescent="0.25">
      <c r="A2656" s="114">
        <v>8111211260</v>
      </c>
      <c r="B2656" s="90" t="s">
        <v>7016</v>
      </c>
      <c r="C2656" s="90" t="s">
        <v>508</v>
      </c>
      <c r="D2656" s="90" t="s">
        <v>6595</v>
      </c>
      <c r="E2656" s="90" t="s">
        <v>539</v>
      </c>
      <c r="F2656" s="90" t="s">
        <v>7991</v>
      </c>
      <c r="G2656" t="s">
        <v>512</v>
      </c>
    </row>
    <row r="2657" spans="1:7" x14ac:dyDescent="0.25">
      <c r="A2657" s="114">
        <v>8111211300</v>
      </c>
      <c r="B2657" s="90" t="s">
        <v>7992</v>
      </c>
      <c r="C2657" s="90" t="s">
        <v>508</v>
      </c>
      <c r="D2657" s="90" t="s">
        <v>6595</v>
      </c>
      <c r="E2657" s="90" t="s">
        <v>4884</v>
      </c>
      <c r="F2657" s="90" t="s">
        <v>7993</v>
      </c>
      <c r="G2657" t="s">
        <v>512</v>
      </c>
    </row>
    <row r="2658" spans="1:7" x14ac:dyDescent="0.25">
      <c r="A2658" s="114">
        <v>8111211330</v>
      </c>
      <c r="B2658" s="90" t="s">
        <v>7994</v>
      </c>
      <c r="C2658" s="90" t="s">
        <v>508</v>
      </c>
      <c r="D2658" s="90" t="s">
        <v>6595</v>
      </c>
      <c r="E2658" s="90" t="s">
        <v>4884</v>
      </c>
      <c r="F2658" s="90" t="s">
        <v>7995</v>
      </c>
      <c r="G2658" t="s">
        <v>512</v>
      </c>
    </row>
    <row r="2659" spans="1:7" x14ac:dyDescent="0.25">
      <c r="A2659" s="114">
        <v>8111211380</v>
      </c>
      <c r="B2659" s="90" t="s">
        <v>7996</v>
      </c>
      <c r="C2659" s="90" t="s">
        <v>508</v>
      </c>
      <c r="D2659" s="90" t="s">
        <v>6595</v>
      </c>
      <c r="E2659" s="90" t="s">
        <v>4884</v>
      </c>
      <c r="F2659" s="90" t="s">
        <v>7997</v>
      </c>
      <c r="G2659" t="s">
        <v>859</v>
      </c>
    </row>
    <row r="2660" spans="1:7" x14ac:dyDescent="0.25">
      <c r="A2660" s="114">
        <v>8111211390</v>
      </c>
      <c r="B2660" s="90" t="s">
        <v>7998</v>
      </c>
      <c r="C2660" s="90" t="s">
        <v>508</v>
      </c>
      <c r="D2660" s="90" t="s">
        <v>6595</v>
      </c>
      <c r="E2660" s="90" t="s">
        <v>4884</v>
      </c>
      <c r="F2660" s="90" t="s">
        <v>7999</v>
      </c>
      <c r="G2660" t="s">
        <v>512</v>
      </c>
    </row>
    <row r="2661" spans="1:7" x14ac:dyDescent="0.25">
      <c r="A2661" s="114">
        <v>8111211400</v>
      </c>
      <c r="B2661" s="90" t="s">
        <v>8000</v>
      </c>
      <c r="C2661" s="90" t="s">
        <v>508</v>
      </c>
      <c r="D2661" s="90" t="s">
        <v>6595</v>
      </c>
      <c r="E2661" s="90" t="s">
        <v>4884</v>
      </c>
      <c r="F2661" s="90" t="s">
        <v>8001</v>
      </c>
      <c r="G2661" t="s">
        <v>512</v>
      </c>
    </row>
    <row r="2662" spans="1:7" x14ac:dyDescent="0.25">
      <c r="A2662" s="114">
        <v>8111211410</v>
      </c>
      <c r="B2662" s="90" t="s">
        <v>8002</v>
      </c>
      <c r="C2662" s="90" t="s">
        <v>508</v>
      </c>
      <c r="D2662" s="90" t="s">
        <v>6595</v>
      </c>
      <c r="E2662" s="90" t="s">
        <v>4884</v>
      </c>
      <c r="F2662" s="90" t="s">
        <v>8003</v>
      </c>
      <c r="G2662" t="s">
        <v>512</v>
      </c>
    </row>
    <row r="2663" spans="1:7" x14ac:dyDescent="0.25">
      <c r="A2663" s="114">
        <v>8111211420</v>
      </c>
      <c r="B2663" s="90" t="s">
        <v>8004</v>
      </c>
      <c r="C2663" s="90" t="s">
        <v>508</v>
      </c>
      <c r="D2663" s="90" t="s">
        <v>6595</v>
      </c>
      <c r="E2663" s="90" t="s">
        <v>4884</v>
      </c>
      <c r="F2663" s="90" t="s">
        <v>8005</v>
      </c>
      <c r="G2663" t="s">
        <v>512</v>
      </c>
    </row>
    <row r="2664" spans="1:7" x14ac:dyDescent="0.25">
      <c r="A2664" s="114">
        <v>8111211430</v>
      </c>
      <c r="B2664" s="90" t="s">
        <v>8006</v>
      </c>
      <c r="C2664" s="90" t="s">
        <v>508</v>
      </c>
      <c r="D2664" s="90" t="s">
        <v>6595</v>
      </c>
      <c r="E2664" s="90" t="s">
        <v>4884</v>
      </c>
      <c r="F2664" s="90" t="s">
        <v>8007</v>
      </c>
      <c r="G2664" t="s">
        <v>512</v>
      </c>
    </row>
    <row r="2665" spans="1:7" x14ac:dyDescent="0.25">
      <c r="A2665" s="114">
        <v>8111211450</v>
      </c>
      <c r="B2665" s="90" t="s">
        <v>8008</v>
      </c>
      <c r="C2665" s="90" t="s">
        <v>508</v>
      </c>
      <c r="D2665" s="90" t="s">
        <v>6595</v>
      </c>
      <c r="E2665" s="90" t="s">
        <v>4884</v>
      </c>
      <c r="F2665" s="90" t="s">
        <v>8009</v>
      </c>
      <c r="G2665" t="s">
        <v>512</v>
      </c>
    </row>
    <row r="2666" spans="1:7" x14ac:dyDescent="0.25">
      <c r="A2666" s="114">
        <v>8111211460</v>
      </c>
      <c r="B2666" s="90" t="s">
        <v>8010</v>
      </c>
      <c r="C2666" s="90" t="s">
        <v>508</v>
      </c>
      <c r="D2666" s="90" t="s">
        <v>6595</v>
      </c>
      <c r="E2666" s="90" t="s">
        <v>4884</v>
      </c>
      <c r="F2666" s="90" t="s">
        <v>8011</v>
      </c>
      <c r="G2666" t="s">
        <v>512</v>
      </c>
    </row>
    <row r="2667" spans="1:7" x14ac:dyDescent="0.25">
      <c r="A2667" s="114">
        <v>8111211470</v>
      </c>
      <c r="B2667" s="90" t="s">
        <v>8012</v>
      </c>
      <c r="C2667" s="90" t="s">
        <v>508</v>
      </c>
      <c r="D2667" s="90" t="s">
        <v>6595</v>
      </c>
      <c r="E2667" s="90" t="s">
        <v>4884</v>
      </c>
      <c r="F2667" s="90" t="s">
        <v>8013</v>
      </c>
      <c r="G2667" t="s">
        <v>512</v>
      </c>
    </row>
    <row r="2668" spans="1:7" x14ac:dyDescent="0.25">
      <c r="A2668" s="114">
        <v>8111211480</v>
      </c>
      <c r="B2668" s="90" t="s">
        <v>8014</v>
      </c>
      <c r="C2668" s="90" t="s">
        <v>508</v>
      </c>
      <c r="D2668" s="90" t="s">
        <v>6595</v>
      </c>
      <c r="E2668" s="90" t="s">
        <v>4884</v>
      </c>
      <c r="F2668" s="90" t="s">
        <v>8015</v>
      </c>
      <c r="G2668" t="s">
        <v>512</v>
      </c>
    </row>
    <row r="2669" spans="1:7" x14ac:dyDescent="0.25">
      <c r="A2669" s="114">
        <v>8111211490</v>
      </c>
      <c r="B2669" s="90" t="s">
        <v>8016</v>
      </c>
      <c r="C2669" s="90" t="s">
        <v>508</v>
      </c>
      <c r="D2669" s="90" t="s">
        <v>6595</v>
      </c>
      <c r="E2669" s="90" t="s">
        <v>4884</v>
      </c>
      <c r="F2669" s="90" t="s">
        <v>8017</v>
      </c>
      <c r="G2669" t="s">
        <v>512</v>
      </c>
    </row>
    <row r="2670" spans="1:7" x14ac:dyDescent="0.25">
      <c r="A2670" s="114">
        <v>8111211500</v>
      </c>
      <c r="B2670" s="90" t="s">
        <v>8018</v>
      </c>
      <c r="C2670" s="90" t="s">
        <v>508</v>
      </c>
      <c r="D2670" s="90" t="s">
        <v>6595</v>
      </c>
      <c r="E2670" s="90" t="s">
        <v>4884</v>
      </c>
      <c r="F2670" s="90" t="s">
        <v>8019</v>
      </c>
      <c r="G2670" t="s">
        <v>512</v>
      </c>
    </row>
    <row r="2671" spans="1:7" x14ac:dyDescent="0.25">
      <c r="A2671" s="114">
        <v>8111211530</v>
      </c>
      <c r="B2671" s="90" t="s">
        <v>8020</v>
      </c>
      <c r="C2671" s="90" t="s">
        <v>508</v>
      </c>
      <c r="D2671" s="90" t="s">
        <v>6595</v>
      </c>
      <c r="E2671" s="90" t="s">
        <v>4884</v>
      </c>
      <c r="F2671" s="90" t="s">
        <v>8021</v>
      </c>
      <c r="G2671" t="s">
        <v>512</v>
      </c>
    </row>
    <row r="2672" spans="1:7" x14ac:dyDescent="0.25">
      <c r="A2672" s="114">
        <v>8111211540</v>
      </c>
      <c r="B2672" s="90" t="s">
        <v>8022</v>
      </c>
      <c r="C2672" s="90" t="s">
        <v>508</v>
      </c>
      <c r="D2672" s="90" t="s">
        <v>6595</v>
      </c>
      <c r="E2672" s="90" t="s">
        <v>4884</v>
      </c>
      <c r="F2672" s="90" t="s">
        <v>8023</v>
      </c>
      <c r="G2672" t="s">
        <v>512</v>
      </c>
    </row>
    <row r="2673" spans="1:7" x14ac:dyDescent="0.25">
      <c r="A2673" s="114">
        <v>8111211560</v>
      </c>
      <c r="B2673" s="90" t="s">
        <v>802</v>
      </c>
      <c r="C2673" s="90" t="s">
        <v>508</v>
      </c>
      <c r="D2673" s="90" t="s">
        <v>6595</v>
      </c>
      <c r="E2673" s="90" t="s">
        <v>4884</v>
      </c>
      <c r="F2673" s="90" t="s">
        <v>8024</v>
      </c>
      <c r="G2673" t="s">
        <v>512</v>
      </c>
    </row>
    <row r="2674" spans="1:7" x14ac:dyDescent="0.25">
      <c r="A2674" s="114">
        <v>8111211570</v>
      </c>
      <c r="B2674" s="90" t="s">
        <v>8025</v>
      </c>
      <c r="C2674" s="90" t="s">
        <v>508</v>
      </c>
      <c r="D2674" s="90" t="s">
        <v>6595</v>
      </c>
      <c r="E2674" s="90" t="s">
        <v>4884</v>
      </c>
      <c r="F2674" s="90" t="s">
        <v>8026</v>
      </c>
      <c r="G2674" t="s">
        <v>512</v>
      </c>
    </row>
    <row r="2675" spans="1:7" x14ac:dyDescent="0.25">
      <c r="A2675" s="114">
        <v>8111211600</v>
      </c>
      <c r="B2675" s="90" t="s">
        <v>8027</v>
      </c>
      <c r="C2675" s="90" t="s">
        <v>508</v>
      </c>
      <c r="D2675" s="90" t="s">
        <v>6595</v>
      </c>
      <c r="E2675" s="90" t="s">
        <v>4884</v>
      </c>
      <c r="F2675" s="90" t="s">
        <v>8028</v>
      </c>
      <c r="G2675" t="s">
        <v>512</v>
      </c>
    </row>
    <row r="2676" spans="1:7" x14ac:dyDescent="0.25">
      <c r="A2676" s="114">
        <v>8111211610</v>
      </c>
      <c r="B2676" s="90" t="s">
        <v>8029</v>
      </c>
      <c r="C2676" s="90" t="s">
        <v>508</v>
      </c>
      <c r="D2676" s="90" t="s">
        <v>6595</v>
      </c>
      <c r="E2676" s="90" t="s">
        <v>4884</v>
      </c>
      <c r="F2676" s="90" t="s">
        <v>8030</v>
      </c>
      <c r="G2676" t="s">
        <v>512</v>
      </c>
    </row>
    <row r="2677" spans="1:7" x14ac:dyDescent="0.25">
      <c r="A2677" s="114">
        <v>8111211620</v>
      </c>
      <c r="B2677" s="90" t="s">
        <v>8031</v>
      </c>
      <c r="C2677" s="90" t="s">
        <v>508</v>
      </c>
      <c r="D2677" s="90" t="s">
        <v>6595</v>
      </c>
      <c r="E2677" s="90" t="s">
        <v>4884</v>
      </c>
      <c r="F2677" s="90" t="s">
        <v>8032</v>
      </c>
      <c r="G2677" t="s">
        <v>512</v>
      </c>
    </row>
    <row r="2678" spans="1:7" x14ac:dyDescent="0.25">
      <c r="A2678" s="114">
        <v>8111211630</v>
      </c>
      <c r="B2678" s="90" t="s">
        <v>8033</v>
      </c>
      <c r="C2678" s="90" t="s">
        <v>508</v>
      </c>
      <c r="D2678" s="90" t="s">
        <v>6595</v>
      </c>
      <c r="E2678" s="90" t="s">
        <v>4884</v>
      </c>
      <c r="F2678" s="90" t="s">
        <v>8034</v>
      </c>
      <c r="G2678" t="s">
        <v>859</v>
      </c>
    </row>
    <row r="2679" spans="1:7" x14ac:dyDescent="0.25">
      <c r="A2679" s="114">
        <v>8111211640</v>
      </c>
      <c r="B2679" s="90" t="s">
        <v>8035</v>
      </c>
      <c r="C2679" s="90" t="s">
        <v>508</v>
      </c>
      <c r="D2679" s="90" t="s">
        <v>6595</v>
      </c>
      <c r="E2679" s="90" t="s">
        <v>4884</v>
      </c>
      <c r="F2679" s="90" t="s">
        <v>8036</v>
      </c>
      <c r="G2679" t="s">
        <v>859</v>
      </c>
    </row>
    <row r="2680" spans="1:7" x14ac:dyDescent="0.25">
      <c r="A2680" s="114">
        <v>8111211670</v>
      </c>
      <c r="B2680" s="90" t="s">
        <v>8037</v>
      </c>
      <c r="C2680" s="90" t="s">
        <v>508</v>
      </c>
      <c r="D2680" s="90" t="s">
        <v>6595</v>
      </c>
      <c r="E2680" s="90" t="s">
        <v>4884</v>
      </c>
      <c r="F2680" s="90" t="s">
        <v>8038</v>
      </c>
      <c r="G2680" t="s">
        <v>512</v>
      </c>
    </row>
    <row r="2681" spans="1:7" x14ac:dyDescent="0.25">
      <c r="A2681" s="114">
        <v>8111211710</v>
      </c>
      <c r="B2681" s="90" t="s">
        <v>8039</v>
      </c>
      <c r="C2681" s="90" t="s">
        <v>508</v>
      </c>
      <c r="D2681" s="90" t="s">
        <v>6595</v>
      </c>
      <c r="E2681" s="90" t="s">
        <v>4884</v>
      </c>
      <c r="F2681" s="90" t="s">
        <v>8040</v>
      </c>
      <c r="G2681" t="s">
        <v>512</v>
      </c>
    </row>
    <row r="2682" spans="1:7" x14ac:dyDescent="0.25">
      <c r="A2682" s="114">
        <v>8111211720</v>
      </c>
      <c r="B2682" s="90" t="s">
        <v>8041</v>
      </c>
      <c r="C2682" s="90" t="s">
        <v>508</v>
      </c>
      <c r="D2682" s="90" t="s">
        <v>6595</v>
      </c>
      <c r="E2682" s="90" t="s">
        <v>4884</v>
      </c>
      <c r="F2682" s="90" t="s">
        <v>8042</v>
      </c>
      <c r="G2682" t="s">
        <v>512</v>
      </c>
    </row>
    <row r="2683" spans="1:7" x14ac:dyDescent="0.25">
      <c r="A2683" s="114">
        <v>8111211730</v>
      </c>
      <c r="B2683" s="90" t="s">
        <v>8043</v>
      </c>
      <c r="C2683" s="90" t="s">
        <v>508</v>
      </c>
      <c r="D2683" s="90" t="s">
        <v>6595</v>
      </c>
      <c r="E2683" s="90" t="s">
        <v>4884</v>
      </c>
      <c r="F2683" s="90" t="s">
        <v>8044</v>
      </c>
      <c r="G2683" t="s">
        <v>512</v>
      </c>
    </row>
    <row r="2684" spans="1:7" x14ac:dyDescent="0.25">
      <c r="A2684" s="114">
        <v>8111211740</v>
      </c>
      <c r="B2684" s="90" t="s">
        <v>8045</v>
      </c>
      <c r="C2684" s="90" t="s">
        <v>508</v>
      </c>
      <c r="D2684" s="90" t="s">
        <v>6595</v>
      </c>
      <c r="E2684" s="90" t="s">
        <v>4884</v>
      </c>
      <c r="F2684" s="90" t="s">
        <v>8046</v>
      </c>
      <c r="G2684" t="s">
        <v>512</v>
      </c>
    </row>
    <row r="2685" spans="1:7" x14ac:dyDescent="0.25">
      <c r="A2685" s="114">
        <v>8111211760</v>
      </c>
      <c r="B2685" s="90" t="s">
        <v>8047</v>
      </c>
      <c r="C2685" s="90" t="s">
        <v>508</v>
      </c>
      <c r="D2685" s="90" t="s">
        <v>6595</v>
      </c>
      <c r="E2685" s="90" t="s">
        <v>4884</v>
      </c>
      <c r="F2685" s="90" t="s">
        <v>8048</v>
      </c>
      <c r="G2685" t="s">
        <v>512</v>
      </c>
    </row>
    <row r="2686" spans="1:7" x14ac:dyDescent="0.25">
      <c r="A2686" s="114">
        <v>8111211840</v>
      </c>
      <c r="B2686" s="90" t="s">
        <v>8049</v>
      </c>
      <c r="C2686" s="90" t="s">
        <v>508</v>
      </c>
      <c r="D2686" s="90" t="s">
        <v>6595</v>
      </c>
      <c r="E2686" s="90" t="s">
        <v>4884</v>
      </c>
      <c r="F2686" s="90" t="s">
        <v>8050</v>
      </c>
      <c r="G2686" t="s">
        <v>512</v>
      </c>
    </row>
    <row r="2687" spans="1:7" x14ac:dyDescent="0.25">
      <c r="A2687" s="114">
        <v>8111211850</v>
      </c>
      <c r="B2687" s="90" t="s">
        <v>8051</v>
      </c>
      <c r="C2687" s="90" t="s">
        <v>508</v>
      </c>
      <c r="D2687" s="90" t="s">
        <v>6595</v>
      </c>
      <c r="E2687" s="90" t="s">
        <v>4884</v>
      </c>
      <c r="F2687" s="90" t="s">
        <v>8052</v>
      </c>
      <c r="G2687" t="s">
        <v>512</v>
      </c>
    </row>
    <row r="2688" spans="1:7" x14ac:dyDescent="0.25">
      <c r="A2688" s="114">
        <v>8111214570</v>
      </c>
      <c r="B2688" s="90" t="s">
        <v>6597</v>
      </c>
      <c r="C2688" s="90" t="s">
        <v>508</v>
      </c>
      <c r="D2688" s="90" t="s">
        <v>6595</v>
      </c>
      <c r="E2688" s="90" t="s">
        <v>539</v>
      </c>
      <c r="F2688" s="90" t="s">
        <v>6598</v>
      </c>
      <c r="G2688" t="s">
        <v>512</v>
      </c>
    </row>
    <row r="2689" spans="1:7" x14ac:dyDescent="0.25">
      <c r="A2689" s="114">
        <v>8111238610</v>
      </c>
      <c r="B2689" s="90" t="s">
        <v>8053</v>
      </c>
      <c r="C2689" s="90" t="s">
        <v>508</v>
      </c>
      <c r="D2689" s="90" t="s">
        <v>6595</v>
      </c>
      <c r="E2689" s="90" t="s">
        <v>539</v>
      </c>
      <c r="F2689" s="90" t="s">
        <v>8054</v>
      </c>
      <c r="G2689" t="s">
        <v>859</v>
      </c>
    </row>
    <row r="2690" spans="1:7" x14ac:dyDescent="0.25">
      <c r="A2690" s="114">
        <v>8111250270</v>
      </c>
      <c r="B2690" s="90" t="s">
        <v>8055</v>
      </c>
      <c r="C2690" s="90" t="s">
        <v>508</v>
      </c>
      <c r="D2690" s="90" t="s">
        <v>6595</v>
      </c>
      <c r="E2690" s="90" t="s">
        <v>539</v>
      </c>
      <c r="F2690" s="90" t="s">
        <v>8056</v>
      </c>
      <c r="G2690" t="s">
        <v>512</v>
      </c>
    </row>
    <row r="2691" spans="1:7" x14ac:dyDescent="0.25">
      <c r="A2691" s="114">
        <v>8111251720</v>
      </c>
      <c r="B2691" s="90" t="s">
        <v>8057</v>
      </c>
      <c r="C2691" s="90" t="s">
        <v>508</v>
      </c>
      <c r="D2691" s="90" t="s">
        <v>6595</v>
      </c>
      <c r="E2691" s="90" t="s">
        <v>539</v>
      </c>
      <c r="F2691" s="90" t="s">
        <v>8058</v>
      </c>
      <c r="G2691" t="s">
        <v>512</v>
      </c>
    </row>
    <row r="2692" spans="1:7" x14ac:dyDescent="0.25">
      <c r="A2692" s="114">
        <v>8111283270</v>
      </c>
      <c r="B2692" s="90" t="s">
        <v>8059</v>
      </c>
      <c r="C2692" s="90" t="s">
        <v>508</v>
      </c>
      <c r="D2692" s="90" t="s">
        <v>6595</v>
      </c>
      <c r="E2692" s="90" t="s">
        <v>539</v>
      </c>
      <c r="F2692" s="90" t="s">
        <v>8060</v>
      </c>
      <c r="G2692" t="s">
        <v>512</v>
      </c>
    </row>
    <row r="2693" spans="1:7" x14ac:dyDescent="0.25">
      <c r="A2693" s="114">
        <v>8111286670</v>
      </c>
      <c r="B2693" s="90" t="s">
        <v>8061</v>
      </c>
      <c r="C2693" s="90" t="s">
        <v>508</v>
      </c>
      <c r="D2693" s="90" t="s">
        <v>6595</v>
      </c>
      <c r="E2693" s="90" t="s">
        <v>539</v>
      </c>
      <c r="F2693" s="90" t="s">
        <v>8062</v>
      </c>
      <c r="G2693" t="s">
        <v>512</v>
      </c>
    </row>
    <row r="2694" spans="1:7" x14ac:dyDescent="0.25">
      <c r="A2694" s="114">
        <v>8111298640</v>
      </c>
      <c r="B2694" s="90" t="s">
        <v>8063</v>
      </c>
      <c r="C2694" s="90" t="s">
        <v>508</v>
      </c>
      <c r="D2694" s="90" t="s">
        <v>6595</v>
      </c>
      <c r="E2694" s="90" t="s">
        <v>4884</v>
      </c>
      <c r="F2694" s="90" t="s">
        <v>8064</v>
      </c>
      <c r="G2694" t="s">
        <v>859</v>
      </c>
    </row>
    <row r="2695" spans="1:7" x14ac:dyDescent="0.25">
      <c r="A2695" s="114">
        <v>8111314150</v>
      </c>
      <c r="B2695" s="90" t="s">
        <v>8065</v>
      </c>
      <c r="C2695" s="90" t="s">
        <v>508</v>
      </c>
      <c r="D2695" s="90" t="s">
        <v>8066</v>
      </c>
      <c r="E2695" s="90" t="s">
        <v>2012</v>
      </c>
      <c r="F2695" s="90" t="s">
        <v>8067</v>
      </c>
      <c r="G2695" t="s">
        <v>512</v>
      </c>
    </row>
    <row r="2696" spans="1:7" x14ac:dyDescent="0.25">
      <c r="A2696" s="114">
        <v>8111390000</v>
      </c>
      <c r="B2696" s="90" t="s">
        <v>8068</v>
      </c>
      <c r="C2696" s="90" t="s">
        <v>508</v>
      </c>
      <c r="D2696" s="90" t="s">
        <v>6595</v>
      </c>
      <c r="E2696" s="90" t="s">
        <v>539</v>
      </c>
      <c r="F2696" s="90" t="s">
        <v>8069</v>
      </c>
      <c r="G2696" t="s">
        <v>512</v>
      </c>
    </row>
    <row r="2697" spans="1:7" x14ac:dyDescent="0.25">
      <c r="A2697" s="114">
        <v>8111426150</v>
      </c>
      <c r="B2697" s="90" t="s">
        <v>8070</v>
      </c>
      <c r="C2697" s="90" t="s">
        <v>508</v>
      </c>
      <c r="D2697" s="90" t="s">
        <v>6595</v>
      </c>
      <c r="E2697" s="90" t="s">
        <v>539</v>
      </c>
      <c r="F2697" s="90" t="s">
        <v>8071</v>
      </c>
      <c r="G2697" t="s">
        <v>512</v>
      </c>
    </row>
    <row r="2698" spans="1:7" x14ac:dyDescent="0.25">
      <c r="A2698" s="114">
        <v>8111466920</v>
      </c>
      <c r="B2698" s="90" t="s">
        <v>8072</v>
      </c>
      <c r="C2698" s="90" t="s">
        <v>508</v>
      </c>
      <c r="D2698" s="90" t="s">
        <v>6595</v>
      </c>
      <c r="E2698" s="90" t="s">
        <v>539</v>
      </c>
      <c r="F2698" s="90" t="s">
        <v>8073</v>
      </c>
      <c r="G2698" t="s">
        <v>512</v>
      </c>
    </row>
    <row r="2699" spans="1:7" x14ac:dyDescent="0.25">
      <c r="A2699" s="114">
        <v>8111468060</v>
      </c>
      <c r="B2699" s="90" t="s">
        <v>8074</v>
      </c>
      <c r="C2699" s="90" t="s">
        <v>508</v>
      </c>
      <c r="D2699" s="90" t="s">
        <v>6595</v>
      </c>
      <c r="E2699" s="90" t="s">
        <v>539</v>
      </c>
      <c r="F2699" s="90" t="s">
        <v>8075</v>
      </c>
      <c r="G2699" t="s">
        <v>859</v>
      </c>
    </row>
    <row r="2700" spans="1:7" x14ac:dyDescent="0.25">
      <c r="A2700" s="114">
        <v>8111640950</v>
      </c>
      <c r="B2700" s="90" t="s">
        <v>7637</v>
      </c>
      <c r="C2700" s="90" t="s">
        <v>508</v>
      </c>
      <c r="D2700" s="90" t="s">
        <v>6595</v>
      </c>
      <c r="E2700" s="90" t="s">
        <v>539</v>
      </c>
      <c r="F2700" s="90" t="s">
        <v>8076</v>
      </c>
      <c r="G2700" t="s">
        <v>859</v>
      </c>
    </row>
    <row r="2701" spans="1:7" x14ac:dyDescent="0.25">
      <c r="A2701" s="114">
        <v>8111697230</v>
      </c>
      <c r="B2701" s="90" t="s">
        <v>8077</v>
      </c>
      <c r="C2701" s="90" t="s">
        <v>508</v>
      </c>
      <c r="D2701" s="90" t="s">
        <v>6595</v>
      </c>
      <c r="E2701" s="90" t="s">
        <v>539</v>
      </c>
      <c r="F2701" s="90" t="s">
        <v>8078</v>
      </c>
      <c r="G2701" t="s">
        <v>859</v>
      </c>
    </row>
    <row r="2702" spans="1:7" x14ac:dyDescent="0.25">
      <c r="A2702" s="114">
        <v>8111774000</v>
      </c>
      <c r="B2702" s="90" t="s">
        <v>8079</v>
      </c>
      <c r="C2702" s="90" t="s">
        <v>508</v>
      </c>
      <c r="D2702" s="90" t="s">
        <v>6595</v>
      </c>
      <c r="E2702" s="90" t="s">
        <v>539</v>
      </c>
      <c r="F2702" s="90" t="s">
        <v>8080</v>
      </c>
      <c r="G2702" t="s">
        <v>859</v>
      </c>
    </row>
    <row r="2703" spans="1:7" x14ac:dyDescent="0.25">
      <c r="A2703" s="114">
        <v>8111807500</v>
      </c>
      <c r="B2703" s="90" t="s">
        <v>4343</v>
      </c>
      <c r="C2703" s="90" t="s">
        <v>508</v>
      </c>
      <c r="D2703" s="90" t="s">
        <v>6595</v>
      </c>
      <c r="E2703" s="90" t="s">
        <v>539</v>
      </c>
      <c r="F2703" s="90" t="s">
        <v>8081</v>
      </c>
      <c r="G2703" t="s">
        <v>512</v>
      </c>
    </row>
    <row r="2704" spans="1:7" x14ac:dyDescent="0.25">
      <c r="A2704" s="114">
        <v>8111829710</v>
      </c>
      <c r="B2704" s="90" t="s">
        <v>8082</v>
      </c>
      <c r="C2704" s="90" t="s">
        <v>508</v>
      </c>
      <c r="D2704" s="90" t="s">
        <v>6595</v>
      </c>
      <c r="E2704" s="90" t="s">
        <v>539</v>
      </c>
      <c r="F2704" s="90" t="s">
        <v>8083</v>
      </c>
      <c r="G2704" t="s">
        <v>512</v>
      </c>
    </row>
    <row r="2705" spans="1:7" x14ac:dyDescent="0.25">
      <c r="A2705" s="114">
        <v>8111834770</v>
      </c>
      <c r="B2705" s="90" t="s">
        <v>8084</v>
      </c>
      <c r="C2705" s="90" t="s">
        <v>508</v>
      </c>
      <c r="D2705" s="90" t="s">
        <v>6595</v>
      </c>
      <c r="E2705" s="90" t="s">
        <v>539</v>
      </c>
      <c r="F2705" s="90" t="s">
        <v>8085</v>
      </c>
      <c r="G2705" t="s">
        <v>859</v>
      </c>
    </row>
    <row r="2706" spans="1:7" x14ac:dyDescent="0.25">
      <c r="A2706" s="114">
        <v>8111839990</v>
      </c>
      <c r="B2706" s="90" t="s">
        <v>8086</v>
      </c>
      <c r="C2706" s="90" t="s">
        <v>508</v>
      </c>
      <c r="D2706" s="90" t="s">
        <v>6595</v>
      </c>
      <c r="E2706" s="90" t="s">
        <v>539</v>
      </c>
      <c r="F2706" s="90" t="s">
        <v>8087</v>
      </c>
      <c r="G2706" t="s">
        <v>859</v>
      </c>
    </row>
    <row r="2707" spans="1:7" x14ac:dyDescent="0.25">
      <c r="A2707" s="114">
        <v>8111883790</v>
      </c>
      <c r="B2707" s="90" t="s">
        <v>8088</v>
      </c>
      <c r="C2707" s="90" t="s">
        <v>508</v>
      </c>
      <c r="D2707" s="90" t="s">
        <v>6595</v>
      </c>
      <c r="E2707" s="90" t="s">
        <v>539</v>
      </c>
      <c r="F2707" s="90" t="s">
        <v>8089</v>
      </c>
      <c r="G2707" t="s">
        <v>859</v>
      </c>
    </row>
    <row r="2708" spans="1:7" x14ac:dyDescent="0.25">
      <c r="A2708" s="114">
        <v>8111924850</v>
      </c>
      <c r="B2708" s="90" t="s">
        <v>8090</v>
      </c>
      <c r="C2708" s="90" t="s">
        <v>508</v>
      </c>
      <c r="D2708" s="90" t="s">
        <v>6595</v>
      </c>
      <c r="E2708" s="90" t="s">
        <v>539</v>
      </c>
      <c r="F2708" s="90" t="s">
        <v>8091</v>
      </c>
      <c r="G2708" t="s">
        <v>859</v>
      </c>
    </row>
    <row r="2709" spans="1:7" x14ac:dyDescent="0.25">
      <c r="A2709" s="114">
        <v>8111990630</v>
      </c>
      <c r="B2709" s="90" t="s">
        <v>8092</v>
      </c>
      <c r="C2709" s="90" t="s">
        <v>508</v>
      </c>
      <c r="D2709" s="90" t="s">
        <v>6595</v>
      </c>
      <c r="E2709" s="90" t="s">
        <v>539</v>
      </c>
      <c r="F2709" s="90" t="s">
        <v>8093</v>
      </c>
      <c r="G2709" t="s">
        <v>859</v>
      </c>
    </row>
    <row r="2710" spans="1:7" x14ac:dyDescent="0.25">
      <c r="A2710" s="114">
        <v>8111992150</v>
      </c>
      <c r="B2710" s="90" t="s">
        <v>8094</v>
      </c>
      <c r="C2710" s="90" t="s">
        <v>508</v>
      </c>
      <c r="D2710" s="90" t="s">
        <v>6595</v>
      </c>
      <c r="E2710" s="90" t="s">
        <v>539</v>
      </c>
      <c r="F2710" s="90" t="s">
        <v>8095</v>
      </c>
      <c r="G2710" t="s">
        <v>512</v>
      </c>
    </row>
    <row r="2711" spans="1:7" x14ac:dyDescent="0.25">
      <c r="A2711" s="114">
        <v>8111992340</v>
      </c>
      <c r="B2711" s="90" t="s">
        <v>8096</v>
      </c>
      <c r="C2711" s="90" t="s">
        <v>508</v>
      </c>
      <c r="D2711" s="90" t="s">
        <v>6595</v>
      </c>
      <c r="E2711" s="90" t="s">
        <v>539</v>
      </c>
      <c r="F2711" s="90" t="s">
        <v>8097</v>
      </c>
      <c r="G2711" t="s">
        <v>859</v>
      </c>
    </row>
    <row r="2712" spans="1:7" x14ac:dyDescent="0.25">
      <c r="A2712" s="114">
        <v>8111993370</v>
      </c>
      <c r="B2712" s="90" t="s">
        <v>8098</v>
      </c>
      <c r="C2712" s="90" t="s">
        <v>508</v>
      </c>
      <c r="D2712" s="90" t="s">
        <v>6595</v>
      </c>
      <c r="E2712" s="90" t="s">
        <v>539</v>
      </c>
      <c r="F2712" s="90" t="s">
        <v>8099</v>
      </c>
      <c r="G2712" t="s">
        <v>859</v>
      </c>
    </row>
    <row r="2713" spans="1:7" x14ac:dyDescent="0.25">
      <c r="A2713" s="114">
        <v>8111993410</v>
      </c>
      <c r="B2713" s="90" t="s">
        <v>8100</v>
      </c>
      <c r="C2713" s="90" t="s">
        <v>508</v>
      </c>
      <c r="D2713" s="90" t="s">
        <v>6595</v>
      </c>
      <c r="E2713" s="90" t="s">
        <v>539</v>
      </c>
      <c r="F2713" s="90" t="s">
        <v>8101</v>
      </c>
      <c r="G2713" t="s">
        <v>512</v>
      </c>
    </row>
    <row r="2714" spans="1:7" x14ac:dyDescent="0.25">
      <c r="A2714" s="114">
        <v>8111993430</v>
      </c>
      <c r="B2714" s="90" t="s">
        <v>8102</v>
      </c>
      <c r="C2714" s="90" t="s">
        <v>508</v>
      </c>
      <c r="D2714" s="90" t="s">
        <v>6595</v>
      </c>
      <c r="E2714" s="90" t="s">
        <v>539</v>
      </c>
      <c r="F2714" s="90" t="s">
        <v>8103</v>
      </c>
      <c r="G2714" t="s">
        <v>859</v>
      </c>
    </row>
    <row r="2715" spans="1:7" x14ac:dyDescent="0.25">
      <c r="A2715" s="114">
        <v>8111994610</v>
      </c>
      <c r="B2715" s="90" t="s">
        <v>8104</v>
      </c>
      <c r="C2715" s="90" t="s">
        <v>508</v>
      </c>
      <c r="D2715" s="90" t="s">
        <v>6595</v>
      </c>
      <c r="E2715" s="90" t="s">
        <v>539</v>
      </c>
      <c r="F2715" s="90" t="s">
        <v>8105</v>
      </c>
      <c r="G2715" t="s">
        <v>512</v>
      </c>
    </row>
    <row r="2716" spans="1:7" x14ac:dyDescent="0.25">
      <c r="A2716" s="114">
        <v>8111994670</v>
      </c>
      <c r="B2716" s="90" t="s">
        <v>8106</v>
      </c>
      <c r="C2716" s="90" t="s">
        <v>508</v>
      </c>
      <c r="D2716" s="90" t="s">
        <v>6595</v>
      </c>
      <c r="E2716" s="90" t="s">
        <v>539</v>
      </c>
      <c r="F2716" s="90" t="s">
        <v>8107</v>
      </c>
      <c r="G2716" t="s">
        <v>512</v>
      </c>
    </row>
    <row r="2717" spans="1:7" x14ac:dyDescent="0.25">
      <c r="A2717" s="114">
        <v>8111994700</v>
      </c>
      <c r="B2717" s="90" t="s">
        <v>6765</v>
      </c>
      <c r="C2717" s="90" t="s">
        <v>508</v>
      </c>
      <c r="D2717" s="90" t="s">
        <v>6595</v>
      </c>
      <c r="E2717" s="90" t="s">
        <v>539</v>
      </c>
      <c r="F2717" s="90" t="s">
        <v>8108</v>
      </c>
      <c r="G2717" t="s">
        <v>512</v>
      </c>
    </row>
    <row r="2718" spans="1:7" x14ac:dyDescent="0.25">
      <c r="A2718" s="114">
        <v>8111994710</v>
      </c>
      <c r="B2718" s="90" t="s">
        <v>7963</v>
      </c>
      <c r="C2718" s="90" t="s">
        <v>508</v>
      </c>
      <c r="D2718" s="90" t="s">
        <v>6595</v>
      </c>
      <c r="E2718" s="90" t="s">
        <v>539</v>
      </c>
      <c r="F2718" s="90" t="s">
        <v>8109</v>
      </c>
      <c r="G2718" t="s">
        <v>512</v>
      </c>
    </row>
    <row r="2719" spans="1:7" x14ac:dyDescent="0.25">
      <c r="A2719" s="114">
        <v>8111994720</v>
      </c>
      <c r="B2719" s="90" t="s">
        <v>8110</v>
      </c>
      <c r="C2719" s="90" t="s">
        <v>508</v>
      </c>
      <c r="D2719" s="90" t="s">
        <v>6595</v>
      </c>
      <c r="E2719" s="90" t="s">
        <v>539</v>
      </c>
      <c r="F2719" s="90" t="s">
        <v>8111</v>
      </c>
      <c r="G2719" t="s">
        <v>859</v>
      </c>
    </row>
    <row r="2720" spans="1:7" x14ac:dyDescent="0.25">
      <c r="A2720" s="114">
        <v>8111994730</v>
      </c>
      <c r="B2720" s="90" t="s">
        <v>8112</v>
      </c>
      <c r="C2720" s="90" t="s">
        <v>508</v>
      </c>
      <c r="D2720" s="90" t="s">
        <v>6595</v>
      </c>
      <c r="E2720" s="90" t="s">
        <v>539</v>
      </c>
      <c r="F2720" s="90" t="s">
        <v>8113</v>
      </c>
      <c r="G2720" t="s">
        <v>859</v>
      </c>
    </row>
    <row r="2721" spans="1:7" x14ac:dyDescent="0.25">
      <c r="A2721" s="114">
        <v>8111994750</v>
      </c>
      <c r="B2721" s="90" t="s">
        <v>6716</v>
      </c>
      <c r="C2721" s="90" t="s">
        <v>508</v>
      </c>
      <c r="D2721" s="90" t="s">
        <v>6595</v>
      </c>
      <c r="E2721" s="90" t="s">
        <v>539</v>
      </c>
      <c r="F2721" s="90" t="s">
        <v>8114</v>
      </c>
      <c r="G2721" t="s">
        <v>512</v>
      </c>
    </row>
    <row r="2722" spans="1:7" x14ac:dyDescent="0.25">
      <c r="A2722" s="114">
        <v>8111994760</v>
      </c>
      <c r="B2722" s="90" t="s">
        <v>8115</v>
      </c>
      <c r="C2722" s="90" t="s">
        <v>508</v>
      </c>
      <c r="D2722" s="90" t="s">
        <v>6595</v>
      </c>
      <c r="E2722" s="90" t="s">
        <v>539</v>
      </c>
      <c r="F2722" s="90" t="s">
        <v>8116</v>
      </c>
      <c r="G2722" t="s">
        <v>859</v>
      </c>
    </row>
    <row r="2723" spans="1:7" x14ac:dyDescent="0.25">
      <c r="A2723" s="114">
        <v>8111994770</v>
      </c>
      <c r="B2723" s="90" t="s">
        <v>8117</v>
      </c>
      <c r="C2723" s="90" t="s">
        <v>508</v>
      </c>
      <c r="D2723" s="90" t="s">
        <v>6595</v>
      </c>
      <c r="E2723" s="90" t="s">
        <v>539</v>
      </c>
      <c r="F2723" s="90" t="s">
        <v>8118</v>
      </c>
      <c r="G2723" t="s">
        <v>859</v>
      </c>
    </row>
    <row r="2724" spans="1:7" x14ac:dyDescent="0.25">
      <c r="A2724" s="114">
        <v>8111994790</v>
      </c>
      <c r="B2724" s="90" t="s">
        <v>8119</v>
      </c>
      <c r="C2724" s="90" t="s">
        <v>508</v>
      </c>
      <c r="D2724" s="90" t="s">
        <v>6595</v>
      </c>
      <c r="E2724" s="90" t="s">
        <v>539</v>
      </c>
      <c r="F2724" s="90" t="s">
        <v>8120</v>
      </c>
      <c r="G2724" t="s">
        <v>512</v>
      </c>
    </row>
    <row r="2725" spans="1:7" x14ac:dyDescent="0.25">
      <c r="A2725" s="114">
        <v>8111994810</v>
      </c>
      <c r="B2725" s="90" t="s">
        <v>8121</v>
      </c>
      <c r="C2725" s="90" t="s">
        <v>508</v>
      </c>
      <c r="D2725" s="90" t="s">
        <v>6595</v>
      </c>
      <c r="E2725" s="90" t="s">
        <v>539</v>
      </c>
      <c r="F2725" s="90" t="s">
        <v>8122</v>
      </c>
      <c r="G2725" t="s">
        <v>859</v>
      </c>
    </row>
    <row r="2726" spans="1:7" x14ac:dyDescent="0.25">
      <c r="A2726" s="114">
        <v>8111994820</v>
      </c>
      <c r="B2726" s="90" t="s">
        <v>8123</v>
      </c>
      <c r="C2726" s="90" t="s">
        <v>508</v>
      </c>
      <c r="D2726" s="90" t="s">
        <v>6595</v>
      </c>
      <c r="E2726" s="90" t="s">
        <v>539</v>
      </c>
      <c r="F2726" s="90" t="s">
        <v>8124</v>
      </c>
      <c r="G2726" t="s">
        <v>859</v>
      </c>
    </row>
    <row r="2727" spans="1:7" x14ac:dyDescent="0.25">
      <c r="A2727" s="114">
        <v>8111994840</v>
      </c>
      <c r="B2727" s="90" t="s">
        <v>8125</v>
      </c>
      <c r="C2727" s="90" t="s">
        <v>508</v>
      </c>
      <c r="D2727" s="90" t="s">
        <v>1577</v>
      </c>
      <c r="E2727" s="90" t="s">
        <v>634</v>
      </c>
      <c r="F2727" s="90" t="s">
        <v>8126</v>
      </c>
      <c r="G2727" t="s">
        <v>859</v>
      </c>
    </row>
    <row r="2728" spans="1:7" x14ac:dyDescent="0.25">
      <c r="A2728" s="114">
        <v>8111994890</v>
      </c>
      <c r="B2728" s="90" t="s">
        <v>8127</v>
      </c>
      <c r="C2728" s="90" t="s">
        <v>508</v>
      </c>
      <c r="D2728" s="90" t="s">
        <v>6595</v>
      </c>
      <c r="E2728" s="90" t="s">
        <v>539</v>
      </c>
      <c r="F2728" s="90" t="s">
        <v>8128</v>
      </c>
      <c r="G2728" t="s">
        <v>512</v>
      </c>
    </row>
    <row r="2729" spans="1:7" x14ac:dyDescent="0.25">
      <c r="A2729" s="114">
        <v>8111994900</v>
      </c>
      <c r="B2729" s="90" t="s">
        <v>8129</v>
      </c>
      <c r="C2729" s="90" t="s">
        <v>508</v>
      </c>
      <c r="D2729" s="90" t="s">
        <v>6595</v>
      </c>
      <c r="E2729" s="90" t="s">
        <v>539</v>
      </c>
      <c r="F2729" s="90" t="s">
        <v>8130</v>
      </c>
      <c r="G2729" t="s">
        <v>859</v>
      </c>
    </row>
    <row r="2730" spans="1:7" x14ac:dyDescent="0.25">
      <c r="A2730" s="114">
        <v>8111994910</v>
      </c>
      <c r="B2730" s="90" t="s">
        <v>8131</v>
      </c>
      <c r="C2730" s="90" t="s">
        <v>508</v>
      </c>
      <c r="D2730" s="90" t="s">
        <v>6595</v>
      </c>
      <c r="E2730" s="90" t="s">
        <v>539</v>
      </c>
      <c r="F2730" s="90" t="s">
        <v>8132</v>
      </c>
      <c r="G2730" t="s">
        <v>512</v>
      </c>
    </row>
    <row r="2731" spans="1:7" x14ac:dyDescent="0.25">
      <c r="A2731" s="114">
        <v>8111994920</v>
      </c>
      <c r="B2731" s="90" t="s">
        <v>8133</v>
      </c>
      <c r="C2731" s="90" t="s">
        <v>508</v>
      </c>
      <c r="D2731" s="90" t="s">
        <v>6595</v>
      </c>
      <c r="E2731" s="90" t="s">
        <v>539</v>
      </c>
      <c r="F2731" s="90" t="s">
        <v>8134</v>
      </c>
      <c r="G2731" t="s">
        <v>512</v>
      </c>
    </row>
    <row r="2732" spans="1:7" x14ac:dyDescent="0.25">
      <c r="A2732" s="114">
        <v>8111994970</v>
      </c>
      <c r="B2732" s="90" t="s">
        <v>6603</v>
      </c>
      <c r="C2732" s="90" t="s">
        <v>508</v>
      </c>
      <c r="D2732" s="90" t="s">
        <v>6595</v>
      </c>
      <c r="E2732" s="90" t="s">
        <v>539</v>
      </c>
      <c r="F2732" s="90" t="s">
        <v>6604</v>
      </c>
      <c r="G2732" t="s">
        <v>859</v>
      </c>
    </row>
    <row r="2733" spans="1:7" x14ac:dyDescent="0.25">
      <c r="A2733" s="114">
        <v>8111994980</v>
      </c>
      <c r="B2733" s="90" t="s">
        <v>8135</v>
      </c>
      <c r="C2733" s="90" t="s">
        <v>508</v>
      </c>
      <c r="D2733" s="90" t="s">
        <v>6595</v>
      </c>
      <c r="E2733" s="90" t="s">
        <v>539</v>
      </c>
      <c r="F2733" s="90" t="s">
        <v>8136</v>
      </c>
      <c r="G2733" t="s">
        <v>512</v>
      </c>
    </row>
    <row r="2734" spans="1:7" x14ac:dyDescent="0.25">
      <c r="A2734" s="114">
        <v>8111995010</v>
      </c>
      <c r="B2734" s="90" t="s">
        <v>6816</v>
      </c>
      <c r="C2734" s="90" t="s">
        <v>508</v>
      </c>
      <c r="D2734" s="90" t="s">
        <v>6595</v>
      </c>
      <c r="E2734" s="90" t="s">
        <v>539</v>
      </c>
      <c r="F2734" s="90" t="s">
        <v>8137</v>
      </c>
      <c r="G2734" t="s">
        <v>859</v>
      </c>
    </row>
    <row r="2735" spans="1:7" x14ac:dyDescent="0.25">
      <c r="A2735" s="114">
        <v>8111995020</v>
      </c>
      <c r="B2735" s="90" t="s">
        <v>8138</v>
      </c>
      <c r="C2735" s="90" t="s">
        <v>508</v>
      </c>
      <c r="D2735" s="90" t="s">
        <v>6595</v>
      </c>
      <c r="E2735" s="90" t="s">
        <v>539</v>
      </c>
      <c r="F2735" s="90" t="s">
        <v>8139</v>
      </c>
      <c r="G2735" t="s">
        <v>859</v>
      </c>
    </row>
    <row r="2736" spans="1:7" x14ac:dyDescent="0.25">
      <c r="A2736" s="114">
        <v>8111995040</v>
      </c>
      <c r="B2736" s="90" t="s">
        <v>7088</v>
      </c>
      <c r="C2736" s="90" t="s">
        <v>508</v>
      </c>
      <c r="D2736" s="90" t="s">
        <v>6595</v>
      </c>
      <c r="E2736" s="90" t="s">
        <v>539</v>
      </c>
      <c r="F2736" s="90" t="s">
        <v>8140</v>
      </c>
      <c r="G2736" t="s">
        <v>859</v>
      </c>
    </row>
    <row r="2737" spans="1:7" x14ac:dyDescent="0.25">
      <c r="A2737" s="114">
        <v>8111995050</v>
      </c>
      <c r="B2737" s="90" t="s">
        <v>8141</v>
      </c>
      <c r="C2737" s="90" t="s">
        <v>508</v>
      </c>
      <c r="D2737" s="90" t="s">
        <v>6595</v>
      </c>
      <c r="E2737" s="90" t="s">
        <v>539</v>
      </c>
      <c r="F2737" s="90" t="s">
        <v>8142</v>
      </c>
      <c r="G2737" t="s">
        <v>512</v>
      </c>
    </row>
    <row r="2738" spans="1:7" x14ac:dyDescent="0.25">
      <c r="A2738" s="114">
        <v>8111995070</v>
      </c>
      <c r="B2738" s="90" t="s">
        <v>7992</v>
      </c>
      <c r="C2738" s="90" t="s">
        <v>508</v>
      </c>
      <c r="D2738" s="90" t="s">
        <v>6595</v>
      </c>
      <c r="E2738" s="90" t="s">
        <v>539</v>
      </c>
      <c r="F2738" s="90" t="s">
        <v>8143</v>
      </c>
      <c r="G2738" t="s">
        <v>512</v>
      </c>
    </row>
    <row r="2739" spans="1:7" x14ac:dyDescent="0.25">
      <c r="A2739" s="114">
        <v>8111995080</v>
      </c>
      <c r="B2739" s="90" t="s">
        <v>8144</v>
      </c>
      <c r="C2739" s="90" t="s">
        <v>508</v>
      </c>
      <c r="D2739" s="90" t="s">
        <v>6595</v>
      </c>
      <c r="E2739" s="90" t="s">
        <v>539</v>
      </c>
      <c r="F2739" s="90" t="s">
        <v>8145</v>
      </c>
      <c r="G2739" t="s">
        <v>512</v>
      </c>
    </row>
    <row r="2740" spans="1:7" x14ac:dyDescent="0.25">
      <c r="A2740" s="114">
        <v>8111995100</v>
      </c>
      <c r="B2740" s="90" t="s">
        <v>6700</v>
      </c>
      <c r="C2740" s="90" t="s">
        <v>508</v>
      </c>
      <c r="D2740" s="90" t="s">
        <v>6595</v>
      </c>
      <c r="E2740" s="90" t="s">
        <v>539</v>
      </c>
      <c r="F2740" s="90" t="s">
        <v>8146</v>
      </c>
      <c r="G2740" t="s">
        <v>859</v>
      </c>
    </row>
    <row r="2741" spans="1:7" x14ac:dyDescent="0.25">
      <c r="A2741" s="114">
        <v>8111995110</v>
      </c>
      <c r="B2741" s="90" t="s">
        <v>8147</v>
      </c>
      <c r="C2741" s="90" t="s">
        <v>508</v>
      </c>
      <c r="D2741" s="90" t="s">
        <v>6595</v>
      </c>
      <c r="E2741" s="90" t="s">
        <v>539</v>
      </c>
      <c r="F2741" s="90" t="s">
        <v>8148</v>
      </c>
      <c r="G2741" t="s">
        <v>512</v>
      </c>
    </row>
    <row r="2742" spans="1:7" x14ac:dyDescent="0.25">
      <c r="A2742" s="114">
        <v>8111995150</v>
      </c>
      <c r="B2742" s="90" t="s">
        <v>6856</v>
      </c>
      <c r="C2742" s="90" t="s">
        <v>508</v>
      </c>
      <c r="D2742" s="90" t="s">
        <v>6595</v>
      </c>
      <c r="E2742" s="90" t="s">
        <v>539</v>
      </c>
      <c r="F2742" s="90" t="s">
        <v>8149</v>
      </c>
      <c r="G2742" t="s">
        <v>859</v>
      </c>
    </row>
    <row r="2743" spans="1:7" x14ac:dyDescent="0.25">
      <c r="A2743" s="114">
        <v>8111995170</v>
      </c>
      <c r="B2743" s="90" t="s">
        <v>8150</v>
      </c>
      <c r="C2743" s="90" t="s">
        <v>508</v>
      </c>
      <c r="D2743" s="90" t="s">
        <v>6595</v>
      </c>
      <c r="E2743" s="90" t="s">
        <v>539</v>
      </c>
      <c r="F2743" s="90" t="s">
        <v>8151</v>
      </c>
      <c r="G2743" t="s">
        <v>859</v>
      </c>
    </row>
    <row r="2744" spans="1:7" x14ac:dyDescent="0.25">
      <c r="A2744" s="114">
        <v>8111995210</v>
      </c>
      <c r="B2744" s="90" t="s">
        <v>8152</v>
      </c>
      <c r="C2744" s="90" t="s">
        <v>508</v>
      </c>
      <c r="D2744" s="90" t="s">
        <v>6595</v>
      </c>
      <c r="E2744" s="90" t="s">
        <v>539</v>
      </c>
      <c r="F2744" s="90" t="s">
        <v>8153</v>
      </c>
      <c r="G2744" t="s">
        <v>512</v>
      </c>
    </row>
    <row r="2745" spans="1:7" x14ac:dyDescent="0.25">
      <c r="A2745" s="114">
        <v>8111995220</v>
      </c>
      <c r="B2745" s="90" t="s">
        <v>8154</v>
      </c>
      <c r="C2745" s="90" t="s">
        <v>508</v>
      </c>
      <c r="D2745" s="90" t="s">
        <v>6595</v>
      </c>
      <c r="E2745" s="90" t="s">
        <v>539</v>
      </c>
      <c r="F2745" s="90" t="s">
        <v>8155</v>
      </c>
      <c r="G2745" t="s">
        <v>859</v>
      </c>
    </row>
    <row r="2746" spans="1:7" x14ac:dyDescent="0.25">
      <c r="A2746" s="114">
        <v>8111995240</v>
      </c>
      <c r="B2746" s="90" t="s">
        <v>8156</v>
      </c>
      <c r="C2746" s="90" t="s">
        <v>508</v>
      </c>
      <c r="D2746" s="90" t="s">
        <v>6595</v>
      </c>
      <c r="E2746" s="90" t="s">
        <v>539</v>
      </c>
      <c r="F2746" s="90" t="s">
        <v>8157</v>
      </c>
      <c r="G2746" t="s">
        <v>512</v>
      </c>
    </row>
    <row r="2747" spans="1:7" x14ac:dyDescent="0.25">
      <c r="A2747" s="114">
        <v>8111995260</v>
      </c>
      <c r="B2747" s="90" t="s">
        <v>8158</v>
      </c>
      <c r="C2747" s="90" t="s">
        <v>508</v>
      </c>
      <c r="D2747" s="90" t="s">
        <v>6595</v>
      </c>
      <c r="E2747" s="90" t="s">
        <v>539</v>
      </c>
      <c r="F2747" s="90" t="s">
        <v>8159</v>
      </c>
      <c r="G2747" t="s">
        <v>859</v>
      </c>
    </row>
    <row r="2748" spans="1:7" x14ac:dyDescent="0.25">
      <c r="A2748" s="114">
        <v>8111995270</v>
      </c>
      <c r="B2748" s="90" t="s">
        <v>8160</v>
      </c>
      <c r="C2748" s="90" t="s">
        <v>508</v>
      </c>
      <c r="D2748" s="90" t="s">
        <v>6595</v>
      </c>
      <c r="E2748" s="90" t="s">
        <v>539</v>
      </c>
      <c r="F2748" s="90" t="s">
        <v>8161</v>
      </c>
      <c r="G2748" t="s">
        <v>512</v>
      </c>
    </row>
    <row r="2749" spans="1:7" x14ac:dyDescent="0.25">
      <c r="A2749" s="114">
        <v>8111995280</v>
      </c>
      <c r="B2749" s="90" t="s">
        <v>8162</v>
      </c>
      <c r="C2749" s="90" t="s">
        <v>508</v>
      </c>
      <c r="D2749" s="90" t="s">
        <v>6595</v>
      </c>
      <c r="E2749" s="90" t="s">
        <v>539</v>
      </c>
      <c r="F2749" s="90" t="s">
        <v>8163</v>
      </c>
      <c r="G2749" t="s">
        <v>512</v>
      </c>
    </row>
    <row r="2750" spans="1:7" x14ac:dyDescent="0.25">
      <c r="A2750" s="114">
        <v>8111995290</v>
      </c>
      <c r="B2750" s="90" t="s">
        <v>8164</v>
      </c>
      <c r="C2750" s="90" t="s">
        <v>508</v>
      </c>
      <c r="D2750" s="90" t="s">
        <v>6595</v>
      </c>
      <c r="E2750" s="90" t="s">
        <v>539</v>
      </c>
      <c r="F2750" s="90" t="s">
        <v>8165</v>
      </c>
      <c r="G2750" t="s">
        <v>859</v>
      </c>
    </row>
    <row r="2751" spans="1:7" x14ac:dyDescent="0.25">
      <c r="A2751" s="114">
        <v>8111995300</v>
      </c>
      <c r="B2751" s="90" t="s">
        <v>8166</v>
      </c>
      <c r="C2751" s="90" t="s">
        <v>508</v>
      </c>
      <c r="D2751" s="90" t="s">
        <v>6595</v>
      </c>
      <c r="E2751" s="90" t="s">
        <v>539</v>
      </c>
      <c r="F2751" s="90" t="s">
        <v>8167</v>
      </c>
      <c r="G2751" t="s">
        <v>859</v>
      </c>
    </row>
    <row r="2752" spans="1:7" x14ac:dyDescent="0.25">
      <c r="A2752" s="114">
        <v>8111995330</v>
      </c>
      <c r="B2752" s="90" t="s">
        <v>761</v>
      </c>
      <c r="C2752" s="90" t="s">
        <v>508</v>
      </c>
      <c r="D2752" s="90" t="s">
        <v>6595</v>
      </c>
      <c r="E2752" s="90" t="s">
        <v>539</v>
      </c>
      <c r="F2752" s="90" t="s">
        <v>8168</v>
      </c>
      <c r="G2752" t="s">
        <v>512</v>
      </c>
    </row>
    <row r="2753" spans="1:7" x14ac:dyDescent="0.25">
      <c r="A2753" s="114">
        <v>8111995340</v>
      </c>
      <c r="B2753" s="90" t="s">
        <v>8169</v>
      </c>
      <c r="C2753" s="90" t="s">
        <v>508</v>
      </c>
      <c r="D2753" s="90" t="s">
        <v>6595</v>
      </c>
      <c r="E2753" s="90" t="s">
        <v>539</v>
      </c>
      <c r="F2753" s="90" t="s">
        <v>8170</v>
      </c>
      <c r="G2753" t="s">
        <v>859</v>
      </c>
    </row>
    <row r="2754" spans="1:7" x14ac:dyDescent="0.25">
      <c r="A2754" s="114">
        <v>8111995360</v>
      </c>
      <c r="B2754" s="90" t="s">
        <v>8171</v>
      </c>
      <c r="C2754" s="90" t="s">
        <v>508</v>
      </c>
      <c r="D2754" s="90" t="s">
        <v>6595</v>
      </c>
      <c r="E2754" s="90" t="s">
        <v>539</v>
      </c>
      <c r="F2754" s="90" t="s">
        <v>8172</v>
      </c>
      <c r="G2754" t="s">
        <v>859</v>
      </c>
    </row>
    <row r="2755" spans="1:7" x14ac:dyDescent="0.25">
      <c r="A2755" s="114">
        <v>8111995380</v>
      </c>
      <c r="B2755" s="90" t="s">
        <v>8173</v>
      </c>
      <c r="C2755" s="90" t="s">
        <v>508</v>
      </c>
      <c r="D2755" s="90" t="s">
        <v>512</v>
      </c>
      <c r="E2755" s="90" t="s">
        <v>551</v>
      </c>
      <c r="F2755" s="90" t="s">
        <v>8174</v>
      </c>
      <c r="G2755" t="s">
        <v>859</v>
      </c>
    </row>
    <row r="2756" spans="1:7" x14ac:dyDescent="0.25">
      <c r="A2756" s="114">
        <v>8111995400</v>
      </c>
      <c r="B2756" s="90" t="s">
        <v>8175</v>
      </c>
      <c r="C2756" s="90" t="s">
        <v>508</v>
      </c>
      <c r="D2756" s="90" t="s">
        <v>6595</v>
      </c>
      <c r="E2756" s="90" t="s">
        <v>539</v>
      </c>
      <c r="F2756" s="90" t="s">
        <v>8176</v>
      </c>
      <c r="G2756" t="s">
        <v>512</v>
      </c>
    </row>
    <row r="2757" spans="1:7" x14ac:dyDescent="0.25">
      <c r="A2757" s="114">
        <v>8111995420</v>
      </c>
      <c r="B2757" s="90" t="s">
        <v>8177</v>
      </c>
      <c r="C2757" s="90" t="s">
        <v>508</v>
      </c>
      <c r="D2757" s="90" t="s">
        <v>6595</v>
      </c>
      <c r="E2757" s="90" t="s">
        <v>539</v>
      </c>
      <c r="F2757" s="90" t="s">
        <v>8178</v>
      </c>
      <c r="G2757" t="s">
        <v>859</v>
      </c>
    </row>
    <row r="2758" spans="1:7" x14ac:dyDescent="0.25">
      <c r="A2758" s="114">
        <v>8111995440</v>
      </c>
      <c r="B2758" s="90" t="s">
        <v>7898</v>
      </c>
      <c r="C2758" s="90" t="s">
        <v>508</v>
      </c>
      <c r="D2758" s="90" t="s">
        <v>6595</v>
      </c>
      <c r="E2758" s="90" t="s">
        <v>539</v>
      </c>
      <c r="F2758" s="90" t="s">
        <v>8179</v>
      </c>
      <c r="G2758" t="s">
        <v>512</v>
      </c>
    </row>
    <row r="2759" spans="1:7" x14ac:dyDescent="0.25">
      <c r="A2759" s="114">
        <v>8111995450</v>
      </c>
      <c r="B2759" s="90" t="s">
        <v>8180</v>
      </c>
      <c r="C2759" s="90" t="s">
        <v>508</v>
      </c>
      <c r="D2759" s="90" t="s">
        <v>6595</v>
      </c>
      <c r="E2759" s="90" t="s">
        <v>539</v>
      </c>
      <c r="F2759" s="90" t="s">
        <v>8181</v>
      </c>
      <c r="G2759" t="s">
        <v>859</v>
      </c>
    </row>
    <row r="2760" spans="1:7" x14ac:dyDescent="0.25">
      <c r="A2760" s="114">
        <v>8111995470</v>
      </c>
      <c r="B2760" s="90" t="s">
        <v>8182</v>
      </c>
      <c r="C2760" s="90" t="s">
        <v>508</v>
      </c>
      <c r="D2760" s="90" t="s">
        <v>6595</v>
      </c>
      <c r="E2760" s="90" t="s">
        <v>539</v>
      </c>
      <c r="F2760" s="90" t="s">
        <v>8183</v>
      </c>
      <c r="G2760" t="s">
        <v>859</v>
      </c>
    </row>
    <row r="2761" spans="1:7" x14ac:dyDescent="0.25">
      <c r="A2761" s="114">
        <v>8111995500</v>
      </c>
      <c r="B2761" s="90" t="s">
        <v>8184</v>
      </c>
      <c r="C2761" s="90" t="s">
        <v>508</v>
      </c>
      <c r="D2761" s="90" t="s">
        <v>6595</v>
      </c>
      <c r="E2761" s="90" t="s">
        <v>539</v>
      </c>
      <c r="F2761" s="90" t="s">
        <v>8185</v>
      </c>
      <c r="G2761" t="s">
        <v>859</v>
      </c>
    </row>
    <row r="2762" spans="1:7" x14ac:dyDescent="0.25">
      <c r="A2762" s="114">
        <v>8111995510</v>
      </c>
      <c r="B2762" s="90" t="s">
        <v>8186</v>
      </c>
      <c r="C2762" s="90" t="s">
        <v>508</v>
      </c>
      <c r="D2762" s="90" t="s">
        <v>6595</v>
      </c>
      <c r="E2762" s="90" t="s">
        <v>539</v>
      </c>
      <c r="F2762" s="90" t="s">
        <v>8187</v>
      </c>
      <c r="G2762" t="s">
        <v>512</v>
      </c>
    </row>
    <row r="2763" spans="1:7" x14ac:dyDescent="0.25">
      <c r="A2763" s="114">
        <v>8111995540</v>
      </c>
      <c r="B2763" s="90" t="s">
        <v>8188</v>
      </c>
      <c r="C2763" s="90" t="s">
        <v>508</v>
      </c>
      <c r="D2763" s="90" t="s">
        <v>6595</v>
      </c>
      <c r="E2763" s="90" t="s">
        <v>539</v>
      </c>
      <c r="F2763" s="90" t="s">
        <v>8189</v>
      </c>
      <c r="G2763" t="s">
        <v>512</v>
      </c>
    </row>
    <row r="2764" spans="1:7" x14ac:dyDescent="0.25">
      <c r="A2764" s="114">
        <v>8111995560</v>
      </c>
      <c r="B2764" s="90" t="s">
        <v>8190</v>
      </c>
      <c r="C2764" s="90" t="s">
        <v>508</v>
      </c>
      <c r="D2764" s="90" t="s">
        <v>6595</v>
      </c>
      <c r="E2764" s="90" t="s">
        <v>539</v>
      </c>
      <c r="F2764" s="90" t="s">
        <v>8191</v>
      </c>
      <c r="G2764" t="s">
        <v>859</v>
      </c>
    </row>
    <row r="2765" spans="1:7" x14ac:dyDescent="0.25">
      <c r="A2765" s="114">
        <v>8111995570</v>
      </c>
      <c r="B2765" s="90" t="s">
        <v>8192</v>
      </c>
      <c r="C2765" s="90" t="s">
        <v>508</v>
      </c>
      <c r="D2765" s="90" t="s">
        <v>6595</v>
      </c>
      <c r="E2765" s="90" t="s">
        <v>539</v>
      </c>
      <c r="F2765" s="90" t="s">
        <v>8193</v>
      </c>
      <c r="G2765" t="s">
        <v>859</v>
      </c>
    </row>
    <row r="2766" spans="1:7" x14ac:dyDescent="0.25">
      <c r="A2766" s="114">
        <v>8111995580</v>
      </c>
      <c r="B2766" s="90" t="s">
        <v>8194</v>
      </c>
      <c r="C2766" s="90" t="s">
        <v>508</v>
      </c>
      <c r="D2766" s="90" t="s">
        <v>6595</v>
      </c>
      <c r="E2766" s="90" t="s">
        <v>539</v>
      </c>
      <c r="F2766" s="90" t="s">
        <v>8195</v>
      </c>
      <c r="G2766" t="s">
        <v>512</v>
      </c>
    </row>
    <row r="2767" spans="1:7" x14ac:dyDescent="0.25">
      <c r="A2767" s="114">
        <v>8111995590</v>
      </c>
      <c r="B2767" s="90" t="s">
        <v>8196</v>
      </c>
      <c r="C2767" s="90" t="s">
        <v>508</v>
      </c>
      <c r="D2767" s="90" t="s">
        <v>6595</v>
      </c>
      <c r="E2767" s="90" t="s">
        <v>539</v>
      </c>
      <c r="F2767" s="90" t="s">
        <v>8197</v>
      </c>
      <c r="G2767" t="s">
        <v>859</v>
      </c>
    </row>
    <row r="2768" spans="1:7" x14ac:dyDescent="0.25">
      <c r="A2768" s="114">
        <v>8112210130</v>
      </c>
      <c r="B2768" s="90" t="s">
        <v>8198</v>
      </c>
      <c r="C2768" s="90" t="s">
        <v>508</v>
      </c>
      <c r="D2768" s="90" t="s">
        <v>6595</v>
      </c>
      <c r="E2768" s="90" t="s">
        <v>539</v>
      </c>
      <c r="F2768" s="90" t="s">
        <v>8199</v>
      </c>
      <c r="G2768" t="s">
        <v>512</v>
      </c>
    </row>
    <row r="2769" spans="1:7" x14ac:dyDescent="0.25">
      <c r="A2769" s="114">
        <v>8112210240</v>
      </c>
      <c r="B2769" s="90" t="s">
        <v>8200</v>
      </c>
      <c r="C2769" s="90" t="s">
        <v>508</v>
      </c>
      <c r="D2769" s="90" t="s">
        <v>6595</v>
      </c>
      <c r="E2769" s="90" t="s">
        <v>4884</v>
      </c>
      <c r="F2769" s="90" t="s">
        <v>8201</v>
      </c>
      <c r="G2769" t="s">
        <v>512</v>
      </c>
    </row>
    <row r="2770" spans="1:7" x14ac:dyDescent="0.25">
      <c r="A2770" s="114">
        <v>8112211000</v>
      </c>
      <c r="B2770" s="90" t="s">
        <v>8202</v>
      </c>
      <c r="C2770" s="90" t="s">
        <v>508</v>
      </c>
      <c r="D2770" s="90" t="s">
        <v>6595</v>
      </c>
      <c r="E2770" s="90" t="s">
        <v>4884</v>
      </c>
      <c r="F2770" s="90" t="s">
        <v>8203</v>
      </c>
      <c r="G2770" t="s">
        <v>512</v>
      </c>
    </row>
    <row r="2771" spans="1:7" x14ac:dyDescent="0.25">
      <c r="A2771" s="114">
        <v>8112211010</v>
      </c>
      <c r="B2771" s="90" t="s">
        <v>8204</v>
      </c>
      <c r="C2771" s="90" t="s">
        <v>508</v>
      </c>
      <c r="D2771" s="90" t="s">
        <v>6595</v>
      </c>
      <c r="E2771" s="90" t="s">
        <v>4884</v>
      </c>
      <c r="F2771" s="90" t="s">
        <v>8205</v>
      </c>
      <c r="G2771" t="s">
        <v>512</v>
      </c>
    </row>
    <row r="2772" spans="1:7" x14ac:dyDescent="0.25">
      <c r="A2772" s="114">
        <v>8112211020</v>
      </c>
      <c r="B2772" s="90" t="s">
        <v>8206</v>
      </c>
      <c r="C2772" s="90" t="s">
        <v>508</v>
      </c>
      <c r="D2772" s="90" t="s">
        <v>6595</v>
      </c>
      <c r="E2772" s="90" t="s">
        <v>4884</v>
      </c>
      <c r="F2772" s="90" t="s">
        <v>8207</v>
      </c>
      <c r="G2772" t="s">
        <v>512</v>
      </c>
    </row>
    <row r="2773" spans="1:7" x14ac:dyDescent="0.25">
      <c r="A2773" s="114">
        <v>8112211030</v>
      </c>
      <c r="B2773" s="90" t="s">
        <v>8208</v>
      </c>
      <c r="C2773" s="90" t="s">
        <v>508</v>
      </c>
      <c r="D2773" s="90" t="s">
        <v>6595</v>
      </c>
      <c r="E2773" s="90" t="s">
        <v>539</v>
      </c>
      <c r="F2773" s="90" t="s">
        <v>8209</v>
      </c>
      <c r="G2773" t="s">
        <v>512</v>
      </c>
    </row>
    <row r="2774" spans="1:7" x14ac:dyDescent="0.25">
      <c r="A2774" s="114">
        <v>8112211040</v>
      </c>
      <c r="B2774" s="90" t="s">
        <v>565</v>
      </c>
      <c r="C2774" s="90" t="s">
        <v>508</v>
      </c>
      <c r="D2774" s="90" t="s">
        <v>6595</v>
      </c>
      <c r="E2774" s="90" t="s">
        <v>4884</v>
      </c>
      <c r="F2774" s="90" t="s">
        <v>8210</v>
      </c>
      <c r="G2774" t="s">
        <v>512</v>
      </c>
    </row>
    <row r="2775" spans="1:7" x14ac:dyDescent="0.25">
      <c r="A2775" s="114">
        <v>8112211060</v>
      </c>
      <c r="B2775" s="90" t="s">
        <v>8211</v>
      </c>
      <c r="C2775" s="90" t="s">
        <v>508</v>
      </c>
      <c r="D2775" s="90" t="s">
        <v>6595</v>
      </c>
      <c r="E2775" s="90" t="s">
        <v>4884</v>
      </c>
      <c r="F2775" s="90" t="s">
        <v>8212</v>
      </c>
      <c r="G2775" t="s">
        <v>512</v>
      </c>
    </row>
    <row r="2776" spans="1:7" x14ac:dyDescent="0.25">
      <c r="A2776" s="114">
        <v>8112211070</v>
      </c>
      <c r="B2776" s="90" t="s">
        <v>6619</v>
      </c>
      <c r="C2776" s="90" t="s">
        <v>508</v>
      </c>
      <c r="D2776" s="90" t="s">
        <v>6595</v>
      </c>
      <c r="E2776" s="90" t="s">
        <v>4884</v>
      </c>
      <c r="F2776" s="90" t="s">
        <v>8213</v>
      </c>
      <c r="G2776" t="s">
        <v>512</v>
      </c>
    </row>
    <row r="2777" spans="1:7" x14ac:dyDescent="0.25">
      <c r="A2777" s="114">
        <v>8112211080</v>
      </c>
      <c r="B2777" s="90" t="s">
        <v>8214</v>
      </c>
      <c r="C2777" s="90" t="s">
        <v>508</v>
      </c>
      <c r="D2777" s="90" t="s">
        <v>6595</v>
      </c>
      <c r="E2777" s="90" t="s">
        <v>4884</v>
      </c>
      <c r="F2777" s="90" t="s">
        <v>8215</v>
      </c>
      <c r="G2777" t="s">
        <v>512</v>
      </c>
    </row>
    <row r="2778" spans="1:7" x14ac:dyDescent="0.25">
      <c r="A2778" s="114">
        <v>8112211090</v>
      </c>
      <c r="B2778" s="90" t="s">
        <v>8216</v>
      </c>
      <c r="C2778" s="90" t="s">
        <v>508</v>
      </c>
      <c r="D2778" s="90" t="s">
        <v>6595</v>
      </c>
      <c r="E2778" s="90" t="s">
        <v>4884</v>
      </c>
      <c r="F2778" s="90" t="s">
        <v>8217</v>
      </c>
      <c r="G2778" t="s">
        <v>512</v>
      </c>
    </row>
    <row r="2779" spans="1:7" x14ac:dyDescent="0.25">
      <c r="A2779" s="114">
        <v>8112211100</v>
      </c>
      <c r="B2779" s="90" t="s">
        <v>8218</v>
      </c>
      <c r="C2779" s="90" t="s">
        <v>508</v>
      </c>
      <c r="D2779" s="90" t="s">
        <v>6595</v>
      </c>
      <c r="E2779" s="90" t="s">
        <v>8219</v>
      </c>
      <c r="F2779" s="90" t="s">
        <v>8220</v>
      </c>
      <c r="G2779" t="s">
        <v>512</v>
      </c>
    </row>
    <row r="2780" spans="1:7" x14ac:dyDescent="0.25">
      <c r="A2780" s="114">
        <v>8112211110</v>
      </c>
      <c r="B2780" s="90" t="s">
        <v>7548</v>
      </c>
      <c r="C2780" s="90" t="s">
        <v>508</v>
      </c>
      <c r="D2780" s="90" t="s">
        <v>6595</v>
      </c>
      <c r="E2780" s="90" t="s">
        <v>4884</v>
      </c>
      <c r="F2780" s="90" t="s">
        <v>8221</v>
      </c>
      <c r="G2780" t="s">
        <v>512</v>
      </c>
    </row>
    <row r="2781" spans="1:7" x14ac:dyDescent="0.25">
      <c r="A2781" s="114">
        <v>8112211130</v>
      </c>
      <c r="B2781" s="90" t="s">
        <v>8222</v>
      </c>
      <c r="C2781" s="90" t="s">
        <v>508</v>
      </c>
      <c r="D2781" s="90" t="s">
        <v>6595</v>
      </c>
      <c r="E2781" s="90" t="s">
        <v>4884</v>
      </c>
      <c r="F2781" s="90" t="s">
        <v>8223</v>
      </c>
      <c r="G2781" t="s">
        <v>512</v>
      </c>
    </row>
    <row r="2782" spans="1:7" x14ac:dyDescent="0.25">
      <c r="A2782" s="114">
        <v>8112211150</v>
      </c>
      <c r="B2782" s="90" t="s">
        <v>8224</v>
      </c>
      <c r="C2782" s="90" t="s">
        <v>508</v>
      </c>
      <c r="D2782" s="90" t="s">
        <v>6595</v>
      </c>
      <c r="E2782" s="90" t="s">
        <v>4884</v>
      </c>
      <c r="F2782" s="90" t="s">
        <v>8225</v>
      </c>
      <c r="G2782" t="s">
        <v>512</v>
      </c>
    </row>
    <row r="2783" spans="1:7" x14ac:dyDescent="0.25">
      <c r="A2783" s="114">
        <v>8112211160</v>
      </c>
      <c r="B2783" s="90" t="s">
        <v>8226</v>
      </c>
      <c r="C2783" s="90" t="s">
        <v>508</v>
      </c>
      <c r="D2783" s="90" t="s">
        <v>6595</v>
      </c>
      <c r="E2783" s="90" t="s">
        <v>4884</v>
      </c>
      <c r="F2783" s="90" t="s">
        <v>8227</v>
      </c>
      <c r="G2783" t="s">
        <v>512</v>
      </c>
    </row>
    <row r="2784" spans="1:7" x14ac:dyDescent="0.25">
      <c r="A2784" s="114">
        <v>8112211170</v>
      </c>
      <c r="B2784" s="90" t="s">
        <v>4570</v>
      </c>
      <c r="C2784" s="90" t="s">
        <v>508</v>
      </c>
      <c r="D2784" s="90" t="s">
        <v>6595</v>
      </c>
      <c r="E2784" s="90" t="s">
        <v>4884</v>
      </c>
      <c r="F2784" s="90" t="s">
        <v>8228</v>
      </c>
      <c r="G2784" t="s">
        <v>512</v>
      </c>
    </row>
    <row r="2785" spans="1:7" x14ac:dyDescent="0.25">
      <c r="A2785" s="114">
        <v>8112211190</v>
      </c>
      <c r="B2785" s="90" t="s">
        <v>8229</v>
      </c>
      <c r="C2785" s="90" t="s">
        <v>508</v>
      </c>
      <c r="D2785" s="90" t="s">
        <v>6595</v>
      </c>
      <c r="E2785" s="90" t="s">
        <v>4884</v>
      </c>
      <c r="F2785" s="90" t="s">
        <v>8230</v>
      </c>
      <c r="G2785" t="s">
        <v>512</v>
      </c>
    </row>
    <row r="2786" spans="1:7" x14ac:dyDescent="0.25">
      <c r="A2786" s="114">
        <v>8112211200</v>
      </c>
      <c r="B2786" s="90" t="s">
        <v>8231</v>
      </c>
      <c r="C2786" s="90" t="s">
        <v>508</v>
      </c>
      <c r="D2786" s="90" t="s">
        <v>6595</v>
      </c>
      <c r="E2786" s="90" t="s">
        <v>8232</v>
      </c>
      <c r="F2786" s="90" t="s">
        <v>8233</v>
      </c>
      <c r="G2786" t="s">
        <v>512</v>
      </c>
    </row>
    <row r="2787" spans="1:7" x14ac:dyDescent="0.25">
      <c r="A2787" s="114">
        <v>8112211230</v>
      </c>
      <c r="B2787" s="90" t="s">
        <v>8234</v>
      </c>
      <c r="C2787" s="90" t="s">
        <v>508</v>
      </c>
      <c r="D2787" s="90" t="s">
        <v>6595</v>
      </c>
      <c r="E2787" s="90" t="s">
        <v>4884</v>
      </c>
      <c r="F2787" s="90" t="s">
        <v>8235</v>
      </c>
      <c r="G2787" t="s">
        <v>512</v>
      </c>
    </row>
    <row r="2788" spans="1:7" x14ac:dyDescent="0.25">
      <c r="A2788" s="114">
        <v>8112211250</v>
      </c>
      <c r="B2788" s="90" t="s">
        <v>8236</v>
      </c>
      <c r="C2788" s="90" t="s">
        <v>508</v>
      </c>
      <c r="D2788" s="90" t="s">
        <v>6595</v>
      </c>
      <c r="E2788" s="90" t="s">
        <v>4884</v>
      </c>
      <c r="F2788" s="90" t="s">
        <v>8237</v>
      </c>
      <c r="G2788" t="s">
        <v>512</v>
      </c>
    </row>
    <row r="2789" spans="1:7" x14ac:dyDescent="0.25">
      <c r="A2789" s="114">
        <v>8112211260</v>
      </c>
      <c r="B2789" s="90" t="s">
        <v>8238</v>
      </c>
      <c r="C2789" s="90" t="s">
        <v>508</v>
      </c>
      <c r="D2789" s="90" t="s">
        <v>6595</v>
      </c>
      <c r="E2789" s="90" t="s">
        <v>4884</v>
      </c>
      <c r="F2789" s="90" t="s">
        <v>8239</v>
      </c>
      <c r="G2789" t="s">
        <v>512</v>
      </c>
    </row>
    <row r="2790" spans="1:7" x14ac:dyDescent="0.25">
      <c r="A2790" s="114">
        <v>8112211270</v>
      </c>
      <c r="B2790" s="90" t="s">
        <v>8240</v>
      </c>
      <c r="C2790" s="90" t="s">
        <v>508</v>
      </c>
      <c r="D2790" s="90" t="s">
        <v>6595</v>
      </c>
      <c r="E2790" s="90" t="s">
        <v>4884</v>
      </c>
      <c r="F2790" s="90" t="s">
        <v>8241</v>
      </c>
      <c r="G2790" t="s">
        <v>512</v>
      </c>
    </row>
    <row r="2791" spans="1:7" x14ac:dyDescent="0.25">
      <c r="A2791" s="114">
        <v>8112211300</v>
      </c>
      <c r="B2791" s="90" t="s">
        <v>8242</v>
      </c>
      <c r="C2791" s="90" t="s">
        <v>508</v>
      </c>
      <c r="D2791" s="90" t="s">
        <v>6595</v>
      </c>
      <c r="E2791" s="90" t="s">
        <v>4884</v>
      </c>
      <c r="F2791" s="90" t="s">
        <v>8243</v>
      </c>
      <c r="G2791" t="s">
        <v>512</v>
      </c>
    </row>
    <row r="2792" spans="1:7" x14ac:dyDescent="0.25">
      <c r="A2792" s="114">
        <v>8112211310</v>
      </c>
      <c r="B2792" s="90" t="s">
        <v>8244</v>
      </c>
      <c r="C2792" s="90" t="s">
        <v>508</v>
      </c>
      <c r="D2792" s="90" t="s">
        <v>6595</v>
      </c>
      <c r="E2792" s="90" t="s">
        <v>4884</v>
      </c>
      <c r="F2792" s="90" t="s">
        <v>8245</v>
      </c>
      <c r="G2792" t="s">
        <v>512</v>
      </c>
    </row>
    <row r="2793" spans="1:7" x14ac:dyDescent="0.25">
      <c r="A2793" s="114">
        <v>8112211320</v>
      </c>
      <c r="B2793" s="90" t="s">
        <v>8246</v>
      </c>
      <c r="C2793" s="90" t="s">
        <v>508</v>
      </c>
      <c r="D2793" s="90" t="s">
        <v>6595</v>
      </c>
      <c r="E2793" s="90" t="s">
        <v>4884</v>
      </c>
      <c r="F2793" s="90" t="s">
        <v>8247</v>
      </c>
      <c r="G2793" t="s">
        <v>512</v>
      </c>
    </row>
    <row r="2794" spans="1:7" x14ac:dyDescent="0.25">
      <c r="A2794" s="114">
        <v>8112211330</v>
      </c>
      <c r="B2794" s="90" t="s">
        <v>8248</v>
      </c>
      <c r="C2794" s="90" t="s">
        <v>508</v>
      </c>
      <c r="D2794" s="90" t="s">
        <v>6595</v>
      </c>
      <c r="E2794" s="90" t="s">
        <v>4884</v>
      </c>
      <c r="F2794" s="90" t="s">
        <v>8249</v>
      </c>
      <c r="G2794" t="s">
        <v>512</v>
      </c>
    </row>
    <row r="2795" spans="1:7" x14ac:dyDescent="0.25">
      <c r="A2795" s="114">
        <v>8112211340</v>
      </c>
      <c r="B2795" s="90" t="s">
        <v>8250</v>
      </c>
      <c r="C2795" s="90" t="s">
        <v>508</v>
      </c>
      <c r="D2795" s="90" t="s">
        <v>6595</v>
      </c>
      <c r="E2795" s="90" t="s">
        <v>4884</v>
      </c>
      <c r="F2795" s="90" t="s">
        <v>8251</v>
      </c>
      <c r="G2795" t="s">
        <v>512</v>
      </c>
    </row>
    <row r="2796" spans="1:7" x14ac:dyDescent="0.25">
      <c r="A2796" s="114">
        <v>8112211350</v>
      </c>
      <c r="B2796" s="90" t="s">
        <v>8252</v>
      </c>
      <c r="C2796" s="90" t="s">
        <v>508</v>
      </c>
      <c r="D2796" s="90" t="s">
        <v>6595</v>
      </c>
      <c r="E2796" s="90" t="s">
        <v>4884</v>
      </c>
      <c r="F2796" s="90" t="s">
        <v>8253</v>
      </c>
      <c r="G2796" t="s">
        <v>512</v>
      </c>
    </row>
    <row r="2797" spans="1:7" x14ac:dyDescent="0.25">
      <c r="A2797" s="114">
        <v>8112211660</v>
      </c>
      <c r="B2797" s="90" t="s">
        <v>8254</v>
      </c>
      <c r="C2797" s="90" t="s">
        <v>508</v>
      </c>
      <c r="D2797" s="90" t="s">
        <v>6595</v>
      </c>
      <c r="E2797" s="90" t="s">
        <v>4884</v>
      </c>
      <c r="F2797" s="90" t="s">
        <v>8255</v>
      </c>
      <c r="G2797" t="s">
        <v>512</v>
      </c>
    </row>
    <row r="2798" spans="1:7" x14ac:dyDescent="0.25">
      <c r="A2798" s="114">
        <v>8112212010</v>
      </c>
      <c r="B2798" s="90" t="s">
        <v>8104</v>
      </c>
      <c r="C2798" s="90" t="s">
        <v>508</v>
      </c>
      <c r="D2798" s="90" t="s">
        <v>6595</v>
      </c>
      <c r="E2798" s="90" t="s">
        <v>4884</v>
      </c>
      <c r="F2798" s="90" t="s">
        <v>8256</v>
      </c>
      <c r="G2798" t="s">
        <v>512</v>
      </c>
    </row>
    <row r="2799" spans="1:7" x14ac:dyDescent="0.25">
      <c r="A2799" s="114">
        <v>8112212020</v>
      </c>
      <c r="B2799" s="90" t="s">
        <v>8257</v>
      </c>
      <c r="C2799" s="90" t="s">
        <v>508</v>
      </c>
      <c r="D2799" s="90" t="s">
        <v>6595</v>
      </c>
      <c r="E2799" s="90" t="s">
        <v>4884</v>
      </c>
      <c r="F2799" s="90" t="s">
        <v>8258</v>
      </c>
      <c r="G2799" t="s">
        <v>512</v>
      </c>
    </row>
    <row r="2800" spans="1:7" x14ac:dyDescent="0.25">
      <c r="A2800" s="114">
        <v>8112212040</v>
      </c>
      <c r="B2800" s="90" t="s">
        <v>8259</v>
      </c>
      <c r="C2800" s="90" t="s">
        <v>508</v>
      </c>
      <c r="D2800" s="90" t="s">
        <v>6595</v>
      </c>
      <c r="E2800" s="90" t="s">
        <v>4884</v>
      </c>
      <c r="F2800" s="90" t="s">
        <v>8260</v>
      </c>
      <c r="G2800" t="s">
        <v>512</v>
      </c>
    </row>
    <row r="2801" spans="1:7" x14ac:dyDescent="0.25">
      <c r="A2801" s="114">
        <v>8112212070</v>
      </c>
      <c r="B2801" s="90" t="s">
        <v>4501</v>
      </c>
      <c r="C2801" s="90" t="s">
        <v>508</v>
      </c>
      <c r="D2801" s="90" t="s">
        <v>6595</v>
      </c>
      <c r="E2801" s="90" t="s">
        <v>4884</v>
      </c>
      <c r="F2801" s="90" t="s">
        <v>8261</v>
      </c>
      <c r="G2801" t="s">
        <v>512</v>
      </c>
    </row>
    <row r="2802" spans="1:7" x14ac:dyDescent="0.25">
      <c r="A2802" s="114">
        <v>8112212090</v>
      </c>
      <c r="B2802" s="90" t="s">
        <v>8262</v>
      </c>
      <c r="C2802" s="90" t="s">
        <v>508</v>
      </c>
      <c r="D2802" s="90" t="s">
        <v>6595</v>
      </c>
      <c r="E2802" s="90" t="s">
        <v>4884</v>
      </c>
      <c r="F2802" s="90" t="s">
        <v>8263</v>
      </c>
      <c r="G2802" t="s">
        <v>512</v>
      </c>
    </row>
    <row r="2803" spans="1:7" x14ac:dyDescent="0.25">
      <c r="A2803" s="114">
        <v>8112212110</v>
      </c>
      <c r="B2803" s="90" t="s">
        <v>8264</v>
      </c>
      <c r="C2803" s="90" t="s">
        <v>508</v>
      </c>
      <c r="D2803" s="90" t="s">
        <v>6595</v>
      </c>
      <c r="E2803" s="90" t="s">
        <v>4884</v>
      </c>
      <c r="F2803" s="90" t="s">
        <v>8265</v>
      </c>
      <c r="G2803" t="s">
        <v>512</v>
      </c>
    </row>
    <row r="2804" spans="1:7" x14ac:dyDescent="0.25">
      <c r="A2804" s="114">
        <v>8112212130</v>
      </c>
      <c r="B2804" s="90" t="s">
        <v>8266</v>
      </c>
      <c r="C2804" s="90" t="s">
        <v>508</v>
      </c>
      <c r="D2804" s="90" t="s">
        <v>6595</v>
      </c>
      <c r="E2804" s="90" t="s">
        <v>4884</v>
      </c>
      <c r="F2804" s="90" t="s">
        <v>8267</v>
      </c>
      <c r="G2804" t="s">
        <v>512</v>
      </c>
    </row>
    <row r="2805" spans="1:7" x14ac:dyDescent="0.25">
      <c r="A2805" s="114">
        <v>8112212140</v>
      </c>
      <c r="B2805" s="90" t="s">
        <v>4433</v>
      </c>
      <c r="C2805" s="90" t="s">
        <v>508</v>
      </c>
      <c r="D2805" s="90" t="s">
        <v>6595</v>
      </c>
      <c r="E2805" s="90" t="s">
        <v>4884</v>
      </c>
      <c r="F2805" s="90" t="s">
        <v>8268</v>
      </c>
      <c r="G2805" t="s">
        <v>512</v>
      </c>
    </row>
    <row r="2806" spans="1:7" x14ac:dyDescent="0.25">
      <c r="A2806" s="114">
        <v>8112212160</v>
      </c>
      <c r="B2806" s="90" t="s">
        <v>8269</v>
      </c>
      <c r="C2806" s="90" t="s">
        <v>508</v>
      </c>
      <c r="D2806" s="90" t="s">
        <v>6595</v>
      </c>
      <c r="E2806" s="90" t="s">
        <v>4884</v>
      </c>
      <c r="F2806" s="90" t="s">
        <v>8270</v>
      </c>
      <c r="G2806" t="s">
        <v>512</v>
      </c>
    </row>
    <row r="2807" spans="1:7" x14ac:dyDescent="0.25">
      <c r="A2807" s="114">
        <v>8112212170</v>
      </c>
      <c r="B2807" s="90" t="s">
        <v>7925</v>
      </c>
      <c r="C2807" s="90" t="s">
        <v>508</v>
      </c>
      <c r="D2807" s="90" t="s">
        <v>6595</v>
      </c>
      <c r="E2807" s="90" t="s">
        <v>4884</v>
      </c>
      <c r="F2807" s="90" t="s">
        <v>8271</v>
      </c>
      <c r="G2807" t="s">
        <v>512</v>
      </c>
    </row>
    <row r="2808" spans="1:7" x14ac:dyDescent="0.25">
      <c r="A2808" s="114">
        <v>8112212180</v>
      </c>
      <c r="B2808" s="90" t="s">
        <v>8272</v>
      </c>
      <c r="C2808" s="90" t="s">
        <v>508</v>
      </c>
      <c r="D2808" s="90" t="s">
        <v>6595</v>
      </c>
      <c r="E2808" s="90" t="s">
        <v>4884</v>
      </c>
      <c r="F2808" s="90" t="s">
        <v>8273</v>
      </c>
      <c r="G2808" t="s">
        <v>512</v>
      </c>
    </row>
    <row r="2809" spans="1:7" x14ac:dyDescent="0.25">
      <c r="A2809" s="114">
        <v>8112212190</v>
      </c>
      <c r="B2809" s="90" t="s">
        <v>8274</v>
      </c>
      <c r="C2809" s="90" t="s">
        <v>508</v>
      </c>
      <c r="D2809" s="90" t="s">
        <v>6595</v>
      </c>
      <c r="E2809" s="90" t="s">
        <v>4884</v>
      </c>
      <c r="F2809" s="90" t="s">
        <v>8275</v>
      </c>
      <c r="G2809" t="s">
        <v>512</v>
      </c>
    </row>
    <row r="2810" spans="1:7" x14ac:dyDescent="0.25">
      <c r="A2810" s="114">
        <v>8112212200</v>
      </c>
      <c r="B2810" s="90" t="s">
        <v>8276</v>
      </c>
      <c r="C2810" s="90" t="s">
        <v>508</v>
      </c>
      <c r="D2810" s="90" t="s">
        <v>6595</v>
      </c>
      <c r="E2810" s="90" t="s">
        <v>4884</v>
      </c>
      <c r="F2810" s="90" t="s">
        <v>8277</v>
      </c>
      <c r="G2810" t="s">
        <v>512</v>
      </c>
    </row>
    <row r="2811" spans="1:7" x14ac:dyDescent="0.25">
      <c r="A2811" s="114">
        <v>8112212210</v>
      </c>
      <c r="B2811" s="90" t="s">
        <v>8278</v>
      </c>
      <c r="C2811" s="90" t="s">
        <v>508</v>
      </c>
      <c r="D2811" s="90" t="s">
        <v>6595</v>
      </c>
      <c r="E2811" s="90" t="s">
        <v>4884</v>
      </c>
      <c r="F2811" s="90" t="s">
        <v>8279</v>
      </c>
      <c r="G2811" t="s">
        <v>512</v>
      </c>
    </row>
    <row r="2812" spans="1:7" x14ac:dyDescent="0.25">
      <c r="A2812" s="114">
        <v>8112212240</v>
      </c>
      <c r="B2812" s="90" t="s">
        <v>8280</v>
      </c>
      <c r="C2812" s="90" t="s">
        <v>508</v>
      </c>
      <c r="D2812" s="90" t="s">
        <v>6595</v>
      </c>
      <c r="E2812" s="90" t="s">
        <v>4884</v>
      </c>
      <c r="F2812" s="90" t="s">
        <v>8281</v>
      </c>
      <c r="G2812" t="s">
        <v>512</v>
      </c>
    </row>
    <row r="2813" spans="1:7" x14ac:dyDescent="0.25">
      <c r="A2813" s="114">
        <v>8112212260</v>
      </c>
      <c r="B2813" s="90" t="s">
        <v>8282</v>
      </c>
      <c r="C2813" s="90" t="s">
        <v>508</v>
      </c>
      <c r="D2813" s="90" t="s">
        <v>6595</v>
      </c>
      <c r="E2813" s="90" t="s">
        <v>4884</v>
      </c>
      <c r="F2813" s="90" t="s">
        <v>8283</v>
      </c>
      <c r="G2813" t="s">
        <v>512</v>
      </c>
    </row>
    <row r="2814" spans="1:7" x14ac:dyDescent="0.25">
      <c r="A2814" s="114">
        <v>8112212270</v>
      </c>
      <c r="B2814" s="90" t="s">
        <v>8284</v>
      </c>
      <c r="C2814" s="90" t="s">
        <v>508</v>
      </c>
      <c r="D2814" s="90" t="s">
        <v>6595</v>
      </c>
      <c r="E2814" s="90" t="s">
        <v>4884</v>
      </c>
      <c r="F2814" s="90" t="s">
        <v>8285</v>
      </c>
      <c r="G2814" t="s">
        <v>512</v>
      </c>
    </row>
    <row r="2815" spans="1:7" x14ac:dyDescent="0.25">
      <c r="A2815" s="114">
        <v>8112212280</v>
      </c>
      <c r="B2815" s="90" t="s">
        <v>8286</v>
      </c>
      <c r="C2815" s="90" t="s">
        <v>508</v>
      </c>
      <c r="D2815" s="90" t="s">
        <v>6595</v>
      </c>
      <c r="E2815" s="90" t="s">
        <v>4884</v>
      </c>
      <c r="F2815" s="90" t="s">
        <v>8287</v>
      </c>
      <c r="G2815" t="s">
        <v>512</v>
      </c>
    </row>
    <row r="2816" spans="1:7" x14ac:dyDescent="0.25">
      <c r="A2816" s="114">
        <v>8112212290</v>
      </c>
      <c r="B2816" s="90" t="s">
        <v>8288</v>
      </c>
      <c r="C2816" s="90" t="s">
        <v>508</v>
      </c>
      <c r="D2816" s="90" t="s">
        <v>6595</v>
      </c>
      <c r="E2816" s="90" t="s">
        <v>4884</v>
      </c>
      <c r="F2816" s="90" t="s">
        <v>8289</v>
      </c>
      <c r="G2816" t="s">
        <v>512</v>
      </c>
    </row>
    <row r="2817" spans="1:7" x14ac:dyDescent="0.25">
      <c r="A2817" s="114">
        <v>8112212300</v>
      </c>
      <c r="B2817" s="90" t="s">
        <v>8290</v>
      </c>
      <c r="C2817" s="90" t="s">
        <v>508</v>
      </c>
      <c r="D2817" s="90" t="s">
        <v>6595</v>
      </c>
      <c r="E2817" s="90" t="s">
        <v>4884</v>
      </c>
      <c r="F2817" s="90" t="s">
        <v>8291</v>
      </c>
      <c r="G2817" t="s">
        <v>512</v>
      </c>
    </row>
    <row r="2818" spans="1:7" x14ac:dyDescent="0.25">
      <c r="A2818" s="114">
        <v>8112212330</v>
      </c>
      <c r="B2818" s="90" t="s">
        <v>8292</v>
      </c>
      <c r="C2818" s="90" t="s">
        <v>508</v>
      </c>
      <c r="D2818" s="90" t="s">
        <v>6595</v>
      </c>
      <c r="E2818" s="90" t="s">
        <v>4884</v>
      </c>
      <c r="F2818" s="90" t="s">
        <v>8293</v>
      </c>
      <c r="G2818" t="s">
        <v>512</v>
      </c>
    </row>
    <row r="2819" spans="1:7" x14ac:dyDescent="0.25">
      <c r="A2819" s="114">
        <v>8112212340</v>
      </c>
      <c r="B2819" s="90" t="s">
        <v>8294</v>
      </c>
      <c r="C2819" s="90" t="s">
        <v>508</v>
      </c>
      <c r="D2819" s="90" t="s">
        <v>6595</v>
      </c>
      <c r="E2819" s="90" t="s">
        <v>4884</v>
      </c>
      <c r="F2819" s="90" t="s">
        <v>8295</v>
      </c>
      <c r="G2819" t="s">
        <v>512</v>
      </c>
    </row>
    <row r="2820" spans="1:7" x14ac:dyDescent="0.25">
      <c r="A2820" s="114">
        <v>8112212350</v>
      </c>
      <c r="B2820" s="90" t="s">
        <v>3855</v>
      </c>
      <c r="C2820" s="90" t="s">
        <v>508</v>
      </c>
      <c r="D2820" s="90" t="s">
        <v>6595</v>
      </c>
      <c r="E2820" s="90" t="s">
        <v>4884</v>
      </c>
      <c r="F2820" s="90" t="s">
        <v>8296</v>
      </c>
      <c r="G2820" t="s">
        <v>512</v>
      </c>
    </row>
    <row r="2821" spans="1:7" x14ac:dyDescent="0.25">
      <c r="A2821" s="114">
        <v>8112212360</v>
      </c>
      <c r="B2821" s="90" t="s">
        <v>8297</v>
      </c>
      <c r="C2821" s="90" t="s">
        <v>508</v>
      </c>
      <c r="D2821" s="90" t="s">
        <v>6595</v>
      </c>
      <c r="E2821" s="90" t="s">
        <v>4884</v>
      </c>
      <c r="F2821" s="90" t="s">
        <v>8298</v>
      </c>
      <c r="G2821" t="s">
        <v>512</v>
      </c>
    </row>
    <row r="2822" spans="1:7" x14ac:dyDescent="0.25">
      <c r="A2822" s="114">
        <v>8112212430</v>
      </c>
      <c r="B2822" s="90" t="s">
        <v>8299</v>
      </c>
      <c r="C2822" s="90" t="s">
        <v>508</v>
      </c>
      <c r="D2822" s="90" t="s">
        <v>6595</v>
      </c>
      <c r="E2822" s="90" t="s">
        <v>4884</v>
      </c>
      <c r="F2822" s="90" t="s">
        <v>8300</v>
      </c>
      <c r="G2822" t="s">
        <v>512</v>
      </c>
    </row>
    <row r="2823" spans="1:7" x14ac:dyDescent="0.25">
      <c r="A2823" s="114">
        <v>8112212440</v>
      </c>
      <c r="B2823" s="90" t="s">
        <v>8301</v>
      </c>
      <c r="C2823" s="90" t="s">
        <v>508</v>
      </c>
      <c r="D2823" s="90" t="s">
        <v>6595</v>
      </c>
      <c r="E2823" s="90" t="s">
        <v>4884</v>
      </c>
      <c r="F2823" s="90" t="s">
        <v>8302</v>
      </c>
      <c r="G2823" t="s">
        <v>512</v>
      </c>
    </row>
    <row r="2824" spans="1:7" x14ac:dyDescent="0.25">
      <c r="A2824" s="114">
        <v>8112212450</v>
      </c>
      <c r="B2824" s="90" t="s">
        <v>7515</v>
      </c>
      <c r="C2824" s="90" t="s">
        <v>508</v>
      </c>
      <c r="D2824" s="90" t="s">
        <v>6595</v>
      </c>
      <c r="E2824" s="90" t="s">
        <v>539</v>
      </c>
      <c r="F2824" s="90" t="s">
        <v>8303</v>
      </c>
      <c r="G2824" t="s">
        <v>512</v>
      </c>
    </row>
    <row r="2825" spans="1:7" x14ac:dyDescent="0.25">
      <c r="A2825" s="114">
        <v>8112212460</v>
      </c>
      <c r="B2825" s="90" t="s">
        <v>8304</v>
      </c>
      <c r="C2825" s="90" t="s">
        <v>508</v>
      </c>
      <c r="D2825" s="90" t="s">
        <v>6595</v>
      </c>
      <c r="E2825" s="90" t="s">
        <v>4884</v>
      </c>
      <c r="F2825" s="90" t="s">
        <v>8305</v>
      </c>
      <c r="G2825" t="s">
        <v>512</v>
      </c>
    </row>
    <row r="2826" spans="1:7" x14ac:dyDescent="0.25">
      <c r="A2826" s="114">
        <v>8112212470</v>
      </c>
      <c r="B2826" s="90" t="s">
        <v>1878</v>
      </c>
      <c r="C2826" s="90" t="s">
        <v>508</v>
      </c>
      <c r="D2826" s="90" t="s">
        <v>6595</v>
      </c>
      <c r="E2826" s="90" t="s">
        <v>539</v>
      </c>
      <c r="F2826" s="90" t="s">
        <v>8306</v>
      </c>
      <c r="G2826" t="s">
        <v>512</v>
      </c>
    </row>
    <row r="2827" spans="1:7" x14ac:dyDescent="0.25">
      <c r="A2827" s="114">
        <v>8112212490</v>
      </c>
      <c r="B2827" s="90" t="s">
        <v>8307</v>
      </c>
      <c r="C2827" s="90" t="s">
        <v>508</v>
      </c>
      <c r="D2827" s="90" t="s">
        <v>6595</v>
      </c>
      <c r="E2827" s="90" t="s">
        <v>4884</v>
      </c>
      <c r="F2827" s="90" t="s">
        <v>8308</v>
      </c>
      <c r="G2827" t="s">
        <v>512</v>
      </c>
    </row>
    <row r="2828" spans="1:7" x14ac:dyDescent="0.25">
      <c r="A2828" s="114">
        <v>8112212500</v>
      </c>
      <c r="B2828" s="90" t="s">
        <v>8309</v>
      </c>
      <c r="C2828" s="90" t="s">
        <v>508</v>
      </c>
      <c r="D2828" s="90" t="s">
        <v>6595</v>
      </c>
      <c r="E2828" s="90" t="s">
        <v>4884</v>
      </c>
      <c r="F2828" s="90" t="s">
        <v>8310</v>
      </c>
      <c r="G2828" t="s">
        <v>512</v>
      </c>
    </row>
    <row r="2829" spans="1:7" x14ac:dyDescent="0.25">
      <c r="A2829" s="114">
        <v>8112212510</v>
      </c>
      <c r="B2829" s="90" t="s">
        <v>7613</v>
      </c>
      <c r="C2829" s="90" t="s">
        <v>508</v>
      </c>
      <c r="D2829" s="90" t="s">
        <v>6595</v>
      </c>
      <c r="E2829" s="90" t="s">
        <v>4884</v>
      </c>
      <c r="F2829" s="90" t="s">
        <v>8311</v>
      </c>
      <c r="G2829" t="s">
        <v>512</v>
      </c>
    </row>
    <row r="2830" spans="1:7" x14ac:dyDescent="0.25">
      <c r="A2830" s="114">
        <v>8112212530</v>
      </c>
      <c r="B2830" s="90" t="s">
        <v>8312</v>
      </c>
      <c r="C2830" s="90" t="s">
        <v>508</v>
      </c>
      <c r="D2830" s="90" t="s">
        <v>6595</v>
      </c>
      <c r="E2830" s="90" t="s">
        <v>4884</v>
      </c>
      <c r="F2830" s="90" t="s">
        <v>8313</v>
      </c>
      <c r="G2830" t="s">
        <v>512</v>
      </c>
    </row>
    <row r="2831" spans="1:7" x14ac:dyDescent="0.25">
      <c r="A2831" s="114">
        <v>8112212540</v>
      </c>
      <c r="B2831" s="90" t="s">
        <v>8314</v>
      </c>
      <c r="C2831" s="90" t="s">
        <v>508</v>
      </c>
      <c r="D2831" s="90" t="s">
        <v>6595</v>
      </c>
      <c r="E2831" s="90" t="s">
        <v>4884</v>
      </c>
      <c r="F2831" s="90" t="s">
        <v>8315</v>
      </c>
      <c r="G2831" t="s">
        <v>512</v>
      </c>
    </row>
    <row r="2832" spans="1:7" x14ac:dyDescent="0.25">
      <c r="A2832" s="114">
        <v>8112212550</v>
      </c>
      <c r="B2832" s="90" t="s">
        <v>4607</v>
      </c>
      <c r="C2832" s="90" t="s">
        <v>508</v>
      </c>
      <c r="D2832" s="90" t="s">
        <v>6595</v>
      </c>
      <c r="E2832" s="90" t="s">
        <v>4884</v>
      </c>
      <c r="F2832" s="90" t="s">
        <v>8316</v>
      </c>
      <c r="G2832" t="s">
        <v>512</v>
      </c>
    </row>
    <row r="2833" spans="1:7" x14ac:dyDescent="0.25">
      <c r="A2833" s="114">
        <v>8112212580</v>
      </c>
      <c r="B2833" s="90" t="s">
        <v>8317</v>
      </c>
      <c r="C2833" s="90" t="s">
        <v>508</v>
      </c>
      <c r="D2833" s="90" t="s">
        <v>6595</v>
      </c>
      <c r="E2833" s="90" t="s">
        <v>4884</v>
      </c>
      <c r="F2833" s="90" t="s">
        <v>8318</v>
      </c>
      <c r="G2833" t="s">
        <v>512</v>
      </c>
    </row>
    <row r="2834" spans="1:7" x14ac:dyDescent="0.25">
      <c r="A2834" s="114">
        <v>8112212600</v>
      </c>
      <c r="B2834" s="90" t="s">
        <v>8319</v>
      </c>
      <c r="C2834" s="90" t="s">
        <v>508</v>
      </c>
      <c r="D2834" s="90" t="s">
        <v>6595</v>
      </c>
      <c r="E2834" s="90" t="s">
        <v>4884</v>
      </c>
      <c r="F2834" s="90" t="s">
        <v>8320</v>
      </c>
      <c r="G2834" t="s">
        <v>512</v>
      </c>
    </row>
    <row r="2835" spans="1:7" x14ac:dyDescent="0.25">
      <c r="A2835" s="114">
        <v>8112212620</v>
      </c>
      <c r="B2835" s="90" t="s">
        <v>8321</v>
      </c>
      <c r="C2835" s="90" t="s">
        <v>508</v>
      </c>
      <c r="D2835" s="90" t="s">
        <v>6595</v>
      </c>
      <c r="E2835" s="90" t="s">
        <v>4884</v>
      </c>
      <c r="F2835" s="90" t="s">
        <v>8322</v>
      </c>
      <c r="G2835" t="s">
        <v>512</v>
      </c>
    </row>
    <row r="2836" spans="1:7" x14ac:dyDescent="0.25">
      <c r="A2836" s="114">
        <v>8112212630</v>
      </c>
      <c r="B2836" s="90" t="s">
        <v>8323</v>
      </c>
      <c r="C2836" s="90" t="s">
        <v>508</v>
      </c>
      <c r="D2836" s="90" t="s">
        <v>6595</v>
      </c>
      <c r="E2836" s="90" t="s">
        <v>4884</v>
      </c>
      <c r="F2836" s="90" t="s">
        <v>8324</v>
      </c>
      <c r="G2836" t="s">
        <v>512</v>
      </c>
    </row>
    <row r="2837" spans="1:7" x14ac:dyDescent="0.25">
      <c r="A2837" s="114">
        <v>8112212640</v>
      </c>
      <c r="B2837" s="90" t="s">
        <v>8325</v>
      </c>
      <c r="C2837" s="90" t="s">
        <v>508</v>
      </c>
      <c r="D2837" s="90" t="s">
        <v>6595</v>
      </c>
      <c r="E2837" s="90" t="s">
        <v>4884</v>
      </c>
      <c r="F2837" s="90" t="s">
        <v>8326</v>
      </c>
      <c r="G2837" t="s">
        <v>512</v>
      </c>
    </row>
    <row r="2838" spans="1:7" x14ac:dyDescent="0.25">
      <c r="A2838" s="114">
        <v>8112212650</v>
      </c>
      <c r="B2838" s="90" t="s">
        <v>8327</v>
      </c>
      <c r="C2838" s="90" t="s">
        <v>508</v>
      </c>
      <c r="D2838" s="90" t="s">
        <v>6595</v>
      </c>
      <c r="E2838" s="90" t="s">
        <v>4884</v>
      </c>
      <c r="F2838" s="90" t="s">
        <v>8328</v>
      </c>
      <c r="G2838" t="s">
        <v>512</v>
      </c>
    </row>
    <row r="2839" spans="1:7" x14ac:dyDescent="0.25">
      <c r="A2839" s="114">
        <v>8112212660</v>
      </c>
      <c r="B2839" s="90" t="s">
        <v>8329</v>
      </c>
      <c r="C2839" s="90" t="s">
        <v>508</v>
      </c>
      <c r="D2839" s="90" t="s">
        <v>6595</v>
      </c>
      <c r="E2839" s="90" t="s">
        <v>539</v>
      </c>
      <c r="F2839" s="90" t="s">
        <v>8330</v>
      </c>
      <c r="G2839" t="s">
        <v>512</v>
      </c>
    </row>
    <row r="2840" spans="1:7" x14ac:dyDescent="0.25">
      <c r="A2840" s="114">
        <v>8112212670</v>
      </c>
      <c r="B2840" s="90" t="s">
        <v>8331</v>
      </c>
      <c r="C2840" s="90" t="s">
        <v>508</v>
      </c>
      <c r="D2840" s="90" t="s">
        <v>6595</v>
      </c>
      <c r="E2840" s="90" t="s">
        <v>4884</v>
      </c>
      <c r="F2840" s="90" t="s">
        <v>8332</v>
      </c>
      <c r="G2840" t="s">
        <v>512</v>
      </c>
    </row>
    <row r="2841" spans="1:7" x14ac:dyDescent="0.25">
      <c r="A2841" s="114">
        <v>8112212680</v>
      </c>
      <c r="B2841" s="90" t="s">
        <v>8333</v>
      </c>
      <c r="C2841" s="90" t="s">
        <v>508</v>
      </c>
      <c r="D2841" s="90" t="s">
        <v>6595</v>
      </c>
      <c r="E2841" s="90" t="s">
        <v>539</v>
      </c>
      <c r="F2841" s="90" t="s">
        <v>8334</v>
      </c>
      <c r="G2841" t="s">
        <v>512</v>
      </c>
    </row>
    <row r="2842" spans="1:7" x14ac:dyDescent="0.25">
      <c r="A2842" s="114">
        <v>8112212700</v>
      </c>
      <c r="B2842" s="90" t="s">
        <v>8335</v>
      </c>
      <c r="C2842" s="90" t="s">
        <v>508</v>
      </c>
      <c r="D2842" s="90" t="s">
        <v>6595</v>
      </c>
      <c r="E2842" s="90" t="s">
        <v>4884</v>
      </c>
      <c r="F2842" s="90" t="s">
        <v>8336</v>
      </c>
      <c r="G2842" t="s">
        <v>512</v>
      </c>
    </row>
    <row r="2843" spans="1:7" x14ac:dyDescent="0.25">
      <c r="A2843" s="114">
        <v>8112212710</v>
      </c>
      <c r="B2843" s="90" t="s">
        <v>8337</v>
      </c>
      <c r="C2843" s="90" t="s">
        <v>508</v>
      </c>
      <c r="D2843" s="90" t="s">
        <v>6595</v>
      </c>
      <c r="E2843" s="90" t="s">
        <v>4884</v>
      </c>
      <c r="F2843" s="90" t="s">
        <v>8338</v>
      </c>
      <c r="G2843" t="s">
        <v>512</v>
      </c>
    </row>
    <row r="2844" spans="1:7" x14ac:dyDescent="0.25">
      <c r="A2844" s="114">
        <v>8112212720</v>
      </c>
      <c r="B2844" s="90" t="s">
        <v>8339</v>
      </c>
      <c r="C2844" s="90" t="s">
        <v>508</v>
      </c>
      <c r="D2844" s="90" t="s">
        <v>6595</v>
      </c>
      <c r="E2844" s="90" t="s">
        <v>539</v>
      </c>
      <c r="F2844" s="90" t="s">
        <v>8340</v>
      </c>
      <c r="G2844" t="s">
        <v>512</v>
      </c>
    </row>
    <row r="2845" spans="1:7" x14ac:dyDescent="0.25">
      <c r="A2845" s="114">
        <v>8112212730</v>
      </c>
      <c r="B2845" s="90" t="s">
        <v>3215</v>
      </c>
      <c r="C2845" s="90" t="s">
        <v>508</v>
      </c>
      <c r="D2845" s="90" t="s">
        <v>6595</v>
      </c>
      <c r="E2845" s="90" t="s">
        <v>4884</v>
      </c>
      <c r="F2845" s="90" t="s">
        <v>8341</v>
      </c>
      <c r="G2845" t="s">
        <v>512</v>
      </c>
    </row>
    <row r="2846" spans="1:7" x14ac:dyDescent="0.25">
      <c r="A2846" s="114">
        <v>8112212750</v>
      </c>
      <c r="B2846" s="90" t="s">
        <v>8342</v>
      </c>
      <c r="C2846" s="90" t="s">
        <v>508</v>
      </c>
      <c r="D2846" s="90" t="s">
        <v>6595</v>
      </c>
      <c r="E2846" s="90" t="s">
        <v>4884</v>
      </c>
      <c r="F2846" s="90" t="s">
        <v>8343</v>
      </c>
      <c r="G2846" t="s">
        <v>512</v>
      </c>
    </row>
    <row r="2847" spans="1:7" x14ac:dyDescent="0.25">
      <c r="A2847" s="114">
        <v>8112212760</v>
      </c>
      <c r="B2847" s="90" t="s">
        <v>8344</v>
      </c>
      <c r="C2847" s="90" t="s">
        <v>508</v>
      </c>
      <c r="D2847" s="90" t="s">
        <v>6595</v>
      </c>
      <c r="E2847" s="90" t="s">
        <v>539</v>
      </c>
      <c r="F2847" s="90" t="s">
        <v>8345</v>
      </c>
      <c r="G2847" t="s">
        <v>512</v>
      </c>
    </row>
    <row r="2848" spans="1:7" x14ac:dyDescent="0.25">
      <c r="A2848" s="114">
        <v>8112212770</v>
      </c>
      <c r="B2848" s="90" t="s">
        <v>8346</v>
      </c>
      <c r="C2848" s="90" t="s">
        <v>508</v>
      </c>
      <c r="D2848" s="90" t="s">
        <v>7070</v>
      </c>
      <c r="E2848" s="90" t="s">
        <v>539</v>
      </c>
      <c r="F2848" s="90" t="s">
        <v>8347</v>
      </c>
      <c r="G2848" t="s">
        <v>512</v>
      </c>
    </row>
    <row r="2849" spans="1:7" x14ac:dyDescent="0.25">
      <c r="A2849" s="114">
        <v>8112212780</v>
      </c>
      <c r="B2849" s="90" t="s">
        <v>8348</v>
      </c>
      <c r="C2849" s="90" t="s">
        <v>508</v>
      </c>
      <c r="D2849" s="90" t="s">
        <v>6595</v>
      </c>
      <c r="E2849" s="90" t="s">
        <v>539</v>
      </c>
      <c r="F2849" s="90" t="s">
        <v>8349</v>
      </c>
      <c r="G2849" t="s">
        <v>512</v>
      </c>
    </row>
    <row r="2850" spans="1:7" x14ac:dyDescent="0.25">
      <c r="A2850" s="114">
        <v>8112212790</v>
      </c>
      <c r="B2850" s="90" t="s">
        <v>8350</v>
      </c>
      <c r="C2850" s="90" t="s">
        <v>508</v>
      </c>
      <c r="D2850" s="90" t="s">
        <v>6595</v>
      </c>
      <c r="E2850" s="90" t="s">
        <v>539</v>
      </c>
      <c r="F2850" s="90" t="s">
        <v>8351</v>
      </c>
      <c r="G2850" t="s">
        <v>512</v>
      </c>
    </row>
    <row r="2851" spans="1:7" x14ac:dyDescent="0.25">
      <c r="A2851" s="114">
        <v>8112212800</v>
      </c>
      <c r="B2851" s="90" t="s">
        <v>8352</v>
      </c>
      <c r="C2851" s="90" t="s">
        <v>508</v>
      </c>
      <c r="D2851" s="90" t="s">
        <v>6595</v>
      </c>
      <c r="E2851" s="90" t="s">
        <v>4884</v>
      </c>
      <c r="F2851" s="90" t="s">
        <v>8353</v>
      </c>
      <c r="G2851" t="s">
        <v>512</v>
      </c>
    </row>
    <row r="2852" spans="1:7" x14ac:dyDescent="0.25">
      <c r="A2852" s="114">
        <v>8112212810</v>
      </c>
      <c r="B2852" s="90" t="s">
        <v>8354</v>
      </c>
      <c r="C2852" s="90" t="s">
        <v>508</v>
      </c>
      <c r="D2852" s="90" t="s">
        <v>6595</v>
      </c>
      <c r="E2852" s="90" t="s">
        <v>4884</v>
      </c>
      <c r="F2852" s="90" t="s">
        <v>8355</v>
      </c>
      <c r="G2852" t="s">
        <v>512</v>
      </c>
    </row>
    <row r="2853" spans="1:7" x14ac:dyDescent="0.25">
      <c r="A2853" s="114">
        <v>8112212820</v>
      </c>
      <c r="B2853" s="90" t="s">
        <v>8356</v>
      </c>
      <c r="C2853" s="90" t="s">
        <v>508</v>
      </c>
      <c r="D2853" s="90" t="s">
        <v>6595</v>
      </c>
      <c r="E2853" s="90" t="s">
        <v>4884</v>
      </c>
      <c r="F2853" s="90" t="s">
        <v>8357</v>
      </c>
      <c r="G2853" t="s">
        <v>512</v>
      </c>
    </row>
    <row r="2854" spans="1:7" x14ac:dyDescent="0.25">
      <c r="A2854" s="114">
        <v>8112212830</v>
      </c>
      <c r="B2854" s="90" t="s">
        <v>8358</v>
      </c>
      <c r="C2854" s="90" t="s">
        <v>508</v>
      </c>
      <c r="D2854" s="90" t="s">
        <v>6595</v>
      </c>
      <c r="E2854" s="90" t="s">
        <v>4884</v>
      </c>
      <c r="F2854" s="90" t="s">
        <v>8359</v>
      </c>
      <c r="G2854" t="s">
        <v>512</v>
      </c>
    </row>
    <row r="2855" spans="1:7" x14ac:dyDescent="0.25">
      <c r="A2855" s="114">
        <v>8112212840</v>
      </c>
      <c r="B2855" s="90" t="s">
        <v>8360</v>
      </c>
      <c r="C2855" s="90" t="s">
        <v>508</v>
      </c>
      <c r="D2855" s="90" t="s">
        <v>6595</v>
      </c>
      <c r="E2855" s="90" t="s">
        <v>539</v>
      </c>
      <c r="F2855" s="90" t="s">
        <v>8361</v>
      </c>
      <c r="G2855" t="s">
        <v>512</v>
      </c>
    </row>
    <row r="2856" spans="1:7" x14ac:dyDescent="0.25">
      <c r="A2856" s="114">
        <v>8112212860</v>
      </c>
      <c r="B2856" s="90" t="s">
        <v>8362</v>
      </c>
      <c r="C2856" s="90" t="s">
        <v>508</v>
      </c>
      <c r="D2856" s="90" t="s">
        <v>6595</v>
      </c>
      <c r="E2856" s="90" t="s">
        <v>4884</v>
      </c>
      <c r="F2856" s="90" t="s">
        <v>8363</v>
      </c>
      <c r="G2856" t="s">
        <v>512</v>
      </c>
    </row>
    <row r="2857" spans="1:7" x14ac:dyDescent="0.25">
      <c r="A2857" s="114">
        <v>8112212880</v>
      </c>
      <c r="B2857" s="90" t="s">
        <v>8364</v>
      </c>
      <c r="C2857" s="90" t="s">
        <v>508</v>
      </c>
      <c r="D2857" s="90" t="s">
        <v>6595</v>
      </c>
      <c r="E2857" s="90" t="s">
        <v>4884</v>
      </c>
      <c r="F2857" s="90" t="s">
        <v>8365</v>
      </c>
      <c r="G2857" t="s">
        <v>512</v>
      </c>
    </row>
    <row r="2858" spans="1:7" x14ac:dyDescent="0.25">
      <c r="A2858" s="114">
        <v>8112212890</v>
      </c>
      <c r="B2858" s="90" t="s">
        <v>8366</v>
      </c>
      <c r="C2858" s="90" t="s">
        <v>508</v>
      </c>
      <c r="D2858" s="90" t="s">
        <v>6595</v>
      </c>
      <c r="E2858" s="90" t="s">
        <v>4884</v>
      </c>
      <c r="F2858" s="90" t="s">
        <v>8367</v>
      </c>
      <c r="G2858" t="s">
        <v>512</v>
      </c>
    </row>
    <row r="2859" spans="1:7" x14ac:dyDescent="0.25">
      <c r="A2859" s="114">
        <v>8112212900</v>
      </c>
      <c r="B2859" s="90" t="s">
        <v>8368</v>
      </c>
      <c r="C2859" s="90" t="s">
        <v>508</v>
      </c>
      <c r="D2859" s="90" t="s">
        <v>6595</v>
      </c>
      <c r="E2859" s="90" t="s">
        <v>4884</v>
      </c>
      <c r="F2859" s="90" t="s">
        <v>8369</v>
      </c>
      <c r="G2859" t="s">
        <v>512</v>
      </c>
    </row>
    <row r="2860" spans="1:7" x14ac:dyDescent="0.25">
      <c r="A2860" s="114">
        <v>8112212920</v>
      </c>
      <c r="B2860" s="90" t="s">
        <v>8370</v>
      </c>
      <c r="C2860" s="90" t="s">
        <v>508</v>
      </c>
      <c r="D2860" s="90" t="s">
        <v>6595</v>
      </c>
      <c r="E2860" s="90" t="s">
        <v>4884</v>
      </c>
      <c r="F2860" s="90" t="s">
        <v>8371</v>
      </c>
      <c r="G2860" t="s">
        <v>512</v>
      </c>
    </row>
    <row r="2861" spans="1:7" x14ac:dyDescent="0.25">
      <c r="A2861" s="114">
        <v>8112212940</v>
      </c>
      <c r="B2861" s="90" t="s">
        <v>8372</v>
      </c>
      <c r="C2861" s="90" t="s">
        <v>508</v>
      </c>
      <c r="D2861" s="90" t="s">
        <v>6595</v>
      </c>
      <c r="E2861" s="90" t="s">
        <v>4884</v>
      </c>
      <c r="F2861" s="90" t="s">
        <v>8373</v>
      </c>
      <c r="G2861" t="s">
        <v>512</v>
      </c>
    </row>
    <row r="2862" spans="1:7" x14ac:dyDescent="0.25">
      <c r="A2862" s="114">
        <v>8112212950</v>
      </c>
      <c r="B2862" s="90" t="s">
        <v>2777</v>
      </c>
      <c r="C2862" s="90" t="s">
        <v>508</v>
      </c>
      <c r="D2862" s="90" t="s">
        <v>6595</v>
      </c>
      <c r="E2862" s="90" t="s">
        <v>4884</v>
      </c>
      <c r="F2862" s="90" t="s">
        <v>8374</v>
      </c>
      <c r="G2862" t="s">
        <v>512</v>
      </c>
    </row>
    <row r="2863" spans="1:7" x14ac:dyDescent="0.25">
      <c r="A2863" s="114">
        <v>8112212960</v>
      </c>
      <c r="B2863" s="90" t="s">
        <v>1023</v>
      </c>
      <c r="C2863" s="90" t="s">
        <v>508</v>
      </c>
      <c r="D2863" s="90" t="s">
        <v>6595</v>
      </c>
      <c r="E2863" s="90" t="s">
        <v>4884</v>
      </c>
      <c r="F2863" s="90" t="s">
        <v>8375</v>
      </c>
      <c r="G2863" t="s">
        <v>512</v>
      </c>
    </row>
    <row r="2864" spans="1:7" x14ac:dyDescent="0.25">
      <c r="A2864" s="114">
        <v>8112212970</v>
      </c>
      <c r="B2864" s="90" t="s">
        <v>8376</v>
      </c>
      <c r="C2864" s="90" t="s">
        <v>508</v>
      </c>
      <c r="D2864" s="90" t="s">
        <v>6595</v>
      </c>
      <c r="E2864" s="90" t="s">
        <v>4884</v>
      </c>
      <c r="F2864" s="90" t="s">
        <v>8377</v>
      </c>
      <c r="G2864" t="s">
        <v>512</v>
      </c>
    </row>
    <row r="2865" spans="1:7" x14ac:dyDescent="0.25">
      <c r="A2865" s="114">
        <v>8112212980</v>
      </c>
      <c r="B2865" s="90" t="s">
        <v>8378</v>
      </c>
      <c r="C2865" s="90" t="s">
        <v>508</v>
      </c>
      <c r="D2865" s="90" t="s">
        <v>6595</v>
      </c>
      <c r="E2865" s="90" t="s">
        <v>4884</v>
      </c>
      <c r="F2865" s="90" t="s">
        <v>8379</v>
      </c>
      <c r="G2865" t="s">
        <v>512</v>
      </c>
    </row>
    <row r="2866" spans="1:7" x14ac:dyDescent="0.25">
      <c r="A2866" s="114">
        <v>8112212990</v>
      </c>
      <c r="B2866" s="90" t="s">
        <v>8380</v>
      </c>
      <c r="C2866" s="90" t="s">
        <v>508</v>
      </c>
      <c r="D2866" s="90" t="s">
        <v>6595</v>
      </c>
      <c r="E2866" s="90" t="s">
        <v>539</v>
      </c>
      <c r="F2866" s="90" t="s">
        <v>8381</v>
      </c>
      <c r="G2866" t="s">
        <v>512</v>
      </c>
    </row>
    <row r="2867" spans="1:7" x14ac:dyDescent="0.25">
      <c r="A2867" s="114">
        <v>8112213000</v>
      </c>
      <c r="B2867" s="90" t="s">
        <v>8382</v>
      </c>
      <c r="C2867" s="90" t="s">
        <v>508</v>
      </c>
      <c r="D2867" s="90" t="s">
        <v>6595</v>
      </c>
      <c r="E2867" s="90" t="s">
        <v>4884</v>
      </c>
      <c r="F2867" s="90" t="s">
        <v>8383</v>
      </c>
      <c r="G2867" t="s">
        <v>512</v>
      </c>
    </row>
    <row r="2868" spans="1:7" x14ac:dyDescent="0.25">
      <c r="A2868" s="114">
        <v>8112213010</v>
      </c>
      <c r="B2868" s="90" t="s">
        <v>8384</v>
      </c>
      <c r="C2868" s="90" t="s">
        <v>508</v>
      </c>
      <c r="D2868" s="90" t="s">
        <v>6595</v>
      </c>
      <c r="E2868" s="90" t="s">
        <v>4884</v>
      </c>
      <c r="F2868" s="90" t="s">
        <v>8385</v>
      </c>
      <c r="G2868" t="s">
        <v>512</v>
      </c>
    </row>
    <row r="2869" spans="1:7" x14ac:dyDescent="0.25">
      <c r="A2869" s="114">
        <v>8112213020</v>
      </c>
      <c r="B2869" s="90" t="s">
        <v>2777</v>
      </c>
      <c r="C2869" s="90" t="s">
        <v>508</v>
      </c>
      <c r="D2869" s="90" t="s">
        <v>6595</v>
      </c>
      <c r="E2869" s="90" t="s">
        <v>539</v>
      </c>
      <c r="F2869" s="90" t="s">
        <v>8386</v>
      </c>
      <c r="G2869" t="s">
        <v>512</v>
      </c>
    </row>
    <row r="2870" spans="1:7" x14ac:dyDescent="0.25">
      <c r="A2870" s="114">
        <v>8112213030</v>
      </c>
      <c r="B2870" s="90" t="s">
        <v>8387</v>
      </c>
      <c r="C2870" s="90" t="s">
        <v>508</v>
      </c>
      <c r="D2870" s="90" t="s">
        <v>6595</v>
      </c>
      <c r="E2870" s="90" t="s">
        <v>539</v>
      </c>
      <c r="F2870" s="90" t="s">
        <v>8388</v>
      </c>
      <c r="G2870" t="s">
        <v>512</v>
      </c>
    </row>
    <row r="2871" spans="1:7" x14ac:dyDescent="0.25">
      <c r="A2871" s="114">
        <v>8112213040</v>
      </c>
      <c r="B2871" s="90" t="s">
        <v>8389</v>
      </c>
      <c r="C2871" s="90" t="s">
        <v>508</v>
      </c>
      <c r="D2871" s="90" t="s">
        <v>6595</v>
      </c>
      <c r="E2871" s="90" t="s">
        <v>4884</v>
      </c>
      <c r="F2871" s="90" t="s">
        <v>8390</v>
      </c>
      <c r="G2871" t="s">
        <v>512</v>
      </c>
    </row>
    <row r="2872" spans="1:7" x14ac:dyDescent="0.25">
      <c r="A2872" s="114">
        <v>8112213050</v>
      </c>
      <c r="B2872" s="90" t="s">
        <v>8391</v>
      </c>
      <c r="C2872" s="90" t="s">
        <v>508</v>
      </c>
      <c r="D2872" s="90" t="s">
        <v>6595</v>
      </c>
      <c r="E2872" s="90" t="s">
        <v>4884</v>
      </c>
      <c r="F2872" s="90" t="s">
        <v>8392</v>
      </c>
      <c r="G2872" t="s">
        <v>512</v>
      </c>
    </row>
    <row r="2873" spans="1:7" x14ac:dyDescent="0.25">
      <c r="A2873" s="114">
        <v>8112213070</v>
      </c>
      <c r="B2873" s="90" t="s">
        <v>8393</v>
      </c>
      <c r="C2873" s="90" t="s">
        <v>508</v>
      </c>
      <c r="D2873" s="90" t="s">
        <v>6595</v>
      </c>
      <c r="E2873" s="90" t="s">
        <v>4884</v>
      </c>
      <c r="F2873" s="90" t="s">
        <v>8394</v>
      </c>
      <c r="G2873" t="s">
        <v>512</v>
      </c>
    </row>
    <row r="2874" spans="1:7" x14ac:dyDescent="0.25">
      <c r="A2874" s="114">
        <v>8112213080</v>
      </c>
      <c r="B2874" s="90" t="s">
        <v>8395</v>
      </c>
      <c r="C2874" s="90" t="s">
        <v>508</v>
      </c>
      <c r="D2874" s="90" t="s">
        <v>6595</v>
      </c>
      <c r="E2874" s="90" t="s">
        <v>4884</v>
      </c>
      <c r="F2874" s="90" t="s">
        <v>8396</v>
      </c>
      <c r="G2874" t="s">
        <v>512</v>
      </c>
    </row>
    <row r="2875" spans="1:7" x14ac:dyDescent="0.25">
      <c r="A2875" s="114">
        <v>8112213090</v>
      </c>
      <c r="B2875" s="90" t="s">
        <v>7867</v>
      </c>
      <c r="C2875" s="90" t="s">
        <v>508</v>
      </c>
      <c r="D2875" s="90" t="s">
        <v>6595</v>
      </c>
      <c r="E2875" s="90" t="s">
        <v>4884</v>
      </c>
      <c r="F2875" s="90" t="s">
        <v>8397</v>
      </c>
      <c r="G2875" t="s">
        <v>512</v>
      </c>
    </row>
    <row r="2876" spans="1:7" x14ac:dyDescent="0.25">
      <c r="A2876" s="114">
        <v>8112213120</v>
      </c>
      <c r="B2876" s="90" t="s">
        <v>8398</v>
      </c>
      <c r="C2876" s="90" t="s">
        <v>508</v>
      </c>
      <c r="D2876" s="90" t="s">
        <v>6595</v>
      </c>
      <c r="E2876" s="90" t="s">
        <v>539</v>
      </c>
      <c r="F2876" s="90" t="s">
        <v>8399</v>
      </c>
      <c r="G2876" t="s">
        <v>512</v>
      </c>
    </row>
    <row r="2877" spans="1:7" x14ac:dyDescent="0.25">
      <c r="A2877" s="114">
        <v>8112213130</v>
      </c>
      <c r="B2877" s="90" t="s">
        <v>7963</v>
      </c>
      <c r="C2877" s="90" t="s">
        <v>508</v>
      </c>
      <c r="D2877" s="90" t="s">
        <v>6595</v>
      </c>
      <c r="E2877" s="90" t="s">
        <v>539</v>
      </c>
      <c r="F2877" s="90" t="s">
        <v>8400</v>
      </c>
      <c r="G2877" t="s">
        <v>512</v>
      </c>
    </row>
    <row r="2878" spans="1:7" x14ac:dyDescent="0.25">
      <c r="A2878" s="114">
        <v>8112213140</v>
      </c>
      <c r="B2878" s="90" t="s">
        <v>8401</v>
      </c>
      <c r="C2878" s="90" t="s">
        <v>508</v>
      </c>
      <c r="D2878" s="90" t="s">
        <v>6595</v>
      </c>
      <c r="E2878" s="90" t="s">
        <v>539</v>
      </c>
      <c r="F2878" s="90" t="s">
        <v>8402</v>
      </c>
      <c r="G2878" t="s">
        <v>512</v>
      </c>
    </row>
    <row r="2879" spans="1:7" x14ac:dyDescent="0.25">
      <c r="A2879" s="114">
        <v>8112213150</v>
      </c>
      <c r="B2879" s="90" t="s">
        <v>8403</v>
      </c>
      <c r="C2879" s="90" t="s">
        <v>508</v>
      </c>
      <c r="D2879" s="90" t="s">
        <v>6595</v>
      </c>
      <c r="E2879" s="90" t="s">
        <v>539</v>
      </c>
      <c r="F2879" s="90" t="s">
        <v>8404</v>
      </c>
      <c r="G2879" t="s">
        <v>512</v>
      </c>
    </row>
    <row r="2880" spans="1:7" x14ac:dyDescent="0.25">
      <c r="A2880" s="114">
        <v>8112213160</v>
      </c>
      <c r="B2880" s="90" t="s">
        <v>8405</v>
      </c>
      <c r="C2880" s="90" t="s">
        <v>508</v>
      </c>
      <c r="D2880" s="90" t="s">
        <v>6595</v>
      </c>
      <c r="E2880" s="90" t="s">
        <v>539</v>
      </c>
      <c r="F2880" s="90" t="s">
        <v>8406</v>
      </c>
      <c r="G2880" t="s">
        <v>512</v>
      </c>
    </row>
    <row r="2881" spans="1:7" x14ac:dyDescent="0.25">
      <c r="A2881" s="114">
        <v>8112213180</v>
      </c>
      <c r="B2881" s="90" t="s">
        <v>6761</v>
      </c>
      <c r="C2881" s="90" t="s">
        <v>508</v>
      </c>
      <c r="D2881" s="90" t="s">
        <v>6595</v>
      </c>
      <c r="E2881" s="90" t="s">
        <v>539</v>
      </c>
      <c r="F2881" s="90" t="s">
        <v>8407</v>
      </c>
      <c r="G2881" t="s">
        <v>512</v>
      </c>
    </row>
    <row r="2882" spans="1:7" x14ac:dyDescent="0.25">
      <c r="A2882" s="114">
        <v>8112213190</v>
      </c>
      <c r="B2882" s="90" t="s">
        <v>8408</v>
      </c>
      <c r="C2882" s="90" t="s">
        <v>508</v>
      </c>
      <c r="D2882" s="90" t="s">
        <v>6595</v>
      </c>
      <c r="E2882" s="90" t="s">
        <v>539</v>
      </c>
      <c r="F2882" s="90" t="s">
        <v>8409</v>
      </c>
      <c r="G2882" t="s">
        <v>512</v>
      </c>
    </row>
    <row r="2883" spans="1:7" x14ac:dyDescent="0.25">
      <c r="A2883" s="114">
        <v>8112213230</v>
      </c>
      <c r="B2883" s="90" t="s">
        <v>8410</v>
      </c>
      <c r="C2883" s="90" t="s">
        <v>508</v>
      </c>
      <c r="D2883" s="90" t="s">
        <v>7070</v>
      </c>
      <c r="E2883" s="90" t="s">
        <v>539</v>
      </c>
      <c r="F2883" s="90" t="s">
        <v>8411</v>
      </c>
      <c r="G2883" t="s">
        <v>512</v>
      </c>
    </row>
    <row r="2884" spans="1:7" x14ac:dyDescent="0.25">
      <c r="A2884" s="114">
        <v>8112213240</v>
      </c>
      <c r="B2884" s="90" t="s">
        <v>8412</v>
      </c>
      <c r="C2884" s="90" t="s">
        <v>508</v>
      </c>
      <c r="D2884" s="90" t="s">
        <v>6595</v>
      </c>
      <c r="E2884" s="90" t="s">
        <v>539</v>
      </c>
      <c r="F2884" s="90" t="s">
        <v>8413</v>
      </c>
      <c r="G2884" t="s">
        <v>512</v>
      </c>
    </row>
    <row r="2885" spans="1:7" x14ac:dyDescent="0.25">
      <c r="A2885" s="114">
        <v>8112213250</v>
      </c>
      <c r="B2885" s="90" t="s">
        <v>8414</v>
      </c>
      <c r="C2885" s="90" t="s">
        <v>508</v>
      </c>
      <c r="D2885" s="90" t="s">
        <v>6595</v>
      </c>
      <c r="E2885" s="90" t="s">
        <v>539</v>
      </c>
      <c r="F2885" s="90" t="s">
        <v>8415</v>
      </c>
      <c r="G2885" t="s">
        <v>512</v>
      </c>
    </row>
    <row r="2886" spans="1:7" x14ac:dyDescent="0.25">
      <c r="A2886" s="114">
        <v>8112213260</v>
      </c>
      <c r="B2886" s="90" t="s">
        <v>8416</v>
      </c>
      <c r="C2886" s="90" t="s">
        <v>508</v>
      </c>
      <c r="D2886" s="90" t="s">
        <v>6595</v>
      </c>
      <c r="E2886" s="90" t="s">
        <v>539</v>
      </c>
      <c r="F2886" s="90" t="s">
        <v>8417</v>
      </c>
      <c r="G2886" t="s">
        <v>512</v>
      </c>
    </row>
    <row r="2887" spans="1:7" x14ac:dyDescent="0.25">
      <c r="A2887" s="114">
        <v>8112213270</v>
      </c>
      <c r="B2887" s="90" t="s">
        <v>8418</v>
      </c>
      <c r="C2887" s="90" t="s">
        <v>508</v>
      </c>
      <c r="D2887" s="90" t="s">
        <v>6595</v>
      </c>
      <c r="E2887" s="90" t="s">
        <v>539</v>
      </c>
      <c r="F2887" s="90" t="s">
        <v>8419</v>
      </c>
      <c r="G2887" t="s">
        <v>512</v>
      </c>
    </row>
    <row r="2888" spans="1:7" x14ac:dyDescent="0.25">
      <c r="A2888" s="114">
        <v>8112213280</v>
      </c>
      <c r="B2888" s="90" t="s">
        <v>8420</v>
      </c>
      <c r="C2888" s="90" t="s">
        <v>508</v>
      </c>
      <c r="D2888" s="90" t="s">
        <v>6595</v>
      </c>
      <c r="E2888" s="90" t="s">
        <v>539</v>
      </c>
      <c r="F2888" s="90" t="s">
        <v>8421</v>
      </c>
      <c r="G2888" t="s">
        <v>512</v>
      </c>
    </row>
    <row r="2889" spans="1:7" x14ac:dyDescent="0.25">
      <c r="A2889" s="114">
        <v>8112213290</v>
      </c>
      <c r="B2889" s="90" t="s">
        <v>8422</v>
      </c>
      <c r="C2889" s="90" t="s">
        <v>508</v>
      </c>
      <c r="D2889" s="90" t="s">
        <v>7070</v>
      </c>
      <c r="E2889" s="90" t="s">
        <v>539</v>
      </c>
      <c r="F2889" s="90" t="s">
        <v>8423</v>
      </c>
      <c r="G2889" t="s">
        <v>512</v>
      </c>
    </row>
    <row r="2890" spans="1:7" x14ac:dyDescent="0.25">
      <c r="A2890" s="114">
        <v>8112213300</v>
      </c>
      <c r="B2890" s="90" t="s">
        <v>7548</v>
      </c>
      <c r="C2890" s="90" t="s">
        <v>508</v>
      </c>
      <c r="D2890" s="90" t="s">
        <v>6595</v>
      </c>
      <c r="E2890" s="90" t="s">
        <v>539</v>
      </c>
      <c r="F2890" s="90" t="s">
        <v>8424</v>
      </c>
      <c r="G2890" t="s">
        <v>512</v>
      </c>
    </row>
    <row r="2891" spans="1:7" x14ac:dyDescent="0.25">
      <c r="A2891" s="114">
        <v>8112213310</v>
      </c>
      <c r="B2891" s="90" t="s">
        <v>8425</v>
      </c>
      <c r="C2891" s="90" t="s">
        <v>508</v>
      </c>
      <c r="D2891" s="90" t="s">
        <v>6595</v>
      </c>
      <c r="E2891" s="90" t="s">
        <v>539</v>
      </c>
      <c r="F2891" s="90" t="s">
        <v>8426</v>
      </c>
      <c r="G2891" t="s">
        <v>512</v>
      </c>
    </row>
    <row r="2892" spans="1:7" x14ac:dyDescent="0.25">
      <c r="A2892" s="114">
        <v>8112213330</v>
      </c>
      <c r="B2892" s="90" t="s">
        <v>8427</v>
      </c>
      <c r="C2892" s="90" t="s">
        <v>508</v>
      </c>
      <c r="D2892" s="90" t="s">
        <v>6595</v>
      </c>
      <c r="E2892" s="90" t="s">
        <v>539</v>
      </c>
      <c r="F2892" s="90" t="s">
        <v>8428</v>
      </c>
      <c r="G2892" t="s">
        <v>512</v>
      </c>
    </row>
    <row r="2893" spans="1:7" x14ac:dyDescent="0.25">
      <c r="A2893" s="114">
        <v>8112213370</v>
      </c>
      <c r="B2893" s="90" t="s">
        <v>8429</v>
      </c>
      <c r="C2893" s="90" t="s">
        <v>508</v>
      </c>
      <c r="D2893" s="90" t="s">
        <v>6595</v>
      </c>
      <c r="E2893" s="90" t="s">
        <v>539</v>
      </c>
      <c r="F2893" s="90" t="s">
        <v>8430</v>
      </c>
      <c r="G2893" t="s">
        <v>512</v>
      </c>
    </row>
    <row r="2894" spans="1:7" x14ac:dyDescent="0.25">
      <c r="A2894" s="114">
        <v>8112213410</v>
      </c>
      <c r="B2894" s="90" t="s">
        <v>8431</v>
      </c>
      <c r="C2894" s="90" t="s">
        <v>508</v>
      </c>
      <c r="D2894" s="90" t="s">
        <v>6595</v>
      </c>
      <c r="E2894" s="90" t="s">
        <v>539</v>
      </c>
      <c r="F2894" s="90" t="s">
        <v>8432</v>
      </c>
      <c r="G2894" t="s">
        <v>512</v>
      </c>
    </row>
    <row r="2895" spans="1:7" x14ac:dyDescent="0.25">
      <c r="A2895" s="114">
        <v>8112213420</v>
      </c>
      <c r="B2895" s="90" t="s">
        <v>8323</v>
      </c>
      <c r="C2895" s="90" t="s">
        <v>508</v>
      </c>
      <c r="D2895" s="90" t="s">
        <v>6595</v>
      </c>
      <c r="E2895" s="90" t="s">
        <v>539</v>
      </c>
      <c r="F2895" s="90" t="s">
        <v>8433</v>
      </c>
      <c r="G2895" t="s">
        <v>512</v>
      </c>
    </row>
    <row r="2896" spans="1:7" x14ac:dyDescent="0.25">
      <c r="A2896" s="114">
        <v>8112213430</v>
      </c>
      <c r="B2896" s="90" t="s">
        <v>8434</v>
      </c>
      <c r="C2896" s="90" t="s">
        <v>508</v>
      </c>
      <c r="D2896" s="90" t="s">
        <v>6595</v>
      </c>
      <c r="E2896" s="90" t="s">
        <v>539</v>
      </c>
      <c r="F2896" s="90" t="s">
        <v>8435</v>
      </c>
      <c r="G2896" t="s">
        <v>512</v>
      </c>
    </row>
    <row r="2897" spans="1:7" x14ac:dyDescent="0.25">
      <c r="A2897" s="114">
        <v>8112213440</v>
      </c>
      <c r="B2897" s="90" t="s">
        <v>8436</v>
      </c>
      <c r="C2897" s="90" t="s">
        <v>508</v>
      </c>
      <c r="D2897" s="90" t="s">
        <v>6595</v>
      </c>
      <c r="E2897" s="90" t="s">
        <v>539</v>
      </c>
      <c r="F2897" s="90" t="s">
        <v>8437</v>
      </c>
      <c r="G2897" t="s">
        <v>512</v>
      </c>
    </row>
    <row r="2898" spans="1:7" x14ac:dyDescent="0.25">
      <c r="A2898" s="114">
        <v>8112213450</v>
      </c>
      <c r="B2898" s="90" t="s">
        <v>8438</v>
      </c>
      <c r="C2898" s="90" t="s">
        <v>508</v>
      </c>
      <c r="D2898" s="90" t="s">
        <v>6595</v>
      </c>
      <c r="E2898" s="90" t="s">
        <v>539</v>
      </c>
      <c r="F2898" s="90" t="s">
        <v>8439</v>
      </c>
      <c r="G2898" t="s">
        <v>512</v>
      </c>
    </row>
    <row r="2899" spans="1:7" x14ac:dyDescent="0.25">
      <c r="A2899" s="114">
        <v>8112213460</v>
      </c>
      <c r="B2899" s="90" t="s">
        <v>7150</v>
      </c>
      <c r="C2899" s="90" t="s">
        <v>508</v>
      </c>
      <c r="D2899" s="90" t="s">
        <v>6595</v>
      </c>
      <c r="E2899" s="90" t="s">
        <v>539</v>
      </c>
      <c r="F2899" s="90" t="s">
        <v>8440</v>
      </c>
      <c r="G2899" t="s">
        <v>512</v>
      </c>
    </row>
    <row r="2900" spans="1:7" x14ac:dyDescent="0.25">
      <c r="A2900" s="114">
        <v>8112213470</v>
      </c>
      <c r="B2900" s="90" t="s">
        <v>8441</v>
      </c>
      <c r="C2900" s="90" t="s">
        <v>508</v>
      </c>
      <c r="D2900" s="90" t="s">
        <v>6595</v>
      </c>
      <c r="E2900" s="90" t="s">
        <v>539</v>
      </c>
      <c r="F2900" s="90" t="s">
        <v>8442</v>
      </c>
      <c r="G2900" t="s">
        <v>512</v>
      </c>
    </row>
    <row r="2901" spans="1:7" x14ac:dyDescent="0.25">
      <c r="A2901" s="114">
        <v>8112213720</v>
      </c>
      <c r="B2901" s="90" t="s">
        <v>8443</v>
      </c>
      <c r="C2901" s="90" t="s">
        <v>508</v>
      </c>
      <c r="D2901" s="90" t="s">
        <v>6595</v>
      </c>
      <c r="E2901" s="90" t="s">
        <v>539</v>
      </c>
      <c r="F2901" s="90" t="s">
        <v>8444</v>
      </c>
      <c r="G2901" t="s">
        <v>512</v>
      </c>
    </row>
    <row r="2902" spans="1:7" x14ac:dyDescent="0.25">
      <c r="A2902" s="114">
        <v>8112213770</v>
      </c>
      <c r="B2902" s="90" t="s">
        <v>8445</v>
      </c>
      <c r="C2902" s="90" t="s">
        <v>508</v>
      </c>
      <c r="D2902" s="90" t="s">
        <v>6595</v>
      </c>
      <c r="E2902" s="90" t="s">
        <v>539</v>
      </c>
      <c r="F2902" s="90" t="s">
        <v>8446</v>
      </c>
      <c r="G2902" t="s">
        <v>512</v>
      </c>
    </row>
    <row r="2903" spans="1:7" x14ac:dyDescent="0.25">
      <c r="A2903" s="114">
        <v>8112213910</v>
      </c>
      <c r="B2903" s="90" t="s">
        <v>8447</v>
      </c>
      <c r="C2903" s="90" t="s">
        <v>508</v>
      </c>
      <c r="D2903" s="90" t="s">
        <v>6595</v>
      </c>
      <c r="E2903" s="90" t="s">
        <v>539</v>
      </c>
      <c r="F2903" s="90" t="s">
        <v>8448</v>
      </c>
      <c r="G2903" t="s">
        <v>512</v>
      </c>
    </row>
    <row r="2904" spans="1:7" x14ac:dyDescent="0.25">
      <c r="A2904" s="114">
        <v>8116014230</v>
      </c>
      <c r="B2904" s="90" t="s">
        <v>8449</v>
      </c>
      <c r="C2904" s="90" t="s">
        <v>508</v>
      </c>
      <c r="D2904" s="90" t="s">
        <v>6595</v>
      </c>
      <c r="E2904" s="90" t="s">
        <v>539</v>
      </c>
      <c r="F2904" s="90" t="s">
        <v>8450</v>
      </c>
      <c r="G2904" t="s">
        <v>512</v>
      </c>
    </row>
    <row r="2905" spans="1:7" x14ac:dyDescent="0.25">
      <c r="A2905" s="114">
        <v>8116014240</v>
      </c>
      <c r="B2905" s="90" t="s">
        <v>8451</v>
      </c>
      <c r="C2905" s="90" t="s">
        <v>508</v>
      </c>
      <c r="D2905" s="90" t="s">
        <v>6595</v>
      </c>
      <c r="E2905" s="90" t="s">
        <v>539</v>
      </c>
      <c r="F2905" s="90" t="s">
        <v>8452</v>
      </c>
      <c r="G2905" t="s">
        <v>512</v>
      </c>
    </row>
    <row r="2906" spans="1:7" x14ac:dyDescent="0.25">
      <c r="A2906" s="114">
        <v>8116014260</v>
      </c>
      <c r="B2906" s="90" t="s">
        <v>8453</v>
      </c>
      <c r="C2906" s="90" t="s">
        <v>508</v>
      </c>
      <c r="D2906" s="90" t="s">
        <v>6595</v>
      </c>
      <c r="E2906" s="90" t="s">
        <v>539</v>
      </c>
      <c r="F2906" s="90" t="s">
        <v>8454</v>
      </c>
      <c r="G2906" t="s">
        <v>512</v>
      </c>
    </row>
    <row r="2907" spans="1:7" x14ac:dyDescent="0.25">
      <c r="A2907" s="114">
        <v>8116014270</v>
      </c>
      <c r="B2907" s="90" t="s">
        <v>8455</v>
      </c>
      <c r="C2907" s="90" t="s">
        <v>508</v>
      </c>
      <c r="D2907" s="90" t="s">
        <v>6595</v>
      </c>
      <c r="E2907" s="90" t="s">
        <v>539</v>
      </c>
      <c r="F2907" s="90" t="s">
        <v>8456</v>
      </c>
      <c r="G2907" t="s">
        <v>512</v>
      </c>
    </row>
    <row r="2908" spans="1:7" x14ac:dyDescent="0.25">
      <c r="A2908" s="114">
        <v>8116014440</v>
      </c>
      <c r="B2908" s="90" t="s">
        <v>8457</v>
      </c>
      <c r="C2908" s="90" t="s">
        <v>508</v>
      </c>
      <c r="D2908" s="90" t="s">
        <v>6595</v>
      </c>
      <c r="E2908" s="90" t="s">
        <v>539</v>
      </c>
      <c r="F2908" s="90" t="s">
        <v>8458</v>
      </c>
      <c r="G2908" t="s">
        <v>512</v>
      </c>
    </row>
    <row r="2909" spans="1:7" x14ac:dyDescent="0.25">
      <c r="A2909" s="114">
        <v>8116014460</v>
      </c>
      <c r="B2909" s="90" t="s">
        <v>4501</v>
      </c>
      <c r="C2909" s="90" t="s">
        <v>508</v>
      </c>
      <c r="D2909" s="90" t="s">
        <v>6595</v>
      </c>
      <c r="E2909" s="90" t="s">
        <v>539</v>
      </c>
      <c r="F2909" s="90" t="s">
        <v>8459</v>
      </c>
      <c r="G2909" t="s">
        <v>512</v>
      </c>
    </row>
    <row r="2910" spans="1:7" x14ac:dyDescent="0.25">
      <c r="A2910" s="114">
        <v>8116015170</v>
      </c>
      <c r="B2910" s="90" t="s">
        <v>8460</v>
      </c>
      <c r="C2910" s="90" t="s">
        <v>508</v>
      </c>
      <c r="D2910" s="90" t="s">
        <v>6595</v>
      </c>
      <c r="E2910" s="90" t="s">
        <v>539</v>
      </c>
      <c r="F2910" s="90" t="s">
        <v>8461</v>
      </c>
      <c r="G2910" t="s">
        <v>512</v>
      </c>
    </row>
    <row r="2911" spans="1:7" x14ac:dyDescent="0.25">
      <c r="A2911" s="114">
        <v>8116015210</v>
      </c>
      <c r="B2911" s="90" t="s">
        <v>6594</v>
      </c>
      <c r="C2911" s="90" t="s">
        <v>508</v>
      </c>
      <c r="D2911" s="90" t="s">
        <v>6595</v>
      </c>
      <c r="E2911" s="90" t="s">
        <v>539</v>
      </c>
      <c r="F2911" s="90" t="s">
        <v>6596</v>
      </c>
      <c r="G2911" t="s">
        <v>512</v>
      </c>
    </row>
    <row r="2912" spans="1:7" x14ac:dyDescent="0.25">
      <c r="A2912" s="114">
        <v>8116015310</v>
      </c>
      <c r="B2912" s="90" t="s">
        <v>8462</v>
      </c>
      <c r="C2912" s="90" t="s">
        <v>508</v>
      </c>
      <c r="D2912" s="90" t="s">
        <v>6595</v>
      </c>
      <c r="E2912" s="90" t="s">
        <v>539</v>
      </c>
      <c r="F2912" s="90" t="s">
        <v>8463</v>
      </c>
      <c r="G2912" t="s">
        <v>512</v>
      </c>
    </row>
    <row r="2913" spans="1:7" x14ac:dyDescent="0.25">
      <c r="A2913" s="114">
        <v>8116015700</v>
      </c>
      <c r="B2913" s="90" t="s">
        <v>802</v>
      </c>
      <c r="C2913" s="90" t="s">
        <v>508</v>
      </c>
      <c r="D2913" s="90" t="s">
        <v>6595</v>
      </c>
      <c r="E2913" s="90" t="s">
        <v>539</v>
      </c>
      <c r="F2913" s="90" t="s">
        <v>8464</v>
      </c>
      <c r="G2913" t="s">
        <v>512</v>
      </c>
    </row>
    <row r="2914" spans="1:7" x14ac:dyDescent="0.25">
      <c r="A2914" s="114">
        <v>8116017580</v>
      </c>
      <c r="B2914" s="90" t="s">
        <v>8370</v>
      </c>
      <c r="C2914" s="90" t="s">
        <v>508</v>
      </c>
      <c r="D2914" s="90" t="s">
        <v>6595</v>
      </c>
      <c r="E2914" s="90" t="s">
        <v>539</v>
      </c>
      <c r="F2914" s="90" t="s">
        <v>8465</v>
      </c>
      <c r="G2914" t="s">
        <v>512</v>
      </c>
    </row>
    <row r="2915" spans="1:7" x14ac:dyDescent="0.25">
      <c r="A2915" s="114">
        <v>8116017590</v>
      </c>
      <c r="B2915" s="90" t="s">
        <v>8466</v>
      </c>
      <c r="C2915" s="90" t="s">
        <v>508</v>
      </c>
      <c r="D2915" s="90" t="s">
        <v>6595</v>
      </c>
      <c r="E2915" s="90" t="s">
        <v>539</v>
      </c>
      <c r="F2915" s="90" t="s">
        <v>8467</v>
      </c>
      <c r="G2915" t="s">
        <v>512</v>
      </c>
    </row>
    <row r="2916" spans="1:7" x14ac:dyDescent="0.25">
      <c r="A2916" s="114">
        <v>8116017760</v>
      </c>
      <c r="B2916" s="90" t="s">
        <v>8468</v>
      </c>
      <c r="C2916" s="90" t="s">
        <v>508</v>
      </c>
      <c r="D2916" s="90" t="s">
        <v>6595</v>
      </c>
      <c r="E2916" s="90" t="s">
        <v>539</v>
      </c>
      <c r="F2916" s="90" t="s">
        <v>8469</v>
      </c>
      <c r="G2916" t="s">
        <v>512</v>
      </c>
    </row>
    <row r="2917" spans="1:7" x14ac:dyDescent="0.25">
      <c r="A2917" s="114">
        <v>8116018470</v>
      </c>
      <c r="B2917" s="90" t="s">
        <v>7898</v>
      </c>
      <c r="C2917" s="90" t="s">
        <v>508</v>
      </c>
      <c r="D2917" s="90" t="s">
        <v>6595</v>
      </c>
      <c r="E2917" s="90" t="s">
        <v>539</v>
      </c>
      <c r="F2917" s="90" t="s">
        <v>8470</v>
      </c>
      <c r="G2917" t="s">
        <v>512</v>
      </c>
    </row>
    <row r="2918" spans="1:7" x14ac:dyDescent="0.25">
      <c r="A2918" s="114">
        <v>8116018490</v>
      </c>
      <c r="B2918" s="90" t="s">
        <v>7898</v>
      </c>
      <c r="C2918" s="90" t="s">
        <v>508</v>
      </c>
      <c r="D2918" s="90" t="s">
        <v>6595</v>
      </c>
      <c r="E2918" s="90" t="s">
        <v>539</v>
      </c>
      <c r="F2918" s="90" t="s">
        <v>8471</v>
      </c>
      <c r="G2918" t="s">
        <v>512</v>
      </c>
    </row>
    <row r="2919" spans="1:7" x14ac:dyDescent="0.25">
      <c r="A2919" s="114">
        <v>8116018500</v>
      </c>
      <c r="B2919" s="90" t="s">
        <v>8472</v>
      </c>
      <c r="C2919" s="90" t="s">
        <v>508</v>
      </c>
      <c r="D2919" s="90" t="s">
        <v>6595</v>
      </c>
      <c r="E2919" s="90" t="s">
        <v>539</v>
      </c>
      <c r="F2919" s="90" t="s">
        <v>8473</v>
      </c>
      <c r="G2919" t="s">
        <v>512</v>
      </c>
    </row>
    <row r="2920" spans="1:7" x14ac:dyDescent="0.25">
      <c r="A2920" s="114">
        <v>8116020460</v>
      </c>
      <c r="B2920" s="90" t="s">
        <v>8474</v>
      </c>
      <c r="C2920" s="90" t="s">
        <v>508</v>
      </c>
      <c r="D2920" s="90" t="s">
        <v>6595</v>
      </c>
      <c r="E2920" s="90" t="s">
        <v>539</v>
      </c>
      <c r="F2920" s="90" t="s">
        <v>8475</v>
      </c>
      <c r="G2920" t="s">
        <v>512</v>
      </c>
    </row>
    <row r="2921" spans="1:7" x14ac:dyDescent="0.25">
      <c r="A2921" s="114">
        <v>8116020600</v>
      </c>
      <c r="B2921" s="90" t="s">
        <v>8476</v>
      </c>
      <c r="C2921" s="90" t="s">
        <v>508</v>
      </c>
      <c r="D2921" s="90" t="s">
        <v>6595</v>
      </c>
      <c r="E2921" s="90" t="s">
        <v>539</v>
      </c>
      <c r="F2921" s="90" t="s">
        <v>8477</v>
      </c>
      <c r="G2921" t="s">
        <v>512</v>
      </c>
    </row>
    <row r="2922" spans="1:7" x14ac:dyDescent="0.25">
      <c r="A2922" s="114">
        <v>8116020720</v>
      </c>
      <c r="B2922" s="90" t="s">
        <v>8478</v>
      </c>
      <c r="C2922" s="90" t="s">
        <v>508</v>
      </c>
      <c r="D2922" s="90" t="s">
        <v>6595</v>
      </c>
      <c r="E2922" s="90" t="s">
        <v>539</v>
      </c>
      <c r="F2922" s="90" t="s">
        <v>8479</v>
      </c>
      <c r="G2922" t="s">
        <v>512</v>
      </c>
    </row>
    <row r="2923" spans="1:7" x14ac:dyDescent="0.25">
      <c r="A2923" s="114">
        <v>8116020820</v>
      </c>
      <c r="B2923" s="90" t="s">
        <v>8480</v>
      </c>
      <c r="C2923" s="90" t="s">
        <v>508</v>
      </c>
      <c r="D2923" s="90" t="s">
        <v>6595</v>
      </c>
      <c r="E2923" s="90" t="s">
        <v>539</v>
      </c>
      <c r="F2923" s="90" t="s">
        <v>8481</v>
      </c>
      <c r="G2923" t="s">
        <v>512</v>
      </c>
    </row>
    <row r="2924" spans="1:7" x14ac:dyDescent="0.25">
      <c r="A2924" s="114">
        <v>8116021260</v>
      </c>
      <c r="B2924" s="90" t="s">
        <v>8482</v>
      </c>
      <c r="C2924" s="90" t="s">
        <v>508</v>
      </c>
      <c r="D2924" s="90" t="s">
        <v>6595</v>
      </c>
      <c r="E2924" s="90" t="s">
        <v>539</v>
      </c>
      <c r="F2924" s="90" t="s">
        <v>8483</v>
      </c>
      <c r="G2924" t="s">
        <v>512</v>
      </c>
    </row>
    <row r="2925" spans="1:7" x14ac:dyDescent="0.25">
      <c r="A2925" s="114">
        <v>8116021280</v>
      </c>
      <c r="B2925" s="90" t="s">
        <v>8484</v>
      </c>
      <c r="C2925" s="90" t="s">
        <v>508</v>
      </c>
      <c r="D2925" s="90" t="s">
        <v>6595</v>
      </c>
      <c r="E2925" s="90" t="s">
        <v>539</v>
      </c>
      <c r="F2925" s="90" t="s">
        <v>8485</v>
      </c>
      <c r="G2925" t="s">
        <v>512</v>
      </c>
    </row>
    <row r="2926" spans="1:7" x14ac:dyDescent="0.25">
      <c r="A2926" s="114">
        <v>8116022600</v>
      </c>
      <c r="B2926" s="90" t="s">
        <v>8486</v>
      </c>
      <c r="C2926" s="90" t="s">
        <v>508</v>
      </c>
      <c r="D2926" s="90" t="s">
        <v>6595</v>
      </c>
      <c r="E2926" s="90" t="s">
        <v>539</v>
      </c>
      <c r="F2926" s="90" t="s">
        <v>8487</v>
      </c>
      <c r="G2926" t="s">
        <v>512</v>
      </c>
    </row>
    <row r="2927" spans="1:7" x14ac:dyDescent="0.25">
      <c r="A2927" s="114">
        <v>8116023860</v>
      </c>
      <c r="B2927" s="90" t="s">
        <v>8488</v>
      </c>
      <c r="C2927" s="90" t="s">
        <v>508</v>
      </c>
      <c r="D2927" s="90" t="s">
        <v>6595</v>
      </c>
      <c r="E2927" s="90" t="s">
        <v>539</v>
      </c>
      <c r="F2927" s="90" t="s">
        <v>8489</v>
      </c>
      <c r="G2927" t="s">
        <v>512</v>
      </c>
    </row>
    <row r="2928" spans="1:7" x14ac:dyDescent="0.25">
      <c r="A2928" s="114">
        <v>8116023870</v>
      </c>
      <c r="B2928" s="90" t="s">
        <v>8490</v>
      </c>
      <c r="C2928" s="90" t="s">
        <v>508</v>
      </c>
      <c r="D2928" s="90" t="s">
        <v>6595</v>
      </c>
      <c r="E2928" s="90" t="s">
        <v>539</v>
      </c>
      <c r="F2928" s="90" t="s">
        <v>8491</v>
      </c>
      <c r="G2928" t="s">
        <v>512</v>
      </c>
    </row>
    <row r="2929" spans="1:7" x14ac:dyDescent="0.25">
      <c r="A2929" s="114">
        <v>8116023960</v>
      </c>
      <c r="B2929" s="90" t="s">
        <v>8387</v>
      </c>
      <c r="C2929" s="90" t="s">
        <v>508</v>
      </c>
      <c r="D2929" s="90" t="s">
        <v>6595</v>
      </c>
      <c r="E2929" s="90" t="s">
        <v>539</v>
      </c>
      <c r="F2929" s="90" t="s">
        <v>8492</v>
      </c>
      <c r="G2929" t="s">
        <v>512</v>
      </c>
    </row>
    <row r="2930" spans="1:7" x14ac:dyDescent="0.25">
      <c r="A2930" s="114">
        <v>8116023990</v>
      </c>
      <c r="B2930" s="90" t="s">
        <v>8493</v>
      </c>
      <c r="C2930" s="90" t="s">
        <v>508</v>
      </c>
      <c r="D2930" s="90" t="s">
        <v>6595</v>
      </c>
      <c r="E2930" s="90" t="s">
        <v>539</v>
      </c>
      <c r="F2930" s="90" t="s">
        <v>8494</v>
      </c>
      <c r="G2930" t="s">
        <v>512</v>
      </c>
    </row>
    <row r="2931" spans="1:7" x14ac:dyDescent="0.25">
      <c r="A2931" s="114">
        <v>8116024880</v>
      </c>
      <c r="B2931" s="90" t="s">
        <v>8495</v>
      </c>
      <c r="C2931" s="90" t="s">
        <v>508</v>
      </c>
      <c r="D2931" s="90" t="s">
        <v>6595</v>
      </c>
      <c r="E2931" s="90" t="s">
        <v>539</v>
      </c>
      <c r="F2931" s="90" t="s">
        <v>8496</v>
      </c>
      <c r="G2931" t="s">
        <v>512</v>
      </c>
    </row>
    <row r="2932" spans="1:7" x14ac:dyDescent="0.25">
      <c r="A2932" s="114">
        <v>8116024890</v>
      </c>
      <c r="B2932" s="90" t="s">
        <v>8497</v>
      </c>
      <c r="C2932" s="90" t="s">
        <v>508</v>
      </c>
      <c r="D2932" s="90" t="s">
        <v>6595</v>
      </c>
      <c r="E2932" s="90" t="s">
        <v>539</v>
      </c>
      <c r="F2932" s="90" t="s">
        <v>8498</v>
      </c>
      <c r="G2932" t="s">
        <v>512</v>
      </c>
    </row>
    <row r="2933" spans="1:7" x14ac:dyDescent="0.25">
      <c r="A2933" s="114">
        <v>8116024900</v>
      </c>
      <c r="B2933" s="90" t="s">
        <v>8499</v>
      </c>
      <c r="C2933" s="90" t="s">
        <v>508</v>
      </c>
      <c r="D2933" s="90" t="s">
        <v>6595</v>
      </c>
      <c r="E2933" s="90" t="s">
        <v>539</v>
      </c>
      <c r="F2933" s="90" t="s">
        <v>8500</v>
      </c>
      <c r="G2933" t="s">
        <v>512</v>
      </c>
    </row>
    <row r="2934" spans="1:7" x14ac:dyDescent="0.25">
      <c r="A2934" s="114">
        <v>8116025180</v>
      </c>
      <c r="B2934" s="90" t="s">
        <v>8501</v>
      </c>
      <c r="C2934" s="90" t="s">
        <v>508</v>
      </c>
      <c r="D2934" s="90" t="s">
        <v>6595</v>
      </c>
      <c r="E2934" s="90" t="s">
        <v>539</v>
      </c>
      <c r="F2934" s="90" t="s">
        <v>8502</v>
      </c>
      <c r="G2934" t="s">
        <v>512</v>
      </c>
    </row>
    <row r="2935" spans="1:7" x14ac:dyDescent="0.25">
      <c r="A2935" s="114">
        <v>8116025590</v>
      </c>
      <c r="B2935" s="90" t="s">
        <v>8503</v>
      </c>
      <c r="C2935" s="90" t="s">
        <v>508</v>
      </c>
      <c r="D2935" s="90" t="s">
        <v>6595</v>
      </c>
      <c r="E2935" s="90" t="s">
        <v>539</v>
      </c>
      <c r="F2935" s="90" t="s">
        <v>8504</v>
      </c>
      <c r="G2935" t="s">
        <v>512</v>
      </c>
    </row>
    <row r="2936" spans="1:7" x14ac:dyDescent="0.25">
      <c r="A2936" s="114">
        <v>8116025690</v>
      </c>
      <c r="B2936" s="90" t="s">
        <v>8505</v>
      </c>
      <c r="C2936" s="90" t="s">
        <v>508</v>
      </c>
      <c r="D2936" s="90" t="s">
        <v>6595</v>
      </c>
      <c r="E2936" s="90" t="s">
        <v>539</v>
      </c>
      <c r="F2936" s="90" t="s">
        <v>8506</v>
      </c>
      <c r="G2936" t="s">
        <v>512</v>
      </c>
    </row>
    <row r="2937" spans="1:7" x14ac:dyDescent="0.25">
      <c r="A2937" s="114">
        <v>8116025700</v>
      </c>
      <c r="B2937" s="90" t="s">
        <v>8507</v>
      </c>
      <c r="C2937" s="90" t="s">
        <v>508</v>
      </c>
      <c r="D2937" s="90" t="s">
        <v>6595</v>
      </c>
      <c r="E2937" s="90" t="s">
        <v>539</v>
      </c>
      <c r="F2937" s="90" t="s">
        <v>8508</v>
      </c>
      <c r="G2937" t="s">
        <v>512</v>
      </c>
    </row>
    <row r="2938" spans="1:7" x14ac:dyDescent="0.25">
      <c r="A2938" s="114">
        <v>8116026250</v>
      </c>
      <c r="B2938" s="90" t="s">
        <v>8509</v>
      </c>
      <c r="C2938" s="90" t="s">
        <v>508</v>
      </c>
      <c r="D2938" s="90" t="s">
        <v>6595</v>
      </c>
      <c r="E2938" s="90" t="s">
        <v>539</v>
      </c>
      <c r="F2938" s="90" t="s">
        <v>8510</v>
      </c>
      <c r="G2938" t="s">
        <v>512</v>
      </c>
    </row>
    <row r="2939" spans="1:7" x14ac:dyDescent="0.25">
      <c r="A2939" s="114">
        <v>8116027030</v>
      </c>
      <c r="B2939" s="90" t="s">
        <v>8511</v>
      </c>
      <c r="C2939" s="90" t="s">
        <v>508</v>
      </c>
      <c r="D2939" s="90" t="s">
        <v>6595</v>
      </c>
      <c r="E2939" s="90" t="s">
        <v>539</v>
      </c>
      <c r="F2939" s="90" t="s">
        <v>8512</v>
      </c>
      <c r="G2939" t="s">
        <v>512</v>
      </c>
    </row>
    <row r="2940" spans="1:7" x14ac:dyDescent="0.25">
      <c r="A2940" s="114">
        <v>8116027450</v>
      </c>
      <c r="B2940" s="90" t="s">
        <v>8513</v>
      </c>
      <c r="C2940" s="90" t="s">
        <v>508</v>
      </c>
      <c r="D2940" s="90" t="s">
        <v>6595</v>
      </c>
      <c r="E2940" s="90" t="s">
        <v>539</v>
      </c>
      <c r="F2940" s="90" t="s">
        <v>8514</v>
      </c>
      <c r="G2940" t="s">
        <v>512</v>
      </c>
    </row>
    <row r="2941" spans="1:7" x14ac:dyDescent="0.25">
      <c r="A2941" s="114">
        <v>8116027980</v>
      </c>
      <c r="B2941" s="90" t="s">
        <v>8515</v>
      </c>
      <c r="C2941" s="90" t="s">
        <v>508</v>
      </c>
      <c r="D2941" s="90" t="s">
        <v>6595</v>
      </c>
      <c r="E2941" s="90" t="s">
        <v>8232</v>
      </c>
      <c r="F2941" s="90" t="s">
        <v>8516</v>
      </c>
      <c r="G2941" t="s">
        <v>512</v>
      </c>
    </row>
    <row r="2942" spans="1:7" x14ac:dyDescent="0.25">
      <c r="A2942" s="114">
        <v>8116027990</v>
      </c>
      <c r="B2942" s="90" t="s">
        <v>8517</v>
      </c>
      <c r="C2942" s="90" t="s">
        <v>508</v>
      </c>
      <c r="D2942" s="90" t="s">
        <v>6595</v>
      </c>
      <c r="E2942" s="90" t="s">
        <v>539</v>
      </c>
      <c r="F2942" s="90" t="s">
        <v>8518</v>
      </c>
      <c r="G2942" t="s">
        <v>512</v>
      </c>
    </row>
    <row r="2943" spans="1:7" x14ac:dyDescent="0.25">
      <c r="A2943" s="114">
        <v>8116028480</v>
      </c>
      <c r="B2943" s="90" t="s">
        <v>8519</v>
      </c>
      <c r="C2943" s="90" t="s">
        <v>508</v>
      </c>
      <c r="D2943" s="90" t="s">
        <v>6595</v>
      </c>
      <c r="E2943" s="90" t="s">
        <v>539</v>
      </c>
      <c r="F2943" s="90" t="s">
        <v>8520</v>
      </c>
      <c r="G2943" t="s">
        <v>512</v>
      </c>
    </row>
    <row r="2944" spans="1:7" x14ac:dyDescent="0.25">
      <c r="A2944" s="114">
        <v>8116029300</v>
      </c>
      <c r="B2944" s="90" t="s">
        <v>8521</v>
      </c>
      <c r="C2944" s="90" t="s">
        <v>508</v>
      </c>
      <c r="D2944" s="90" t="s">
        <v>6595</v>
      </c>
      <c r="E2944" s="90" t="s">
        <v>539</v>
      </c>
      <c r="F2944" s="90" t="s">
        <v>8522</v>
      </c>
      <c r="G2944" t="s">
        <v>512</v>
      </c>
    </row>
    <row r="2945" spans="1:7" x14ac:dyDescent="0.25">
      <c r="A2945" s="114" t="s">
        <v>276</v>
      </c>
      <c r="B2945" s="90" t="s">
        <v>8523</v>
      </c>
      <c r="C2945" s="90" t="s">
        <v>508</v>
      </c>
      <c r="D2945" s="90" t="s">
        <v>4246</v>
      </c>
      <c r="E2945" s="90" t="s">
        <v>3897</v>
      </c>
      <c r="F2945" s="90" t="s">
        <v>4414</v>
      </c>
      <c r="G2945" t="s">
        <v>512</v>
      </c>
    </row>
    <row r="2946" spans="1:7" x14ac:dyDescent="0.25">
      <c r="A2946" s="114" t="s">
        <v>8524</v>
      </c>
      <c r="B2946" s="90" t="s">
        <v>8525</v>
      </c>
      <c r="C2946" s="90" t="s">
        <v>508</v>
      </c>
      <c r="D2946" s="90" t="s">
        <v>4246</v>
      </c>
      <c r="E2946" s="90" t="s">
        <v>3897</v>
      </c>
      <c r="F2946" s="90" t="s">
        <v>8526</v>
      </c>
      <c r="G2946" t="s">
        <v>512</v>
      </c>
    </row>
    <row r="2947" spans="1:7" x14ac:dyDescent="0.25">
      <c r="A2947" s="114" t="s">
        <v>8527</v>
      </c>
      <c r="B2947" s="90" t="s">
        <v>8528</v>
      </c>
      <c r="C2947" s="90" t="s">
        <v>508</v>
      </c>
      <c r="D2947" s="90" t="s">
        <v>8529</v>
      </c>
      <c r="E2947" s="90" t="s">
        <v>4034</v>
      </c>
      <c r="F2947" s="90" t="s">
        <v>8530</v>
      </c>
      <c r="G2947" t="s">
        <v>512</v>
      </c>
    </row>
    <row r="2948" spans="1:7" x14ac:dyDescent="0.25">
      <c r="A2948" s="114" t="s">
        <v>8531</v>
      </c>
      <c r="B2948" s="90" t="s">
        <v>8532</v>
      </c>
      <c r="C2948" s="90" t="s">
        <v>508</v>
      </c>
      <c r="D2948" s="90" t="s">
        <v>8533</v>
      </c>
      <c r="E2948" s="90" t="s">
        <v>4325</v>
      </c>
      <c r="F2948" s="90" t="s">
        <v>4247</v>
      </c>
      <c r="G2948" t="s">
        <v>512</v>
      </c>
    </row>
    <row r="2949" spans="1:7" x14ac:dyDescent="0.25">
      <c r="A2949" s="114" t="s">
        <v>8534</v>
      </c>
      <c r="B2949" s="90" t="s">
        <v>8535</v>
      </c>
      <c r="C2949" s="90" t="s">
        <v>508</v>
      </c>
      <c r="D2949" s="90" t="s">
        <v>8536</v>
      </c>
      <c r="E2949" s="90" t="s">
        <v>8537</v>
      </c>
      <c r="F2949" s="90" t="s">
        <v>8538</v>
      </c>
      <c r="G2949" t="s">
        <v>512</v>
      </c>
    </row>
    <row r="2950" spans="1:7" x14ac:dyDescent="0.25">
      <c r="A2950" s="114" t="s">
        <v>8539</v>
      </c>
      <c r="B2950" s="90" t="s">
        <v>8540</v>
      </c>
      <c r="C2950" s="90" t="s">
        <v>508</v>
      </c>
      <c r="D2950" s="90" t="s">
        <v>6144</v>
      </c>
      <c r="E2950" s="90" t="s">
        <v>8541</v>
      </c>
      <c r="F2950" s="90" t="s">
        <v>8542</v>
      </c>
      <c r="G2950" t="s">
        <v>512</v>
      </c>
    </row>
    <row r="2951" spans="1:7" x14ac:dyDescent="0.25">
      <c r="A2951" s="114" t="s">
        <v>8543</v>
      </c>
      <c r="B2951" s="90" t="s">
        <v>8523</v>
      </c>
      <c r="C2951" s="90" t="s">
        <v>508</v>
      </c>
      <c r="D2951" s="90" t="s">
        <v>5501</v>
      </c>
      <c r="E2951" s="90" t="s">
        <v>5502</v>
      </c>
      <c r="F2951" s="90" t="s">
        <v>4414</v>
      </c>
      <c r="G2951" t="s">
        <v>512</v>
      </c>
    </row>
    <row r="2952" spans="1:7" x14ac:dyDescent="0.25">
      <c r="A2952" s="114" t="s">
        <v>8544</v>
      </c>
      <c r="B2952" s="90" t="s">
        <v>8525</v>
      </c>
      <c r="C2952" s="90" t="s">
        <v>508</v>
      </c>
      <c r="D2952" s="90" t="s">
        <v>4154</v>
      </c>
      <c r="E2952" s="90" t="s">
        <v>2199</v>
      </c>
      <c r="F2952" s="90" t="s">
        <v>8545</v>
      </c>
      <c r="G2952" t="s">
        <v>512</v>
      </c>
    </row>
    <row r="2953" spans="1:7" x14ac:dyDescent="0.25">
      <c r="A2953" s="114" t="s">
        <v>8546</v>
      </c>
      <c r="B2953" s="90" t="s">
        <v>8547</v>
      </c>
      <c r="C2953" s="90" t="s">
        <v>508</v>
      </c>
      <c r="D2953" s="90" t="s">
        <v>512</v>
      </c>
      <c r="E2953" s="90" t="s">
        <v>8548</v>
      </c>
      <c r="F2953" s="90" t="s">
        <v>8549</v>
      </c>
      <c r="G2953" t="s">
        <v>512</v>
      </c>
    </row>
    <row r="2954" spans="1:7" x14ac:dyDescent="0.25">
      <c r="A2954" s="114" t="s">
        <v>8550</v>
      </c>
      <c r="B2954" s="90" t="s">
        <v>8551</v>
      </c>
      <c r="C2954" s="90" t="s">
        <v>508</v>
      </c>
      <c r="D2954" s="90" t="s">
        <v>512</v>
      </c>
      <c r="E2954" s="90" t="s">
        <v>8548</v>
      </c>
      <c r="F2954" s="90" t="s">
        <v>8552</v>
      </c>
      <c r="G2954" t="s">
        <v>512</v>
      </c>
    </row>
    <row r="2955" spans="1:7" x14ac:dyDescent="0.25">
      <c r="A2955" s="114" t="s">
        <v>8553</v>
      </c>
      <c r="B2955" s="90" t="s">
        <v>8523</v>
      </c>
      <c r="C2955" s="90" t="s">
        <v>508</v>
      </c>
      <c r="D2955" s="90" t="s">
        <v>4413</v>
      </c>
      <c r="E2955" s="90" t="s">
        <v>2901</v>
      </c>
      <c r="F2955" s="90" t="s">
        <v>4414</v>
      </c>
      <c r="G2955" t="s">
        <v>512</v>
      </c>
    </row>
    <row r="2956" spans="1:7" x14ac:dyDescent="0.25">
      <c r="A2956" s="114" t="s">
        <v>8554</v>
      </c>
      <c r="B2956" s="90" t="s">
        <v>8547</v>
      </c>
      <c r="C2956" s="90" t="s">
        <v>508</v>
      </c>
      <c r="D2956" s="90" t="s">
        <v>512</v>
      </c>
      <c r="E2956" s="90" t="s">
        <v>8548</v>
      </c>
      <c r="F2956" s="90" t="s">
        <v>8549</v>
      </c>
      <c r="G2956" t="s">
        <v>512</v>
      </c>
    </row>
    <row r="2957" spans="1:7" x14ac:dyDescent="0.25">
      <c r="A2957" s="114" t="s">
        <v>8555</v>
      </c>
      <c r="B2957" s="90" t="s">
        <v>8535</v>
      </c>
      <c r="C2957" s="90" t="s">
        <v>508</v>
      </c>
      <c r="D2957" s="90" t="s">
        <v>512</v>
      </c>
      <c r="E2957" s="90" t="s">
        <v>8548</v>
      </c>
      <c r="F2957" s="90" t="s">
        <v>8556</v>
      </c>
      <c r="G2957" t="s">
        <v>512</v>
      </c>
    </row>
    <row r="2958" spans="1:7" x14ac:dyDescent="0.25">
      <c r="A2958" s="114" t="s">
        <v>8557</v>
      </c>
      <c r="B2958" s="90" t="s">
        <v>8547</v>
      </c>
      <c r="C2958" s="90" t="s">
        <v>508</v>
      </c>
      <c r="D2958" s="90" t="s">
        <v>512</v>
      </c>
      <c r="E2958" s="90" t="s">
        <v>8548</v>
      </c>
      <c r="F2958" s="90" t="s">
        <v>8558</v>
      </c>
      <c r="G2958" t="s">
        <v>512</v>
      </c>
    </row>
    <row r="2959" spans="1:7" x14ac:dyDescent="0.25">
      <c r="A2959" s="114" t="s">
        <v>8559</v>
      </c>
      <c r="B2959" s="90" t="s">
        <v>8560</v>
      </c>
      <c r="C2959" s="90" t="s">
        <v>508</v>
      </c>
      <c r="D2959" s="90" t="s">
        <v>8561</v>
      </c>
      <c r="E2959" s="90" t="s">
        <v>4529</v>
      </c>
      <c r="F2959" s="90" t="s">
        <v>8562</v>
      </c>
      <c r="G2959" t="s">
        <v>512</v>
      </c>
    </row>
    <row r="2960" spans="1:7" x14ac:dyDescent="0.25">
      <c r="A2960" s="114" t="s">
        <v>8563</v>
      </c>
      <c r="B2960" s="90" t="s">
        <v>8564</v>
      </c>
      <c r="C2960" s="90" t="s">
        <v>508</v>
      </c>
      <c r="D2960" s="90" t="s">
        <v>512</v>
      </c>
      <c r="E2960" s="90" t="s">
        <v>8548</v>
      </c>
      <c r="F2960" s="90" t="s">
        <v>8565</v>
      </c>
      <c r="G2960" t="s">
        <v>512</v>
      </c>
    </row>
    <row r="2961" spans="1:7" x14ac:dyDescent="0.25">
      <c r="A2961" s="114" t="s">
        <v>8566</v>
      </c>
      <c r="B2961" s="90" t="s">
        <v>8532</v>
      </c>
      <c r="C2961" s="90" t="s">
        <v>508</v>
      </c>
      <c r="D2961" s="90" t="s">
        <v>4246</v>
      </c>
      <c r="E2961" s="90" t="s">
        <v>3897</v>
      </c>
      <c r="F2961" s="90" t="s">
        <v>4247</v>
      </c>
      <c r="G2961" t="s">
        <v>512</v>
      </c>
    </row>
    <row r="2962" spans="1:7" x14ac:dyDescent="0.25">
      <c r="A2962" s="114" t="s">
        <v>8567</v>
      </c>
      <c r="B2962" s="90" t="s">
        <v>8547</v>
      </c>
      <c r="C2962" s="90" t="s">
        <v>508</v>
      </c>
      <c r="D2962" s="90" t="s">
        <v>512</v>
      </c>
      <c r="E2962" s="90" t="s">
        <v>8548</v>
      </c>
      <c r="F2962" s="90" t="s">
        <v>8568</v>
      </c>
      <c r="G2962" t="s">
        <v>512</v>
      </c>
    </row>
    <row r="2963" spans="1:7" x14ac:dyDescent="0.25">
      <c r="A2963" s="114" t="s">
        <v>8569</v>
      </c>
      <c r="B2963" s="90" t="s">
        <v>8551</v>
      </c>
      <c r="C2963" s="90" t="s">
        <v>508</v>
      </c>
      <c r="D2963" s="90" t="s">
        <v>8570</v>
      </c>
      <c r="E2963" s="90" t="s">
        <v>1859</v>
      </c>
      <c r="F2963" s="90" t="s">
        <v>8571</v>
      </c>
      <c r="G2963" t="s">
        <v>512</v>
      </c>
    </row>
    <row r="2964" spans="1:7" x14ac:dyDescent="0.25">
      <c r="A2964" s="114" t="s">
        <v>8572</v>
      </c>
      <c r="B2964" s="90" t="s">
        <v>8573</v>
      </c>
      <c r="C2964" s="90" t="s">
        <v>508</v>
      </c>
      <c r="D2964" s="90" t="s">
        <v>5450</v>
      </c>
      <c r="E2964" s="90" t="s">
        <v>5451</v>
      </c>
      <c r="F2964" s="90" t="s">
        <v>8556</v>
      </c>
      <c r="G2964" t="s">
        <v>859</v>
      </c>
    </row>
    <row r="2965" spans="1:7" x14ac:dyDescent="0.25">
      <c r="A2965" s="114" t="s">
        <v>8574</v>
      </c>
      <c r="B2965" s="90" t="s">
        <v>8540</v>
      </c>
      <c r="C2965" s="90" t="s">
        <v>508</v>
      </c>
      <c r="D2965" s="90" t="s">
        <v>8575</v>
      </c>
      <c r="E2965" s="90" t="s">
        <v>551</v>
      </c>
      <c r="F2965" s="90" t="s">
        <v>8542</v>
      </c>
      <c r="G2965" t="s">
        <v>512</v>
      </c>
    </row>
    <row r="2966" spans="1:7" x14ac:dyDescent="0.25">
      <c r="A2966" s="114" t="s">
        <v>8576</v>
      </c>
      <c r="B2966" s="90" t="s">
        <v>8547</v>
      </c>
      <c r="C2966" s="90" t="s">
        <v>508</v>
      </c>
      <c r="D2966" s="90" t="s">
        <v>8577</v>
      </c>
      <c r="E2966" s="90" t="s">
        <v>539</v>
      </c>
      <c r="F2966" s="90" t="s">
        <v>8568</v>
      </c>
      <c r="G2966" t="s">
        <v>512</v>
      </c>
    </row>
    <row r="2967" spans="1:7" x14ac:dyDescent="0.25">
      <c r="A2967" s="114" t="s">
        <v>8578</v>
      </c>
      <c r="B2967" s="90" t="s">
        <v>8564</v>
      </c>
      <c r="C2967" s="90" t="s">
        <v>508</v>
      </c>
      <c r="D2967" s="90" t="s">
        <v>8579</v>
      </c>
      <c r="E2967" s="90" t="s">
        <v>851</v>
      </c>
      <c r="F2967" s="90" t="s">
        <v>8580</v>
      </c>
      <c r="G2967" t="s">
        <v>512</v>
      </c>
    </row>
    <row r="2968" spans="1:7" x14ac:dyDescent="0.25">
      <c r="A2968" s="114" t="s">
        <v>8581</v>
      </c>
      <c r="B2968" s="90" t="s">
        <v>8582</v>
      </c>
      <c r="C2968" s="90" t="s">
        <v>508</v>
      </c>
      <c r="D2968" s="90" t="s">
        <v>8583</v>
      </c>
      <c r="E2968" s="90" t="s">
        <v>634</v>
      </c>
      <c r="F2968" s="90" t="s">
        <v>8584</v>
      </c>
      <c r="G2968" t="s">
        <v>859</v>
      </c>
    </row>
    <row r="2969" spans="1:7" x14ac:dyDescent="0.25">
      <c r="A2969" s="114" t="s">
        <v>45</v>
      </c>
      <c r="B2969" s="90" t="s">
        <v>44</v>
      </c>
    </row>
    <row r="2970" spans="1:7" x14ac:dyDescent="0.25">
      <c r="A2970" s="114">
        <v>310684</v>
      </c>
      <c r="B2970" s="90" t="s">
        <v>49</v>
      </c>
    </row>
    <row r="2971" spans="1:7" x14ac:dyDescent="0.25">
      <c r="A2971" s="114">
        <v>307598</v>
      </c>
      <c r="B2971" s="90" t="s">
        <v>51</v>
      </c>
    </row>
    <row r="2972" spans="1:7" x14ac:dyDescent="0.25">
      <c r="A2972" s="114">
        <v>306923</v>
      </c>
      <c r="B2972" s="90" t="s">
        <v>53</v>
      </c>
    </row>
    <row r="2973" spans="1:7" x14ac:dyDescent="0.25">
      <c r="A2973" s="114">
        <v>315795</v>
      </c>
      <c r="B2973" s="90" t="s">
        <v>55</v>
      </c>
    </row>
    <row r="2974" spans="1:7" x14ac:dyDescent="0.25">
      <c r="A2974" s="114">
        <v>307949</v>
      </c>
      <c r="B2974" s="90" t="s">
        <v>57</v>
      </c>
    </row>
    <row r="2975" spans="1:7" x14ac:dyDescent="0.25">
      <c r="A2975" s="114">
        <v>307392</v>
      </c>
      <c r="B2975" s="90" t="s">
        <v>59</v>
      </c>
    </row>
    <row r="2976" spans="1:7" x14ac:dyDescent="0.25">
      <c r="A2976" s="114">
        <v>307391</v>
      </c>
      <c r="B2976" s="90" t="s">
        <v>63</v>
      </c>
    </row>
    <row r="2977" spans="1:2" x14ac:dyDescent="0.25">
      <c r="A2977" s="114">
        <v>313378</v>
      </c>
      <c r="B2977" s="90" t="s">
        <v>65</v>
      </c>
    </row>
    <row r="2978" spans="1:2" x14ac:dyDescent="0.25">
      <c r="A2978" s="114">
        <v>307420</v>
      </c>
      <c r="B2978" s="90" t="s">
        <v>68</v>
      </c>
    </row>
    <row r="2979" spans="1:2" x14ac:dyDescent="0.25">
      <c r="A2979" s="114">
        <v>312959</v>
      </c>
      <c r="B2979" s="90" t="s">
        <v>70</v>
      </c>
    </row>
    <row r="2980" spans="1:2" x14ac:dyDescent="0.25">
      <c r="A2980" s="114">
        <v>306982</v>
      </c>
      <c r="B2980" s="90" t="s">
        <v>73</v>
      </c>
    </row>
    <row r="2981" spans="1:2" x14ac:dyDescent="0.25">
      <c r="A2981" s="114">
        <v>307848</v>
      </c>
      <c r="B2981" s="90" t="s">
        <v>75</v>
      </c>
    </row>
    <row r="2982" spans="1:2" x14ac:dyDescent="0.25">
      <c r="A2982" s="114">
        <v>306915</v>
      </c>
      <c r="B2982" s="90" t="s">
        <v>78</v>
      </c>
    </row>
    <row r="2983" spans="1:2" x14ac:dyDescent="0.25">
      <c r="A2983" s="114">
        <v>314450</v>
      </c>
      <c r="B2983" s="90" t="s">
        <v>80</v>
      </c>
    </row>
    <row r="2984" spans="1:2" x14ac:dyDescent="0.25">
      <c r="A2984" s="114">
        <v>314623</v>
      </c>
      <c r="B2984" s="90" t="s">
        <v>83</v>
      </c>
    </row>
    <row r="2985" spans="1:2" x14ac:dyDescent="0.25">
      <c r="A2985" s="114">
        <v>307566</v>
      </c>
      <c r="B2985" s="90" t="s">
        <v>88</v>
      </c>
    </row>
    <row r="2986" spans="1:2" x14ac:dyDescent="0.25">
      <c r="A2986" s="114">
        <v>307408</v>
      </c>
      <c r="B2986" s="90" t="s">
        <v>90</v>
      </c>
    </row>
    <row r="2987" spans="1:2" x14ac:dyDescent="0.25">
      <c r="A2987" s="114">
        <v>307067</v>
      </c>
      <c r="B2987" s="90" t="s">
        <v>92</v>
      </c>
    </row>
    <row r="2988" spans="1:2" x14ac:dyDescent="0.25">
      <c r="A2988" s="114">
        <v>312010</v>
      </c>
      <c r="B2988" s="90" t="s">
        <v>94</v>
      </c>
    </row>
    <row r="2989" spans="1:2" x14ac:dyDescent="0.25">
      <c r="A2989" s="114">
        <v>307750</v>
      </c>
      <c r="B2989" s="90" t="s">
        <v>97</v>
      </c>
    </row>
    <row r="2990" spans="1:2" x14ac:dyDescent="0.25">
      <c r="A2990" s="114">
        <v>306974</v>
      </c>
      <c r="B2990" s="90" t="s">
        <v>99</v>
      </c>
    </row>
    <row r="2991" spans="1:2" x14ac:dyDescent="0.25">
      <c r="A2991" s="114">
        <v>307674</v>
      </c>
      <c r="B2991" s="90" t="s">
        <v>101</v>
      </c>
    </row>
    <row r="2992" spans="1:2" x14ac:dyDescent="0.25">
      <c r="A2992" s="114">
        <v>307485</v>
      </c>
      <c r="B2992" s="90" t="s">
        <v>104</v>
      </c>
    </row>
    <row r="2993" spans="1:2" x14ac:dyDescent="0.25">
      <c r="A2993" s="114">
        <v>306971</v>
      </c>
      <c r="B2993" s="90" t="s">
        <v>106</v>
      </c>
    </row>
    <row r="2994" spans="1:2" x14ac:dyDescent="0.25">
      <c r="A2994" s="114">
        <v>317032</v>
      </c>
      <c r="B2994" s="90" t="s">
        <v>108</v>
      </c>
    </row>
    <row r="2995" spans="1:2" x14ac:dyDescent="0.25">
      <c r="A2995" s="114">
        <v>308836</v>
      </c>
      <c r="B2995" s="90" t="s">
        <v>110</v>
      </c>
    </row>
    <row r="2996" spans="1:2" x14ac:dyDescent="0.25">
      <c r="A2996" s="114">
        <v>307888</v>
      </c>
      <c r="B2996" s="90" t="s">
        <v>112</v>
      </c>
    </row>
    <row r="2997" spans="1:2" x14ac:dyDescent="0.25">
      <c r="A2997" s="114">
        <v>308042</v>
      </c>
      <c r="B2997" s="90" t="s">
        <v>114</v>
      </c>
    </row>
    <row r="2998" spans="1:2" x14ac:dyDescent="0.25">
      <c r="A2998" s="114">
        <v>307393</v>
      </c>
      <c r="B2998" s="90" t="s">
        <v>118</v>
      </c>
    </row>
    <row r="2999" spans="1:2" x14ac:dyDescent="0.25">
      <c r="A2999" s="114">
        <v>313755</v>
      </c>
      <c r="B2999" s="90" t="s">
        <v>124</v>
      </c>
    </row>
    <row r="3000" spans="1:2" x14ac:dyDescent="0.25">
      <c r="A3000" s="114">
        <v>308829</v>
      </c>
      <c r="B3000" s="90" t="s">
        <v>126</v>
      </c>
    </row>
    <row r="3001" spans="1:2" x14ac:dyDescent="0.25">
      <c r="A3001" s="114">
        <v>307400</v>
      </c>
      <c r="B3001" s="90" t="s">
        <v>130</v>
      </c>
    </row>
    <row r="3002" spans="1:2" x14ac:dyDescent="0.25">
      <c r="A3002" s="114">
        <v>307656</v>
      </c>
      <c r="B3002" s="90" t="s">
        <v>133</v>
      </c>
    </row>
    <row r="3003" spans="1:2" x14ac:dyDescent="0.25">
      <c r="A3003" s="114">
        <v>307541</v>
      </c>
      <c r="B3003" s="90" t="s">
        <v>135</v>
      </c>
    </row>
    <row r="3004" spans="1:2" x14ac:dyDescent="0.25">
      <c r="A3004" s="114">
        <v>315521</v>
      </c>
      <c r="B3004" s="90" t="s">
        <v>138</v>
      </c>
    </row>
    <row r="3005" spans="1:2" x14ac:dyDescent="0.25">
      <c r="A3005" s="114">
        <v>307528</v>
      </c>
      <c r="B3005" s="90" t="s">
        <v>141</v>
      </c>
    </row>
    <row r="3006" spans="1:2" x14ac:dyDescent="0.25">
      <c r="A3006" s="114">
        <v>316737</v>
      </c>
      <c r="B3006" s="90" t="s">
        <v>143</v>
      </c>
    </row>
    <row r="3007" spans="1:2" x14ac:dyDescent="0.25">
      <c r="A3007" s="114">
        <v>313752</v>
      </c>
      <c r="B3007" s="90" t="s">
        <v>145</v>
      </c>
    </row>
    <row r="3008" spans="1:2" x14ac:dyDescent="0.25">
      <c r="A3008" s="114">
        <v>307678</v>
      </c>
      <c r="B3008" s="90" t="s">
        <v>147</v>
      </c>
    </row>
    <row r="3009" spans="1:2" x14ac:dyDescent="0.25">
      <c r="A3009" s="114">
        <v>312025</v>
      </c>
      <c r="B3009" s="90" t="s">
        <v>150</v>
      </c>
    </row>
    <row r="3010" spans="1:2" x14ac:dyDescent="0.25">
      <c r="A3010" s="114">
        <v>313425</v>
      </c>
      <c r="B3010" s="90" t="s">
        <v>152</v>
      </c>
    </row>
    <row r="3011" spans="1:2" x14ac:dyDescent="0.25">
      <c r="A3011" s="114">
        <v>307708</v>
      </c>
      <c r="B3011" s="90" t="s">
        <v>154</v>
      </c>
    </row>
    <row r="3012" spans="1:2" x14ac:dyDescent="0.25">
      <c r="A3012" s="114">
        <v>312520</v>
      </c>
      <c r="B3012" s="90" t="s">
        <v>156</v>
      </c>
    </row>
    <row r="3013" spans="1:2" x14ac:dyDescent="0.25">
      <c r="A3013" s="114">
        <v>307537</v>
      </c>
      <c r="B3013" s="90" t="s">
        <v>158</v>
      </c>
    </row>
    <row r="3014" spans="1:2" x14ac:dyDescent="0.25">
      <c r="A3014" s="114">
        <v>307409</v>
      </c>
      <c r="B3014" s="90" t="s">
        <v>161</v>
      </c>
    </row>
    <row r="3015" spans="1:2" x14ac:dyDescent="0.25">
      <c r="A3015" s="114">
        <v>308787</v>
      </c>
      <c r="B3015" s="90" t="s">
        <v>163</v>
      </c>
    </row>
    <row r="3016" spans="1:2" x14ac:dyDescent="0.25">
      <c r="A3016" s="114">
        <v>317582</v>
      </c>
      <c r="B3016" s="90" t="s">
        <v>166</v>
      </c>
    </row>
    <row r="3017" spans="1:2" x14ac:dyDescent="0.25">
      <c r="A3017" s="114">
        <v>315245</v>
      </c>
      <c r="B3017" s="90" t="s">
        <v>168</v>
      </c>
    </row>
    <row r="3018" spans="1:2" x14ac:dyDescent="0.25">
      <c r="A3018" s="114">
        <v>307082</v>
      </c>
      <c r="B3018" s="90" t="s">
        <v>170</v>
      </c>
    </row>
    <row r="3019" spans="1:2" x14ac:dyDescent="0.25">
      <c r="A3019" s="114">
        <v>307013</v>
      </c>
      <c r="B3019" s="90" t="s">
        <v>172</v>
      </c>
    </row>
    <row r="3020" spans="1:2" x14ac:dyDescent="0.25">
      <c r="A3020" s="114">
        <v>300073</v>
      </c>
      <c r="B3020" s="90" t="s">
        <v>173</v>
      </c>
    </row>
    <row r="3021" spans="1:2" x14ac:dyDescent="0.25">
      <c r="A3021" s="114">
        <v>308827</v>
      </c>
      <c r="B3021" s="90" t="s">
        <v>176</v>
      </c>
    </row>
    <row r="3022" spans="1:2" x14ac:dyDescent="0.25">
      <c r="A3022" s="114">
        <v>314545</v>
      </c>
      <c r="B3022" s="90" t="s">
        <v>178</v>
      </c>
    </row>
    <row r="3023" spans="1:2" x14ac:dyDescent="0.25">
      <c r="A3023" s="114">
        <v>306922</v>
      </c>
      <c r="B3023" s="90" t="s">
        <v>180</v>
      </c>
    </row>
    <row r="3024" spans="1:2" x14ac:dyDescent="0.25">
      <c r="A3024" s="114">
        <v>313848</v>
      </c>
      <c r="B3024" s="90" t="s">
        <v>182</v>
      </c>
    </row>
    <row r="3025" spans="1:2" x14ac:dyDescent="0.25">
      <c r="A3025" s="114">
        <v>312508</v>
      </c>
      <c r="B3025" s="90" t="s">
        <v>186</v>
      </c>
    </row>
    <row r="3026" spans="1:2" x14ac:dyDescent="0.25">
      <c r="A3026" s="114">
        <v>307889</v>
      </c>
      <c r="B3026" s="90" t="s">
        <v>188</v>
      </c>
    </row>
    <row r="3027" spans="1:2" x14ac:dyDescent="0.25">
      <c r="A3027" s="114">
        <v>306939</v>
      </c>
      <c r="B3027" s="90" t="s">
        <v>191</v>
      </c>
    </row>
    <row r="3028" spans="1:2" x14ac:dyDescent="0.25">
      <c r="A3028" s="114">
        <v>312130</v>
      </c>
      <c r="B3028" s="90" t="s">
        <v>193</v>
      </c>
    </row>
    <row r="3029" spans="1:2" x14ac:dyDescent="0.25">
      <c r="A3029" s="114">
        <v>307552</v>
      </c>
      <c r="B3029" s="90" t="s">
        <v>195</v>
      </c>
    </row>
    <row r="3030" spans="1:2" x14ac:dyDescent="0.25">
      <c r="A3030" s="114">
        <v>303029</v>
      </c>
      <c r="B3030" s="90" t="s">
        <v>198</v>
      </c>
    </row>
    <row r="3031" spans="1:2" x14ac:dyDescent="0.25">
      <c r="A3031" s="114">
        <v>306944</v>
      </c>
      <c r="B3031" s="90" t="s">
        <v>200</v>
      </c>
    </row>
    <row r="3032" spans="1:2" x14ac:dyDescent="0.25">
      <c r="A3032" s="114">
        <v>313920</v>
      </c>
      <c r="B3032" s="90" t="s">
        <v>202</v>
      </c>
    </row>
    <row r="3033" spans="1:2" x14ac:dyDescent="0.25">
      <c r="A3033" s="114">
        <v>307404</v>
      </c>
      <c r="B3033" s="90" t="s">
        <v>204</v>
      </c>
    </row>
    <row r="3034" spans="1:2" x14ac:dyDescent="0.25">
      <c r="A3034" s="114">
        <v>307506</v>
      </c>
      <c r="B3034" s="90" t="s">
        <v>206</v>
      </c>
    </row>
    <row r="3035" spans="1:2" x14ac:dyDescent="0.25">
      <c r="A3035" s="114">
        <v>306995</v>
      </c>
      <c r="B3035" s="90" t="s">
        <v>209</v>
      </c>
    </row>
    <row r="3036" spans="1:2" x14ac:dyDescent="0.25">
      <c r="A3036" s="114">
        <v>315425</v>
      </c>
      <c r="B3036" s="90" t="s">
        <v>212</v>
      </c>
    </row>
    <row r="3037" spans="1:2" x14ac:dyDescent="0.25">
      <c r="A3037" s="114">
        <v>314912</v>
      </c>
      <c r="B3037" s="90" t="s">
        <v>215</v>
      </c>
    </row>
    <row r="3038" spans="1:2" x14ac:dyDescent="0.25">
      <c r="A3038" s="114">
        <v>307846</v>
      </c>
      <c r="B3038" s="90" t="s">
        <v>217</v>
      </c>
    </row>
    <row r="3039" spans="1:2" x14ac:dyDescent="0.25">
      <c r="A3039" s="114">
        <v>307605</v>
      </c>
      <c r="B3039" s="90" t="s">
        <v>222</v>
      </c>
    </row>
    <row r="3040" spans="1:2" x14ac:dyDescent="0.25">
      <c r="A3040" s="114">
        <v>306912</v>
      </c>
      <c r="B3040" s="90" t="s">
        <v>226</v>
      </c>
    </row>
    <row r="3041" spans="1:2" x14ac:dyDescent="0.25">
      <c r="A3041" s="114">
        <v>308837</v>
      </c>
      <c r="B3041" s="90" t="s">
        <v>231</v>
      </c>
    </row>
    <row r="3042" spans="1:2" x14ac:dyDescent="0.25">
      <c r="A3042" s="114">
        <v>306926</v>
      </c>
      <c r="B3042" s="90" t="s">
        <v>232</v>
      </c>
    </row>
    <row r="3043" spans="1:2" x14ac:dyDescent="0.25">
      <c r="A3043" s="114">
        <v>316539</v>
      </c>
      <c r="B3043" s="90" t="s">
        <v>234</v>
      </c>
    </row>
    <row r="3044" spans="1:2" x14ac:dyDescent="0.25">
      <c r="A3044" s="114">
        <v>307550</v>
      </c>
      <c r="B3044" s="90" t="s">
        <v>238</v>
      </c>
    </row>
    <row r="3045" spans="1:2" x14ac:dyDescent="0.25">
      <c r="A3045" s="114">
        <v>306968</v>
      </c>
      <c r="B3045" s="90" t="s">
        <v>240</v>
      </c>
    </row>
    <row r="3046" spans="1:2" x14ac:dyDescent="0.25">
      <c r="A3046" s="114">
        <v>312361</v>
      </c>
      <c r="B3046" s="90" t="s">
        <v>242</v>
      </c>
    </row>
    <row r="3047" spans="1:2" x14ac:dyDescent="0.25">
      <c r="A3047" s="114">
        <v>308822</v>
      </c>
      <c r="B3047" s="90" t="s">
        <v>244</v>
      </c>
    </row>
    <row r="3048" spans="1:2" x14ac:dyDescent="0.25">
      <c r="A3048" s="114">
        <v>307529</v>
      </c>
      <c r="B3048" s="90" t="s">
        <v>246</v>
      </c>
    </row>
    <row r="3049" spans="1:2" x14ac:dyDescent="0.25">
      <c r="A3049" s="114" t="s">
        <v>250</v>
      </c>
      <c r="B3049" s="90" t="s">
        <v>249</v>
      </c>
    </row>
    <row r="3050" spans="1:2" x14ac:dyDescent="0.25">
      <c r="A3050" s="114">
        <v>306909</v>
      </c>
      <c r="B3050" s="90" t="s">
        <v>253</v>
      </c>
    </row>
    <row r="3051" spans="1:2" x14ac:dyDescent="0.25">
      <c r="A3051" s="114">
        <v>307056</v>
      </c>
      <c r="B3051" s="90" t="s">
        <v>255</v>
      </c>
    </row>
    <row r="3052" spans="1:2" x14ac:dyDescent="0.25">
      <c r="A3052" s="114">
        <v>307454</v>
      </c>
      <c r="B3052" s="90" t="s">
        <v>257</v>
      </c>
    </row>
    <row r="3053" spans="1:2" x14ac:dyDescent="0.25">
      <c r="A3053" s="114" t="s">
        <v>260</v>
      </c>
      <c r="B3053" s="90" t="s">
        <v>259</v>
      </c>
    </row>
    <row r="3054" spans="1:2" x14ac:dyDescent="0.25">
      <c r="A3054" s="114" t="s">
        <v>264</v>
      </c>
      <c r="B3054" s="90" t="s">
        <v>263</v>
      </c>
    </row>
    <row r="3055" spans="1:2" x14ac:dyDescent="0.25">
      <c r="A3055" s="114" t="s">
        <v>269</v>
      </c>
      <c r="B3055" s="90" t="s">
        <v>268</v>
      </c>
    </row>
    <row r="3056" spans="1:2" x14ac:dyDescent="0.25">
      <c r="A3056" s="114" t="s">
        <v>272</v>
      </c>
      <c r="B3056" s="90" t="s">
        <v>271</v>
      </c>
    </row>
    <row r="3057" spans="1:2" x14ac:dyDescent="0.25">
      <c r="A3057" s="114" t="s">
        <v>276</v>
      </c>
      <c r="B3057" s="90" t="s">
        <v>275</v>
      </c>
    </row>
    <row r="3058" spans="1:2" x14ac:dyDescent="0.25">
      <c r="A3058" s="114">
        <v>306943</v>
      </c>
      <c r="B3058" s="90" t="s">
        <v>279</v>
      </c>
    </row>
    <row r="3059" spans="1:2" x14ac:dyDescent="0.25">
      <c r="A3059" s="114">
        <v>307812</v>
      </c>
      <c r="B3059" s="90" t="s">
        <v>281</v>
      </c>
    </row>
    <row r="3060" spans="1:2" x14ac:dyDescent="0.25">
      <c r="A3060" s="114">
        <v>307796</v>
      </c>
      <c r="B3060" s="90" t="s">
        <v>284</v>
      </c>
    </row>
    <row r="3061" spans="1:2" x14ac:dyDescent="0.25">
      <c r="A3061" s="114">
        <v>307599</v>
      </c>
      <c r="B3061" s="90" t="s">
        <v>287</v>
      </c>
    </row>
    <row r="3062" spans="1:2" x14ac:dyDescent="0.25">
      <c r="A3062" s="114">
        <v>314329</v>
      </c>
      <c r="B3062" s="90" t="s">
        <v>289</v>
      </c>
    </row>
    <row r="3063" spans="1:2" x14ac:dyDescent="0.25">
      <c r="A3063" s="114">
        <v>308067</v>
      </c>
      <c r="B3063" s="90" t="s">
        <v>291</v>
      </c>
    </row>
    <row r="3064" spans="1:2" x14ac:dyDescent="0.25">
      <c r="A3064" s="114">
        <v>307915</v>
      </c>
      <c r="B3064" s="90" t="s">
        <v>294</v>
      </c>
    </row>
    <row r="3065" spans="1:2" x14ac:dyDescent="0.25">
      <c r="A3065" s="114">
        <v>306935</v>
      </c>
      <c r="B3065" s="90" t="s">
        <v>295</v>
      </c>
    </row>
    <row r="3066" spans="1:2" x14ac:dyDescent="0.25">
      <c r="A3066" s="114">
        <v>307498</v>
      </c>
      <c r="B3066" s="90" t="s">
        <v>298</v>
      </c>
    </row>
    <row r="3067" spans="1:2" x14ac:dyDescent="0.25">
      <c r="A3067" s="114">
        <v>308001</v>
      </c>
      <c r="B3067" s="90" t="s">
        <v>300</v>
      </c>
    </row>
    <row r="3068" spans="1:2" x14ac:dyDescent="0.25">
      <c r="A3068" s="114">
        <v>307405</v>
      </c>
      <c r="B3068" s="90" t="s">
        <v>302</v>
      </c>
    </row>
    <row r="3069" spans="1:2" x14ac:dyDescent="0.25">
      <c r="A3069" s="114">
        <v>313850</v>
      </c>
      <c r="B3069" s="90" t="s">
        <v>305</v>
      </c>
    </row>
    <row r="3070" spans="1:2" x14ac:dyDescent="0.25">
      <c r="A3070" s="114">
        <v>307564</v>
      </c>
      <c r="B3070" s="90" t="s">
        <v>307</v>
      </c>
    </row>
    <row r="3071" spans="1:2" x14ac:dyDescent="0.25">
      <c r="A3071" s="114">
        <v>307763</v>
      </c>
      <c r="B3071" s="90" t="s">
        <v>309</v>
      </c>
    </row>
    <row r="3072" spans="1:2" x14ac:dyDescent="0.25">
      <c r="A3072" s="114">
        <v>312810</v>
      </c>
      <c r="B3072" s="90" t="s">
        <v>311</v>
      </c>
    </row>
    <row r="3073" spans="1:2" x14ac:dyDescent="0.25">
      <c r="A3073" s="114">
        <v>307719</v>
      </c>
      <c r="B3073" s="90" t="s">
        <v>315</v>
      </c>
    </row>
    <row r="3074" spans="1:2" x14ac:dyDescent="0.25">
      <c r="A3074" s="114">
        <v>307499</v>
      </c>
      <c r="B3074" s="90" t="s">
        <v>317</v>
      </c>
    </row>
    <row r="3075" spans="1:2" x14ac:dyDescent="0.25">
      <c r="A3075" s="114">
        <v>307921</v>
      </c>
      <c r="B3075" s="90" t="s">
        <v>321</v>
      </c>
    </row>
    <row r="3076" spans="1:2" x14ac:dyDescent="0.25">
      <c r="A3076" s="114">
        <v>307493</v>
      </c>
      <c r="B3076" s="90" t="s">
        <v>323</v>
      </c>
    </row>
    <row r="3077" spans="1:2" x14ac:dyDescent="0.25">
      <c r="A3077" s="114">
        <v>307394</v>
      </c>
      <c r="B3077" s="90" t="s">
        <v>326</v>
      </c>
    </row>
    <row r="3078" spans="1:2" x14ac:dyDescent="0.25">
      <c r="A3078" s="114">
        <v>313202</v>
      </c>
      <c r="B3078" s="90" t="s">
        <v>329</v>
      </c>
    </row>
    <row r="3079" spans="1:2" x14ac:dyDescent="0.25">
      <c r="A3079" s="114">
        <v>316623</v>
      </c>
      <c r="B3079" s="90" t="s">
        <v>331</v>
      </c>
    </row>
    <row r="3080" spans="1:2" x14ac:dyDescent="0.25">
      <c r="A3080" s="114">
        <v>313108</v>
      </c>
      <c r="B3080" s="90" t="s">
        <v>333</v>
      </c>
    </row>
    <row r="3081" spans="1:2" x14ac:dyDescent="0.25">
      <c r="A3081" s="114">
        <v>306988</v>
      </c>
      <c r="B3081" s="90" t="s">
        <v>336</v>
      </c>
    </row>
    <row r="3082" spans="1:2" x14ac:dyDescent="0.25">
      <c r="A3082" s="114">
        <v>313875</v>
      </c>
      <c r="B3082" s="90" t="s">
        <v>338</v>
      </c>
    </row>
    <row r="3083" spans="1:2" x14ac:dyDescent="0.25">
      <c r="A3083" s="114">
        <v>312337</v>
      </c>
      <c r="B3083" s="90" t="s">
        <v>340</v>
      </c>
    </row>
    <row r="3084" spans="1:2" x14ac:dyDescent="0.25">
      <c r="A3084" s="114">
        <v>306936</v>
      </c>
      <c r="B3084" s="90" t="s">
        <v>342</v>
      </c>
    </row>
    <row r="3085" spans="1:2" x14ac:dyDescent="0.25">
      <c r="A3085" s="114">
        <v>307063</v>
      </c>
      <c r="B3085" s="90" t="s">
        <v>344</v>
      </c>
    </row>
    <row r="3086" spans="1:2" x14ac:dyDescent="0.25">
      <c r="A3086" s="114">
        <v>308044</v>
      </c>
      <c r="B3086" s="90" t="s">
        <v>346</v>
      </c>
    </row>
    <row r="3087" spans="1:2" x14ac:dyDescent="0.25">
      <c r="A3087" s="114">
        <v>307060</v>
      </c>
      <c r="B3087" s="90" t="s">
        <v>349</v>
      </c>
    </row>
    <row r="3088" spans="1:2" x14ac:dyDescent="0.25">
      <c r="A3088" s="114">
        <v>313193</v>
      </c>
      <c r="B3088" s="90" t="s">
        <v>353</v>
      </c>
    </row>
    <row r="3089" spans="1:2" x14ac:dyDescent="0.25">
      <c r="A3089" s="114">
        <v>313058</v>
      </c>
      <c r="B3089" s="90" t="s">
        <v>355</v>
      </c>
    </row>
    <row r="3090" spans="1:2" x14ac:dyDescent="0.25">
      <c r="A3090" s="114">
        <v>312485</v>
      </c>
      <c r="B3090" s="90" t="s">
        <v>360</v>
      </c>
    </row>
    <row r="3091" spans="1:2" x14ac:dyDescent="0.25">
      <c r="A3091" s="114">
        <v>314824</v>
      </c>
      <c r="B3091" s="90" t="s">
        <v>362</v>
      </c>
    </row>
    <row r="3092" spans="1:2" x14ac:dyDescent="0.25">
      <c r="A3092" s="114">
        <v>313107</v>
      </c>
      <c r="B3092" s="90" t="s">
        <v>364</v>
      </c>
    </row>
    <row r="3093" spans="1:2" x14ac:dyDescent="0.25">
      <c r="A3093" s="114">
        <v>315867</v>
      </c>
      <c r="B3093" s="90" t="s">
        <v>366</v>
      </c>
    </row>
    <row r="3094" spans="1:2" x14ac:dyDescent="0.25">
      <c r="A3094" s="114">
        <v>312961</v>
      </c>
      <c r="B3094" s="90" t="s">
        <v>369</v>
      </c>
    </row>
    <row r="3095" spans="1:2" x14ac:dyDescent="0.25">
      <c r="A3095" s="114">
        <v>300230</v>
      </c>
      <c r="B3095" s="90" t="s">
        <v>371</v>
      </c>
    </row>
    <row r="3096" spans="1:2" x14ac:dyDescent="0.25">
      <c r="A3096" s="114">
        <v>307619</v>
      </c>
      <c r="B3096" s="90" t="s">
        <v>373</v>
      </c>
    </row>
    <row r="3097" spans="1:2" x14ac:dyDescent="0.25">
      <c r="A3097" s="114">
        <v>307629</v>
      </c>
      <c r="B3097" s="90" t="s">
        <v>375</v>
      </c>
    </row>
    <row r="3098" spans="1:2" x14ac:dyDescent="0.25">
      <c r="A3098" s="114">
        <v>307879</v>
      </c>
      <c r="B3098" s="90" t="s">
        <v>377</v>
      </c>
    </row>
    <row r="3099" spans="1:2" x14ac:dyDescent="0.25">
      <c r="A3099" s="114">
        <v>313731</v>
      </c>
      <c r="B3099" s="90" t="s">
        <v>380</v>
      </c>
    </row>
    <row r="3100" spans="1:2" x14ac:dyDescent="0.25">
      <c r="A3100" s="114">
        <v>306980</v>
      </c>
      <c r="B3100" s="90" t="s">
        <v>382</v>
      </c>
    </row>
    <row r="3101" spans="1:2" x14ac:dyDescent="0.25">
      <c r="A3101" s="114">
        <v>318010</v>
      </c>
      <c r="B3101" s="90" t="s">
        <v>384</v>
      </c>
    </row>
    <row r="3102" spans="1:2" x14ac:dyDescent="0.25">
      <c r="A3102" s="114">
        <v>307716</v>
      </c>
      <c r="B3102" s="90" t="s">
        <v>386</v>
      </c>
    </row>
    <row r="3103" spans="1:2" x14ac:dyDescent="0.25">
      <c r="A3103" s="114">
        <v>307540</v>
      </c>
      <c r="B3103" s="90" t="s">
        <v>388</v>
      </c>
    </row>
    <row r="3104" spans="1:2" x14ac:dyDescent="0.25">
      <c r="A3104" s="114">
        <v>306913</v>
      </c>
      <c r="B3104" s="90" t="s">
        <v>390</v>
      </c>
    </row>
    <row r="3105" spans="1:2" x14ac:dyDescent="0.25">
      <c r="A3105" s="114">
        <v>307407</v>
      </c>
      <c r="B3105" s="90" t="s">
        <v>392</v>
      </c>
    </row>
    <row r="3106" spans="1:2" x14ac:dyDescent="0.25">
      <c r="A3106" s="114">
        <v>313532</v>
      </c>
      <c r="B3106" s="90" t="s">
        <v>395</v>
      </c>
    </row>
    <row r="3107" spans="1:2" x14ac:dyDescent="0.25">
      <c r="A3107" s="114">
        <v>315573</v>
      </c>
      <c r="B3107" s="90" t="s">
        <v>397</v>
      </c>
    </row>
    <row r="3108" spans="1:2" x14ac:dyDescent="0.25">
      <c r="A3108" s="114">
        <v>307390</v>
      </c>
      <c r="B3108" s="90" t="s">
        <v>399</v>
      </c>
    </row>
    <row r="3109" spans="1:2" x14ac:dyDescent="0.25">
      <c r="A3109" s="114">
        <v>307709</v>
      </c>
      <c r="B3109" s="90" t="s">
        <v>405</v>
      </c>
    </row>
    <row r="3110" spans="1:2" x14ac:dyDescent="0.25">
      <c r="A3110" s="114">
        <v>307011</v>
      </c>
      <c r="B3110" s="90" t="s">
        <v>410</v>
      </c>
    </row>
    <row r="3111" spans="1:2" x14ac:dyDescent="0.25">
      <c r="A3111" s="114">
        <v>313305</v>
      </c>
      <c r="B3111" s="90" t="s">
        <v>412</v>
      </c>
    </row>
    <row r="3112" spans="1:2" x14ac:dyDescent="0.25">
      <c r="A3112" s="114">
        <v>307507</v>
      </c>
      <c r="B3112" s="90" t="s">
        <v>415</v>
      </c>
    </row>
    <row r="3113" spans="1:2" x14ac:dyDescent="0.25">
      <c r="A3113" s="114">
        <v>313874</v>
      </c>
      <c r="B3113" s="90" t="s">
        <v>421</v>
      </c>
    </row>
    <row r="3114" spans="1:2" x14ac:dyDescent="0.25">
      <c r="A3114" s="114">
        <v>307526</v>
      </c>
      <c r="B3114" s="90" t="s">
        <v>423</v>
      </c>
    </row>
    <row r="3115" spans="1:2" x14ac:dyDescent="0.25">
      <c r="A3115" s="114">
        <v>316754</v>
      </c>
      <c r="B3115" s="90" t="s">
        <v>425</v>
      </c>
    </row>
    <row r="3116" spans="1:2" x14ac:dyDescent="0.25">
      <c r="A3116" s="114">
        <v>306962</v>
      </c>
      <c r="B3116" s="90" t="s">
        <v>428</v>
      </c>
    </row>
    <row r="3117" spans="1:2" x14ac:dyDescent="0.25">
      <c r="A3117" s="114">
        <v>307399</v>
      </c>
      <c r="B3117" s="90" t="s">
        <v>430</v>
      </c>
    </row>
    <row r="3118" spans="1:2" x14ac:dyDescent="0.25">
      <c r="A3118" s="114">
        <v>307691</v>
      </c>
      <c r="B3118" s="90" t="s">
        <v>433</v>
      </c>
    </row>
    <row r="3119" spans="1:2" x14ac:dyDescent="0.25">
      <c r="A3119" s="114" t="s">
        <v>436</v>
      </c>
      <c r="B3119" s="90" t="s">
        <v>435</v>
      </c>
    </row>
    <row r="3120" spans="1:2" x14ac:dyDescent="0.25">
      <c r="A3120" s="114" t="s">
        <v>440</v>
      </c>
      <c r="B3120" s="90" t="s">
        <v>439</v>
      </c>
    </row>
    <row r="3121" spans="1:2" x14ac:dyDescent="0.25">
      <c r="A3121" s="114" t="s">
        <v>442</v>
      </c>
      <c r="B3121" s="90" t="s">
        <v>441</v>
      </c>
    </row>
    <row r="3122" spans="1:2" x14ac:dyDescent="0.25">
      <c r="A3122" s="114" t="s">
        <v>445</v>
      </c>
      <c r="B3122" s="90" t="s">
        <v>444</v>
      </c>
    </row>
    <row r="3123" spans="1:2" x14ac:dyDescent="0.25">
      <c r="A3123" s="114" t="s">
        <v>448</v>
      </c>
      <c r="B3123" s="90" t="s">
        <v>447</v>
      </c>
    </row>
    <row r="3124" spans="1:2" x14ac:dyDescent="0.25">
      <c r="A3124" s="114">
        <v>314145</v>
      </c>
      <c r="B3124" s="90" t="s">
        <v>451</v>
      </c>
    </row>
    <row r="3125" spans="1:2" x14ac:dyDescent="0.25">
      <c r="A3125" s="114">
        <v>313549</v>
      </c>
      <c r="B3125" s="90" t="s">
        <v>455</v>
      </c>
    </row>
    <row r="3126" spans="1:2" x14ac:dyDescent="0.25">
      <c r="A3126" s="114">
        <v>307395</v>
      </c>
      <c r="B3126" s="90" t="s">
        <v>461</v>
      </c>
    </row>
    <row r="3127" spans="1:2" x14ac:dyDescent="0.25">
      <c r="A3127" s="114">
        <v>313654</v>
      </c>
      <c r="B3127" s="90" t="s">
        <v>467</v>
      </c>
    </row>
    <row r="3128" spans="1:2" x14ac:dyDescent="0.25">
      <c r="A3128" s="114">
        <v>307639</v>
      </c>
      <c r="B3128" s="90" t="s">
        <v>471</v>
      </c>
    </row>
    <row r="3129" spans="1:2" x14ac:dyDescent="0.25">
      <c r="A3129" s="114">
        <v>308790</v>
      </c>
      <c r="B3129" s="90" t="s">
        <v>473</v>
      </c>
    </row>
    <row r="3130" spans="1:2" x14ac:dyDescent="0.25">
      <c r="A3130" s="114">
        <v>307711</v>
      </c>
      <c r="B3130" s="90" t="s">
        <v>475</v>
      </c>
    </row>
    <row r="3131" spans="1:2" x14ac:dyDescent="0.25">
      <c r="A3131" s="114">
        <v>307654</v>
      </c>
      <c r="B3131" s="90" t="s">
        <v>476</v>
      </c>
    </row>
    <row r="3132" spans="1:2" x14ac:dyDescent="0.25">
      <c r="A3132" s="114">
        <v>308808</v>
      </c>
      <c r="B3132" s="90" t="s">
        <v>478</v>
      </c>
    </row>
    <row r="3133" spans="1:2" x14ac:dyDescent="0.25">
      <c r="A3133" s="114">
        <v>307739</v>
      </c>
      <c r="B3133" s="90" t="s">
        <v>480</v>
      </c>
    </row>
    <row r="3134" spans="1:2" x14ac:dyDescent="0.25">
      <c r="A3134" s="114">
        <v>306984</v>
      </c>
      <c r="B3134" s="90" t="s">
        <v>482</v>
      </c>
    </row>
    <row r="3135" spans="1:2" x14ac:dyDescent="0.25">
      <c r="A3135" s="114">
        <v>322720</v>
      </c>
      <c r="B3135" s="90" t="s">
        <v>484</v>
      </c>
    </row>
    <row r="3136" spans="1:2" x14ac:dyDescent="0.25">
      <c r="A3136" s="114">
        <v>307549</v>
      </c>
      <c r="B3136" s="90" t="s">
        <v>486</v>
      </c>
    </row>
    <row r="3137" spans="1:2" x14ac:dyDescent="0.25">
      <c r="A3137" s="114">
        <v>307397</v>
      </c>
      <c r="B3137" s="90" t="s">
        <v>491</v>
      </c>
    </row>
    <row r="3138" spans="1:2" x14ac:dyDescent="0.25">
      <c r="A3138" s="114">
        <v>307055</v>
      </c>
      <c r="B3138" s="90" t="s">
        <v>493</v>
      </c>
    </row>
    <row r="3139" spans="1:2" x14ac:dyDescent="0.25">
      <c r="A3139" s="114">
        <v>313769</v>
      </c>
      <c r="B3139" s="90" t="s">
        <v>495</v>
      </c>
    </row>
    <row r="3140" spans="1:2" x14ac:dyDescent="0.25">
      <c r="A3140" s="114">
        <v>308820</v>
      </c>
      <c r="B3140" s="90" t="s">
        <v>497</v>
      </c>
    </row>
  </sheetData>
  <autoFilter ref="A1:G3140" xr:uid="{8AAC2834-80CF-46B8-B023-1B5FC7FA1DA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7903-B225-46D8-961A-208567410B15}">
  <sheetPr codeName="Sheet3">
    <tabColor theme="8" tint="0.39997558519241921"/>
  </sheetPr>
  <dimension ref="A1:H208"/>
  <sheetViews>
    <sheetView zoomScale="80" zoomScaleNormal="80" workbookViewId="0">
      <selection activeCell="C2" sqref="C2"/>
    </sheetView>
  </sheetViews>
  <sheetFormatPr defaultRowHeight="15" x14ac:dyDescent="0.25"/>
  <cols>
    <col min="1" max="1" width="61.5703125" style="21" customWidth="1"/>
    <col min="2" max="2" width="17.7109375" style="21" bestFit="1" customWidth="1"/>
    <col min="3" max="3" width="58.5703125" style="24" customWidth="1"/>
    <col min="4" max="4" width="18" style="42" customWidth="1"/>
    <col min="5" max="5" width="30" style="30" bestFit="1" customWidth="1"/>
    <col min="6" max="6" width="15.28515625" style="1" bestFit="1" customWidth="1"/>
    <col min="7" max="7" width="41.140625" style="1" bestFit="1" customWidth="1"/>
    <col min="8" max="8" width="14.5703125" style="1" customWidth="1"/>
  </cols>
  <sheetData>
    <row r="1" spans="1:8" ht="30" x14ac:dyDescent="0.25">
      <c r="A1" s="51" t="s">
        <v>8585</v>
      </c>
      <c r="B1" s="52" t="s">
        <v>8586</v>
      </c>
      <c r="C1" s="52" t="s">
        <v>13</v>
      </c>
      <c r="D1" s="41" t="s">
        <v>9606</v>
      </c>
      <c r="E1" s="30" t="s">
        <v>9605</v>
      </c>
      <c r="F1" s="83" t="s">
        <v>8588</v>
      </c>
      <c r="G1" s="83" t="s">
        <v>8589</v>
      </c>
      <c r="H1" s="83" t="s">
        <v>9621</v>
      </c>
    </row>
    <row r="2" spans="1:8" ht="45" x14ac:dyDescent="0.25">
      <c r="A2" s="21" t="s">
        <v>8595</v>
      </c>
      <c r="B2" s="21" t="s">
        <v>3744</v>
      </c>
      <c r="C2" s="24" t="s">
        <v>8596</v>
      </c>
      <c r="D2" s="42">
        <v>67</v>
      </c>
      <c r="E2" s="30" t="s">
        <v>410</v>
      </c>
      <c r="F2" s="1">
        <v>150200390</v>
      </c>
      <c r="G2" s="1" t="s">
        <v>8597</v>
      </c>
      <c r="H2" s="1">
        <f t="shared" ref="H2:H65" si="0">IF(E2="","",IFERROR(INDEX(ONGEN_VENDOR_CODES,MATCH(E2,ONGEN_VENDOR_NAMES,0)),""))</f>
        <v>307011</v>
      </c>
    </row>
    <row r="3" spans="1:8" ht="45" x14ac:dyDescent="0.25">
      <c r="A3" s="21" t="s">
        <v>8602</v>
      </c>
      <c r="B3" s="21" t="s">
        <v>3744</v>
      </c>
      <c r="C3" s="24" t="s">
        <v>8603</v>
      </c>
      <c r="D3" s="42">
        <v>192.77</v>
      </c>
      <c r="E3" s="30" t="s">
        <v>410</v>
      </c>
      <c r="F3" s="1">
        <v>150200390</v>
      </c>
      <c r="G3" s="1" t="s">
        <v>8597</v>
      </c>
      <c r="H3" s="1">
        <f t="shared" si="0"/>
        <v>307011</v>
      </c>
    </row>
    <row r="4" spans="1:8" ht="45" x14ac:dyDescent="0.25">
      <c r="A4" s="21" t="s">
        <v>8606</v>
      </c>
      <c r="B4" s="21" t="s">
        <v>3744</v>
      </c>
      <c r="C4" s="24" t="s">
        <v>8607</v>
      </c>
      <c r="D4" s="42">
        <v>53.2</v>
      </c>
      <c r="E4" s="30" t="s">
        <v>410</v>
      </c>
      <c r="F4" s="1">
        <v>150200390</v>
      </c>
      <c r="G4" s="1" t="s">
        <v>8597</v>
      </c>
      <c r="H4" s="1">
        <f t="shared" si="0"/>
        <v>307011</v>
      </c>
    </row>
    <row r="5" spans="1:8" ht="60" x14ac:dyDescent="0.25">
      <c r="A5" s="21" t="s">
        <v>8610</v>
      </c>
      <c r="B5" s="21" t="s">
        <v>3744</v>
      </c>
      <c r="C5" s="24" t="s">
        <v>8611</v>
      </c>
      <c r="D5" s="42">
        <v>146.53</v>
      </c>
      <c r="E5" s="30" t="s">
        <v>410</v>
      </c>
      <c r="F5" s="1">
        <v>150200390</v>
      </c>
      <c r="G5" s="1" t="s">
        <v>8597</v>
      </c>
      <c r="H5" s="1">
        <f t="shared" si="0"/>
        <v>307011</v>
      </c>
    </row>
    <row r="6" spans="1:8" ht="45" x14ac:dyDescent="0.25">
      <c r="A6" s="21" t="s">
        <v>8613</v>
      </c>
      <c r="B6" s="21" t="s">
        <v>3744</v>
      </c>
      <c r="C6" s="24" t="s">
        <v>8614</v>
      </c>
      <c r="D6" s="42">
        <v>8.1199999999999992</v>
      </c>
      <c r="E6" s="30" t="s">
        <v>410</v>
      </c>
      <c r="F6" s="1">
        <v>300300490</v>
      </c>
      <c r="G6" s="1" t="s">
        <v>8615</v>
      </c>
      <c r="H6" s="1">
        <f t="shared" si="0"/>
        <v>307011</v>
      </c>
    </row>
    <row r="7" spans="1:8" ht="30" x14ac:dyDescent="0.25">
      <c r="A7" s="21" t="s">
        <v>8616</v>
      </c>
      <c r="B7" s="21" t="s">
        <v>3744</v>
      </c>
      <c r="C7" s="24" t="s">
        <v>8617</v>
      </c>
      <c r="D7" s="42">
        <v>24</v>
      </c>
      <c r="E7" s="30" t="s">
        <v>410</v>
      </c>
      <c r="F7" s="1">
        <v>300300490</v>
      </c>
      <c r="G7" s="1" t="s">
        <v>8615</v>
      </c>
      <c r="H7" s="1">
        <f t="shared" si="0"/>
        <v>307011</v>
      </c>
    </row>
    <row r="8" spans="1:8" ht="30" x14ac:dyDescent="0.25">
      <c r="A8" s="21" t="s">
        <v>8618</v>
      </c>
      <c r="B8" s="21" t="s">
        <v>3744</v>
      </c>
      <c r="C8" s="24" t="s">
        <v>8619</v>
      </c>
      <c r="D8" s="42">
        <v>34.799999999999997</v>
      </c>
      <c r="E8" s="30" t="s">
        <v>410</v>
      </c>
      <c r="F8" s="1">
        <v>300300490</v>
      </c>
      <c r="G8" s="1" t="s">
        <v>8615</v>
      </c>
      <c r="H8" s="1">
        <f t="shared" si="0"/>
        <v>307011</v>
      </c>
    </row>
    <row r="9" spans="1:8" x14ac:dyDescent="0.25">
      <c r="A9" s="21" t="s">
        <v>8621</v>
      </c>
      <c r="B9" s="21" t="s">
        <v>3744</v>
      </c>
      <c r="C9" s="24" t="s">
        <v>8622</v>
      </c>
      <c r="D9" s="42">
        <v>18.440000000000001</v>
      </c>
      <c r="E9" s="30" t="s">
        <v>410</v>
      </c>
      <c r="F9" s="1">
        <v>300300490</v>
      </c>
      <c r="G9" s="1" t="s">
        <v>8615</v>
      </c>
      <c r="H9" s="1">
        <f t="shared" si="0"/>
        <v>307011</v>
      </c>
    </row>
    <row r="10" spans="1:8" ht="45" x14ac:dyDescent="0.25">
      <c r="A10" s="21" t="s">
        <v>8624</v>
      </c>
      <c r="B10" s="21" t="s">
        <v>3744</v>
      </c>
      <c r="C10" s="24" t="s">
        <v>8625</v>
      </c>
      <c r="D10" s="42">
        <v>47.59</v>
      </c>
      <c r="E10" s="30" t="s">
        <v>410</v>
      </c>
      <c r="F10" s="1">
        <v>150200390</v>
      </c>
      <c r="G10" s="1" t="s">
        <v>8597</v>
      </c>
      <c r="H10" s="1">
        <f t="shared" si="0"/>
        <v>307011</v>
      </c>
    </row>
    <row r="11" spans="1:8" ht="45" x14ac:dyDescent="0.25">
      <c r="A11" s="21" t="s">
        <v>8627</v>
      </c>
      <c r="B11" s="21" t="s">
        <v>3744</v>
      </c>
      <c r="C11" s="24" t="s">
        <v>8628</v>
      </c>
      <c r="D11" s="42">
        <v>8.4499999999999993</v>
      </c>
      <c r="E11" s="30" t="s">
        <v>410</v>
      </c>
      <c r="F11" s="1">
        <v>300300490</v>
      </c>
      <c r="G11" s="1" t="s">
        <v>8615</v>
      </c>
      <c r="H11" s="1">
        <f t="shared" si="0"/>
        <v>307011</v>
      </c>
    </row>
    <row r="12" spans="1:8" ht="45" x14ac:dyDescent="0.25">
      <c r="A12" s="21" t="s">
        <v>8629</v>
      </c>
      <c r="B12" s="21" t="s">
        <v>3744</v>
      </c>
      <c r="C12" s="24" t="s">
        <v>8630</v>
      </c>
      <c r="D12" s="42">
        <v>67.34</v>
      </c>
      <c r="E12" s="30" t="s">
        <v>410</v>
      </c>
      <c r="F12" s="1">
        <v>150200390</v>
      </c>
      <c r="G12" s="1" t="s">
        <v>8597</v>
      </c>
      <c r="H12" s="1">
        <f t="shared" si="0"/>
        <v>307011</v>
      </c>
    </row>
    <row r="13" spans="1:8" x14ac:dyDescent="0.25">
      <c r="A13" s="21">
        <v>1070985</v>
      </c>
      <c r="B13" s="21" t="s">
        <v>415</v>
      </c>
      <c r="C13" s="24" t="s">
        <v>8631</v>
      </c>
      <c r="D13" s="42">
        <v>106.87</v>
      </c>
      <c r="E13" s="30" t="s">
        <v>9636</v>
      </c>
      <c r="F13" s="22">
        <v>150140170</v>
      </c>
      <c r="G13" s="22" t="s">
        <v>8652</v>
      </c>
      <c r="H13" s="38">
        <f t="shared" si="0"/>
        <v>307507</v>
      </c>
    </row>
    <row r="14" spans="1:8" x14ac:dyDescent="0.25">
      <c r="A14" s="21">
        <v>2051612</v>
      </c>
      <c r="B14" s="21" t="s">
        <v>415</v>
      </c>
      <c r="C14" s="24" t="s">
        <v>8632</v>
      </c>
      <c r="E14" s="30" t="s">
        <v>9636</v>
      </c>
      <c r="F14" s="22">
        <v>150140170</v>
      </c>
      <c r="G14" s="22" t="s">
        <v>8652</v>
      </c>
      <c r="H14" s="38">
        <f t="shared" si="0"/>
        <v>307507</v>
      </c>
    </row>
    <row r="15" spans="1:8" ht="45" x14ac:dyDescent="0.25">
      <c r="A15" s="21" t="s">
        <v>8633</v>
      </c>
      <c r="B15" s="21" t="s">
        <v>3744</v>
      </c>
      <c r="C15" s="24" t="s">
        <v>8634</v>
      </c>
      <c r="D15" s="42">
        <v>10.34</v>
      </c>
      <c r="E15" s="30" t="s">
        <v>410</v>
      </c>
      <c r="F15" s="1">
        <v>150200390</v>
      </c>
      <c r="G15" s="1" t="s">
        <v>8597</v>
      </c>
      <c r="H15" s="1">
        <f t="shared" si="0"/>
        <v>307011</v>
      </c>
    </row>
    <row r="16" spans="1:8" ht="45" x14ac:dyDescent="0.25">
      <c r="A16" s="21" t="s">
        <v>8635</v>
      </c>
      <c r="B16" s="21" t="s">
        <v>3744</v>
      </c>
      <c r="C16" s="24" t="s">
        <v>8636</v>
      </c>
      <c r="D16" s="42">
        <v>56.08</v>
      </c>
      <c r="E16" s="30" t="s">
        <v>410</v>
      </c>
      <c r="F16" s="1">
        <v>150200390</v>
      </c>
      <c r="G16" s="1" t="s">
        <v>8597</v>
      </c>
      <c r="H16" s="1">
        <f t="shared" si="0"/>
        <v>307011</v>
      </c>
    </row>
    <row r="17" spans="1:8" x14ac:dyDescent="0.25">
      <c r="A17" s="21" t="s">
        <v>8637</v>
      </c>
      <c r="B17" s="21" t="s">
        <v>1025</v>
      </c>
      <c r="C17" s="24" t="s">
        <v>8638</v>
      </c>
      <c r="D17" s="42">
        <v>21.51</v>
      </c>
      <c r="E17" s="30" t="s">
        <v>410</v>
      </c>
      <c r="F17" s="22">
        <v>300300490</v>
      </c>
      <c r="G17" s="22" t="s">
        <v>8615</v>
      </c>
      <c r="H17" s="1">
        <f t="shared" si="0"/>
        <v>307011</v>
      </c>
    </row>
    <row r="18" spans="1:8" x14ac:dyDescent="0.25">
      <c r="A18" s="21" t="s">
        <v>8639</v>
      </c>
      <c r="B18" s="21" t="s">
        <v>1025</v>
      </c>
      <c r="C18" s="24" t="s">
        <v>8640</v>
      </c>
      <c r="D18" s="42">
        <v>24.08</v>
      </c>
      <c r="E18" s="30" t="s">
        <v>410</v>
      </c>
      <c r="F18" s="22">
        <v>300300490</v>
      </c>
      <c r="G18" s="22" t="s">
        <v>8615</v>
      </c>
      <c r="H18" s="1">
        <f t="shared" si="0"/>
        <v>307011</v>
      </c>
    </row>
    <row r="19" spans="1:8" ht="75" x14ac:dyDescent="0.25">
      <c r="A19" s="21" t="s">
        <v>8641</v>
      </c>
      <c r="B19" s="21" t="s">
        <v>1029</v>
      </c>
      <c r="C19" s="24" t="s">
        <v>8642</v>
      </c>
      <c r="D19" s="42">
        <v>89.65</v>
      </c>
      <c r="E19" s="30" t="s">
        <v>410</v>
      </c>
      <c r="F19" s="22">
        <v>150140170</v>
      </c>
      <c r="G19" s="22" t="s">
        <v>8652</v>
      </c>
      <c r="H19" s="38">
        <f t="shared" si="0"/>
        <v>307011</v>
      </c>
    </row>
    <row r="20" spans="1:8" x14ac:dyDescent="0.25">
      <c r="A20" s="21" t="s">
        <v>8643</v>
      </c>
      <c r="B20" s="21" t="s">
        <v>1029</v>
      </c>
      <c r="C20" s="24" t="s">
        <v>8644</v>
      </c>
      <c r="E20" s="30" t="s">
        <v>410</v>
      </c>
      <c r="F20" s="22">
        <v>150140170</v>
      </c>
      <c r="G20" s="22" t="s">
        <v>8652</v>
      </c>
      <c r="H20" s="38">
        <f t="shared" si="0"/>
        <v>307011</v>
      </c>
    </row>
    <row r="21" spans="1:8" ht="30" x14ac:dyDescent="0.25">
      <c r="A21" s="21" t="s">
        <v>8645</v>
      </c>
      <c r="B21" s="21" t="s">
        <v>8646</v>
      </c>
      <c r="C21" s="24" t="s">
        <v>8647</v>
      </c>
      <c r="D21" s="42">
        <v>146.4</v>
      </c>
      <c r="E21" s="30" t="s">
        <v>410</v>
      </c>
      <c r="F21" s="22">
        <v>150140170</v>
      </c>
      <c r="G21" s="22" t="s">
        <v>8652</v>
      </c>
      <c r="H21" s="1">
        <f t="shared" si="0"/>
        <v>307011</v>
      </c>
    </row>
    <row r="22" spans="1:8" ht="30" x14ac:dyDescent="0.25">
      <c r="A22" s="21" t="s">
        <v>8648</v>
      </c>
      <c r="B22" s="21" t="s">
        <v>3744</v>
      </c>
      <c r="C22" s="24" t="s">
        <v>8649</v>
      </c>
      <c r="D22" s="42">
        <v>58.38</v>
      </c>
      <c r="E22" s="30" t="s">
        <v>410</v>
      </c>
      <c r="F22" s="1">
        <v>150200390</v>
      </c>
      <c r="G22" s="1" t="s">
        <v>8597</v>
      </c>
      <c r="H22" s="1">
        <f t="shared" si="0"/>
        <v>307011</v>
      </c>
    </row>
    <row r="23" spans="1:8" x14ac:dyDescent="0.25">
      <c r="A23" s="21" t="s">
        <v>8650</v>
      </c>
      <c r="B23" s="21" t="s">
        <v>5063</v>
      </c>
      <c r="C23" s="24" t="s">
        <v>8651</v>
      </c>
      <c r="E23" s="30" t="s">
        <v>410</v>
      </c>
      <c r="F23" s="22">
        <v>150140170</v>
      </c>
      <c r="G23" s="22" t="s">
        <v>8652</v>
      </c>
      <c r="H23" s="1">
        <f t="shared" si="0"/>
        <v>307011</v>
      </c>
    </row>
    <row r="24" spans="1:8" ht="30" x14ac:dyDescent="0.25">
      <c r="A24" s="21" t="s">
        <v>8653</v>
      </c>
      <c r="B24" s="21" t="s">
        <v>3744</v>
      </c>
      <c r="C24" s="24" t="s">
        <v>8654</v>
      </c>
      <c r="D24" s="42">
        <v>39.950000000000003</v>
      </c>
      <c r="E24" s="30" t="s">
        <v>410</v>
      </c>
      <c r="F24" s="1">
        <v>150200390</v>
      </c>
      <c r="G24" s="1" t="s">
        <v>8597</v>
      </c>
      <c r="H24" s="1">
        <f t="shared" si="0"/>
        <v>307011</v>
      </c>
    </row>
    <row r="25" spans="1:8" ht="45" x14ac:dyDescent="0.25">
      <c r="A25" s="21" t="s">
        <v>8655</v>
      </c>
      <c r="B25" s="21" t="s">
        <v>3744</v>
      </c>
      <c r="C25" s="24" t="s">
        <v>8656</v>
      </c>
      <c r="D25" s="42">
        <v>51.46</v>
      </c>
      <c r="E25" s="30" t="s">
        <v>410</v>
      </c>
      <c r="F25" s="1">
        <v>150200390</v>
      </c>
      <c r="G25" s="1" t="s">
        <v>8597</v>
      </c>
      <c r="H25" s="1">
        <f t="shared" si="0"/>
        <v>307011</v>
      </c>
    </row>
    <row r="26" spans="1:8" ht="60" x14ac:dyDescent="0.25">
      <c r="A26" s="21" t="s">
        <v>8657</v>
      </c>
      <c r="B26" s="21" t="s">
        <v>3744</v>
      </c>
      <c r="C26" s="24" t="s">
        <v>8658</v>
      </c>
      <c r="D26" s="42">
        <v>187.34</v>
      </c>
      <c r="E26" s="30" t="s">
        <v>410</v>
      </c>
      <c r="F26" s="1">
        <v>150200390</v>
      </c>
      <c r="G26" s="1" t="s">
        <v>8597</v>
      </c>
      <c r="H26" s="1">
        <f t="shared" si="0"/>
        <v>307011</v>
      </c>
    </row>
    <row r="27" spans="1:8" x14ac:dyDescent="0.25">
      <c r="A27" s="21" t="s">
        <v>8659</v>
      </c>
      <c r="B27" s="21" t="s">
        <v>3744</v>
      </c>
      <c r="C27" s="24" t="s">
        <v>8660</v>
      </c>
      <c r="D27" s="42">
        <v>159</v>
      </c>
      <c r="E27" s="30" t="s">
        <v>410</v>
      </c>
      <c r="F27" s="1">
        <v>150200390</v>
      </c>
      <c r="G27" s="1" t="s">
        <v>8597</v>
      </c>
      <c r="H27" s="1">
        <f t="shared" si="0"/>
        <v>307011</v>
      </c>
    </row>
    <row r="28" spans="1:8" x14ac:dyDescent="0.25">
      <c r="A28" s="21" t="s">
        <v>8661</v>
      </c>
      <c r="B28" s="21" t="s">
        <v>3744</v>
      </c>
      <c r="C28" s="24" t="s">
        <v>8662</v>
      </c>
      <c r="D28" s="42">
        <v>290.31</v>
      </c>
      <c r="E28" s="30" t="s">
        <v>410</v>
      </c>
      <c r="F28" s="1">
        <v>150200390</v>
      </c>
      <c r="G28" s="1" t="s">
        <v>8597</v>
      </c>
      <c r="H28" s="1">
        <f t="shared" si="0"/>
        <v>307011</v>
      </c>
    </row>
    <row r="29" spans="1:8" x14ac:dyDescent="0.25">
      <c r="A29" s="21" t="s">
        <v>8663</v>
      </c>
      <c r="B29" s="21" t="s">
        <v>3744</v>
      </c>
      <c r="C29" s="24" t="s">
        <v>8664</v>
      </c>
      <c r="D29" s="42">
        <v>4.5999999999999996</v>
      </c>
      <c r="E29" s="30" t="s">
        <v>410</v>
      </c>
      <c r="F29" s="1">
        <v>150200390</v>
      </c>
      <c r="G29" s="1" t="s">
        <v>8597</v>
      </c>
      <c r="H29" s="1">
        <f t="shared" si="0"/>
        <v>307011</v>
      </c>
    </row>
    <row r="30" spans="1:8" x14ac:dyDescent="0.25">
      <c r="A30" s="21" t="s">
        <v>8665</v>
      </c>
      <c r="B30" s="21" t="s">
        <v>3744</v>
      </c>
      <c r="C30" s="24" t="s">
        <v>8666</v>
      </c>
      <c r="D30" s="42">
        <v>6</v>
      </c>
      <c r="E30" s="30" t="s">
        <v>410</v>
      </c>
      <c r="F30" s="1">
        <v>150200390</v>
      </c>
      <c r="G30" s="1" t="s">
        <v>8597</v>
      </c>
      <c r="H30" s="1">
        <f t="shared" si="0"/>
        <v>307011</v>
      </c>
    </row>
    <row r="31" spans="1:8" x14ac:dyDescent="0.25">
      <c r="A31" s="21" t="s">
        <v>8667</v>
      </c>
      <c r="B31" s="21" t="s">
        <v>3744</v>
      </c>
      <c r="C31" s="24" t="s">
        <v>8668</v>
      </c>
      <c r="D31" s="42">
        <v>25.35</v>
      </c>
      <c r="E31" s="30" t="s">
        <v>410</v>
      </c>
      <c r="F31" s="1">
        <v>150200390</v>
      </c>
      <c r="G31" s="1" t="s">
        <v>8597</v>
      </c>
      <c r="H31" s="1">
        <f t="shared" si="0"/>
        <v>307011</v>
      </c>
    </row>
    <row r="32" spans="1:8" x14ac:dyDescent="0.25">
      <c r="A32" s="21" t="s">
        <v>8669</v>
      </c>
      <c r="B32" s="21" t="s">
        <v>3744</v>
      </c>
      <c r="C32" s="24" t="s">
        <v>8670</v>
      </c>
      <c r="D32" s="42">
        <v>53</v>
      </c>
      <c r="E32" s="30" t="s">
        <v>410</v>
      </c>
      <c r="F32" s="1">
        <v>150200390</v>
      </c>
      <c r="G32" s="1" t="s">
        <v>8597</v>
      </c>
      <c r="H32" s="1">
        <f t="shared" si="0"/>
        <v>307011</v>
      </c>
    </row>
    <row r="33" spans="1:8" x14ac:dyDescent="0.25">
      <c r="A33" s="21" t="s">
        <v>8671</v>
      </c>
      <c r="B33" s="21" t="s">
        <v>3744</v>
      </c>
      <c r="C33" s="24" t="s">
        <v>8672</v>
      </c>
      <c r="D33" s="42">
        <v>6.92</v>
      </c>
      <c r="E33" s="30" t="s">
        <v>410</v>
      </c>
      <c r="F33" s="1">
        <v>150200390</v>
      </c>
      <c r="G33" s="1" t="s">
        <v>8597</v>
      </c>
      <c r="H33" s="1">
        <f t="shared" si="0"/>
        <v>307011</v>
      </c>
    </row>
    <row r="34" spans="1:8" ht="30" x14ac:dyDescent="0.25">
      <c r="A34" s="21" t="s">
        <v>8673</v>
      </c>
      <c r="B34" s="21" t="s">
        <v>3744</v>
      </c>
      <c r="C34" s="24" t="s">
        <v>8674</v>
      </c>
      <c r="D34" s="42">
        <v>4.6100000000000003</v>
      </c>
      <c r="E34" s="30" t="s">
        <v>410</v>
      </c>
      <c r="F34" s="1">
        <v>150200390</v>
      </c>
      <c r="G34" s="1" t="s">
        <v>8597</v>
      </c>
      <c r="H34" s="1">
        <f t="shared" si="0"/>
        <v>307011</v>
      </c>
    </row>
    <row r="35" spans="1:8" x14ac:dyDescent="0.25">
      <c r="A35" s="21" t="s">
        <v>8675</v>
      </c>
      <c r="B35" s="21" t="s">
        <v>3744</v>
      </c>
      <c r="C35" s="24" t="s">
        <v>8676</v>
      </c>
      <c r="D35" s="42">
        <v>25.35</v>
      </c>
      <c r="E35" s="30" t="s">
        <v>410</v>
      </c>
      <c r="F35" s="1">
        <v>150200390</v>
      </c>
      <c r="G35" s="1" t="s">
        <v>8597</v>
      </c>
      <c r="H35" s="1">
        <f t="shared" si="0"/>
        <v>307011</v>
      </c>
    </row>
    <row r="36" spans="1:8" ht="45" x14ac:dyDescent="0.25">
      <c r="A36" s="21" t="s">
        <v>8677</v>
      </c>
      <c r="B36" s="21" t="s">
        <v>3744</v>
      </c>
      <c r="C36" s="24" t="s">
        <v>8678</v>
      </c>
      <c r="D36" s="42">
        <v>10.64</v>
      </c>
      <c r="E36" s="30" t="s">
        <v>410</v>
      </c>
      <c r="F36" s="1">
        <v>150200390</v>
      </c>
      <c r="G36" s="1" t="s">
        <v>8597</v>
      </c>
      <c r="H36" s="1">
        <f t="shared" si="0"/>
        <v>307011</v>
      </c>
    </row>
    <row r="37" spans="1:8" ht="30" x14ac:dyDescent="0.25">
      <c r="A37" s="21" t="s">
        <v>8679</v>
      </c>
      <c r="B37" s="21" t="s">
        <v>8680</v>
      </c>
      <c r="C37" s="24" t="s">
        <v>8681</v>
      </c>
      <c r="D37" s="42">
        <v>67.05</v>
      </c>
      <c r="F37" s="22">
        <v>150140170</v>
      </c>
      <c r="G37" s="22" t="s">
        <v>8652</v>
      </c>
      <c r="H37" s="1" t="str">
        <f t="shared" si="0"/>
        <v/>
      </c>
    </row>
    <row r="38" spans="1:8" ht="30" x14ac:dyDescent="0.25">
      <c r="A38" s="21" t="s">
        <v>8682</v>
      </c>
      <c r="B38" s="21" t="s">
        <v>3556</v>
      </c>
      <c r="C38" s="24" t="s">
        <v>8683</v>
      </c>
      <c r="D38" s="42">
        <v>614.63</v>
      </c>
      <c r="E38" s="30" t="s">
        <v>410</v>
      </c>
      <c r="F38" s="22">
        <v>150545000</v>
      </c>
      <c r="G38" s="22" t="s">
        <v>8684</v>
      </c>
      <c r="H38" s="1">
        <f t="shared" si="0"/>
        <v>307011</v>
      </c>
    </row>
    <row r="39" spans="1:8" ht="30" x14ac:dyDescent="0.25">
      <c r="A39" s="21" t="s">
        <v>8685</v>
      </c>
      <c r="B39" s="21" t="s">
        <v>3744</v>
      </c>
      <c r="C39" s="24" t="s">
        <v>8686</v>
      </c>
      <c r="D39" s="42">
        <v>42.25</v>
      </c>
      <c r="E39" s="30" t="s">
        <v>410</v>
      </c>
      <c r="F39" s="1">
        <v>150200390</v>
      </c>
      <c r="G39" s="1" t="s">
        <v>8597</v>
      </c>
      <c r="H39" s="1">
        <f t="shared" si="0"/>
        <v>307011</v>
      </c>
    </row>
    <row r="40" spans="1:8" ht="30" x14ac:dyDescent="0.25">
      <c r="A40" s="21" t="s">
        <v>8687</v>
      </c>
      <c r="B40" s="21" t="s">
        <v>3744</v>
      </c>
      <c r="C40" s="24" t="s">
        <v>8688</v>
      </c>
      <c r="D40" s="42">
        <v>47.63</v>
      </c>
      <c r="E40" s="30" t="s">
        <v>410</v>
      </c>
      <c r="F40" s="1">
        <v>150200390</v>
      </c>
      <c r="G40" s="1" t="s">
        <v>8597</v>
      </c>
      <c r="H40" s="1">
        <f t="shared" si="0"/>
        <v>307011</v>
      </c>
    </row>
    <row r="41" spans="1:8" x14ac:dyDescent="0.25">
      <c r="A41" s="25">
        <v>19200030427</v>
      </c>
      <c r="B41" s="21" t="s">
        <v>8689</v>
      </c>
      <c r="C41" s="24" t="s">
        <v>8690</v>
      </c>
      <c r="D41" s="42">
        <v>7.72</v>
      </c>
      <c r="F41" s="22">
        <v>150140170</v>
      </c>
      <c r="G41" s="22" t="s">
        <v>8652</v>
      </c>
      <c r="H41" s="1" t="str">
        <f t="shared" si="0"/>
        <v/>
      </c>
    </row>
    <row r="42" spans="1:8" x14ac:dyDescent="0.25">
      <c r="A42" s="21">
        <v>9200009918</v>
      </c>
      <c r="B42" s="21" t="s">
        <v>8689</v>
      </c>
      <c r="C42" s="24" t="s">
        <v>8691</v>
      </c>
      <c r="D42" s="42">
        <v>1.75</v>
      </c>
      <c r="F42" s="22">
        <v>150140170</v>
      </c>
      <c r="G42" s="22" t="s">
        <v>8652</v>
      </c>
      <c r="H42" s="1" t="str">
        <f t="shared" si="0"/>
        <v/>
      </c>
    </row>
    <row r="43" spans="1:8" x14ac:dyDescent="0.25">
      <c r="A43" s="21">
        <v>9120052733</v>
      </c>
      <c r="B43" s="21" t="s">
        <v>8689</v>
      </c>
      <c r="C43" s="24" t="s">
        <v>8692</v>
      </c>
      <c r="D43" s="42">
        <v>27.02</v>
      </c>
      <c r="F43" s="22">
        <v>150140170</v>
      </c>
      <c r="G43" s="22" t="s">
        <v>8652</v>
      </c>
      <c r="H43" s="1" t="str">
        <f t="shared" si="0"/>
        <v/>
      </c>
    </row>
    <row r="44" spans="1:8" x14ac:dyDescent="0.25">
      <c r="A44" s="25">
        <v>19000005183</v>
      </c>
      <c r="B44" s="21" t="s">
        <v>8689</v>
      </c>
      <c r="C44" s="24" t="s">
        <v>8693</v>
      </c>
      <c r="D44" s="42">
        <v>6.27</v>
      </c>
      <c r="F44" s="22">
        <v>150140170</v>
      </c>
      <c r="G44" s="22" t="s">
        <v>8652</v>
      </c>
      <c r="H44" s="1" t="str">
        <f t="shared" si="0"/>
        <v/>
      </c>
    </row>
    <row r="45" spans="1:8" ht="30" x14ac:dyDescent="0.25">
      <c r="A45" s="21" t="s">
        <v>8694</v>
      </c>
      <c r="B45" s="21" t="s">
        <v>3744</v>
      </c>
      <c r="C45" s="24" t="s">
        <v>8695</v>
      </c>
      <c r="D45" s="42">
        <v>48.47</v>
      </c>
      <c r="E45" s="30" t="s">
        <v>410</v>
      </c>
      <c r="F45" s="1">
        <v>150200390</v>
      </c>
      <c r="G45" s="1" t="s">
        <v>8597</v>
      </c>
      <c r="H45" s="1">
        <f t="shared" si="0"/>
        <v>307011</v>
      </c>
    </row>
    <row r="46" spans="1:8" ht="30" x14ac:dyDescent="0.25">
      <c r="A46" s="21" t="s">
        <v>8696</v>
      </c>
      <c r="B46" s="21" t="s">
        <v>3744</v>
      </c>
      <c r="C46" s="24" t="s">
        <v>8697</v>
      </c>
      <c r="D46" s="42">
        <v>39.94</v>
      </c>
      <c r="E46" s="30" t="s">
        <v>410</v>
      </c>
      <c r="F46" s="1">
        <v>150200390</v>
      </c>
      <c r="G46" s="1" t="s">
        <v>8597</v>
      </c>
      <c r="H46" s="1">
        <f t="shared" si="0"/>
        <v>307011</v>
      </c>
    </row>
    <row r="47" spans="1:8" ht="45" x14ac:dyDescent="0.25">
      <c r="A47" s="25" t="s">
        <v>8698</v>
      </c>
      <c r="B47" s="21" t="s">
        <v>3744</v>
      </c>
      <c r="C47" s="24" t="s">
        <v>8699</v>
      </c>
      <c r="D47" s="42">
        <v>35.33</v>
      </c>
      <c r="E47" s="30" t="s">
        <v>410</v>
      </c>
      <c r="F47" s="1">
        <v>150200390</v>
      </c>
      <c r="G47" s="1" t="s">
        <v>8597</v>
      </c>
      <c r="H47" s="1">
        <f t="shared" si="0"/>
        <v>307011</v>
      </c>
    </row>
    <row r="48" spans="1:8" ht="30" x14ac:dyDescent="0.25">
      <c r="A48" s="21" t="s">
        <v>8700</v>
      </c>
      <c r="B48" s="21" t="s">
        <v>3744</v>
      </c>
      <c r="C48" s="24" t="s">
        <v>8701</v>
      </c>
      <c r="D48" s="42">
        <v>32.26</v>
      </c>
      <c r="E48" s="30" t="s">
        <v>410</v>
      </c>
      <c r="F48" s="1">
        <v>150200390</v>
      </c>
      <c r="G48" s="1" t="s">
        <v>8597</v>
      </c>
      <c r="H48" s="1">
        <f t="shared" si="0"/>
        <v>307011</v>
      </c>
    </row>
    <row r="49" spans="1:8" ht="45" x14ac:dyDescent="0.25">
      <c r="A49" s="21" t="s">
        <v>8702</v>
      </c>
      <c r="B49" s="21" t="s">
        <v>3744</v>
      </c>
      <c r="C49" s="24" t="s">
        <v>8703</v>
      </c>
      <c r="D49" s="42">
        <v>45.32</v>
      </c>
      <c r="E49" s="30" t="s">
        <v>410</v>
      </c>
      <c r="F49" s="1">
        <v>150200390</v>
      </c>
      <c r="G49" s="1" t="s">
        <v>8597</v>
      </c>
      <c r="H49" s="1">
        <f t="shared" si="0"/>
        <v>307011</v>
      </c>
    </row>
    <row r="50" spans="1:8" x14ac:dyDescent="0.25">
      <c r="A50" s="21" t="s">
        <v>8704</v>
      </c>
      <c r="B50" s="21" t="s">
        <v>5063</v>
      </c>
      <c r="C50" s="24" t="s">
        <v>8705</v>
      </c>
      <c r="D50" s="42">
        <v>22.16</v>
      </c>
      <c r="E50" s="30" t="s">
        <v>410</v>
      </c>
      <c r="F50" s="22">
        <v>150140170</v>
      </c>
      <c r="G50" s="22" t="s">
        <v>8652</v>
      </c>
      <c r="H50" s="1">
        <f t="shared" si="0"/>
        <v>307011</v>
      </c>
    </row>
    <row r="51" spans="1:8" x14ac:dyDescent="0.25">
      <c r="A51" s="21" t="s">
        <v>8706</v>
      </c>
      <c r="B51" s="21" t="s">
        <v>3744</v>
      </c>
      <c r="C51" s="24" t="s">
        <v>8707</v>
      </c>
      <c r="D51" s="42">
        <v>33.08</v>
      </c>
      <c r="E51" s="30" t="s">
        <v>410</v>
      </c>
      <c r="F51" s="1">
        <v>150200390</v>
      </c>
      <c r="G51" s="1" t="s">
        <v>8597</v>
      </c>
      <c r="H51" s="1">
        <f t="shared" si="0"/>
        <v>307011</v>
      </c>
    </row>
    <row r="52" spans="1:8" ht="30" x14ac:dyDescent="0.25">
      <c r="A52" s="25" t="s">
        <v>8708</v>
      </c>
      <c r="B52" s="21" t="s">
        <v>3744</v>
      </c>
      <c r="C52" s="24" t="s">
        <v>8709</v>
      </c>
      <c r="D52" s="42">
        <v>34</v>
      </c>
      <c r="E52" s="30" t="s">
        <v>410</v>
      </c>
      <c r="F52" s="1">
        <v>150200390</v>
      </c>
      <c r="G52" s="1" t="s">
        <v>8597</v>
      </c>
      <c r="H52" s="1">
        <f t="shared" si="0"/>
        <v>307011</v>
      </c>
    </row>
    <row r="53" spans="1:8" ht="30" x14ac:dyDescent="0.25">
      <c r="A53" s="21" t="s">
        <v>8710</v>
      </c>
      <c r="B53" s="21" t="s">
        <v>8711</v>
      </c>
      <c r="C53" s="24" t="s">
        <v>8712</v>
      </c>
      <c r="D53" s="42">
        <v>212.03</v>
      </c>
      <c r="E53" s="30" t="s">
        <v>163</v>
      </c>
      <c r="F53" s="22">
        <v>150140170</v>
      </c>
      <c r="G53" s="22" t="s">
        <v>8652</v>
      </c>
      <c r="H53" s="1">
        <f t="shared" si="0"/>
        <v>308787</v>
      </c>
    </row>
    <row r="54" spans="1:8" ht="30" x14ac:dyDescent="0.25">
      <c r="A54" s="21" t="s">
        <v>8713</v>
      </c>
      <c r="B54" s="21" t="s">
        <v>8711</v>
      </c>
      <c r="C54" s="24" t="s">
        <v>8714</v>
      </c>
      <c r="E54" s="30" t="s">
        <v>163</v>
      </c>
      <c r="F54" s="22">
        <v>150140170</v>
      </c>
      <c r="G54" s="22" t="s">
        <v>8652</v>
      </c>
      <c r="H54" s="1">
        <f t="shared" si="0"/>
        <v>308787</v>
      </c>
    </row>
    <row r="55" spans="1:8" ht="30" x14ac:dyDescent="0.25">
      <c r="A55" s="21" t="s">
        <v>8715</v>
      </c>
      <c r="B55" s="21" t="s">
        <v>8711</v>
      </c>
      <c r="C55" s="24" t="s">
        <v>8716</v>
      </c>
      <c r="E55" s="30" t="s">
        <v>163</v>
      </c>
      <c r="F55" s="22">
        <v>150140170</v>
      </c>
      <c r="G55" s="22" t="s">
        <v>8652</v>
      </c>
      <c r="H55" s="1">
        <f t="shared" si="0"/>
        <v>308787</v>
      </c>
    </row>
    <row r="56" spans="1:8" ht="30" x14ac:dyDescent="0.25">
      <c r="A56" s="21" t="s">
        <v>8717</v>
      </c>
      <c r="B56" s="21" t="s">
        <v>3556</v>
      </c>
      <c r="C56" s="24" t="s">
        <v>8718</v>
      </c>
      <c r="D56" s="42">
        <v>512.20000000000005</v>
      </c>
      <c r="E56" s="30" t="s">
        <v>410</v>
      </c>
      <c r="F56" s="22">
        <v>150545000</v>
      </c>
      <c r="G56" s="22" t="s">
        <v>8684</v>
      </c>
      <c r="H56" s="1">
        <f t="shared" si="0"/>
        <v>307011</v>
      </c>
    </row>
    <row r="57" spans="1:8" x14ac:dyDescent="0.25">
      <c r="A57" s="21" t="s">
        <v>8719</v>
      </c>
      <c r="B57" s="21" t="s">
        <v>8689</v>
      </c>
      <c r="C57" s="24" t="s">
        <v>8720</v>
      </c>
      <c r="D57" s="42">
        <v>64</v>
      </c>
      <c r="E57" s="30" t="s">
        <v>410</v>
      </c>
      <c r="F57" s="22">
        <v>150140170</v>
      </c>
      <c r="G57" s="22" t="s">
        <v>8652</v>
      </c>
      <c r="H57" s="1">
        <f t="shared" si="0"/>
        <v>307011</v>
      </c>
    </row>
    <row r="58" spans="1:8" x14ac:dyDescent="0.25">
      <c r="A58" s="21" t="s">
        <v>8721</v>
      </c>
      <c r="B58" s="21" t="s">
        <v>8689</v>
      </c>
      <c r="C58" s="24" t="s">
        <v>8722</v>
      </c>
      <c r="D58" s="42">
        <v>55</v>
      </c>
      <c r="E58" s="30" t="s">
        <v>410</v>
      </c>
      <c r="F58" s="22">
        <v>150140170</v>
      </c>
      <c r="G58" s="22" t="s">
        <v>8652</v>
      </c>
      <c r="H58" s="1">
        <f t="shared" si="0"/>
        <v>307011</v>
      </c>
    </row>
    <row r="59" spans="1:8" ht="30" x14ac:dyDescent="0.25">
      <c r="A59" s="21" t="s">
        <v>8723</v>
      </c>
      <c r="B59" s="21" t="s">
        <v>8689</v>
      </c>
      <c r="C59" s="24" t="s">
        <v>8724</v>
      </c>
      <c r="D59" s="42">
        <v>228.84</v>
      </c>
      <c r="E59" s="30" t="s">
        <v>410</v>
      </c>
      <c r="F59" s="22">
        <v>150140170</v>
      </c>
      <c r="G59" s="22" t="s">
        <v>8652</v>
      </c>
      <c r="H59" s="1">
        <f t="shared" si="0"/>
        <v>307011</v>
      </c>
    </row>
    <row r="60" spans="1:8" ht="30" x14ac:dyDescent="0.25">
      <c r="A60" s="21" t="s">
        <v>8725</v>
      </c>
      <c r="B60" s="21" t="s">
        <v>8689</v>
      </c>
      <c r="C60" s="24" t="s">
        <v>8726</v>
      </c>
      <c r="D60" s="42">
        <v>199.63</v>
      </c>
      <c r="E60" s="30" t="s">
        <v>410</v>
      </c>
      <c r="F60" s="22">
        <v>150140170</v>
      </c>
      <c r="G60" s="22" t="s">
        <v>8652</v>
      </c>
      <c r="H60" s="1">
        <f t="shared" si="0"/>
        <v>307011</v>
      </c>
    </row>
    <row r="61" spans="1:8" ht="30" x14ac:dyDescent="0.25">
      <c r="A61" s="21" t="s">
        <v>8727</v>
      </c>
      <c r="B61" s="21" t="s">
        <v>8689</v>
      </c>
      <c r="C61" s="24" t="s">
        <v>8728</v>
      </c>
      <c r="D61" s="42">
        <v>472.56</v>
      </c>
      <c r="E61" s="30" t="s">
        <v>410</v>
      </c>
      <c r="F61" s="22">
        <v>150140170</v>
      </c>
      <c r="G61" s="22" t="s">
        <v>8652</v>
      </c>
      <c r="H61" s="1">
        <f t="shared" si="0"/>
        <v>307011</v>
      </c>
    </row>
    <row r="62" spans="1:8" x14ac:dyDescent="0.25">
      <c r="A62" s="21" t="s">
        <v>8729</v>
      </c>
      <c r="B62" s="21" t="s">
        <v>1029</v>
      </c>
      <c r="C62" s="24" t="s">
        <v>8730</v>
      </c>
      <c r="E62" s="30" t="s">
        <v>410</v>
      </c>
      <c r="F62" s="22">
        <v>150545000</v>
      </c>
      <c r="G62" s="22" t="s">
        <v>8684</v>
      </c>
      <c r="H62" s="38">
        <f t="shared" si="0"/>
        <v>307011</v>
      </c>
    </row>
    <row r="63" spans="1:8" x14ac:dyDescent="0.25">
      <c r="A63" s="21" t="s">
        <v>8731</v>
      </c>
      <c r="B63" s="21" t="s">
        <v>1029</v>
      </c>
      <c r="C63" s="24" t="s">
        <v>8732</v>
      </c>
      <c r="E63" s="30" t="s">
        <v>410</v>
      </c>
      <c r="F63" s="22">
        <v>150545000</v>
      </c>
      <c r="G63" s="22" t="s">
        <v>8684</v>
      </c>
      <c r="H63" s="38">
        <f t="shared" si="0"/>
        <v>307011</v>
      </c>
    </row>
    <row r="64" spans="1:8" ht="60" x14ac:dyDescent="0.25">
      <c r="A64" s="21" t="s">
        <v>8733</v>
      </c>
      <c r="B64" s="21" t="s">
        <v>1029</v>
      </c>
      <c r="C64" s="24" t="s">
        <v>8734</v>
      </c>
      <c r="E64" s="30" t="s">
        <v>410</v>
      </c>
      <c r="F64" s="22">
        <v>150140170</v>
      </c>
      <c r="G64" s="22" t="s">
        <v>8652</v>
      </c>
      <c r="H64" s="38">
        <f t="shared" si="0"/>
        <v>307011</v>
      </c>
    </row>
    <row r="65" spans="1:8" x14ac:dyDescent="0.25">
      <c r="A65" s="21" t="s">
        <v>8735</v>
      </c>
      <c r="B65" s="21" t="s">
        <v>8689</v>
      </c>
      <c r="C65" s="24" t="s">
        <v>8736</v>
      </c>
      <c r="E65" s="30" t="s">
        <v>410</v>
      </c>
      <c r="F65" s="22">
        <v>150140170</v>
      </c>
      <c r="G65" s="22" t="s">
        <v>8652</v>
      </c>
      <c r="H65" s="38">
        <f t="shared" si="0"/>
        <v>307011</v>
      </c>
    </row>
    <row r="66" spans="1:8" x14ac:dyDescent="0.25">
      <c r="A66" s="21" t="s">
        <v>8737</v>
      </c>
      <c r="B66" s="21" t="s">
        <v>8738</v>
      </c>
      <c r="C66" s="24" t="s">
        <v>8739</v>
      </c>
      <c r="D66" s="42">
        <v>10.07</v>
      </c>
      <c r="E66" s="30" t="s">
        <v>410</v>
      </c>
      <c r="F66" s="22">
        <v>150140170</v>
      </c>
      <c r="G66" s="22" t="s">
        <v>8652</v>
      </c>
      <c r="H66" s="1">
        <f t="shared" ref="H66:H129" si="1">IF(E66="","",IFERROR(INDEX(ONGEN_VENDOR_CODES,MATCH(E66,ONGEN_VENDOR_NAMES,0)),""))</f>
        <v>307011</v>
      </c>
    </row>
    <row r="67" spans="1:8" ht="90" x14ac:dyDescent="0.25">
      <c r="A67" s="21" t="s">
        <v>8740</v>
      </c>
      <c r="B67" s="21" t="s">
        <v>8741</v>
      </c>
      <c r="C67" s="24" t="s">
        <v>8742</v>
      </c>
      <c r="D67" s="42">
        <v>306</v>
      </c>
      <c r="E67" s="30" t="s">
        <v>410</v>
      </c>
      <c r="F67" s="22">
        <v>150140170</v>
      </c>
      <c r="G67" s="22" t="s">
        <v>8652</v>
      </c>
      <c r="H67" s="1">
        <f t="shared" si="1"/>
        <v>307011</v>
      </c>
    </row>
    <row r="68" spans="1:8" ht="60" x14ac:dyDescent="0.25">
      <c r="A68" s="21" t="s">
        <v>8743</v>
      </c>
      <c r="B68" s="21" t="s">
        <v>8741</v>
      </c>
      <c r="C68" s="24" t="s">
        <v>8744</v>
      </c>
      <c r="D68" s="42">
        <v>11</v>
      </c>
      <c r="E68" s="30" t="s">
        <v>410</v>
      </c>
      <c r="F68" s="22">
        <v>150140170</v>
      </c>
      <c r="G68" s="22" t="s">
        <v>8652</v>
      </c>
      <c r="H68" s="1">
        <f t="shared" si="1"/>
        <v>307011</v>
      </c>
    </row>
    <row r="69" spans="1:8" ht="45" x14ac:dyDescent="0.25">
      <c r="A69" s="21" t="s">
        <v>8745</v>
      </c>
      <c r="B69" s="21" t="s">
        <v>8746</v>
      </c>
      <c r="C69" s="24" t="s">
        <v>8747</v>
      </c>
      <c r="F69" s="22">
        <v>150140170</v>
      </c>
      <c r="G69" s="22" t="s">
        <v>8652</v>
      </c>
      <c r="H69" s="1" t="str">
        <f t="shared" si="1"/>
        <v/>
      </c>
    </row>
    <row r="70" spans="1:8" ht="90" x14ac:dyDescent="0.25">
      <c r="A70" s="21" t="s">
        <v>8748</v>
      </c>
      <c r="B70" s="21" t="s">
        <v>1029</v>
      </c>
      <c r="C70" s="24" t="s">
        <v>8749</v>
      </c>
      <c r="D70" s="42">
        <v>395.41</v>
      </c>
      <c r="E70" s="30" t="s">
        <v>163</v>
      </c>
      <c r="F70" s="22">
        <v>150140170</v>
      </c>
      <c r="G70" s="22" t="s">
        <v>8652</v>
      </c>
      <c r="H70" s="38">
        <f t="shared" si="1"/>
        <v>308787</v>
      </c>
    </row>
    <row r="71" spans="1:8" ht="60" x14ac:dyDescent="0.25">
      <c r="A71" s="21" t="s">
        <v>8750</v>
      </c>
      <c r="B71" s="21" t="s">
        <v>3744</v>
      </c>
      <c r="C71" s="24" t="s">
        <v>8751</v>
      </c>
      <c r="D71" s="42">
        <v>143</v>
      </c>
      <c r="E71" s="30" t="s">
        <v>410</v>
      </c>
      <c r="F71" s="1">
        <v>150200390</v>
      </c>
      <c r="G71" s="1" t="s">
        <v>8597</v>
      </c>
      <c r="H71" s="1">
        <f t="shared" si="1"/>
        <v>307011</v>
      </c>
    </row>
    <row r="72" spans="1:8" ht="45" x14ac:dyDescent="0.25">
      <c r="A72" s="21" t="s">
        <v>8752</v>
      </c>
      <c r="B72" s="21" t="s">
        <v>8753</v>
      </c>
      <c r="C72" s="24" t="s">
        <v>8754</v>
      </c>
      <c r="D72" s="42">
        <v>763.65</v>
      </c>
      <c r="E72" s="30" t="s">
        <v>484</v>
      </c>
      <c r="F72" s="22">
        <v>150140170</v>
      </c>
      <c r="G72" s="22" t="s">
        <v>8652</v>
      </c>
      <c r="H72" s="1">
        <f t="shared" si="1"/>
        <v>322720</v>
      </c>
    </row>
    <row r="73" spans="1:8" ht="30" x14ac:dyDescent="0.25">
      <c r="A73" s="21" t="s">
        <v>8755</v>
      </c>
      <c r="B73" s="21" t="s">
        <v>8753</v>
      </c>
      <c r="C73" s="24" t="s">
        <v>8756</v>
      </c>
      <c r="D73" s="42">
        <v>37.799999999999997</v>
      </c>
      <c r="E73" s="30" t="s">
        <v>484</v>
      </c>
      <c r="F73" s="22">
        <v>150140170</v>
      </c>
      <c r="G73" s="22" t="s">
        <v>8652</v>
      </c>
      <c r="H73" s="1">
        <f t="shared" si="1"/>
        <v>322720</v>
      </c>
    </row>
    <row r="74" spans="1:8" ht="60" x14ac:dyDescent="0.25">
      <c r="A74" s="25" t="s">
        <v>8757</v>
      </c>
      <c r="B74" s="25" t="s">
        <v>8753</v>
      </c>
      <c r="C74" s="26" t="s">
        <v>8758</v>
      </c>
      <c r="D74" s="42">
        <v>39.282800000000002</v>
      </c>
      <c r="E74" s="30" t="s">
        <v>484</v>
      </c>
      <c r="F74" s="22">
        <v>150140170</v>
      </c>
      <c r="G74" s="22" t="s">
        <v>8652</v>
      </c>
      <c r="H74" s="1">
        <f t="shared" si="1"/>
        <v>322720</v>
      </c>
    </row>
    <row r="75" spans="1:8" x14ac:dyDescent="0.25">
      <c r="A75" s="21" t="s">
        <v>8759</v>
      </c>
      <c r="B75" s="21" t="s">
        <v>8753</v>
      </c>
      <c r="C75" s="24" t="s">
        <v>8760</v>
      </c>
      <c r="D75" s="42">
        <v>2.1793</v>
      </c>
      <c r="E75" s="30" t="s">
        <v>484</v>
      </c>
      <c r="F75" s="22">
        <v>150140170</v>
      </c>
      <c r="G75" s="22" t="s">
        <v>8652</v>
      </c>
      <c r="H75" s="1">
        <f t="shared" si="1"/>
        <v>322720</v>
      </c>
    </row>
    <row r="76" spans="1:8" x14ac:dyDescent="0.25">
      <c r="A76" s="21" t="s">
        <v>8761</v>
      </c>
      <c r="B76" s="21" t="s">
        <v>8753</v>
      </c>
      <c r="C76" s="24" t="s">
        <v>8762</v>
      </c>
      <c r="D76" s="42">
        <v>0.87729999999999997</v>
      </c>
      <c r="E76" s="30" t="s">
        <v>484</v>
      </c>
      <c r="F76" s="22">
        <v>150140170</v>
      </c>
      <c r="G76" s="22" t="s">
        <v>8652</v>
      </c>
      <c r="H76" s="1">
        <f t="shared" si="1"/>
        <v>322720</v>
      </c>
    </row>
    <row r="77" spans="1:8" x14ac:dyDescent="0.25">
      <c r="A77" s="21" t="s">
        <v>8763</v>
      </c>
      <c r="B77" s="21" t="s">
        <v>8753</v>
      </c>
      <c r="C77" s="24" t="s">
        <v>8764</v>
      </c>
      <c r="D77" s="42">
        <v>11.83</v>
      </c>
      <c r="E77" s="30" t="s">
        <v>484</v>
      </c>
      <c r="F77" s="22">
        <v>150140170</v>
      </c>
      <c r="G77" s="22" t="s">
        <v>8652</v>
      </c>
      <c r="H77" s="1">
        <f t="shared" si="1"/>
        <v>322720</v>
      </c>
    </row>
    <row r="78" spans="1:8" x14ac:dyDescent="0.25">
      <c r="A78" s="21" t="s">
        <v>8765</v>
      </c>
      <c r="B78" s="21" t="s">
        <v>8766</v>
      </c>
      <c r="C78" s="24" t="s">
        <v>8767</v>
      </c>
      <c r="D78" s="53">
        <v>339.71</v>
      </c>
      <c r="E78" s="30" t="s">
        <v>8768</v>
      </c>
      <c r="F78" s="22">
        <v>150140170</v>
      </c>
      <c r="G78" s="22" t="s">
        <v>8652</v>
      </c>
      <c r="H78" s="1" t="str">
        <f t="shared" si="1"/>
        <v/>
      </c>
    </row>
    <row r="79" spans="1:8" x14ac:dyDescent="0.25">
      <c r="A79" s="21" t="s">
        <v>8769</v>
      </c>
      <c r="B79" s="21" t="s">
        <v>8766</v>
      </c>
      <c r="C79" s="24" t="s">
        <v>8770</v>
      </c>
      <c r="D79" s="53">
        <v>339.71</v>
      </c>
      <c r="E79" s="30" t="s">
        <v>8768</v>
      </c>
      <c r="F79" s="22">
        <v>150140170</v>
      </c>
      <c r="G79" s="22" t="s">
        <v>8652</v>
      </c>
      <c r="H79" s="1" t="str">
        <f t="shared" si="1"/>
        <v/>
      </c>
    </row>
    <row r="80" spans="1:8" x14ac:dyDescent="0.25">
      <c r="A80" s="21">
        <v>221007</v>
      </c>
      <c r="B80" s="21" t="s">
        <v>281</v>
      </c>
      <c r="C80" s="24" t="s">
        <v>8771</v>
      </c>
      <c r="D80" s="53" t="s">
        <v>512</v>
      </c>
      <c r="F80" s="22">
        <v>150140170</v>
      </c>
      <c r="G80" s="22" t="s">
        <v>8652</v>
      </c>
      <c r="H80" s="1" t="str">
        <f t="shared" si="1"/>
        <v/>
      </c>
    </row>
    <row r="81" spans="1:8" x14ac:dyDescent="0.25">
      <c r="A81" s="21">
        <v>221207</v>
      </c>
      <c r="B81" s="21" t="s">
        <v>281</v>
      </c>
      <c r="C81" s="24" t="s">
        <v>8772</v>
      </c>
      <c r="D81" s="53" t="s">
        <v>512</v>
      </c>
      <c r="F81" s="22">
        <v>150140170</v>
      </c>
      <c r="G81" s="22" t="s">
        <v>8652</v>
      </c>
      <c r="H81" s="1" t="str">
        <f t="shared" si="1"/>
        <v/>
      </c>
    </row>
    <row r="82" spans="1:8" x14ac:dyDescent="0.25">
      <c r="A82" s="21">
        <v>221204</v>
      </c>
      <c r="B82" s="21" t="s">
        <v>281</v>
      </c>
      <c r="C82" s="24" t="s">
        <v>8773</v>
      </c>
      <c r="D82" s="53" t="s">
        <v>512</v>
      </c>
      <c r="F82" s="22">
        <v>150140170</v>
      </c>
      <c r="G82" s="22" t="s">
        <v>8652</v>
      </c>
      <c r="H82" s="1" t="str">
        <f t="shared" si="1"/>
        <v/>
      </c>
    </row>
    <row r="83" spans="1:8" x14ac:dyDescent="0.25">
      <c r="A83" s="21">
        <v>221403</v>
      </c>
      <c r="B83" s="21" t="s">
        <v>281</v>
      </c>
      <c r="C83" s="24" t="s">
        <v>8774</v>
      </c>
      <c r="D83" s="42" t="s">
        <v>512</v>
      </c>
      <c r="F83" s="22">
        <v>150140170</v>
      </c>
      <c r="G83" s="22" t="s">
        <v>8652</v>
      </c>
      <c r="H83" s="1" t="str">
        <f t="shared" si="1"/>
        <v/>
      </c>
    </row>
    <row r="84" spans="1:8" x14ac:dyDescent="0.25">
      <c r="A84" s="21">
        <v>221805</v>
      </c>
      <c r="B84" s="21" t="s">
        <v>281</v>
      </c>
      <c r="C84" s="24" t="s">
        <v>8775</v>
      </c>
      <c r="D84" s="53" t="s">
        <v>512</v>
      </c>
      <c r="F84" s="22">
        <v>150140170</v>
      </c>
      <c r="G84" s="22" t="s">
        <v>8652</v>
      </c>
      <c r="H84" s="1" t="str">
        <f t="shared" si="1"/>
        <v/>
      </c>
    </row>
    <row r="85" spans="1:8" x14ac:dyDescent="0.25">
      <c r="A85" s="21">
        <v>221809</v>
      </c>
      <c r="B85" s="21" t="s">
        <v>281</v>
      </c>
      <c r="C85" s="24" t="s">
        <v>8776</v>
      </c>
      <c r="D85" s="53" t="s">
        <v>512</v>
      </c>
      <c r="F85" s="22">
        <v>150140170</v>
      </c>
      <c r="G85" s="22" t="s">
        <v>8652</v>
      </c>
      <c r="H85" s="1" t="str">
        <f t="shared" si="1"/>
        <v/>
      </c>
    </row>
    <row r="86" spans="1:8" x14ac:dyDescent="0.25">
      <c r="A86" s="21">
        <v>221804</v>
      </c>
      <c r="B86" s="21" t="s">
        <v>281</v>
      </c>
      <c r="C86" s="24" t="s">
        <v>8777</v>
      </c>
      <c r="D86" s="53" t="s">
        <v>512</v>
      </c>
      <c r="F86" s="22">
        <v>150140170</v>
      </c>
      <c r="G86" s="22" t="s">
        <v>8652</v>
      </c>
      <c r="H86" s="1" t="str">
        <f t="shared" si="1"/>
        <v/>
      </c>
    </row>
    <row r="87" spans="1:8" x14ac:dyDescent="0.25">
      <c r="A87" s="21">
        <v>2170891</v>
      </c>
      <c r="B87" s="21" t="s">
        <v>281</v>
      </c>
      <c r="C87" s="24" t="s">
        <v>8778</v>
      </c>
      <c r="D87" s="53" t="s">
        <v>512</v>
      </c>
      <c r="F87" s="22">
        <v>150140170</v>
      </c>
      <c r="G87" s="22" t="s">
        <v>8652</v>
      </c>
      <c r="H87" s="1" t="str">
        <f t="shared" si="1"/>
        <v/>
      </c>
    </row>
    <row r="88" spans="1:8" x14ac:dyDescent="0.25">
      <c r="A88" s="21">
        <v>2170901</v>
      </c>
      <c r="B88" s="21" t="s">
        <v>281</v>
      </c>
      <c r="C88" s="24" t="s">
        <v>8779</v>
      </c>
      <c r="D88" s="42" t="s">
        <v>512</v>
      </c>
      <c r="F88" s="22">
        <v>150140170</v>
      </c>
      <c r="G88" s="22" t="s">
        <v>8652</v>
      </c>
      <c r="H88" s="1" t="str">
        <f t="shared" si="1"/>
        <v/>
      </c>
    </row>
    <row r="89" spans="1:8" ht="45" x14ac:dyDescent="0.25">
      <c r="A89" s="21" t="s">
        <v>8780</v>
      </c>
      <c r="B89" s="21" t="s">
        <v>8781</v>
      </c>
      <c r="C89" s="24" t="s">
        <v>8782</v>
      </c>
      <c r="D89" s="42">
        <v>66.16</v>
      </c>
      <c r="E89" s="30" t="s">
        <v>410</v>
      </c>
      <c r="F89" s="1">
        <v>150200390</v>
      </c>
      <c r="G89" s="1" t="s">
        <v>8597</v>
      </c>
      <c r="H89" s="1">
        <f t="shared" si="1"/>
        <v>307011</v>
      </c>
    </row>
    <row r="90" spans="1:8" ht="30" x14ac:dyDescent="0.25">
      <c r="A90" s="21" t="s">
        <v>8783</v>
      </c>
      <c r="B90" s="21" t="s">
        <v>3744</v>
      </c>
      <c r="C90" s="24" t="s">
        <v>8784</v>
      </c>
      <c r="D90" s="42">
        <v>221.54</v>
      </c>
      <c r="E90" s="30" t="s">
        <v>410</v>
      </c>
      <c r="F90" s="1">
        <v>150200390</v>
      </c>
      <c r="G90" s="1" t="s">
        <v>8597</v>
      </c>
      <c r="H90" s="1">
        <f t="shared" si="1"/>
        <v>307011</v>
      </c>
    </row>
    <row r="91" spans="1:8" x14ac:dyDescent="0.25">
      <c r="A91" s="21" t="s">
        <v>8785</v>
      </c>
      <c r="B91" s="21" t="s">
        <v>3744</v>
      </c>
      <c r="C91" s="24" t="s">
        <v>8786</v>
      </c>
      <c r="D91" s="42">
        <v>182.31</v>
      </c>
      <c r="E91" s="30" t="s">
        <v>410</v>
      </c>
      <c r="F91" s="1">
        <v>150200390</v>
      </c>
      <c r="G91" s="1" t="s">
        <v>8597</v>
      </c>
      <c r="H91" s="1">
        <f t="shared" si="1"/>
        <v>307011</v>
      </c>
    </row>
    <row r="92" spans="1:8" x14ac:dyDescent="0.25">
      <c r="A92" s="21" t="s">
        <v>8787</v>
      </c>
      <c r="B92" s="21" t="s">
        <v>3744</v>
      </c>
      <c r="C92" s="24" t="s">
        <v>8788</v>
      </c>
      <c r="D92" s="42">
        <v>114.62</v>
      </c>
      <c r="E92" s="30" t="s">
        <v>410</v>
      </c>
      <c r="F92" s="1">
        <v>150200390</v>
      </c>
      <c r="G92" s="1" t="s">
        <v>8597</v>
      </c>
      <c r="H92" s="1">
        <f t="shared" si="1"/>
        <v>307011</v>
      </c>
    </row>
    <row r="93" spans="1:8" x14ac:dyDescent="0.25">
      <c r="A93" s="21" t="s">
        <v>8789</v>
      </c>
      <c r="B93" s="21" t="s">
        <v>3744</v>
      </c>
      <c r="C93" s="24" t="s">
        <v>8790</v>
      </c>
      <c r="D93" s="42">
        <v>400</v>
      </c>
      <c r="E93" s="30" t="s">
        <v>410</v>
      </c>
      <c r="F93" s="1">
        <v>150200390</v>
      </c>
      <c r="G93" s="1" t="s">
        <v>8597</v>
      </c>
      <c r="H93" s="1">
        <f t="shared" si="1"/>
        <v>307011</v>
      </c>
    </row>
    <row r="94" spans="1:8" ht="30" x14ac:dyDescent="0.25">
      <c r="A94" s="21" t="s">
        <v>8791</v>
      </c>
      <c r="B94" s="21" t="s">
        <v>3744</v>
      </c>
      <c r="C94" s="24" t="s">
        <v>8792</v>
      </c>
      <c r="D94" s="42">
        <v>206.93</v>
      </c>
      <c r="E94" s="30" t="s">
        <v>410</v>
      </c>
      <c r="F94" s="1">
        <v>150200390</v>
      </c>
      <c r="G94" s="1" t="s">
        <v>8597</v>
      </c>
      <c r="H94" s="1">
        <f t="shared" si="1"/>
        <v>307011</v>
      </c>
    </row>
    <row r="95" spans="1:8" x14ac:dyDescent="0.25">
      <c r="A95" s="21" t="s">
        <v>8793</v>
      </c>
      <c r="B95" s="21" t="s">
        <v>3744</v>
      </c>
      <c r="C95" s="24" t="s">
        <v>8794</v>
      </c>
      <c r="D95" s="42">
        <v>34.619999999999997</v>
      </c>
      <c r="E95" s="30" t="s">
        <v>410</v>
      </c>
      <c r="F95" s="1">
        <v>300300490</v>
      </c>
      <c r="G95" s="1" t="s">
        <v>8615</v>
      </c>
      <c r="H95" s="1">
        <f t="shared" si="1"/>
        <v>307011</v>
      </c>
    </row>
    <row r="96" spans="1:8" ht="30" x14ac:dyDescent="0.25">
      <c r="A96" s="21" t="s">
        <v>8795</v>
      </c>
      <c r="B96" s="21" t="s">
        <v>3744</v>
      </c>
      <c r="C96" s="24" t="s">
        <v>8796</v>
      </c>
      <c r="D96" s="42">
        <v>15</v>
      </c>
      <c r="E96" s="30" t="s">
        <v>410</v>
      </c>
      <c r="F96" s="1">
        <v>150200390</v>
      </c>
      <c r="G96" s="1" t="s">
        <v>8597</v>
      </c>
      <c r="H96" s="1">
        <f t="shared" si="1"/>
        <v>307011</v>
      </c>
    </row>
    <row r="97" spans="1:8" x14ac:dyDescent="0.25">
      <c r="A97" s="21" t="s">
        <v>8797</v>
      </c>
      <c r="B97" s="21" t="s">
        <v>3744</v>
      </c>
      <c r="C97" s="24" t="s">
        <v>8798</v>
      </c>
      <c r="D97" s="42">
        <v>43.85</v>
      </c>
      <c r="E97" s="30" t="s">
        <v>410</v>
      </c>
      <c r="F97" s="1">
        <v>300300490</v>
      </c>
      <c r="G97" s="1" t="s">
        <v>8615</v>
      </c>
      <c r="H97" s="1">
        <f t="shared" si="1"/>
        <v>307011</v>
      </c>
    </row>
    <row r="98" spans="1:8" ht="30" x14ac:dyDescent="0.25">
      <c r="A98" s="21" t="s">
        <v>8799</v>
      </c>
      <c r="B98" s="21" t="s">
        <v>3744</v>
      </c>
      <c r="C98" s="24" t="s">
        <v>8800</v>
      </c>
      <c r="D98" s="42">
        <v>52.31</v>
      </c>
      <c r="E98" s="30" t="s">
        <v>410</v>
      </c>
      <c r="F98" s="1">
        <v>300300490</v>
      </c>
      <c r="G98" s="1" t="s">
        <v>8615</v>
      </c>
      <c r="H98" s="1">
        <f t="shared" si="1"/>
        <v>307011</v>
      </c>
    </row>
    <row r="99" spans="1:8" ht="30" x14ac:dyDescent="0.25">
      <c r="A99" s="21" t="s">
        <v>8801</v>
      </c>
      <c r="B99" s="21" t="s">
        <v>8802</v>
      </c>
      <c r="C99" s="24" t="s">
        <v>8803</v>
      </c>
      <c r="D99" s="42">
        <v>34.94</v>
      </c>
      <c r="E99" s="30" t="s">
        <v>410</v>
      </c>
      <c r="F99" s="22">
        <v>150140170</v>
      </c>
      <c r="G99" s="22" t="s">
        <v>8652</v>
      </c>
      <c r="H99" s="1">
        <f t="shared" si="1"/>
        <v>307011</v>
      </c>
    </row>
    <row r="100" spans="1:8" x14ac:dyDescent="0.25">
      <c r="A100" s="21" t="s">
        <v>8804</v>
      </c>
      <c r="B100" s="21" t="s">
        <v>3744</v>
      </c>
      <c r="C100" s="24" t="s">
        <v>8805</v>
      </c>
      <c r="D100" s="42">
        <v>103.08</v>
      </c>
      <c r="E100" s="30" t="s">
        <v>410</v>
      </c>
      <c r="F100" s="1">
        <v>150200390</v>
      </c>
      <c r="G100" s="1" t="s">
        <v>8597</v>
      </c>
      <c r="H100" s="1">
        <f t="shared" si="1"/>
        <v>307011</v>
      </c>
    </row>
    <row r="101" spans="1:8" x14ac:dyDescent="0.25">
      <c r="A101" s="21" t="s">
        <v>8806</v>
      </c>
      <c r="B101" s="21" t="s">
        <v>8807</v>
      </c>
      <c r="C101" s="24" t="s">
        <v>8808</v>
      </c>
      <c r="D101" s="42">
        <v>868</v>
      </c>
      <c r="E101" s="30" t="s">
        <v>8807</v>
      </c>
      <c r="F101" s="22">
        <v>140105000</v>
      </c>
      <c r="G101" s="22" t="s">
        <v>8809</v>
      </c>
      <c r="H101" s="1">
        <f t="shared" si="1"/>
        <v>306971</v>
      </c>
    </row>
    <row r="102" spans="1:8" ht="30" x14ac:dyDescent="0.25">
      <c r="A102" s="21" t="s">
        <v>8810</v>
      </c>
      <c r="B102" s="21" t="s">
        <v>8807</v>
      </c>
      <c r="C102" s="24" t="s">
        <v>8811</v>
      </c>
      <c r="D102" s="42">
        <v>267</v>
      </c>
      <c r="E102" s="30" t="s">
        <v>8807</v>
      </c>
      <c r="F102" s="22">
        <v>140105000</v>
      </c>
      <c r="G102" s="1" t="s">
        <v>8809</v>
      </c>
      <c r="H102" s="1">
        <f t="shared" si="1"/>
        <v>306971</v>
      </c>
    </row>
    <row r="103" spans="1:8" x14ac:dyDescent="0.25">
      <c r="A103" s="21">
        <v>100178</v>
      </c>
      <c r="B103" s="21" t="s">
        <v>8812</v>
      </c>
      <c r="C103" s="24" t="s">
        <v>8813</v>
      </c>
      <c r="D103" s="42">
        <v>100.74</v>
      </c>
      <c r="E103" s="30" t="s">
        <v>5751</v>
      </c>
      <c r="F103" s="22">
        <v>150140170</v>
      </c>
      <c r="G103" s="22" t="s">
        <v>8652</v>
      </c>
      <c r="H103" s="1">
        <f t="shared" si="1"/>
        <v>349053</v>
      </c>
    </row>
    <row r="104" spans="1:8" x14ac:dyDescent="0.25">
      <c r="A104" s="21">
        <v>160520</v>
      </c>
      <c r="B104" s="21" t="s">
        <v>8812</v>
      </c>
      <c r="C104" s="24" t="s">
        <v>8814</v>
      </c>
      <c r="D104" s="42">
        <v>1713.15</v>
      </c>
      <c r="E104" s="30" t="s">
        <v>5751</v>
      </c>
      <c r="F104" s="1">
        <v>300300490</v>
      </c>
      <c r="G104" s="22" t="s">
        <v>8815</v>
      </c>
      <c r="H104" s="1">
        <f t="shared" si="1"/>
        <v>349053</v>
      </c>
    </row>
    <row r="105" spans="1:8" x14ac:dyDescent="0.25">
      <c r="A105" s="21">
        <v>100179</v>
      </c>
      <c r="B105" s="21" t="s">
        <v>8812</v>
      </c>
      <c r="C105" s="24" t="s">
        <v>8816</v>
      </c>
      <c r="D105" s="42">
        <v>162.69999999999999</v>
      </c>
      <c r="E105" s="30" t="s">
        <v>5751</v>
      </c>
      <c r="F105" s="22">
        <v>150140170</v>
      </c>
      <c r="G105" s="22" t="s">
        <v>8652</v>
      </c>
      <c r="H105" s="1">
        <f t="shared" si="1"/>
        <v>349053</v>
      </c>
    </row>
    <row r="106" spans="1:8" ht="30" x14ac:dyDescent="0.25">
      <c r="A106" s="27">
        <v>226900</v>
      </c>
      <c r="B106" s="21" t="s">
        <v>8817</v>
      </c>
      <c r="C106" s="24" t="s">
        <v>8818</v>
      </c>
      <c r="D106" s="42">
        <v>275.76</v>
      </c>
      <c r="E106" s="30" t="s">
        <v>410</v>
      </c>
      <c r="F106" s="22">
        <v>150140170</v>
      </c>
      <c r="G106" s="22" t="s">
        <v>8652</v>
      </c>
      <c r="H106" s="1">
        <f t="shared" si="1"/>
        <v>307011</v>
      </c>
    </row>
    <row r="107" spans="1:8" ht="30" x14ac:dyDescent="0.25">
      <c r="A107" s="21">
        <v>99372781004</v>
      </c>
      <c r="B107" s="21" t="s">
        <v>8802</v>
      </c>
      <c r="C107" s="24" t="s">
        <v>8819</v>
      </c>
      <c r="D107" s="42">
        <v>28.27</v>
      </c>
      <c r="E107" s="30" t="s">
        <v>410</v>
      </c>
      <c r="F107" s="22">
        <v>150140170</v>
      </c>
      <c r="G107" s="22" t="s">
        <v>8652</v>
      </c>
      <c r="H107" s="1">
        <f t="shared" si="1"/>
        <v>307011</v>
      </c>
    </row>
    <row r="108" spans="1:8" ht="30" x14ac:dyDescent="0.25">
      <c r="A108" s="21" t="s">
        <v>8820</v>
      </c>
      <c r="B108" s="21" t="s">
        <v>8768</v>
      </c>
      <c r="C108" s="24" t="s">
        <v>8821</v>
      </c>
      <c r="D108" s="42">
        <v>81.27</v>
      </c>
      <c r="E108" s="30" t="s">
        <v>108</v>
      </c>
      <c r="F108" s="22">
        <v>150140170</v>
      </c>
      <c r="G108" s="22" t="s">
        <v>8652</v>
      </c>
      <c r="H108" s="1">
        <f t="shared" si="1"/>
        <v>317032</v>
      </c>
    </row>
    <row r="109" spans="1:8" ht="30" x14ac:dyDescent="0.25">
      <c r="A109" s="21" t="s">
        <v>8822</v>
      </c>
      <c r="B109" s="21" t="s">
        <v>8768</v>
      </c>
      <c r="C109" s="24" t="s">
        <v>8823</v>
      </c>
      <c r="D109" s="42">
        <v>36.54</v>
      </c>
      <c r="E109" s="30" t="s">
        <v>108</v>
      </c>
      <c r="F109" s="22">
        <v>150140170</v>
      </c>
      <c r="G109" s="22" t="s">
        <v>8652</v>
      </c>
      <c r="H109" s="1">
        <f t="shared" si="1"/>
        <v>317032</v>
      </c>
    </row>
    <row r="110" spans="1:8" ht="30" x14ac:dyDescent="0.25">
      <c r="A110" s="21">
        <v>9933830004</v>
      </c>
      <c r="B110" s="21" t="s">
        <v>8802</v>
      </c>
      <c r="C110" s="24" t="s">
        <v>8824</v>
      </c>
      <c r="D110" s="42">
        <v>20.09</v>
      </c>
      <c r="E110" s="30" t="s">
        <v>410</v>
      </c>
      <c r="F110" s="22">
        <v>150140170</v>
      </c>
      <c r="G110" s="22" t="s">
        <v>8652</v>
      </c>
      <c r="H110" s="1">
        <f t="shared" si="1"/>
        <v>307011</v>
      </c>
    </row>
    <row r="111" spans="1:8" ht="30" x14ac:dyDescent="0.25">
      <c r="A111" s="21" t="s">
        <v>8825</v>
      </c>
      <c r="B111" s="21" t="s">
        <v>8826</v>
      </c>
      <c r="C111" s="24" t="s">
        <v>8827</v>
      </c>
      <c r="D111" s="42">
        <v>49.14</v>
      </c>
      <c r="E111" s="30" t="s">
        <v>108</v>
      </c>
      <c r="F111" s="22">
        <v>150140170</v>
      </c>
      <c r="G111" s="22" t="s">
        <v>8652</v>
      </c>
      <c r="H111" s="1">
        <f t="shared" si="1"/>
        <v>317032</v>
      </c>
    </row>
    <row r="112" spans="1:8" x14ac:dyDescent="0.25">
      <c r="A112" s="21" t="s">
        <v>8828</v>
      </c>
      <c r="B112" s="21" t="s">
        <v>309</v>
      </c>
      <c r="C112" s="24" t="s">
        <v>8829</v>
      </c>
      <c r="D112" s="42">
        <v>143.9</v>
      </c>
      <c r="E112" s="30" t="s">
        <v>309</v>
      </c>
      <c r="F112" s="22">
        <v>150140170</v>
      </c>
      <c r="G112" s="22" t="s">
        <v>8652</v>
      </c>
      <c r="H112" s="1">
        <f t="shared" si="1"/>
        <v>307763</v>
      </c>
    </row>
    <row r="113" spans="1:8" ht="30" x14ac:dyDescent="0.25">
      <c r="A113" s="21">
        <v>9904872908</v>
      </c>
      <c r="B113" s="21" t="s">
        <v>8802</v>
      </c>
      <c r="C113" s="24" t="s">
        <v>8830</v>
      </c>
      <c r="D113" s="42">
        <v>44.6</v>
      </c>
      <c r="E113" s="30" t="s">
        <v>410</v>
      </c>
      <c r="F113" s="22">
        <v>150140170</v>
      </c>
      <c r="G113" s="22" t="s">
        <v>8652</v>
      </c>
      <c r="H113" s="1">
        <f t="shared" si="1"/>
        <v>307011</v>
      </c>
    </row>
    <row r="114" spans="1:8" ht="30" x14ac:dyDescent="0.25">
      <c r="A114" s="21" t="s">
        <v>8831</v>
      </c>
      <c r="B114" s="21" t="s">
        <v>309</v>
      </c>
      <c r="C114" s="24" t="s">
        <v>8832</v>
      </c>
      <c r="D114" s="42">
        <v>55.98</v>
      </c>
      <c r="E114" s="30" t="s">
        <v>309</v>
      </c>
      <c r="F114" s="22">
        <v>150140170</v>
      </c>
      <c r="G114" s="22" t="s">
        <v>8652</v>
      </c>
      <c r="H114" s="1">
        <f t="shared" si="1"/>
        <v>307763</v>
      </c>
    </row>
    <row r="115" spans="1:8" ht="30" x14ac:dyDescent="0.25">
      <c r="A115" s="21" t="s">
        <v>8833</v>
      </c>
      <c r="B115" s="21" t="s">
        <v>309</v>
      </c>
      <c r="C115" s="24" t="s">
        <v>8834</v>
      </c>
      <c r="D115" s="42">
        <v>37.44</v>
      </c>
      <c r="E115" s="30" t="s">
        <v>309</v>
      </c>
      <c r="F115" s="22">
        <v>150140170</v>
      </c>
      <c r="G115" s="22" t="s">
        <v>8652</v>
      </c>
      <c r="H115" s="1">
        <f t="shared" si="1"/>
        <v>307763</v>
      </c>
    </row>
    <row r="116" spans="1:8" ht="30" x14ac:dyDescent="0.25">
      <c r="A116" s="21" t="s">
        <v>8835</v>
      </c>
      <c r="B116" s="21" t="s">
        <v>309</v>
      </c>
      <c r="C116" s="24" t="s">
        <v>8836</v>
      </c>
      <c r="D116" s="42">
        <v>38.479999999999997</v>
      </c>
      <c r="E116" s="30" t="s">
        <v>309</v>
      </c>
      <c r="F116" s="22">
        <v>150140170</v>
      </c>
      <c r="G116" s="22" t="s">
        <v>8652</v>
      </c>
      <c r="H116" s="1">
        <f t="shared" si="1"/>
        <v>307763</v>
      </c>
    </row>
    <row r="117" spans="1:8" ht="30" x14ac:dyDescent="0.25">
      <c r="A117" s="21" t="s">
        <v>8837</v>
      </c>
      <c r="B117" s="21" t="s">
        <v>309</v>
      </c>
      <c r="C117" s="24" t="s">
        <v>8838</v>
      </c>
      <c r="D117" s="42">
        <v>44.85</v>
      </c>
      <c r="E117" s="30" t="s">
        <v>309</v>
      </c>
      <c r="F117" s="22">
        <v>150140170</v>
      </c>
      <c r="G117" s="22" t="s">
        <v>8652</v>
      </c>
      <c r="H117" s="1">
        <f t="shared" si="1"/>
        <v>307763</v>
      </c>
    </row>
    <row r="118" spans="1:8" ht="30" x14ac:dyDescent="0.25">
      <c r="A118" s="21">
        <v>9904371905</v>
      </c>
      <c r="B118" s="21" t="s">
        <v>8802</v>
      </c>
      <c r="C118" s="24" t="s">
        <v>8839</v>
      </c>
      <c r="D118" s="42">
        <v>36</v>
      </c>
      <c r="E118" s="30" t="s">
        <v>410</v>
      </c>
      <c r="F118" s="22">
        <v>150140170</v>
      </c>
      <c r="G118" s="22" t="s">
        <v>8652</v>
      </c>
      <c r="H118" s="1">
        <f t="shared" si="1"/>
        <v>307011</v>
      </c>
    </row>
    <row r="119" spans="1:8" ht="30" x14ac:dyDescent="0.25">
      <c r="A119" s="21">
        <v>9904363205</v>
      </c>
      <c r="B119" s="21" t="s">
        <v>8802</v>
      </c>
      <c r="C119" s="24" t="s">
        <v>8840</v>
      </c>
      <c r="D119" s="42" t="s">
        <v>512</v>
      </c>
      <c r="E119" s="30" t="s">
        <v>410</v>
      </c>
      <c r="F119" s="22">
        <v>150140170</v>
      </c>
      <c r="G119" s="22" t="s">
        <v>8652</v>
      </c>
      <c r="H119" s="1">
        <f t="shared" si="1"/>
        <v>307011</v>
      </c>
    </row>
    <row r="120" spans="1:8" ht="30" x14ac:dyDescent="0.25">
      <c r="A120" s="21">
        <v>99043618605</v>
      </c>
      <c r="B120" s="21" t="s">
        <v>8802</v>
      </c>
      <c r="C120" s="24" t="s">
        <v>8841</v>
      </c>
      <c r="D120" s="42" t="s">
        <v>512</v>
      </c>
      <c r="E120" s="30" t="s">
        <v>410</v>
      </c>
      <c r="F120" s="22">
        <v>150140170</v>
      </c>
      <c r="G120" s="22" t="s">
        <v>8652</v>
      </c>
      <c r="H120" s="1">
        <f t="shared" si="1"/>
        <v>307011</v>
      </c>
    </row>
    <row r="121" spans="1:8" x14ac:dyDescent="0.25">
      <c r="A121" s="21" t="s">
        <v>8842</v>
      </c>
      <c r="B121" s="21" t="s">
        <v>8843</v>
      </c>
      <c r="C121" s="24" t="s">
        <v>8844</v>
      </c>
      <c r="D121" s="42" t="s">
        <v>512</v>
      </c>
      <c r="E121" s="30" t="s">
        <v>8845</v>
      </c>
      <c r="F121" s="22">
        <v>150135000</v>
      </c>
      <c r="G121" s="22" t="s">
        <v>8846</v>
      </c>
      <c r="H121" s="1">
        <f t="shared" si="1"/>
        <v>326967</v>
      </c>
    </row>
    <row r="122" spans="1:8" x14ac:dyDescent="0.25">
      <c r="A122" s="21" t="s">
        <v>8847</v>
      </c>
      <c r="B122" s="21" t="s">
        <v>8843</v>
      </c>
      <c r="C122" s="24" t="s">
        <v>8848</v>
      </c>
      <c r="D122" s="42">
        <v>12452</v>
      </c>
      <c r="E122" s="30" t="s">
        <v>8845</v>
      </c>
      <c r="F122" s="22">
        <v>150135000</v>
      </c>
      <c r="G122" s="22" t="s">
        <v>8846</v>
      </c>
      <c r="H122" s="1">
        <f t="shared" si="1"/>
        <v>326967</v>
      </c>
    </row>
    <row r="123" spans="1:8" x14ac:dyDescent="0.25">
      <c r="A123" s="21" t="s">
        <v>8849</v>
      </c>
      <c r="B123" s="21" t="s">
        <v>8843</v>
      </c>
      <c r="C123" s="24" t="s">
        <v>8850</v>
      </c>
      <c r="D123" s="42">
        <v>1216</v>
      </c>
      <c r="E123" s="30" t="s">
        <v>8845</v>
      </c>
      <c r="F123" s="22">
        <v>150135000</v>
      </c>
      <c r="G123" s="22" t="s">
        <v>8846</v>
      </c>
      <c r="H123" s="1">
        <f t="shared" si="1"/>
        <v>326967</v>
      </c>
    </row>
    <row r="124" spans="1:8" x14ac:dyDescent="0.25">
      <c r="A124" s="21" t="s">
        <v>8851</v>
      </c>
      <c r="B124" s="21" t="s">
        <v>8843</v>
      </c>
      <c r="C124" s="24" t="s">
        <v>8852</v>
      </c>
      <c r="D124" s="42">
        <v>498</v>
      </c>
      <c r="E124" s="30" t="s">
        <v>8845</v>
      </c>
      <c r="F124" s="22">
        <v>150135000</v>
      </c>
      <c r="G124" s="22" t="s">
        <v>8846</v>
      </c>
      <c r="H124" s="1">
        <f t="shared" si="1"/>
        <v>326967</v>
      </c>
    </row>
    <row r="125" spans="1:8" ht="30" x14ac:dyDescent="0.25">
      <c r="A125" s="21" t="s">
        <v>8853</v>
      </c>
      <c r="B125" s="21" t="s">
        <v>8766</v>
      </c>
      <c r="C125" s="24" t="s">
        <v>8854</v>
      </c>
      <c r="D125" s="42">
        <v>25.07</v>
      </c>
      <c r="E125" s="30" t="s">
        <v>8768</v>
      </c>
      <c r="F125" s="22">
        <v>150140170</v>
      </c>
      <c r="G125" s="22" t="s">
        <v>8652</v>
      </c>
      <c r="H125" s="1" t="str">
        <f t="shared" si="1"/>
        <v/>
      </c>
    </row>
    <row r="126" spans="1:8" x14ac:dyDescent="0.25">
      <c r="A126" s="21" t="s">
        <v>8855</v>
      </c>
      <c r="B126" s="21" t="s">
        <v>8856</v>
      </c>
      <c r="C126" s="24" t="s">
        <v>8857</v>
      </c>
      <c r="D126" s="42">
        <v>780</v>
      </c>
      <c r="E126" s="30" t="s">
        <v>234</v>
      </c>
      <c r="F126" s="22">
        <v>150545000</v>
      </c>
      <c r="G126" s="22" t="s">
        <v>8684</v>
      </c>
      <c r="H126" s="1">
        <f t="shared" si="1"/>
        <v>316539</v>
      </c>
    </row>
    <row r="127" spans="1:8" ht="30" x14ac:dyDescent="0.25">
      <c r="A127" s="21" t="s">
        <v>8858</v>
      </c>
      <c r="B127" s="21" t="s">
        <v>405</v>
      </c>
      <c r="C127" s="24" t="s">
        <v>8859</v>
      </c>
      <c r="D127" s="42">
        <v>2026.42</v>
      </c>
      <c r="E127" s="30" t="s">
        <v>405</v>
      </c>
      <c r="F127" s="22">
        <v>150280000</v>
      </c>
      <c r="G127" s="22" t="s">
        <v>8860</v>
      </c>
      <c r="H127" s="1">
        <f t="shared" si="1"/>
        <v>307709</v>
      </c>
    </row>
    <row r="128" spans="1:8" ht="30" x14ac:dyDescent="0.25">
      <c r="A128" s="21" t="s">
        <v>8861</v>
      </c>
      <c r="B128" s="21" t="s">
        <v>405</v>
      </c>
      <c r="C128" s="24" t="s">
        <v>8862</v>
      </c>
      <c r="D128" s="42">
        <v>2816.43</v>
      </c>
      <c r="E128" s="30" t="s">
        <v>405</v>
      </c>
      <c r="F128" s="22">
        <v>150280000</v>
      </c>
      <c r="G128" s="22" t="s">
        <v>8860</v>
      </c>
      <c r="H128" s="1">
        <f t="shared" si="1"/>
        <v>307709</v>
      </c>
    </row>
    <row r="129" spans="1:8" x14ac:dyDescent="0.25">
      <c r="A129" s="21" t="s">
        <v>8863</v>
      </c>
      <c r="B129" s="21" t="s">
        <v>8864</v>
      </c>
      <c r="C129" s="24" t="s">
        <v>8865</v>
      </c>
      <c r="D129" s="42" t="s">
        <v>512</v>
      </c>
      <c r="E129" s="30" t="s">
        <v>410</v>
      </c>
      <c r="F129" s="22">
        <v>150140170</v>
      </c>
      <c r="G129" s="22" t="s">
        <v>8652</v>
      </c>
      <c r="H129" s="38">
        <f t="shared" si="1"/>
        <v>307011</v>
      </c>
    </row>
    <row r="130" spans="1:8" x14ac:dyDescent="0.25">
      <c r="A130" s="21" t="s">
        <v>8866</v>
      </c>
      <c r="B130" s="21" t="s">
        <v>8864</v>
      </c>
      <c r="C130" s="24" t="s">
        <v>8867</v>
      </c>
      <c r="D130" s="42" t="s">
        <v>512</v>
      </c>
      <c r="E130" s="30" t="s">
        <v>410</v>
      </c>
      <c r="F130" s="22">
        <v>150140170</v>
      </c>
      <c r="G130" s="22" t="s">
        <v>8652</v>
      </c>
      <c r="H130" s="38">
        <f t="shared" ref="H130:H193" si="2">IF(E130="","",IFERROR(INDEX(ONGEN_VENDOR_CODES,MATCH(E130,ONGEN_VENDOR_NAMES,0)),""))</f>
        <v>307011</v>
      </c>
    </row>
    <row r="131" spans="1:8" x14ac:dyDescent="0.25">
      <c r="A131" s="21" t="s">
        <v>8868</v>
      </c>
      <c r="B131" s="21" t="s">
        <v>8864</v>
      </c>
      <c r="C131" s="24" t="s">
        <v>8869</v>
      </c>
      <c r="D131" s="42" t="s">
        <v>512</v>
      </c>
      <c r="E131" s="30" t="s">
        <v>410</v>
      </c>
      <c r="F131" s="22">
        <v>150140170</v>
      </c>
      <c r="G131" s="22" t="s">
        <v>8652</v>
      </c>
      <c r="H131" s="38">
        <f t="shared" si="2"/>
        <v>307011</v>
      </c>
    </row>
    <row r="132" spans="1:8" x14ac:dyDescent="0.25">
      <c r="A132" s="21" t="s">
        <v>8870</v>
      </c>
      <c r="B132" s="21" t="s">
        <v>8864</v>
      </c>
      <c r="C132" s="24" t="s">
        <v>8871</v>
      </c>
      <c r="D132" s="42" t="s">
        <v>512</v>
      </c>
      <c r="E132" s="30" t="s">
        <v>410</v>
      </c>
      <c r="F132" s="22">
        <v>150140170</v>
      </c>
      <c r="G132" s="22" t="s">
        <v>8652</v>
      </c>
      <c r="H132" s="38">
        <f t="shared" si="2"/>
        <v>307011</v>
      </c>
    </row>
    <row r="133" spans="1:8" ht="30" x14ac:dyDescent="0.25">
      <c r="A133" s="21">
        <v>9904371205</v>
      </c>
      <c r="B133" s="21" t="s">
        <v>8802</v>
      </c>
      <c r="C133" s="24" t="s">
        <v>8872</v>
      </c>
      <c r="D133" s="42">
        <v>19.989999999999998</v>
      </c>
      <c r="E133" s="30" t="s">
        <v>410</v>
      </c>
      <c r="F133" s="22">
        <v>150140170</v>
      </c>
      <c r="G133" s="22" t="s">
        <v>8652</v>
      </c>
      <c r="H133" s="1">
        <f t="shared" si="2"/>
        <v>307011</v>
      </c>
    </row>
    <row r="134" spans="1:8" ht="30" x14ac:dyDescent="0.25">
      <c r="A134" s="21">
        <v>9906402905</v>
      </c>
      <c r="B134" s="21" t="s">
        <v>8802</v>
      </c>
      <c r="C134" s="24" t="s">
        <v>8873</v>
      </c>
      <c r="D134" s="42">
        <v>15.28</v>
      </c>
      <c r="E134" s="30" t="s">
        <v>410</v>
      </c>
      <c r="F134" s="22">
        <v>150140170</v>
      </c>
      <c r="G134" s="22" t="s">
        <v>8652</v>
      </c>
      <c r="H134" s="1">
        <f t="shared" si="2"/>
        <v>307011</v>
      </c>
    </row>
    <row r="135" spans="1:8" x14ac:dyDescent="0.25">
      <c r="A135" s="21" t="s">
        <v>8874</v>
      </c>
      <c r="B135" s="21" t="s">
        <v>309</v>
      </c>
      <c r="C135" s="24" t="s">
        <v>8875</v>
      </c>
      <c r="D135" s="42">
        <v>23.6</v>
      </c>
      <c r="E135" s="30" t="s">
        <v>309</v>
      </c>
      <c r="F135" s="22">
        <v>150140170</v>
      </c>
      <c r="G135" s="22" t="s">
        <v>8652</v>
      </c>
      <c r="H135" s="1">
        <f t="shared" si="2"/>
        <v>307763</v>
      </c>
    </row>
    <row r="136" spans="1:8" x14ac:dyDescent="0.25">
      <c r="A136" s="21" t="s">
        <v>8876</v>
      </c>
      <c r="B136" s="21" t="s">
        <v>309</v>
      </c>
      <c r="C136" s="24" t="s">
        <v>8877</v>
      </c>
      <c r="D136" s="42">
        <v>9.1199999999999992</v>
      </c>
      <c r="E136" s="30" t="s">
        <v>309</v>
      </c>
      <c r="F136" s="22">
        <v>150140170</v>
      </c>
      <c r="G136" s="22" t="s">
        <v>8652</v>
      </c>
      <c r="H136" s="1">
        <f t="shared" si="2"/>
        <v>307763</v>
      </c>
    </row>
    <row r="137" spans="1:8" ht="30" x14ac:dyDescent="0.25">
      <c r="A137" s="21" t="s">
        <v>8878</v>
      </c>
      <c r="B137" s="21" t="s">
        <v>309</v>
      </c>
      <c r="C137" s="24" t="s">
        <v>8879</v>
      </c>
      <c r="D137" s="42">
        <v>9.66</v>
      </c>
      <c r="E137" s="30" t="s">
        <v>309</v>
      </c>
      <c r="F137" s="22">
        <v>150140170</v>
      </c>
      <c r="G137" s="22" t="s">
        <v>8652</v>
      </c>
      <c r="H137" s="1">
        <f t="shared" si="2"/>
        <v>307763</v>
      </c>
    </row>
    <row r="138" spans="1:8" ht="30" x14ac:dyDescent="0.25">
      <c r="A138" s="21" t="s">
        <v>8880</v>
      </c>
      <c r="B138" s="21" t="s">
        <v>309</v>
      </c>
      <c r="C138" s="24" t="s">
        <v>8881</v>
      </c>
      <c r="D138" s="42">
        <v>17.600000000000001</v>
      </c>
      <c r="E138" s="30" t="s">
        <v>309</v>
      </c>
      <c r="F138" s="22">
        <v>150140170</v>
      </c>
      <c r="G138" s="22" t="s">
        <v>8652</v>
      </c>
      <c r="H138" s="1">
        <f t="shared" si="2"/>
        <v>307763</v>
      </c>
    </row>
    <row r="139" spans="1:8" ht="30" x14ac:dyDescent="0.25">
      <c r="A139" s="21" t="s">
        <v>8882</v>
      </c>
      <c r="B139" s="21" t="s">
        <v>309</v>
      </c>
      <c r="C139" s="24" t="s">
        <v>8883</v>
      </c>
      <c r="D139" s="42">
        <v>20.98</v>
      </c>
      <c r="E139" s="30" t="s">
        <v>309</v>
      </c>
      <c r="F139" s="22">
        <v>150140170</v>
      </c>
      <c r="G139" s="22" t="s">
        <v>8652</v>
      </c>
      <c r="H139" s="1">
        <f t="shared" si="2"/>
        <v>307763</v>
      </c>
    </row>
    <row r="140" spans="1:8" ht="30" x14ac:dyDescent="0.25">
      <c r="A140" s="21" t="s">
        <v>8884</v>
      </c>
      <c r="B140" s="21" t="s">
        <v>309</v>
      </c>
      <c r="C140" s="24" t="s">
        <v>8885</v>
      </c>
      <c r="D140" s="42">
        <v>19.04</v>
      </c>
      <c r="E140" s="30" t="s">
        <v>309</v>
      </c>
      <c r="F140" s="22">
        <v>150140170</v>
      </c>
      <c r="G140" s="22" t="s">
        <v>8652</v>
      </c>
      <c r="H140" s="1">
        <f t="shared" si="2"/>
        <v>307763</v>
      </c>
    </row>
    <row r="141" spans="1:8" ht="30" x14ac:dyDescent="0.25">
      <c r="A141" s="21" t="s">
        <v>8886</v>
      </c>
      <c r="B141" s="21" t="s">
        <v>309</v>
      </c>
      <c r="C141" s="24" t="s">
        <v>8887</v>
      </c>
      <c r="D141" s="42">
        <v>9.84</v>
      </c>
      <c r="E141" s="30" t="s">
        <v>309</v>
      </c>
      <c r="F141" s="22">
        <v>150140170</v>
      </c>
      <c r="G141" s="22" t="s">
        <v>8652</v>
      </c>
      <c r="H141" s="1">
        <f t="shared" si="2"/>
        <v>307763</v>
      </c>
    </row>
    <row r="142" spans="1:8" x14ac:dyDescent="0.25">
      <c r="A142" s="21" t="s">
        <v>8888</v>
      </c>
      <c r="B142" s="21" t="s">
        <v>8807</v>
      </c>
      <c r="C142" s="24" t="s">
        <v>8889</v>
      </c>
      <c r="D142" s="42" t="s">
        <v>512</v>
      </c>
      <c r="E142" s="30" t="s">
        <v>8807</v>
      </c>
      <c r="F142" s="22">
        <v>150135000</v>
      </c>
      <c r="G142" s="22" t="s">
        <v>8846</v>
      </c>
      <c r="H142" s="1">
        <f t="shared" si="2"/>
        <v>306971</v>
      </c>
    </row>
    <row r="143" spans="1:8" x14ac:dyDescent="0.25">
      <c r="A143" s="21" t="s">
        <v>8890</v>
      </c>
      <c r="B143" s="21" t="s">
        <v>8807</v>
      </c>
      <c r="C143" s="24" t="s">
        <v>8891</v>
      </c>
      <c r="D143" s="42">
        <v>8.25</v>
      </c>
      <c r="E143" s="30" t="s">
        <v>8807</v>
      </c>
      <c r="F143" s="22">
        <v>150135000</v>
      </c>
      <c r="G143" s="22" t="s">
        <v>8846</v>
      </c>
      <c r="H143" s="1">
        <f t="shared" si="2"/>
        <v>306971</v>
      </c>
    </row>
    <row r="144" spans="1:8" x14ac:dyDescent="0.25">
      <c r="A144" s="21" t="s">
        <v>8892</v>
      </c>
      <c r="B144" s="21" t="s">
        <v>8807</v>
      </c>
      <c r="C144" s="24" t="s">
        <v>8893</v>
      </c>
      <c r="D144" s="42">
        <v>9.75</v>
      </c>
      <c r="E144" s="30" t="s">
        <v>8807</v>
      </c>
      <c r="F144" s="22">
        <v>150135000</v>
      </c>
      <c r="G144" s="22" t="s">
        <v>8846</v>
      </c>
      <c r="H144" s="1">
        <f t="shared" si="2"/>
        <v>306971</v>
      </c>
    </row>
    <row r="145" spans="1:8" x14ac:dyDescent="0.25">
      <c r="A145" s="21" t="s">
        <v>8894</v>
      </c>
      <c r="B145" s="21" t="s">
        <v>8807</v>
      </c>
      <c r="C145" s="24" t="s">
        <v>8895</v>
      </c>
      <c r="D145" s="42">
        <v>12</v>
      </c>
      <c r="E145" s="30" t="s">
        <v>8807</v>
      </c>
      <c r="F145" s="22">
        <v>150135000</v>
      </c>
      <c r="G145" s="22" t="s">
        <v>8846</v>
      </c>
      <c r="H145" s="1">
        <f t="shared" si="2"/>
        <v>306971</v>
      </c>
    </row>
    <row r="146" spans="1:8" ht="30" x14ac:dyDescent="0.25">
      <c r="A146" s="21" t="s">
        <v>8896</v>
      </c>
      <c r="B146" s="21" t="s">
        <v>8812</v>
      </c>
      <c r="C146" s="24" t="s">
        <v>8897</v>
      </c>
      <c r="D146" s="42">
        <v>354.95</v>
      </c>
      <c r="E146" s="30" t="s">
        <v>410</v>
      </c>
      <c r="F146" s="1">
        <v>300300490</v>
      </c>
      <c r="G146" s="22" t="s">
        <v>8652</v>
      </c>
      <c r="H146" s="1">
        <f t="shared" si="2"/>
        <v>307011</v>
      </c>
    </row>
    <row r="147" spans="1:8" x14ac:dyDescent="0.25">
      <c r="A147" s="21" t="s">
        <v>8898</v>
      </c>
      <c r="B147" s="21" t="s">
        <v>344</v>
      </c>
      <c r="C147" s="24" t="s">
        <v>8899</v>
      </c>
      <c r="D147" s="42">
        <v>21.92</v>
      </c>
      <c r="E147" s="30" t="s">
        <v>410</v>
      </c>
      <c r="F147" s="22">
        <v>150140170</v>
      </c>
      <c r="G147" s="22" t="s">
        <v>8652</v>
      </c>
      <c r="H147" s="1">
        <f t="shared" si="2"/>
        <v>307011</v>
      </c>
    </row>
    <row r="148" spans="1:8" x14ac:dyDescent="0.25">
      <c r="A148" s="21" t="s">
        <v>8900</v>
      </c>
      <c r="B148" s="21" t="s">
        <v>344</v>
      </c>
      <c r="C148" s="24" t="s">
        <v>8901</v>
      </c>
      <c r="D148" s="42">
        <v>42.84</v>
      </c>
      <c r="E148" s="30" t="s">
        <v>410</v>
      </c>
      <c r="F148" s="22">
        <v>150140170</v>
      </c>
      <c r="G148" s="22" t="s">
        <v>8652</v>
      </c>
      <c r="H148" s="1">
        <f t="shared" si="2"/>
        <v>307011</v>
      </c>
    </row>
    <row r="149" spans="1:8" ht="30" x14ac:dyDescent="0.25">
      <c r="A149" s="21">
        <v>344376</v>
      </c>
      <c r="B149" s="21" t="s">
        <v>309</v>
      </c>
      <c r="C149" s="24" t="s">
        <v>8902</v>
      </c>
      <c r="D149" s="42">
        <v>72.040000000000006</v>
      </c>
      <c r="E149" s="30" t="s">
        <v>309</v>
      </c>
      <c r="F149" s="22">
        <v>150140170</v>
      </c>
      <c r="G149" s="22" t="s">
        <v>8652</v>
      </c>
      <c r="H149" s="1">
        <f t="shared" si="2"/>
        <v>307763</v>
      </c>
    </row>
    <row r="150" spans="1:8" x14ac:dyDescent="0.25">
      <c r="A150" s="21" t="s">
        <v>8903</v>
      </c>
      <c r="B150" s="21" t="s">
        <v>405</v>
      </c>
      <c r="C150" s="24" t="s">
        <v>8904</v>
      </c>
      <c r="D150" s="42">
        <v>5474.88</v>
      </c>
      <c r="E150" s="30" t="s">
        <v>405</v>
      </c>
      <c r="F150" s="22">
        <v>150280000</v>
      </c>
      <c r="G150" s="22" t="s">
        <v>8860</v>
      </c>
      <c r="H150" s="1">
        <f t="shared" si="2"/>
        <v>307709</v>
      </c>
    </row>
    <row r="151" spans="1:8" x14ac:dyDescent="0.25">
      <c r="A151" s="21" t="s">
        <v>8905</v>
      </c>
      <c r="B151" s="21" t="s">
        <v>405</v>
      </c>
      <c r="C151" s="24" t="s">
        <v>8906</v>
      </c>
      <c r="D151" s="42">
        <v>2460.5</v>
      </c>
      <c r="E151" s="30" t="s">
        <v>405</v>
      </c>
      <c r="F151" s="22">
        <v>150280000</v>
      </c>
      <c r="G151" s="22" t="s">
        <v>8860</v>
      </c>
      <c r="H151" s="1">
        <f t="shared" si="2"/>
        <v>307709</v>
      </c>
    </row>
    <row r="152" spans="1:8" x14ac:dyDescent="0.25">
      <c r="A152" s="21" t="s">
        <v>8907</v>
      </c>
      <c r="B152" s="21" t="s">
        <v>405</v>
      </c>
      <c r="C152" s="24" t="s">
        <v>8908</v>
      </c>
      <c r="D152" s="42">
        <v>1767.44</v>
      </c>
      <c r="E152" s="30" t="s">
        <v>405</v>
      </c>
      <c r="F152" s="22">
        <v>150280000</v>
      </c>
      <c r="G152" s="22" t="s">
        <v>8860</v>
      </c>
      <c r="H152" s="1">
        <f t="shared" si="2"/>
        <v>307709</v>
      </c>
    </row>
    <row r="153" spans="1:8" x14ac:dyDescent="0.25">
      <c r="A153" s="1">
        <v>1830600</v>
      </c>
      <c r="B153" s="21" t="s">
        <v>405</v>
      </c>
      <c r="C153" s="24" t="s">
        <v>8909</v>
      </c>
      <c r="D153" s="42">
        <v>2.41</v>
      </c>
      <c r="E153" s="30" t="s">
        <v>405</v>
      </c>
      <c r="F153" s="22">
        <v>150280000</v>
      </c>
      <c r="G153" s="22" t="s">
        <v>8860</v>
      </c>
      <c r="H153" s="1">
        <f t="shared" si="2"/>
        <v>307709</v>
      </c>
    </row>
    <row r="154" spans="1:8" x14ac:dyDescent="0.25">
      <c r="A154" s="21">
        <v>28231449</v>
      </c>
      <c r="B154" s="21" t="s">
        <v>405</v>
      </c>
      <c r="C154" s="24" t="s">
        <v>8910</v>
      </c>
      <c r="D154" s="42">
        <v>174.32</v>
      </c>
      <c r="E154" s="30" t="s">
        <v>405</v>
      </c>
      <c r="F154" s="22">
        <v>150140170</v>
      </c>
      <c r="G154" s="22" t="s">
        <v>8652</v>
      </c>
      <c r="H154" s="1">
        <f t="shared" si="2"/>
        <v>307709</v>
      </c>
    </row>
    <row r="155" spans="1:8" x14ac:dyDescent="0.25">
      <c r="A155" s="21">
        <v>18123864</v>
      </c>
      <c r="B155" s="21" t="s">
        <v>405</v>
      </c>
      <c r="C155" s="24" t="s">
        <v>8911</v>
      </c>
      <c r="D155" s="42">
        <v>66.680000000000007</v>
      </c>
      <c r="E155" s="30" t="s">
        <v>405</v>
      </c>
      <c r="F155" s="22">
        <v>150140170</v>
      </c>
      <c r="G155" s="22" t="s">
        <v>8652</v>
      </c>
      <c r="H155" s="1">
        <f t="shared" si="2"/>
        <v>307709</v>
      </c>
    </row>
    <row r="156" spans="1:8" x14ac:dyDescent="0.25">
      <c r="A156" s="21">
        <v>25643517</v>
      </c>
      <c r="B156" s="21" t="s">
        <v>405</v>
      </c>
      <c r="C156" s="24" t="s">
        <v>8912</v>
      </c>
      <c r="D156" s="42">
        <v>20.48</v>
      </c>
      <c r="E156" s="30" t="s">
        <v>405</v>
      </c>
      <c r="F156" s="22">
        <v>150140170</v>
      </c>
      <c r="G156" s="22" t="s">
        <v>8652</v>
      </c>
      <c r="H156" s="1">
        <f t="shared" si="2"/>
        <v>307709</v>
      </c>
    </row>
    <row r="157" spans="1:8" x14ac:dyDescent="0.25">
      <c r="A157" s="21" t="s">
        <v>8913</v>
      </c>
      <c r="B157" s="21" t="s">
        <v>405</v>
      </c>
      <c r="C157" s="24" t="s">
        <v>8914</v>
      </c>
      <c r="D157" s="42">
        <v>254.12</v>
      </c>
      <c r="E157" s="30" t="s">
        <v>405</v>
      </c>
      <c r="F157" s="22">
        <v>150140170</v>
      </c>
      <c r="G157" s="22" t="s">
        <v>8652</v>
      </c>
      <c r="H157" s="1">
        <f t="shared" si="2"/>
        <v>307709</v>
      </c>
    </row>
    <row r="158" spans="1:8" x14ac:dyDescent="0.25">
      <c r="A158" s="21" t="s">
        <v>8915</v>
      </c>
      <c r="B158" s="21" t="s">
        <v>405</v>
      </c>
      <c r="C158" s="24" t="s">
        <v>8914</v>
      </c>
      <c r="D158" s="42">
        <v>138.03</v>
      </c>
      <c r="E158" s="30" t="s">
        <v>405</v>
      </c>
      <c r="F158" s="22">
        <v>150140170</v>
      </c>
      <c r="G158" s="22" t="s">
        <v>8652</v>
      </c>
      <c r="H158" s="1">
        <f t="shared" si="2"/>
        <v>307709</v>
      </c>
    </row>
    <row r="159" spans="1:8" x14ac:dyDescent="0.25">
      <c r="A159" s="21" t="s">
        <v>8916</v>
      </c>
      <c r="B159" s="21" t="s">
        <v>405</v>
      </c>
      <c r="C159" s="24" t="s">
        <v>8917</v>
      </c>
      <c r="D159" s="42">
        <v>123.62</v>
      </c>
      <c r="E159" s="30" t="s">
        <v>405</v>
      </c>
      <c r="F159" s="22">
        <v>150140170</v>
      </c>
      <c r="G159" s="22" t="s">
        <v>8652</v>
      </c>
      <c r="H159" s="1">
        <f t="shared" si="2"/>
        <v>307709</v>
      </c>
    </row>
    <row r="160" spans="1:8" x14ac:dyDescent="0.25">
      <c r="A160" s="21" t="s">
        <v>8918</v>
      </c>
      <c r="B160" s="21" t="s">
        <v>405</v>
      </c>
      <c r="C160" s="24" t="s">
        <v>8919</v>
      </c>
      <c r="D160" s="42">
        <v>189.28</v>
      </c>
      <c r="E160" s="30" t="s">
        <v>405</v>
      </c>
      <c r="F160" s="22">
        <v>150140170</v>
      </c>
      <c r="G160" s="22" t="s">
        <v>8652</v>
      </c>
      <c r="H160" s="1">
        <f t="shared" si="2"/>
        <v>307709</v>
      </c>
    </row>
    <row r="161" spans="1:8" x14ac:dyDescent="0.25">
      <c r="A161" s="21" t="s">
        <v>8920</v>
      </c>
      <c r="B161" s="21" t="s">
        <v>8807</v>
      </c>
      <c r="C161" s="24" t="s">
        <v>8921</v>
      </c>
      <c r="D161" s="42">
        <v>23.25</v>
      </c>
      <c r="E161" s="30" t="s">
        <v>8807</v>
      </c>
      <c r="F161" s="22">
        <v>150135000</v>
      </c>
      <c r="G161" s="22" t="s">
        <v>8846</v>
      </c>
      <c r="H161" s="1">
        <f t="shared" si="2"/>
        <v>306971</v>
      </c>
    </row>
    <row r="162" spans="1:8" x14ac:dyDescent="0.25">
      <c r="A162" s="21" t="s">
        <v>8922</v>
      </c>
      <c r="B162" s="21" t="s">
        <v>8807</v>
      </c>
      <c r="C162" s="24" t="s">
        <v>8923</v>
      </c>
      <c r="D162" s="42">
        <v>23.25</v>
      </c>
      <c r="E162" s="30" t="s">
        <v>8807</v>
      </c>
      <c r="F162" s="22">
        <v>150135000</v>
      </c>
      <c r="G162" s="22" t="s">
        <v>8846</v>
      </c>
      <c r="H162" s="1">
        <f t="shared" si="2"/>
        <v>306971</v>
      </c>
    </row>
    <row r="163" spans="1:8" x14ac:dyDescent="0.25">
      <c r="A163" s="21" t="s">
        <v>8924</v>
      </c>
      <c r="B163" s="21" t="s">
        <v>8807</v>
      </c>
      <c r="C163" s="24" t="s">
        <v>8925</v>
      </c>
      <c r="D163" s="42">
        <v>44.25</v>
      </c>
      <c r="E163" s="30" t="s">
        <v>8807</v>
      </c>
      <c r="F163" s="22">
        <v>150135000</v>
      </c>
      <c r="G163" s="22" t="s">
        <v>8846</v>
      </c>
      <c r="H163" s="1">
        <f t="shared" si="2"/>
        <v>306971</v>
      </c>
    </row>
    <row r="164" spans="1:8" x14ac:dyDescent="0.25">
      <c r="A164" s="21" t="s">
        <v>8926</v>
      </c>
      <c r="B164" s="21" t="s">
        <v>8807</v>
      </c>
      <c r="C164" s="24" t="s">
        <v>8927</v>
      </c>
      <c r="D164" s="42">
        <v>48.75</v>
      </c>
      <c r="E164" s="30" t="s">
        <v>8807</v>
      </c>
      <c r="F164" s="22">
        <v>150135000</v>
      </c>
      <c r="G164" s="22" t="s">
        <v>8846</v>
      </c>
      <c r="H164" s="1">
        <f t="shared" si="2"/>
        <v>306971</v>
      </c>
    </row>
    <row r="165" spans="1:8" x14ac:dyDescent="0.25">
      <c r="A165" s="21" t="s">
        <v>8928</v>
      </c>
      <c r="B165" s="21" t="s">
        <v>8807</v>
      </c>
      <c r="C165" s="24" t="s">
        <v>8929</v>
      </c>
      <c r="D165" s="42">
        <v>158.25</v>
      </c>
      <c r="E165" s="30" t="s">
        <v>8807</v>
      </c>
      <c r="F165" s="22">
        <v>150135000</v>
      </c>
      <c r="G165" s="22" t="s">
        <v>8846</v>
      </c>
      <c r="H165" s="1">
        <f t="shared" si="2"/>
        <v>306971</v>
      </c>
    </row>
    <row r="166" spans="1:8" x14ac:dyDescent="0.25">
      <c r="A166" s="21" t="s">
        <v>8930</v>
      </c>
      <c r="B166" s="21" t="s">
        <v>8807</v>
      </c>
      <c r="C166" s="24" t="s">
        <v>8931</v>
      </c>
      <c r="D166" s="42">
        <v>3.75</v>
      </c>
      <c r="E166" s="30" t="s">
        <v>8807</v>
      </c>
      <c r="F166" s="22">
        <v>150135000</v>
      </c>
      <c r="G166" s="22" t="s">
        <v>8846</v>
      </c>
      <c r="H166" s="1">
        <f t="shared" si="2"/>
        <v>306971</v>
      </c>
    </row>
    <row r="167" spans="1:8" x14ac:dyDescent="0.25">
      <c r="A167" s="21" t="s">
        <v>8932</v>
      </c>
      <c r="B167" s="21" t="s">
        <v>8807</v>
      </c>
      <c r="C167" s="24" t="s">
        <v>8933</v>
      </c>
      <c r="D167" s="42">
        <v>123.75</v>
      </c>
      <c r="E167" s="30" t="s">
        <v>8807</v>
      </c>
      <c r="F167" s="22">
        <v>150135000</v>
      </c>
      <c r="G167" s="22" t="s">
        <v>8846</v>
      </c>
      <c r="H167" s="1">
        <f t="shared" si="2"/>
        <v>306971</v>
      </c>
    </row>
    <row r="168" spans="1:8" x14ac:dyDescent="0.25">
      <c r="A168" s="21" t="s">
        <v>8934</v>
      </c>
      <c r="B168" s="21" t="s">
        <v>8807</v>
      </c>
      <c r="C168" s="24" t="s">
        <v>8889</v>
      </c>
      <c r="D168" s="42">
        <v>317.25</v>
      </c>
      <c r="E168" s="30" t="s">
        <v>8807</v>
      </c>
      <c r="F168" s="22">
        <v>150135000</v>
      </c>
      <c r="G168" s="22" t="s">
        <v>8846</v>
      </c>
      <c r="H168" s="1">
        <f t="shared" si="2"/>
        <v>306971</v>
      </c>
    </row>
    <row r="169" spans="1:8" x14ac:dyDescent="0.25">
      <c r="A169" s="21" t="s">
        <v>8935</v>
      </c>
      <c r="B169" s="21" t="s">
        <v>8807</v>
      </c>
      <c r="C169" s="24" t="s">
        <v>8936</v>
      </c>
      <c r="D169" s="42">
        <v>411</v>
      </c>
      <c r="E169" s="30" t="s">
        <v>8807</v>
      </c>
      <c r="F169" s="22">
        <v>150135000</v>
      </c>
      <c r="G169" s="22" t="s">
        <v>8846</v>
      </c>
      <c r="H169" s="1">
        <f t="shared" si="2"/>
        <v>306971</v>
      </c>
    </row>
    <row r="170" spans="1:8" x14ac:dyDescent="0.25">
      <c r="A170" s="21" t="s">
        <v>8937</v>
      </c>
      <c r="B170" s="21" t="s">
        <v>8807</v>
      </c>
      <c r="C170" s="24" t="s">
        <v>8938</v>
      </c>
      <c r="D170" s="42" t="s">
        <v>512</v>
      </c>
      <c r="E170" s="30" t="s">
        <v>8807</v>
      </c>
      <c r="F170" s="22">
        <v>150135000</v>
      </c>
      <c r="G170" s="22" t="s">
        <v>8846</v>
      </c>
      <c r="H170" s="1">
        <f t="shared" si="2"/>
        <v>306971</v>
      </c>
    </row>
    <row r="171" spans="1:8" x14ac:dyDescent="0.25">
      <c r="A171" s="21" t="s">
        <v>8939</v>
      </c>
      <c r="B171" s="21" t="s">
        <v>8807</v>
      </c>
      <c r="C171" s="24" t="s">
        <v>8940</v>
      </c>
      <c r="D171" s="42">
        <v>213.75</v>
      </c>
      <c r="E171" s="30" t="s">
        <v>8807</v>
      </c>
      <c r="F171" s="22">
        <v>150135000</v>
      </c>
      <c r="G171" s="22" t="s">
        <v>8846</v>
      </c>
      <c r="H171" s="1">
        <f t="shared" si="2"/>
        <v>306971</v>
      </c>
    </row>
    <row r="172" spans="1:8" x14ac:dyDescent="0.25">
      <c r="A172" s="21" t="s">
        <v>8941</v>
      </c>
      <c r="B172" s="21" t="s">
        <v>8807</v>
      </c>
      <c r="C172" s="24" t="s">
        <v>8942</v>
      </c>
      <c r="D172" s="42">
        <v>285</v>
      </c>
      <c r="E172" s="30" t="s">
        <v>8807</v>
      </c>
      <c r="F172" s="22">
        <v>150135000</v>
      </c>
      <c r="G172" s="22" t="s">
        <v>8846</v>
      </c>
      <c r="H172" s="1">
        <f t="shared" si="2"/>
        <v>306971</v>
      </c>
    </row>
    <row r="173" spans="1:8" x14ac:dyDescent="0.25">
      <c r="A173" s="21" t="s">
        <v>8943</v>
      </c>
      <c r="B173" s="21" t="s">
        <v>8807</v>
      </c>
      <c r="C173" s="24" t="s">
        <v>8944</v>
      </c>
      <c r="D173" s="42">
        <v>214.5</v>
      </c>
      <c r="E173" s="30" t="s">
        <v>8807</v>
      </c>
      <c r="F173" s="22">
        <v>150135000</v>
      </c>
      <c r="G173" s="22" t="s">
        <v>8846</v>
      </c>
      <c r="H173" s="1">
        <f t="shared" si="2"/>
        <v>306971</v>
      </c>
    </row>
    <row r="174" spans="1:8" x14ac:dyDescent="0.25">
      <c r="A174" s="21" t="s">
        <v>8945</v>
      </c>
      <c r="B174" s="21" t="s">
        <v>8807</v>
      </c>
      <c r="C174" s="24" t="s">
        <v>8946</v>
      </c>
      <c r="D174" s="42">
        <v>430.1</v>
      </c>
      <c r="E174" s="30" t="s">
        <v>8807</v>
      </c>
      <c r="F174" s="22">
        <v>150135000</v>
      </c>
      <c r="G174" s="22" t="s">
        <v>8846</v>
      </c>
      <c r="H174" s="1">
        <f t="shared" si="2"/>
        <v>306971</v>
      </c>
    </row>
    <row r="175" spans="1:8" x14ac:dyDescent="0.25">
      <c r="A175" s="21" t="s">
        <v>8947</v>
      </c>
      <c r="B175" s="21" t="s">
        <v>8807</v>
      </c>
      <c r="C175" s="24" t="s">
        <v>8948</v>
      </c>
      <c r="D175" s="42">
        <v>14.45</v>
      </c>
      <c r="E175" s="30" t="s">
        <v>8807</v>
      </c>
      <c r="F175" s="22">
        <v>150135000</v>
      </c>
      <c r="G175" s="22" t="s">
        <v>8846</v>
      </c>
      <c r="H175" s="1">
        <f t="shared" si="2"/>
        <v>306971</v>
      </c>
    </row>
    <row r="176" spans="1:8" x14ac:dyDescent="0.25">
      <c r="A176" s="21" t="s">
        <v>8949</v>
      </c>
      <c r="B176" s="21" t="s">
        <v>8807</v>
      </c>
      <c r="C176" s="24" t="s">
        <v>8950</v>
      </c>
      <c r="D176" s="42">
        <v>3551.8</v>
      </c>
      <c r="E176" s="30" t="s">
        <v>8807</v>
      </c>
      <c r="F176" s="22">
        <v>150135000</v>
      </c>
      <c r="G176" s="22" t="s">
        <v>8846</v>
      </c>
      <c r="H176" s="1">
        <f t="shared" si="2"/>
        <v>306971</v>
      </c>
    </row>
    <row r="177" spans="1:8" ht="45" x14ac:dyDescent="0.25">
      <c r="A177" s="21" t="s">
        <v>8951</v>
      </c>
      <c r="B177" s="21" t="s">
        <v>8807</v>
      </c>
      <c r="C177" s="24" t="s">
        <v>8952</v>
      </c>
      <c r="D177" s="42">
        <v>0</v>
      </c>
      <c r="E177" s="30" t="s">
        <v>8807</v>
      </c>
      <c r="F177" s="22">
        <v>150135000</v>
      </c>
      <c r="G177" s="22" t="s">
        <v>8846</v>
      </c>
      <c r="H177" s="1">
        <f t="shared" si="2"/>
        <v>306971</v>
      </c>
    </row>
    <row r="178" spans="1:8" ht="30" x14ac:dyDescent="0.25">
      <c r="A178" s="21" t="s">
        <v>8953</v>
      </c>
      <c r="B178" s="21" t="s">
        <v>8807</v>
      </c>
      <c r="C178" s="24" t="s">
        <v>8954</v>
      </c>
      <c r="D178" s="42">
        <v>0</v>
      </c>
      <c r="E178" s="30" t="s">
        <v>8807</v>
      </c>
      <c r="F178" s="22">
        <v>150135000</v>
      </c>
      <c r="G178" s="22" t="s">
        <v>8846</v>
      </c>
      <c r="H178" s="1">
        <f t="shared" si="2"/>
        <v>306971</v>
      </c>
    </row>
    <row r="179" spans="1:8" ht="30" x14ac:dyDescent="0.25">
      <c r="A179" s="21" t="s">
        <v>8955</v>
      </c>
      <c r="B179" s="21" t="s">
        <v>8807</v>
      </c>
      <c r="C179" s="24" t="s">
        <v>8956</v>
      </c>
      <c r="D179" s="42">
        <v>0</v>
      </c>
      <c r="E179" s="30" t="s">
        <v>8807</v>
      </c>
      <c r="F179" s="22">
        <v>150135000</v>
      </c>
      <c r="G179" s="22" t="s">
        <v>8846</v>
      </c>
      <c r="H179" s="1">
        <f t="shared" si="2"/>
        <v>306971</v>
      </c>
    </row>
    <row r="180" spans="1:8" ht="45" x14ac:dyDescent="0.25">
      <c r="A180" s="21" t="s">
        <v>8957</v>
      </c>
      <c r="B180" s="21" t="s">
        <v>8807</v>
      </c>
      <c r="C180" s="24" t="s">
        <v>8958</v>
      </c>
      <c r="D180" s="42">
        <v>0</v>
      </c>
      <c r="E180" s="30" t="s">
        <v>8807</v>
      </c>
      <c r="F180" s="22">
        <v>150135000</v>
      </c>
      <c r="G180" s="22" t="s">
        <v>8846</v>
      </c>
      <c r="H180" s="1">
        <f t="shared" si="2"/>
        <v>306971</v>
      </c>
    </row>
    <row r="181" spans="1:8" ht="30" x14ac:dyDescent="0.25">
      <c r="A181" s="21" t="s">
        <v>8959</v>
      </c>
      <c r="B181" s="21" t="s">
        <v>8807</v>
      </c>
      <c r="C181" s="24" t="s">
        <v>8960</v>
      </c>
      <c r="D181" s="42">
        <v>0</v>
      </c>
      <c r="E181" s="30" t="s">
        <v>8807</v>
      </c>
      <c r="F181" s="22">
        <v>150135000</v>
      </c>
      <c r="G181" s="22" t="s">
        <v>8846</v>
      </c>
      <c r="H181" s="1">
        <f t="shared" si="2"/>
        <v>306971</v>
      </c>
    </row>
    <row r="182" spans="1:8" ht="45" x14ac:dyDescent="0.25">
      <c r="A182" s="21" t="s">
        <v>8961</v>
      </c>
      <c r="B182" s="21" t="s">
        <v>8807</v>
      </c>
      <c r="C182" s="24" t="s">
        <v>8962</v>
      </c>
      <c r="D182" s="42">
        <v>3123</v>
      </c>
      <c r="E182" s="30" t="s">
        <v>8807</v>
      </c>
      <c r="F182" s="22">
        <v>150135000</v>
      </c>
      <c r="G182" s="22" t="s">
        <v>8846</v>
      </c>
      <c r="H182" s="1">
        <f t="shared" si="2"/>
        <v>306971</v>
      </c>
    </row>
    <row r="183" spans="1:8" ht="30" x14ac:dyDescent="0.25">
      <c r="A183" s="21" t="s">
        <v>8963</v>
      </c>
      <c r="B183" s="21" t="s">
        <v>8807</v>
      </c>
      <c r="C183" s="24" t="s">
        <v>8964</v>
      </c>
      <c r="D183" s="42">
        <v>0</v>
      </c>
      <c r="E183" s="30" t="s">
        <v>8807</v>
      </c>
      <c r="F183" s="22">
        <v>150135000</v>
      </c>
      <c r="G183" s="22" t="s">
        <v>8846</v>
      </c>
      <c r="H183" s="1">
        <f t="shared" si="2"/>
        <v>306971</v>
      </c>
    </row>
    <row r="184" spans="1:8" ht="30" x14ac:dyDescent="0.25">
      <c r="A184" s="21" t="s">
        <v>8965</v>
      </c>
      <c r="B184" s="21" t="s">
        <v>8807</v>
      </c>
      <c r="C184" s="24" t="s">
        <v>8966</v>
      </c>
      <c r="D184" s="42">
        <v>0</v>
      </c>
      <c r="E184" s="30" t="s">
        <v>8807</v>
      </c>
      <c r="F184" s="22">
        <v>150135000</v>
      </c>
      <c r="G184" s="22" t="s">
        <v>8846</v>
      </c>
      <c r="H184" s="1">
        <f t="shared" si="2"/>
        <v>306971</v>
      </c>
    </row>
    <row r="185" spans="1:8" ht="30" x14ac:dyDescent="0.25">
      <c r="A185" s="21" t="s">
        <v>8967</v>
      </c>
      <c r="B185" s="21" t="s">
        <v>8807</v>
      </c>
      <c r="C185" s="24" t="s">
        <v>8968</v>
      </c>
      <c r="D185" s="42">
        <v>0</v>
      </c>
      <c r="E185" s="30" t="s">
        <v>8807</v>
      </c>
      <c r="F185" s="22">
        <v>150135000</v>
      </c>
      <c r="G185" s="22" t="s">
        <v>8846</v>
      </c>
      <c r="H185" s="1">
        <f t="shared" si="2"/>
        <v>306971</v>
      </c>
    </row>
    <row r="186" spans="1:8" ht="30" x14ac:dyDescent="0.25">
      <c r="A186" s="21" t="s">
        <v>8969</v>
      </c>
      <c r="B186" s="21" t="s">
        <v>8807</v>
      </c>
      <c r="C186" s="24" t="s">
        <v>8970</v>
      </c>
      <c r="D186" s="42">
        <v>0</v>
      </c>
      <c r="E186" s="30" t="s">
        <v>8807</v>
      </c>
      <c r="F186" s="22">
        <v>150135000</v>
      </c>
      <c r="G186" s="22" t="s">
        <v>8846</v>
      </c>
      <c r="H186" s="1">
        <f t="shared" si="2"/>
        <v>306971</v>
      </c>
    </row>
    <row r="187" spans="1:8" ht="30" x14ac:dyDescent="0.25">
      <c r="A187" s="21" t="s">
        <v>8971</v>
      </c>
      <c r="B187" s="21" t="s">
        <v>309</v>
      </c>
      <c r="C187" s="24" t="s">
        <v>8972</v>
      </c>
      <c r="D187" s="42">
        <v>22.98</v>
      </c>
      <c r="E187" s="30" t="s">
        <v>309</v>
      </c>
      <c r="F187" s="22">
        <v>150140170</v>
      </c>
      <c r="G187" s="22" t="s">
        <v>8652</v>
      </c>
      <c r="H187" s="1">
        <f t="shared" si="2"/>
        <v>307763</v>
      </c>
    </row>
    <row r="188" spans="1:8" ht="30" x14ac:dyDescent="0.25">
      <c r="A188" s="21" t="s">
        <v>8973</v>
      </c>
      <c r="B188" s="21" t="s">
        <v>309</v>
      </c>
      <c r="C188" s="24" t="s">
        <v>8974</v>
      </c>
      <c r="D188" s="42">
        <v>13.96</v>
      </c>
      <c r="E188" s="30" t="s">
        <v>309</v>
      </c>
      <c r="F188" s="22">
        <v>150140170</v>
      </c>
      <c r="G188" s="22" t="s">
        <v>8652</v>
      </c>
      <c r="H188" s="1">
        <f t="shared" si="2"/>
        <v>307763</v>
      </c>
    </row>
    <row r="189" spans="1:8" x14ac:dyDescent="0.25">
      <c r="A189" s="21" t="s">
        <v>8975</v>
      </c>
      <c r="B189" s="21" t="s">
        <v>8843</v>
      </c>
      <c r="C189" s="24" t="s">
        <v>8976</v>
      </c>
      <c r="D189" s="42">
        <v>1585</v>
      </c>
      <c r="E189" s="30" t="s">
        <v>8845</v>
      </c>
      <c r="F189" s="22">
        <v>150135000</v>
      </c>
      <c r="G189" s="22" t="s">
        <v>8846</v>
      </c>
      <c r="H189" s="1">
        <f t="shared" si="2"/>
        <v>326967</v>
      </c>
    </row>
    <row r="190" spans="1:8" x14ac:dyDescent="0.25">
      <c r="A190" s="21">
        <v>28238133</v>
      </c>
      <c r="B190" s="21" t="s">
        <v>8977</v>
      </c>
      <c r="C190" s="24" t="s">
        <v>8978</v>
      </c>
      <c r="D190" s="42">
        <v>174.32</v>
      </c>
      <c r="E190" s="30" t="s">
        <v>405</v>
      </c>
      <c r="F190" s="22">
        <v>140105000</v>
      </c>
      <c r="G190" s="22" t="s">
        <v>8809</v>
      </c>
      <c r="H190" s="1">
        <f t="shared" si="2"/>
        <v>307709</v>
      </c>
    </row>
    <row r="191" spans="1:8" x14ac:dyDescent="0.25">
      <c r="A191" s="21" t="s">
        <v>8979</v>
      </c>
      <c r="B191" s="21" t="s">
        <v>8843</v>
      </c>
      <c r="C191" s="24" t="s">
        <v>8980</v>
      </c>
      <c r="D191" s="42">
        <v>8693</v>
      </c>
      <c r="E191" s="30" t="s">
        <v>8845</v>
      </c>
      <c r="F191" s="22">
        <v>150135000</v>
      </c>
      <c r="G191" s="22" t="s">
        <v>8846</v>
      </c>
      <c r="H191" s="1">
        <f t="shared" si="2"/>
        <v>326967</v>
      </c>
    </row>
    <row r="192" spans="1:8" x14ac:dyDescent="0.25">
      <c r="A192" s="21" t="s">
        <v>8981</v>
      </c>
      <c r="B192" s="21" t="s">
        <v>8843</v>
      </c>
      <c r="C192" s="24" t="s">
        <v>8982</v>
      </c>
      <c r="D192" s="42">
        <v>6550</v>
      </c>
      <c r="E192" s="30" t="s">
        <v>8845</v>
      </c>
      <c r="F192" s="22">
        <v>150135000</v>
      </c>
      <c r="G192" s="22" t="s">
        <v>8846</v>
      </c>
      <c r="H192" s="1">
        <f t="shared" si="2"/>
        <v>326967</v>
      </c>
    </row>
    <row r="193" spans="1:8" x14ac:dyDescent="0.25">
      <c r="A193" s="21" t="s">
        <v>8983</v>
      </c>
      <c r="B193" s="21" t="s">
        <v>8843</v>
      </c>
      <c r="C193" s="24" t="s">
        <v>8984</v>
      </c>
      <c r="D193" s="42">
        <v>3991</v>
      </c>
      <c r="E193" s="30" t="s">
        <v>8845</v>
      </c>
      <c r="F193" s="22">
        <v>150135000</v>
      </c>
      <c r="G193" s="22" t="s">
        <v>8846</v>
      </c>
      <c r="H193" s="1">
        <f t="shared" si="2"/>
        <v>326967</v>
      </c>
    </row>
    <row r="194" spans="1:8" ht="30" x14ac:dyDescent="0.25">
      <c r="A194" s="21" t="s">
        <v>8985</v>
      </c>
      <c r="B194" s="21" t="s">
        <v>405</v>
      </c>
      <c r="C194" s="24" t="s">
        <v>8986</v>
      </c>
      <c r="D194" s="42">
        <v>2099.4299999999998</v>
      </c>
      <c r="E194" s="30" t="s">
        <v>405</v>
      </c>
      <c r="F194" s="22">
        <v>150280000</v>
      </c>
      <c r="G194" s="22" t="s">
        <v>8860</v>
      </c>
      <c r="H194" s="1">
        <f t="shared" ref="H194:H208" si="3">IF(E194="","",IFERROR(INDEX(ONGEN_VENDOR_CODES,MATCH(E194,ONGEN_VENDOR_NAMES,0)),""))</f>
        <v>307709</v>
      </c>
    </row>
    <row r="195" spans="1:8" ht="30" x14ac:dyDescent="0.25">
      <c r="A195" s="21" t="s">
        <v>8987</v>
      </c>
      <c r="B195" s="21" t="s">
        <v>405</v>
      </c>
      <c r="C195" s="24" t="s">
        <v>8988</v>
      </c>
      <c r="D195" s="42">
        <v>3019.62</v>
      </c>
      <c r="E195" s="30" t="s">
        <v>405</v>
      </c>
      <c r="F195" s="22">
        <v>150280000</v>
      </c>
      <c r="G195" s="22" t="s">
        <v>8860</v>
      </c>
      <c r="H195" s="1">
        <f t="shared" si="3"/>
        <v>307709</v>
      </c>
    </row>
    <row r="196" spans="1:8" x14ac:dyDescent="0.25">
      <c r="A196" s="21" t="s">
        <v>8989</v>
      </c>
      <c r="B196" s="21" t="s">
        <v>405</v>
      </c>
      <c r="C196" s="24" t="s">
        <v>8978</v>
      </c>
      <c r="D196" s="42">
        <v>174.32</v>
      </c>
      <c r="E196" s="30" t="s">
        <v>405</v>
      </c>
      <c r="F196" s="22">
        <v>140105000</v>
      </c>
      <c r="G196" s="22" t="s">
        <v>8809</v>
      </c>
      <c r="H196" s="1">
        <f t="shared" si="3"/>
        <v>307709</v>
      </c>
    </row>
    <row r="197" spans="1:8" x14ac:dyDescent="0.25">
      <c r="G197" s="1" t="s">
        <v>8809</v>
      </c>
      <c r="H197" s="1" t="str">
        <f t="shared" si="3"/>
        <v/>
      </c>
    </row>
    <row r="198" spans="1:8" x14ac:dyDescent="0.25">
      <c r="A198" s="21" t="s">
        <v>8990</v>
      </c>
      <c r="B198" s="21" t="s">
        <v>8991</v>
      </c>
      <c r="E198" s="30" t="s">
        <v>8807</v>
      </c>
      <c r="F198" s="1">
        <v>150135000</v>
      </c>
      <c r="G198" s="1" t="s">
        <v>8846</v>
      </c>
      <c r="H198" s="1">
        <f t="shared" si="3"/>
        <v>306971</v>
      </c>
    </row>
    <row r="199" spans="1:8" x14ac:dyDescent="0.25">
      <c r="A199" s="21" t="s">
        <v>8992</v>
      </c>
      <c r="B199" s="21" t="s">
        <v>8991</v>
      </c>
      <c r="E199" s="30" t="s">
        <v>8807</v>
      </c>
      <c r="F199" s="1">
        <v>150135000</v>
      </c>
      <c r="G199" s="1" t="s">
        <v>8846</v>
      </c>
      <c r="H199" s="1">
        <f t="shared" si="3"/>
        <v>306971</v>
      </c>
    </row>
    <row r="200" spans="1:8" x14ac:dyDescent="0.25">
      <c r="A200" s="21" t="s">
        <v>8993</v>
      </c>
      <c r="B200" s="21" t="s">
        <v>8991</v>
      </c>
      <c r="E200" s="30" t="s">
        <v>8807</v>
      </c>
      <c r="F200" s="1">
        <v>150135000</v>
      </c>
      <c r="G200" s="1" t="s">
        <v>8846</v>
      </c>
      <c r="H200" s="1">
        <f t="shared" si="3"/>
        <v>306971</v>
      </c>
    </row>
    <row r="201" spans="1:8" x14ac:dyDescent="0.25">
      <c r="A201" s="21" t="s">
        <v>8994</v>
      </c>
      <c r="B201" s="21" t="s">
        <v>8991</v>
      </c>
      <c r="E201" s="30" t="s">
        <v>8807</v>
      </c>
      <c r="F201" s="1">
        <v>150135000</v>
      </c>
      <c r="G201" s="1" t="s">
        <v>8846</v>
      </c>
      <c r="H201" s="1">
        <f t="shared" si="3"/>
        <v>306971</v>
      </c>
    </row>
    <row r="202" spans="1:8" x14ac:dyDescent="0.25">
      <c r="A202" s="21" t="s">
        <v>8995</v>
      </c>
      <c r="B202" s="21" t="s">
        <v>309</v>
      </c>
      <c r="C202" s="24" t="s">
        <v>8996</v>
      </c>
      <c r="D202" s="42">
        <v>15.48</v>
      </c>
      <c r="E202" s="30" t="s">
        <v>309</v>
      </c>
      <c r="F202" s="22">
        <v>150140170</v>
      </c>
      <c r="G202" s="22" t="s">
        <v>8652</v>
      </c>
      <c r="H202" s="1">
        <f t="shared" si="3"/>
        <v>307763</v>
      </c>
    </row>
    <row r="203" spans="1:8" ht="30" x14ac:dyDescent="0.25">
      <c r="A203" s="21" t="s">
        <v>8997</v>
      </c>
      <c r="B203" s="21" t="s">
        <v>309</v>
      </c>
      <c r="C203" s="24" t="s">
        <v>8998</v>
      </c>
      <c r="D203" s="42">
        <v>22.5</v>
      </c>
      <c r="E203" s="30" t="s">
        <v>309</v>
      </c>
      <c r="F203" s="22">
        <v>150140170</v>
      </c>
      <c r="G203" s="22" t="s">
        <v>8652</v>
      </c>
      <c r="H203" s="1">
        <f t="shared" si="3"/>
        <v>307763</v>
      </c>
    </row>
    <row r="204" spans="1:8" ht="60" x14ac:dyDescent="0.25">
      <c r="A204" s="21" t="s">
        <v>8999</v>
      </c>
      <c r="B204" s="21" t="s">
        <v>8991</v>
      </c>
      <c r="C204" s="24" t="s">
        <v>9000</v>
      </c>
      <c r="E204" s="30" t="s">
        <v>8807</v>
      </c>
      <c r="F204" s="1">
        <v>150135000</v>
      </c>
      <c r="G204" s="1" t="s">
        <v>8846</v>
      </c>
      <c r="H204" s="1">
        <f t="shared" si="3"/>
        <v>306971</v>
      </c>
    </row>
    <row r="205" spans="1:8" x14ac:dyDescent="0.25">
      <c r="A205" s="21" t="s">
        <v>9001</v>
      </c>
      <c r="B205" s="21" t="s">
        <v>8991</v>
      </c>
      <c r="D205" s="42">
        <v>3817</v>
      </c>
      <c r="E205" s="30" t="s">
        <v>8807</v>
      </c>
      <c r="F205" s="1">
        <v>150135000</v>
      </c>
      <c r="G205" s="1" t="s">
        <v>8846</v>
      </c>
      <c r="H205" s="1">
        <f t="shared" si="3"/>
        <v>306971</v>
      </c>
    </row>
    <row r="206" spans="1:8" ht="30" x14ac:dyDescent="0.25">
      <c r="A206" s="21" t="s">
        <v>9628</v>
      </c>
      <c r="B206" s="21" t="s">
        <v>309</v>
      </c>
      <c r="C206" s="24" t="s">
        <v>9630</v>
      </c>
      <c r="D206" s="42">
        <v>114.68</v>
      </c>
      <c r="E206" s="30" t="s">
        <v>309</v>
      </c>
      <c r="F206" s="22">
        <v>150140170</v>
      </c>
      <c r="G206" s="22" t="s">
        <v>8652</v>
      </c>
      <c r="H206" s="1">
        <f t="shared" si="3"/>
        <v>307763</v>
      </c>
    </row>
    <row r="207" spans="1:8" ht="45" x14ac:dyDescent="0.25">
      <c r="A207" s="21" t="s">
        <v>9629</v>
      </c>
      <c r="B207" s="21" t="s">
        <v>8812</v>
      </c>
      <c r="C207" s="24" t="s">
        <v>9631</v>
      </c>
      <c r="D207" s="42">
        <v>1462.42</v>
      </c>
      <c r="E207" s="30" t="s">
        <v>5751</v>
      </c>
      <c r="F207" s="22">
        <v>150140170</v>
      </c>
      <c r="G207" s="22" t="s">
        <v>8652</v>
      </c>
      <c r="H207" s="1">
        <f t="shared" si="3"/>
        <v>349053</v>
      </c>
    </row>
    <row r="208" spans="1:8" ht="30" x14ac:dyDescent="0.25">
      <c r="A208" s="21" t="s">
        <v>9663</v>
      </c>
      <c r="B208" s="21" t="s">
        <v>309</v>
      </c>
      <c r="C208" s="24" t="s">
        <v>9664</v>
      </c>
      <c r="D208" s="42">
        <v>13.18</v>
      </c>
      <c r="E208" s="30" t="s">
        <v>309</v>
      </c>
      <c r="F208" s="22">
        <v>150140170</v>
      </c>
      <c r="G208" s="22" t="s">
        <v>8652</v>
      </c>
      <c r="H208" s="1">
        <f t="shared" si="3"/>
        <v>307763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7388-50F2-4F2B-A844-8275F4950B90}">
  <sheetPr codeName="Sheet9"/>
  <dimension ref="A1:K12"/>
  <sheetViews>
    <sheetView workbookViewId="0">
      <selection activeCell="K4" sqref="K4"/>
    </sheetView>
  </sheetViews>
  <sheetFormatPr defaultRowHeight="15" x14ac:dyDescent="0.25"/>
  <cols>
    <col min="1" max="1" width="13.28515625" bestFit="1" customWidth="1"/>
    <col min="5" max="5" width="11.7109375" bestFit="1" customWidth="1"/>
    <col min="7" max="7" width="21.5703125" bestFit="1" customWidth="1"/>
    <col min="10" max="10" width="9.42578125" bestFit="1" customWidth="1"/>
    <col min="11" max="11" width="21.5703125" bestFit="1" customWidth="1"/>
  </cols>
  <sheetData>
    <row r="1" spans="1:11" x14ac:dyDescent="0.25">
      <c r="A1" s="15" t="s">
        <v>8590</v>
      </c>
      <c r="B1" s="10"/>
      <c r="C1" s="10" t="s">
        <v>8591</v>
      </c>
      <c r="D1" s="10"/>
      <c r="E1" s="10" t="s">
        <v>8592</v>
      </c>
      <c r="F1" s="10" t="s">
        <v>8593</v>
      </c>
      <c r="G1" s="10" t="s">
        <v>8594</v>
      </c>
    </row>
    <row r="2" spans="1:11" x14ac:dyDescent="0.25">
      <c r="A2" s="15" t="s">
        <v>8598</v>
      </c>
      <c r="B2" s="15"/>
      <c r="C2" s="15" t="s">
        <v>8599</v>
      </c>
      <c r="D2" s="15"/>
      <c r="E2" s="15" t="s">
        <v>8600</v>
      </c>
      <c r="G2" s="31" t="s">
        <v>8601</v>
      </c>
      <c r="J2" s="12" t="s">
        <v>9644</v>
      </c>
      <c r="K2" s="12" t="s">
        <v>9641</v>
      </c>
    </row>
    <row r="3" spans="1:11" x14ac:dyDescent="0.25">
      <c r="A3" s="15"/>
      <c r="B3" s="15"/>
      <c r="C3" s="15"/>
      <c r="D3" s="15"/>
      <c r="E3" s="15" t="s">
        <v>8604</v>
      </c>
      <c r="G3" s="31" t="s">
        <v>8605</v>
      </c>
      <c r="J3" s="12" t="s">
        <v>25</v>
      </c>
      <c r="K3" s="12" t="s">
        <v>9625</v>
      </c>
    </row>
    <row r="4" spans="1:11" x14ac:dyDescent="0.25">
      <c r="A4" s="15"/>
      <c r="B4" s="15"/>
      <c r="C4" s="15"/>
      <c r="D4" s="15"/>
      <c r="E4" s="15" t="s">
        <v>8608</v>
      </c>
      <c r="G4" s="31" t="s">
        <v>8609</v>
      </c>
      <c r="J4" s="12" t="s">
        <v>9642</v>
      </c>
      <c r="K4" s="12" t="s">
        <v>9643</v>
      </c>
    </row>
    <row r="5" spans="1:11" x14ac:dyDescent="0.25">
      <c r="G5" t="s">
        <v>8612</v>
      </c>
      <c r="J5" s="12"/>
      <c r="K5" s="12"/>
    </row>
    <row r="6" spans="1:11" x14ac:dyDescent="0.25">
      <c r="J6" s="12"/>
      <c r="K6" s="12"/>
    </row>
    <row r="8" spans="1:11" x14ac:dyDescent="0.25">
      <c r="G8" t="s">
        <v>8620</v>
      </c>
      <c r="J8" s="178" t="s">
        <v>9645</v>
      </c>
      <c r="K8" s="178"/>
    </row>
    <row r="9" spans="1:11" x14ac:dyDescent="0.25">
      <c r="G9" t="s">
        <v>8623</v>
      </c>
      <c r="J9" s="122" t="s">
        <v>9646</v>
      </c>
      <c r="K9" s="123" t="s">
        <v>8601</v>
      </c>
    </row>
    <row r="10" spans="1:11" x14ac:dyDescent="0.25">
      <c r="G10" t="s">
        <v>8626</v>
      </c>
      <c r="J10" s="122" t="s">
        <v>9647</v>
      </c>
      <c r="K10" s="123" t="s">
        <v>8605</v>
      </c>
    </row>
    <row r="11" spans="1:11" x14ac:dyDescent="0.25">
      <c r="J11" s="122" t="s">
        <v>9648</v>
      </c>
      <c r="K11" s="123" t="s">
        <v>8609</v>
      </c>
    </row>
    <row r="12" spans="1:11" x14ac:dyDescent="0.25">
      <c r="J12" s="122" t="s">
        <v>9649</v>
      </c>
      <c r="K12" s="12" t="s">
        <v>8612</v>
      </c>
    </row>
  </sheetData>
  <mergeCells count="1">
    <mergeCell ref="J8:K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F3BB-8C27-4E37-AFFE-5A1FEC72BD7B}">
  <sheetPr codeName="Sheet6"/>
  <dimension ref="A1:S3067"/>
  <sheetViews>
    <sheetView topLeftCell="A23" workbookViewId="0">
      <selection activeCell="D50" sqref="D50"/>
    </sheetView>
  </sheetViews>
  <sheetFormatPr defaultColWidth="9.140625" defaultRowHeight="15" x14ac:dyDescent="0.25"/>
  <cols>
    <col min="1" max="1" width="14.28515625" style="1" bestFit="1" customWidth="1"/>
    <col min="2" max="2" width="35.28515625" style="95" customWidth="1"/>
    <col min="3" max="3" width="4.7109375" style="1" bestFit="1" customWidth="1"/>
    <col min="4" max="4" width="15.28515625" style="1" bestFit="1" customWidth="1"/>
    <col min="5" max="5" width="49.28515625" style="21" customWidth="1"/>
    <col min="6" max="6" width="15.28515625" style="1" bestFit="1" customWidth="1"/>
    <col min="7" max="7" width="18.7109375" style="1" bestFit="1" customWidth="1"/>
    <col min="8" max="8" width="15.28515625" style="1" bestFit="1" customWidth="1"/>
    <col min="9" max="9" width="18.5703125" style="1" bestFit="1" customWidth="1"/>
    <col min="10" max="10" width="15.28515625" style="1" bestFit="1" customWidth="1"/>
    <col min="11" max="11" width="18.5703125" style="1" bestFit="1" customWidth="1"/>
    <col min="12" max="12" width="15.28515625" style="1" bestFit="1" customWidth="1"/>
    <col min="13" max="13" width="18.5703125" style="1" bestFit="1" customWidth="1"/>
    <col min="14" max="14" width="15.28515625" style="1" bestFit="1" customWidth="1"/>
    <col min="15" max="15" width="14.42578125" style="1" bestFit="1" customWidth="1"/>
    <col min="16" max="16" width="12.140625" style="1" bestFit="1" customWidth="1"/>
    <col min="17" max="17" width="12.7109375" style="1" bestFit="1" customWidth="1"/>
    <col min="18" max="18" width="4" style="1" bestFit="1" customWidth="1"/>
    <col min="19" max="19" width="12.7109375" style="1" bestFit="1" customWidth="1"/>
    <col min="20" max="16384" width="9.140625" style="1"/>
  </cols>
  <sheetData>
    <row r="1" spans="1:19" ht="15.75" x14ac:dyDescent="0.25">
      <c r="A1" s="19" t="s">
        <v>9002</v>
      </c>
      <c r="B1" s="94" t="s">
        <v>9003</v>
      </c>
      <c r="C1" s="19" t="s">
        <v>9004</v>
      </c>
      <c r="D1" s="19" t="s">
        <v>9005</v>
      </c>
      <c r="E1" s="62" t="s">
        <v>9006</v>
      </c>
      <c r="F1" s="19" t="s">
        <v>9007</v>
      </c>
      <c r="G1" s="19" t="s">
        <v>9008</v>
      </c>
      <c r="H1" s="19" t="s">
        <v>9009</v>
      </c>
      <c r="I1" s="19" t="s">
        <v>9010</v>
      </c>
      <c r="J1" s="19" t="s">
        <v>9011</v>
      </c>
      <c r="K1" s="19" t="s">
        <v>9012</v>
      </c>
      <c r="L1" s="19" t="s">
        <v>9013</v>
      </c>
      <c r="M1" s="19" t="s">
        <v>9014</v>
      </c>
      <c r="N1" s="19" t="s">
        <v>9015</v>
      </c>
      <c r="O1" s="19" t="s">
        <v>9016</v>
      </c>
      <c r="P1" s="19" t="s">
        <v>9017</v>
      </c>
      <c r="Q1" s="19" t="s">
        <v>9018</v>
      </c>
    </row>
    <row r="2" spans="1:19" x14ac:dyDescent="0.25">
      <c r="A2" s="1" t="s">
        <v>9019</v>
      </c>
      <c r="B2" s="95" t="s">
        <v>9020</v>
      </c>
      <c r="C2" s="1">
        <v>1</v>
      </c>
      <c r="D2" s="1" t="s">
        <v>3744</v>
      </c>
      <c r="E2" s="21" t="s">
        <v>8789</v>
      </c>
      <c r="F2" s="20" t="s">
        <v>309</v>
      </c>
      <c r="G2" s="20" t="s">
        <v>8837</v>
      </c>
      <c r="H2" s="20" t="s">
        <v>8781</v>
      </c>
      <c r="I2" s="20" t="s">
        <v>8797</v>
      </c>
      <c r="J2" s="20" t="s">
        <v>3744</v>
      </c>
      <c r="K2" s="20" t="s">
        <v>8613</v>
      </c>
      <c r="L2" s="20" t="s">
        <v>512</v>
      </c>
      <c r="M2" s="20" t="s">
        <v>512</v>
      </c>
      <c r="N2" s="20" t="s">
        <v>512</v>
      </c>
      <c r="O2" s="20" t="s">
        <v>512</v>
      </c>
      <c r="P2" s="20"/>
    </row>
    <row r="3" spans="1:19" x14ac:dyDescent="0.25">
      <c r="A3" s="1" t="s">
        <v>9021</v>
      </c>
      <c r="B3" s="95" t="s">
        <v>9020</v>
      </c>
      <c r="C3" s="1">
        <v>1</v>
      </c>
      <c r="D3" s="1" t="s">
        <v>3744</v>
      </c>
      <c r="E3" s="21" t="s">
        <v>8789</v>
      </c>
      <c r="F3" s="20" t="s">
        <v>309</v>
      </c>
      <c r="G3" s="20" t="s">
        <v>8837</v>
      </c>
      <c r="H3" s="20" t="s">
        <v>8781</v>
      </c>
      <c r="I3" s="20" t="s">
        <v>8797</v>
      </c>
      <c r="J3" s="20" t="s">
        <v>3744</v>
      </c>
      <c r="K3" s="20" t="s">
        <v>8613</v>
      </c>
      <c r="L3" s="20" t="s">
        <v>512</v>
      </c>
      <c r="M3" s="20" t="s">
        <v>512</v>
      </c>
      <c r="N3" s="20" t="s">
        <v>512</v>
      </c>
      <c r="O3" s="20" t="s">
        <v>512</v>
      </c>
      <c r="P3" s="20"/>
    </row>
    <row r="4" spans="1:19" ht="30" x14ac:dyDescent="0.25">
      <c r="A4" s="1" t="s">
        <v>9022</v>
      </c>
      <c r="B4" s="95" t="s">
        <v>9023</v>
      </c>
      <c r="C4" s="1">
        <v>1</v>
      </c>
      <c r="D4" s="1" t="s">
        <v>405</v>
      </c>
      <c r="E4" s="21" t="s">
        <v>8987</v>
      </c>
      <c r="F4" s="20" t="s">
        <v>405</v>
      </c>
      <c r="G4" s="20" t="s">
        <v>8989</v>
      </c>
      <c r="H4" s="20" t="s">
        <v>8753</v>
      </c>
      <c r="I4" s="20" t="s">
        <v>8757</v>
      </c>
      <c r="J4" s="20" t="s">
        <v>8753</v>
      </c>
      <c r="K4" s="20" t="s">
        <v>8759</v>
      </c>
      <c r="L4" s="20" t="s">
        <v>309</v>
      </c>
      <c r="M4" s="20" t="s">
        <v>8876</v>
      </c>
      <c r="N4" s="20" t="s">
        <v>8753</v>
      </c>
      <c r="O4" s="20" t="s">
        <v>8761</v>
      </c>
      <c r="P4" s="20"/>
    </row>
    <row r="5" spans="1:19" x14ac:dyDescent="0.25">
      <c r="A5" s="1" t="s">
        <v>9022</v>
      </c>
      <c r="B5" s="95" t="s">
        <v>9024</v>
      </c>
      <c r="C5" s="1">
        <v>1</v>
      </c>
      <c r="D5" s="1" t="s">
        <v>405</v>
      </c>
      <c r="E5" s="21">
        <v>1830600</v>
      </c>
      <c r="F5" s="1" t="s">
        <v>512</v>
      </c>
      <c r="G5" s="1" t="s">
        <v>512</v>
      </c>
      <c r="H5" s="1" t="s">
        <v>512</v>
      </c>
      <c r="I5" s="1" t="s">
        <v>512</v>
      </c>
      <c r="J5" s="1" t="s">
        <v>512</v>
      </c>
      <c r="K5" s="1" t="s">
        <v>512</v>
      </c>
      <c r="L5" s="1" t="s">
        <v>512</v>
      </c>
      <c r="M5" s="1" t="s">
        <v>512</v>
      </c>
      <c r="N5" s="1" t="s">
        <v>512</v>
      </c>
      <c r="O5" s="1" t="s">
        <v>512</v>
      </c>
    </row>
    <row r="6" spans="1:19" x14ac:dyDescent="0.25">
      <c r="A6" s="1" t="s">
        <v>9022</v>
      </c>
      <c r="B6" s="95" t="s">
        <v>9024</v>
      </c>
      <c r="C6" s="1">
        <v>1</v>
      </c>
      <c r="D6" s="1" t="s">
        <v>405</v>
      </c>
      <c r="E6" s="21">
        <v>28231449</v>
      </c>
      <c r="F6" s="1" t="s">
        <v>512</v>
      </c>
      <c r="G6" s="1" t="s">
        <v>512</v>
      </c>
      <c r="H6" s="1" t="s">
        <v>512</v>
      </c>
      <c r="I6" s="1" t="s">
        <v>512</v>
      </c>
      <c r="J6" s="1" t="s">
        <v>512</v>
      </c>
      <c r="K6" s="1" t="s">
        <v>512</v>
      </c>
      <c r="L6" s="1" t="s">
        <v>512</v>
      </c>
      <c r="M6" s="1" t="s">
        <v>512</v>
      </c>
      <c r="N6" s="1" t="s">
        <v>512</v>
      </c>
      <c r="O6" s="1" t="s">
        <v>512</v>
      </c>
    </row>
    <row r="7" spans="1:19" x14ac:dyDescent="0.25">
      <c r="A7" s="1" t="s">
        <v>9022</v>
      </c>
      <c r="B7" s="95" t="s">
        <v>9024</v>
      </c>
      <c r="C7" s="1">
        <v>1</v>
      </c>
      <c r="D7" s="1" t="s">
        <v>405</v>
      </c>
      <c r="E7" s="21">
        <v>18123864</v>
      </c>
      <c r="F7" s="1" t="s">
        <v>512</v>
      </c>
      <c r="G7" s="1" t="s">
        <v>512</v>
      </c>
      <c r="H7" s="1" t="s">
        <v>512</v>
      </c>
      <c r="I7" s="1" t="s">
        <v>512</v>
      </c>
      <c r="J7" s="1" t="s">
        <v>512</v>
      </c>
      <c r="K7" s="1" t="s">
        <v>512</v>
      </c>
      <c r="L7" s="1" t="s">
        <v>512</v>
      </c>
      <c r="M7" s="1" t="s">
        <v>512</v>
      </c>
      <c r="N7" s="1" t="s">
        <v>512</v>
      </c>
      <c r="O7" s="1" t="s">
        <v>512</v>
      </c>
    </row>
    <row r="8" spans="1:19" x14ac:dyDescent="0.25">
      <c r="A8" s="1" t="s">
        <v>9022</v>
      </c>
      <c r="B8" s="95" t="s">
        <v>9024</v>
      </c>
      <c r="C8" s="1">
        <v>1</v>
      </c>
      <c r="D8" s="1" t="s">
        <v>405</v>
      </c>
      <c r="E8" s="21">
        <v>25643517</v>
      </c>
      <c r="F8" s="1" t="s">
        <v>512</v>
      </c>
      <c r="G8" s="1" t="s">
        <v>512</v>
      </c>
      <c r="H8" s="1" t="s">
        <v>512</v>
      </c>
      <c r="I8" s="1" t="s">
        <v>512</v>
      </c>
      <c r="J8" s="1" t="s">
        <v>512</v>
      </c>
      <c r="K8" s="1" t="s">
        <v>512</v>
      </c>
      <c r="L8" s="1" t="s">
        <v>512</v>
      </c>
      <c r="M8" s="1" t="s">
        <v>512</v>
      </c>
      <c r="N8" s="1" t="s">
        <v>512</v>
      </c>
      <c r="O8" s="1" t="s">
        <v>512</v>
      </c>
    </row>
    <row r="9" spans="1:19" x14ac:dyDescent="0.25">
      <c r="A9" s="1" t="s">
        <v>9022</v>
      </c>
      <c r="B9" s="95" t="s">
        <v>9024</v>
      </c>
      <c r="C9" s="1">
        <v>1</v>
      </c>
      <c r="D9" s="1" t="s">
        <v>405</v>
      </c>
      <c r="E9" s="21">
        <v>28135350</v>
      </c>
      <c r="F9" s="1" t="s">
        <v>512</v>
      </c>
      <c r="G9" s="1" t="s">
        <v>512</v>
      </c>
      <c r="H9" s="1" t="s">
        <v>512</v>
      </c>
      <c r="I9" s="1" t="s">
        <v>512</v>
      </c>
      <c r="J9" s="1" t="s">
        <v>512</v>
      </c>
      <c r="K9" s="1" t="s">
        <v>512</v>
      </c>
      <c r="L9" s="1" t="s">
        <v>512</v>
      </c>
      <c r="M9" s="1" t="s">
        <v>512</v>
      </c>
      <c r="N9" s="1" t="s">
        <v>512</v>
      </c>
      <c r="O9" s="1" t="s">
        <v>512</v>
      </c>
    </row>
    <row r="10" spans="1:19" x14ac:dyDescent="0.25">
      <c r="A10" s="1" t="s">
        <v>9022</v>
      </c>
      <c r="B10" s="95" t="s">
        <v>9024</v>
      </c>
      <c r="C10" s="1">
        <v>1</v>
      </c>
      <c r="D10" s="1" t="s">
        <v>405</v>
      </c>
      <c r="E10" s="21">
        <v>18153283</v>
      </c>
      <c r="F10" s="1" t="s">
        <v>512</v>
      </c>
      <c r="G10" s="1" t="s">
        <v>512</v>
      </c>
      <c r="H10" s="1" t="s">
        <v>512</v>
      </c>
      <c r="I10" s="1" t="s">
        <v>512</v>
      </c>
      <c r="J10" s="1" t="s">
        <v>512</v>
      </c>
      <c r="K10" s="1" t="s">
        <v>512</v>
      </c>
      <c r="L10" s="1" t="s">
        <v>512</v>
      </c>
      <c r="M10" s="1" t="s">
        <v>512</v>
      </c>
      <c r="N10" s="1" t="s">
        <v>512</v>
      </c>
      <c r="O10" s="1" t="s">
        <v>512</v>
      </c>
    </row>
    <row r="11" spans="1:19" x14ac:dyDescent="0.25">
      <c r="A11" s="1" t="s">
        <v>9025</v>
      </c>
      <c r="B11" s="95" t="s">
        <v>9026</v>
      </c>
      <c r="C11" s="1">
        <v>1</v>
      </c>
      <c r="D11" s="1" t="s">
        <v>9027</v>
      </c>
      <c r="E11" s="21" t="s">
        <v>8896</v>
      </c>
      <c r="F11" s="1" t="s">
        <v>9027</v>
      </c>
      <c r="G11" s="1">
        <v>160520</v>
      </c>
      <c r="H11" s="1" t="s">
        <v>512</v>
      </c>
      <c r="I11" s="1" t="s">
        <v>512</v>
      </c>
      <c r="J11" s="1" t="s">
        <v>512</v>
      </c>
      <c r="K11" s="1" t="s">
        <v>512</v>
      </c>
      <c r="L11" s="1" t="s">
        <v>512</v>
      </c>
      <c r="M11" s="1" t="s">
        <v>512</v>
      </c>
      <c r="N11" s="1" t="s">
        <v>512</v>
      </c>
      <c r="O11" s="1" t="s">
        <v>512</v>
      </c>
    </row>
    <row r="12" spans="1:19" x14ac:dyDescent="0.25">
      <c r="A12" s="1" t="s">
        <v>9028</v>
      </c>
      <c r="B12" s="95" t="s">
        <v>9026</v>
      </c>
      <c r="C12" s="1">
        <v>1</v>
      </c>
      <c r="D12" s="1" t="s">
        <v>9027</v>
      </c>
      <c r="E12" s="27">
        <v>160520</v>
      </c>
      <c r="F12" s="1" t="s">
        <v>9027</v>
      </c>
      <c r="G12" s="1" t="s">
        <v>8896</v>
      </c>
      <c r="H12" s="1" t="s">
        <v>512</v>
      </c>
      <c r="I12" s="1" t="s">
        <v>512</v>
      </c>
      <c r="J12" s="1" t="s">
        <v>512</v>
      </c>
      <c r="K12" s="1" t="s">
        <v>512</v>
      </c>
      <c r="L12" s="1" t="s">
        <v>512</v>
      </c>
      <c r="M12" s="1" t="s">
        <v>512</v>
      </c>
      <c r="N12" s="1" t="s">
        <v>512</v>
      </c>
      <c r="O12" s="1" t="s">
        <v>512</v>
      </c>
    </row>
    <row r="13" spans="1:19" s="20" customFormat="1" x14ac:dyDescent="0.25">
      <c r="A13" s="1" t="s">
        <v>9029</v>
      </c>
      <c r="B13" s="95" t="s">
        <v>9030</v>
      </c>
      <c r="C13" s="1">
        <v>1</v>
      </c>
      <c r="D13" s="1" t="s">
        <v>3744</v>
      </c>
      <c r="E13" s="21" t="s">
        <v>8595</v>
      </c>
      <c r="F13" s="1" t="s">
        <v>8781</v>
      </c>
      <c r="G13" s="57" t="s">
        <v>8616</v>
      </c>
      <c r="H13" s="1" t="s">
        <v>309</v>
      </c>
      <c r="I13" s="1" t="s">
        <v>8878</v>
      </c>
      <c r="J13" s="1" t="s">
        <v>512</v>
      </c>
      <c r="K13" s="1" t="s">
        <v>512</v>
      </c>
      <c r="L13" s="1" t="s">
        <v>512</v>
      </c>
      <c r="M13" s="1" t="s">
        <v>512</v>
      </c>
      <c r="N13" s="1" t="s">
        <v>512</v>
      </c>
      <c r="O13" s="1" t="s">
        <v>512</v>
      </c>
      <c r="P13" s="1"/>
      <c r="Q13" s="1"/>
      <c r="R13" s="1"/>
      <c r="S13" s="1"/>
    </row>
    <row r="14" spans="1:19" s="20" customFormat="1" x14ac:dyDescent="0.25">
      <c r="A14" s="1" t="s">
        <v>9031</v>
      </c>
      <c r="B14" s="95" t="s">
        <v>9030</v>
      </c>
      <c r="C14" s="1">
        <v>1</v>
      </c>
      <c r="D14" s="1" t="s">
        <v>3744</v>
      </c>
      <c r="E14" s="21" t="s">
        <v>8595</v>
      </c>
      <c r="F14" s="1" t="s">
        <v>8781</v>
      </c>
      <c r="G14" s="1" t="s">
        <v>8616</v>
      </c>
      <c r="H14" s="1" t="s">
        <v>309</v>
      </c>
      <c r="I14" s="1" t="s">
        <v>8878</v>
      </c>
      <c r="J14" s="1" t="s">
        <v>512</v>
      </c>
      <c r="K14" s="1" t="s">
        <v>512</v>
      </c>
      <c r="L14" s="1" t="s">
        <v>512</v>
      </c>
      <c r="M14" s="1" t="s">
        <v>512</v>
      </c>
      <c r="N14" s="1" t="s">
        <v>512</v>
      </c>
      <c r="O14" s="1" t="s">
        <v>512</v>
      </c>
      <c r="P14" s="1"/>
      <c r="Q14" s="1"/>
      <c r="R14" s="1"/>
      <c r="S14" s="1"/>
    </row>
    <row r="15" spans="1:19" x14ac:dyDescent="0.25">
      <c r="A15" s="1" t="s">
        <v>9032</v>
      </c>
      <c r="B15" s="95" t="s">
        <v>9033</v>
      </c>
      <c r="C15" s="1">
        <v>1</v>
      </c>
      <c r="D15" s="1" t="s">
        <v>3744</v>
      </c>
      <c r="E15" s="21" t="s">
        <v>8791</v>
      </c>
      <c r="F15" s="1" t="s">
        <v>309</v>
      </c>
      <c r="G15" s="1" t="s">
        <v>8835</v>
      </c>
      <c r="H15" s="1" t="s">
        <v>512</v>
      </c>
      <c r="I15" s="1" t="s">
        <v>512</v>
      </c>
      <c r="J15" s="1" t="s">
        <v>512</v>
      </c>
      <c r="K15" s="1" t="s">
        <v>512</v>
      </c>
      <c r="L15" s="1" t="s">
        <v>512</v>
      </c>
      <c r="M15" s="1" t="s">
        <v>512</v>
      </c>
      <c r="N15" s="1" t="s">
        <v>512</v>
      </c>
      <c r="O15" s="1" t="s">
        <v>512</v>
      </c>
    </row>
    <row r="16" spans="1:19" s="20" customFormat="1" x14ac:dyDescent="0.25">
      <c r="A16" s="1" t="s">
        <v>9034</v>
      </c>
      <c r="B16" s="95" t="s">
        <v>9030</v>
      </c>
      <c r="C16" s="1">
        <v>1</v>
      </c>
      <c r="D16" s="1" t="s">
        <v>3744</v>
      </c>
      <c r="E16" s="21" t="s">
        <v>8595</v>
      </c>
      <c r="F16" s="1" t="s">
        <v>8781</v>
      </c>
      <c r="G16" s="1" t="s">
        <v>8618</v>
      </c>
      <c r="H16" s="1" t="s">
        <v>309</v>
      </c>
      <c r="I16" s="1" t="s">
        <v>8878</v>
      </c>
      <c r="J16" s="1" t="s">
        <v>512</v>
      </c>
      <c r="K16" s="1" t="s">
        <v>512</v>
      </c>
      <c r="L16" s="1" t="s">
        <v>512</v>
      </c>
      <c r="M16" s="1" t="s">
        <v>512</v>
      </c>
      <c r="N16" s="1" t="s">
        <v>512</v>
      </c>
      <c r="O16" s="1" t="s">
        <v>512</v>
      </c>
      <c r="P16" s="1"/>
      <c r="Q16" s="1"/>
      <c r="R16" s="1"/>
      <c r="S16" s="1"/>
    </row>
    <row r="17" spans="1:16" x14ac:dyDescent="0.25">
      <c r="A17" s="1" t="s">
        <v>9034</v>
      </c>
      <c r="B17" s="95" t="s">
        <v>9030</v>
      </c>
      <c r="C17" s="1">
        <v>1</v>
      </c>
      <c r="D17" s="1" t="s">
        <v>3744</v>
      </c>
      <c r="E17" s="21" t="s">
        <v>8595</v>
      </c>
      <c r="F17" s="20" t="s">
        <v>8781</v>
      </c>
      <c r="G17" s="20" t="s">
        <v>8618</v>
      </c>
      <c r="H17" s="20" t="s">
        <v>309</v>
      </c>
      <c r="I17" s="20" t="s">
        <v>8878</v>
      </c>
      <c r="J17" s="20" t="s">
        <v>512</v>
      </c>
      <c r="K17" s="20" t="s">
        <v>512</v>
      </c>
      <c r="L17" s="20" t="s">
        <v>512</v>
      </c>
      <c r="M17" s="20" t="s">
        <v>512</v>
      </c>
      <c r="N17" s="20" t="s">
        <v>512</v>
      </c>
      <c r="O17" s="20" t="s">
        <v>512</v>
      </c>
      <c r="P17" s="20"/>
    </row>
    <row r="18" spans="1:16" x14ac:dyDescent="0.25">
      <c r="A18" s="1" t="s">
        <v>9035</v>
      </c>
      <c r="B18" s="95" t="s">
        <v>9036</v>
      </c>
      <c r="C18" s="1">
        <v>1</v>
      </c>
      <c r="D18" s="1" t="s">
        <v>8856</v>
      </c>
      <c r="E18" s="21" t="s">
        <v>8855</v>
      </c>
      <c r="F18" s="20" t="s">
        <v>8753</v>
      </c>
      <c r="G18" s="20" t="s">
        <v>8757</v>
      </c>
      <c r="H18" s="20" t="s">
        <v>8753</v>
      </c>
      <c r="I18" s="20" t="s">
        <v>8759</v>
      </c>
      <c r="J18" s="20" t="s">
        <v>8753</v>
      </c>
      <c r="K18" s="20" t="s">
        <v>8761</v>
      </c>
      <c r="L18" s="20" t="s">
        <v>512</v>
      </c>
      <c r="M18" s="20" t="s">
        <v>512</v>
      </c>
      <c r="N18" s="20" t="s">
        <v>512</v>
      </c>
      <c r="O18" s="20" t="s">
        <v>512</v>
      </c>
      <c r="P18" s="20"/>
    </row>
    <row r="19" spans="1:16" x14ac:dyDescent="0.25">
      <c r="A19" s="1" t="s">
        <v>9037</v>
      </c>
      <c r="B19" s="95" t="s">
        <v>9036</v>
      </c>
      <c r="C19" s="1">
        <v>1</v>
      </c>
      <c r="D19" s="1" t="s">
        <v>8856</v>
      </c>
      <c r="E19" s="21" t="s">
        <v>8855</v>
      </c>
      <c r="F19" s="20" t="s">
        <v>512</v>
      </c>
      <c r="G19" s="20" t="s">
        <v>512</v>
      </c>
      <c r="H19" s="20" t="s">
        <v>512</v>
      </c>
      <c r="I19" s="20" t="s">
        <v>512</v>
      </c>
      <c r="J19" s="20" t="s">
        <v>512</v>
      </c>
      <c r="K19" s="20" t="s">
        <v>512</v>
      </c>
      <c r="L19" s="20" t="s">
        <v>512</v>
      </c>
      <c r="M19" s="20" t="s">
        <v>512</v>
      </c>
      <c r="N19" s="20" t="s">
        <v>512</v>
      </c>
      <c r="O19" s="20" t="s">
        <v>512</v>
      </c>
      <c r="P19" s="20"/>
    </row>
    <row r="20" spans="1:16" x14ac:dyDescent="0.25">
      <c r="A20" s="1" t="s">
        <v>9038</v>
      </c>
      <c r="B20" s="95" t="s">
        <v>9039</v>
      </c>
      <c r="C20" s="1">
        <v>1</v>
      </c>
      <c r="D20" s="1" t="s">
        <v>3744</v>
      </c>
      <c r="E20" s="21" t="s">
        <v>8804</v>
      </c>
      <c r="F20" s="20" t="s">
        <v>8781</v>
      </c>
      <c r="G20" s="20" t="s">
        <v>8618</v>
      </c>
      <c r="H20" s="20" t="s">
        <v>309</v>
      </c>
      <c r="I20" s="20" t="s">
        <v>8878</v>
      </c>
      <c r="J20" s="20" t="s">
        <v>512</v>
      </c>
      <c r="K20" s="20" t="s">
        <v>512</v>
      </c>
      <c r="L20" s="20" t="s">
        <v>512</v>
      </c>
      <c r="M20" s="20" t="s">
        <v>512</v>
      </c>
      <c r="N20" s="20" t="s">
        <v>512</v>
      </c>
      <c r="O20" s="20" t="s">
        <v>512</v>
      </c>
      <c r="P20" s="20"/>
    </row>
    <row r="21" spans="1:16" x14ac:dyDescent="0.25">
      <c r="A21" s="1" t="s">
        <v>9038</v>
      </c>
      <c r="B21" s="95" t="s">
        <v>9039</v>
      </c>
      <c r="C21" s="1">
        <v>1</v>
      </c>
      <c r="D21" s="1" t="s">
        <v>3744</v>
      </c>
      <c r="E21" s="21" t="s">
        <v>8804</v>
      </c>
      <c r="F21" s="20" t="s">
        <v>8781</v>
      </c>
      <c r="G21" s="20" t="s">
        <v>8618</v>
      </c>
      <c r="H21" s="20" t="s">
        <v>309</v>
      </c>
      <c r="I21" s="20" t="s">
        <v>8878</v>
      </c>
      <c r="J21" s="20" t="s">
        <v>512</v>
      </c>
      <c r="K21" s="20" t="s">
        <v>512</v>
      </c>
      <c r="L21" s="20" t="s">
        <v>512</v>
      </c>
      <c r="M21" s="20" t="s">
        <v>512</v>
      </c>
      <c r="N21" s="20" t="s">
        <v>512</v>
      </c>
      <c r="O21" s="20" t="s">
        <v>512</v>
      </c>
      <c r="P21" s="20"/>
    </row>
    <row r="22" spans="1:16" x14ac:dyDescent="0.25">
      <c r="A22" s="1" t="s">
        <v>9040</v>
      </c>
      <c r="B22" s="95" t="s">
        <v>9041</v>
      </c>
      <c r="C22" s="1">
        <v>1</v>
      </c>
      <c r="D22" s="1" t="s">
        <v>3744</v>
      </c>
      <c r="E22" s="21" t="s">
        <v>8785</v>
      </c>
      <c r="F22" s="20" t="s">
        <v>309</v>
      </c>
      <c r="G22" s="20" t="s">
        <v>8878</v>
      </c>
      <c r="H22" s="20" t="s">
        <v>8781</v>
      </c>
      <c r="I22" s="20" t="s">
        <v>8797</v>
      </c>
      <c r="J22" s="20" t="s">
        <v>512</v>
      </c>
      <c r="K22" s="20" t="s">
        <v>512</v>
      </c>
      <c r="L22" s="20" t="s">
        <v>512</v>
      </c>
      <c r="M22" s="20" t="s">
        <v>512</v>
      </c>
      <c r="N22" s="20" t="s">
        <v>512</v>
      </c>
      <c r="O22" s="20" t="s">
        <v>512</v>
      </c>
      <c r="P22" s="20"/>
    </row>
    <row r="23" spans="1:16" x14ac:dyDescent="0.25">
      <c r="A23" s="1" t="s">
        <v>9042</v>
      </c>
      <c r="B23" s="95" t="s">
        <v>9030</v>
      </c>
      <c r="C23" s="1">
        <v>1</v>
      </c>
      <c r="D23" s="1" t="s">
        <v>3744</v>
      </c>
      <c r="E23" s="21" t="s">
        <v>8595</v>
      </c>
      <c r="F23" s="20" t="s">
        <v>8781</v>
      </c>
      <c r="G23" s="20" t="s">
        <v>8616</v>
      </c>
      <c r="H23" s="20" t="s">
        <v>309</v>
      </c>
      <c r="I23" s="20" t="s">
        <v>8878</v>
      </c>
      <c r="J23" s="20" t="s">
        <v>512</v>
      </c>
      <c r="K23" s="20" t="s">
        <v>512</v>
      </c>
      <c r="L23" s="20" t="s">
        <v>512</v>
      </c>
      <c r="M23" s="20" t="s">
        <v>512</v>
      </c>
      <c r="N23" s="20" t="s">
        <v>512</v>
      </c>
      <c r="O23" s="20" t="s">
        <v>512</v>
      </c>
      <c r="P23" s="20"/>
    </row>
    <row r="24" spans="1:16" x14ac:dyDescent="0.25">
      <c r="A24" s="1" t="s">
        <v>9042</v>
      </c>
      <c r="B24" s="95" t="s">
        <v>9030</v>
      </c>
      <c r="C24" s="1">
        <v>1</v>
      </c>
      <c r="D24" s="1" t="s">
        <v>3744</v>
      </c>
      <c r="E24" s="21" t="s">
        <v>8595</v>
      </c>
      <c r="F24" s="20" t="s">
        <v>8781</v>
      </c>
      <c r="G24" s="20" t="s">
        <v>8616</v>
      </c>
      <c r="H24" s="20" t="s">
        <v>309</v>
      </c>
      <c r="I24" s="20" t="s">
        <v>8878</v>
      </c>
      <c r="J24" s="20" t="s">
        <v>512</v>
      </c>
      <c r="K24" s="20" t="s">
        <v>512</v>
      </c>
      <c r="L24" s="20" t="s">
        <v>512</v>
      </c>
      <c r="M24" s="20" t="s">
        <v>512</v>
      </c>
      <c r="N24" s="20" t="s">
        <v>512</v>
      </c>
      <c r="O24" s="20" t="s">
        <v>512</v>
      </c>
      <c r="P24" s="20"/>
    </row>
    <row r="25" spans="1:16" x14ac:dyDescent="0.25">
      <c r="A25" s="1" t="s">
        <v>9043</v>
      </c>
      <c r="B25" s="95" t="s">
        <v>9044</v>
      </c>
      <c r="C25" s="1">
        <v>1</v>
      </c>
      <c r="D25" s="1" t="s">
        <v>8781</v>
      </c>
      <c r="E25" s="21" t="s">
        <v>8657</v>
      </c>
      <c r="F25" s="20" t="s">
        <v>3744</v>
      </c>
      <c r="G25" s="20" t="s">
        <v>8780</v>
      </c>
      <c r="H25" s="20" t="s">
        <v>309</v>
      </c>
      <c r="I25" s="20" t="s">
        <v>8835</v>
      </c>
      <c r="J25" s="20" t="s">
        <v>309</v>
      </c>
      <c r="K25" s="20" t="s">
        <v>8884</v>
      </c>
      <c r="L25" s="20" t="s">
        <v>3744</v>
      </c>
      <c r="M25" s="20" t="s">
        <v>8677</v>
      </c>
      <c r="N25" s="20" t="s">
        <v>3744</v>
      </c>
      <c r="O25" s="20" t="s">
        <v>8783</v>
      </c>
      <c r="P25" s="20"/>
    </row>
    <row r="26" spans="1:16" x14ac:dyDescent="0.25">
      <c r="A26" s="1" t="s">
        <v>9045</v>
      </c>
      <c r="B26" s="95" t="s">
        <v>9046</v>
      </c>
      <c r="C26" s="1">
        <v>1</v>
      </c>
      <c r="D26" s="1" t="s">
        <v>106</v>
      </c>
      <c r="E26" s="21" t="s">
        <v>8810</v>
      </c>
      <c r="F26" s="20" t="s">
        <v>309</v>
      </c>
      <c r="G26" s="20" t="s">
        <v>8880</v>
      </c>
      <c r="H26" s="20" t="s">
        <v>309</v>
      </c>
      <c r="I26" s="20">
        <v>344376</v>
      </c>
      <c r="J26" s="20" t="s">
        <v>344</v>
      </c>
      <c r="K26" s="20" t="s">
        <v>8898</v>
      </c>
      <c r="L26" s="20" t="s">
        <v>512</v>
      </c>
      <c r="M26" s="20" t="s">
        <v>512</v>
      </c>
      <c r="N26" s="20" t="s">
        <v>512</v>
      </c>
      <c r="O26" s="20" t="s">
        <v>512</v>
      </c>
      <c r="P26" s="20"/>
    </row>
    <row r="27" spans="1:16" x14ac:dyDescent="0.25">
      <c r="A27" s="1" t="s">
        <v>9047</v>
      </c>
      <c r="B27" s="95" t="s">
        <v>9048</v>
      </c>
      <c r="C27" s="1">
        <v>1</v>
      </c>
      <c r="D27" s="1" t="s">
        <v>106</v>
      </c>
      <c r="E27" s="21" t="s">
        <v>8806</v>
      </c>
      <c r="F27" s="20" t="s">
        <v>309</v>
      </c>
      <c r="G27" s="20" t="s">
        <v>8882</v>
      </c>
      <c r="H27" s="20" t="s">
        <v>309</v>
      </c>
      <c r="I27" s="20" t="s">
        <v>8973</v>
      </c>
      <c r="J27" s="20" t="s">
        <v>344</v>
      </c>
      <c r="K27" s="20" t="s">
        <v>8898</v>
      </c>
      <c r="L27" s="20" t="s">
        <v>512</v>
      </c>
      <c r="M27" s="20" t="s">
        <v>512</v>
      </c>
      <c r="N27" s="20" t="s">
        <v>512</v>
      </c>
      <c r="O27" s="20" t="s">
        <v>512</v>
      </c>
      <c r="P27" s="20"/>
    </row>
    <row r="28" spans="1:16" x14ac:dyDescent="0.25">
      <c r="A28" s="1" t="s">
        <v>9049</v>
      </c>
      <c r="B28" s="95" t="s">
        <v>9030</v>
      </c>
      <c r="C28" s="1">
        <v>1</v>
      </c>
      <c r="D28" s="1" t="s">
        <v>3744</v>
      </c>
      <c r="E28" s="21" t="s">
        <v>8595</v>
      </c>
      <c r="F28" s="20" t="s">
        <v>8781</v>
      </c>
      <c r="G28" s="20" t="s">
        <v>8618</v>
      </c>
      <c r="H28" s="20" t="s">
        <v>309</v>
      </c>
      <c r="I28" s="20" t="s">
        <v>8878</v>
      </c>
      <c r="J28" s="20" t="s">
        <v>512</v>
      </c>
      <c r="K28" s="20" t="s">
        <v>512</v>
      </c>
      <c r="L28" s="20" t="s">
        <v>512</v>
      </c>
      <c r="M28" s="20" t="s">
        <v>512</v>
      </c>
      <c r="N28" s="20" t="s">
        <v>512</v>
      </c>
      <c r="O28" s="20" t="s">
        <v>512</v>
      </c>
      <c r="P28" s="20"/>
    </row>
    <row r="29" spans="1:16" x14ac:dyDescent="0.25">
      <c r="A29" s="1" t="s">
        <v>9050</v>
      </c>
      <c r="B29" s="95" t="s">
        <v>9036</v>
      </c>
      <c r="C29" s="1">
        <v>1</v>
      </c>
      <c r="D29" s="1" t="s">
        <v>8856</v>
      </c>
      <c r="E29" s="21" t="s">
        <v>8855</v>
      </c>
      <c r="F29" s="20" t="s">
        <v>512</v>
      </c>
      <c r="G29" s="20" t="s">
        <v>512</v>
      </c>
      <c r="H29" s="20" t="s">
        <v>512</v>
      </c>
      <c r="I29" s="20" t="s">
        <v>512</v>
      </c>
      <c r="J29" s="20" t="s">
        <v>512</v>
      </c>
      <c r="K29" s="20" t="s">
        <v>512</v>
      </c>
      <c r="L29" s="20" t="s">
        <v>512</v>
      </c>
      <c r="M29" s="20" t="s">
        <v>512</v>
      </c>
      <c r="N29" s="20" t="s">
        <v>512</v>
      </c>
      <c r="O29" s="20" t="s">
        <v>512</v>
      </c>
      <c r="P29" s="20"/>
    </row>
    <row r="30" spans="1:16" x14ac:dyDescent="0.25">
      <c r="A30" s="1" t="s">
        <v>9051</v>
      </c>
      <c r="B30" s="95" t="s">
        <v>9046</v>
      </c>
      <c r="C30" s="1">
        <v>1</v>
      </c>
      <c r="D30" s="1" t="s">
        <v>106</v>
      </c>
      <c r="E30" s="21" t="s">
        <v>8810</v>
      </c>
      <c r="F30" s="20" t="s">
        <v>309</v>
      </c>
      <c r="G30" s="20" t="s">
        <v>8880</v>
      </c>
      <c r="H30" s="20" t="s">
        <v>309</v>
      </c>
      <c r="I30" s="20">
        <v>344376</v>
      </c>
      <c r="J30" s="20" t="s">
        <v>344</v>
      </c>
      <c r="K30" s="20" t="s">
        <v>8898</v>
      </c>
      <c r="L30" s="20" t="s">
        <v>512</v>
      </c>
      <c r="M30" s="20" t="s">
        <v>512</v>
      </c>
      <c r="N30" s="20" t="s">
        <v>512</v>
      </c>
      <c r="O30" s="20" t="s">
        <v>512</v>
      </c>
      <c r="P30" s="20"/>
    </row>
    <row r="31" spans="1:16" x14ac:dyDescent="0.25">
      <c r="A31" s="1" t="s">
        <v>9052</v>
      </c>
      <c r="B31" s="95" t="s">
        <v>9048</v>
      </c>
      <c r="C31" s="1">
        <v>1</v>
      </c>
      <c r="D31" s="1" t="s">
        <v>106</v>
      </c>
      <c r="E31" s="21" t="s">
        <v>8806</v>
      </c>
      <c r="F31" s="20" t="s">
        <v>309</v>
      </c>
      <c r="G31" s="20" t="s">
        <v>8882</v>
      </c>
      <c r="H31" s="20" t="s">
        <v>309</v>
      </c>
      <c r="I31" s="20" t="s">
        <v>8973</v>
      </c>
      <c r="J31" s="20" t="s">
        <v>344</v>
      </c>
      <c r="K31" s="20" t="s">
        <v>8898</v>
      </c>
      <c r="L31" s="20" t="s">
        <v>512</v>
      </c>
      <c r="M31" s="20" t="s">
        <v>512</v>
      </c>
      <c r="N31" s="20" t="s">
        <v>512</v>
      </c>
      <c r="O31" s="20" t="s">
        <v>512</v>
      </c>
      <c r="P31" s="20"/>
    </row>
    <row r="32" spans="1:16" x14ac:dyDescent="0.25">
      <c r="A32" s="1" t="s">
        <v>9053</v>
      </c>
      <c r="B32" s="96" t="s">
        <v>9033</v>
      </c>
      <c r="C32" s="1">
        <v>1</v>
      </c>
      <c r="D32" s="1" t="s">
        <v>3744</v>
      </c>
      <c r="E32" s="21" t="s">
        <v>8791</v>
      </c>
      <c r="F32" s="20" t="s">
        <v>309</v>
      </c>
      <c r="G32" s="20" t="s">
        <v>8835</v>
      </c>
      <c r="H32" s="20" t="s">
        <v>512</v>
      </c>
      <c r="I32" s="20" t="s">
        <v>512</v>
      </c>
      <c r="J32" s="20" t="s">
        <v>512</v>
      </c>
      <c r="K32" s="20" t="s">
        <v>512</v>
      </c>
      <c r="L32" s="20" t="s">
        <v>512</v>
      </c>
      <c r="M32" s="20" t="s">
        <v>512</v>
      </c>
      <c r="N32" s="20" t="s">
        <v>512</v>
      </c>
      <c r="O32" s="20" t="s">
        <v>512</v>
      </c>
      <c r="P32" s="20"/>
    </row>
    <row r="33" spans="1:16" x14ac:dyDescent="0.25">
      <c r="A33" s="1" t="s">
        <v>9054</v>
      </c>
      <c r="B33" s="95" t="s">
        <v>9030</v>
      </c>
      <c r="C33" s="1">
        <v>1</v>
      </c>
      <c r="D33" s="1" t="s">
        <v>3744</v>
      </c>
      <c r="E33" s="21" t="s">
        <v>8595</v>
      </c>
      <c r="F33" s="20" t="s">
        <v>8781</v>
      </c>
      <c r="G33" s="20" t="s">
        <v>8616</v>
      </c>
      <c r="H33" s="20" t="s">
        <v>309</v>
      </c>
      <c r="I33" s="20" t="s">
        <v>8878</v>
      </c>
      <c r="J33" s="20" t="s">
        <v>512</v>
      </c>
      <c r="K33" s="20" t="s">
        <v>512</v>
      </c>
      <c r="L33" s="20" t="s">
        <v>512</v>
      </c>
      <c r="M33" s="20" t="s">
        <v>512</v>
      </c>
      <c r="N33" s="20" t="s">
        <v>512</v>
      </c>
      <c r="O33" s="20" t="s">
        <v>512</v>
      </c>
      <c r="P33" s="20"/>
    </row>
    <row r="34" spans="1:16" x14ac:dyDescent="0.25">
      <c r="A34" s="1" t="s">
        <v>9055</v>
      </c>
      <c r="B34" s="95" t="s">
        <v>9036</v>
      </c>
      <c r="C34" s="1">
        <v>1</v>
      </c>
      <c r="D34" s="1" t="s">
        <v>8856</v>
      </c>
      <c r="E34" s="21" t="s">
        <v>8855</v>
      </c>
      <c r="F34" s="20" t="s">
        <v>512</v>
      </c>
      <c r="G34" s="20" t="s">
        <v>512</v>
      </c>
      <c r="H34" s="20" t="s">
        <v>512</v>
      </c>
      <c r="I34" s="20" t="s">
        <v>512</v>
      </c>
      <c r="J34" s="20" t="s">
        <v>512</v>
      </c>
      <c r="K34" s="20" t="s">
        <v>512</v>
      </c>
      <c r="L34" s="20" t="s">
        <v>512</v>
      </c>
      <c r="M34" s="20" t="s">
        <v>512</v>
      </c>
      <c r="N34" s="20" t="s">
        <v>512</v>
      </c>
      <c r="O34" s="20" t="s">
        <v>512</v>
      </c>
      <c r="P34" s="20"/>
    </row>
    <row r="35" spans="1:16" x14ac:dyDescent="0.25">
      <c r="A35" s="1" t="s">
        <v>9056</v>
      </c>
      <c r="B35" s="95" t="s">
        <v>9030</v>
      </c>
      <c r="C35" s="1">
        <v>1</v>
      </c>
      <c r="D35" s="1" t="s">
        <v>3744</v>
      </c>
      <c r="E35" s="21" t="s">
        <v>8595</v>
      </c>
      <c r="F35" s="20" t="s">
        <v>8781</v>
      </c>
      <c r="G35" s="20" t="s">
        <v>8618</v>
      </c>
      <c r="H35" s="20" t="s">
        <v>309</v>
      </c>
      <c r="I35" s="20" t="s">
        <v>8878</v>
      </c>
      <c r="J35" s="20" t="s">
        <v>512</v>
      </c>
      <c r="K35" s="20" t="s">
        <v>512</v>
      </c>
      <c r="L35" s="20" t="s">
        <v>512</v>
      </c>
      <c r="M35" s="20" t="s">
        <v>512</v>
      </c>
      <c r="N35" s="20" t="s">
        <v>512</v>
      </c>
      <c r="O35" s="20" t="s">
        <v>512</v>
      </c>
      <c r="P35" s="20"/>
    </row>
    <row r="36" spans="1:16" x14ac:dyDescent="0.25">
      <c r="A36" s="1" t="s">
        <v>9057</v>
      </c>
      <c r="B36" s="95" t="s">
        <v>9036</v>
      </c>
      <c r="C36" s="1">
        <v>1</v>
      </c>
      <c r="D36" s="1" t="s">
        <v>8856</v>
      </c>
      <c r="E36" s="21" t="s">
        <v>8855</v>
      </c>
      <c r="F36" s="20" t="s">
        <v>512</v>
      </c>
      <c r="G36" s="20" t="s">
        <v>512</v>
      </c>
      <c r="H36" s="20" t="s">
        <v>512</v>
      </c>
      <c r="I36" s="20" t="s">
        <v>512</v>
      </c>
      <c r="J36" s="20" t="s">
        <v>512</v>
      </c>
      <c r="K36" s="20" t="s">
        <v>512</v>
      </c>
      <c r="L36" s="20" t="s">
        <v>512</v>
      </c>
      <c r="M36" s="20" t="s">
        <v>512</v>
      </c>
      <c r="N36" s="20" t="s">
        <v>512</v>
      </c>
      <c r="O36" s="20" t="s">
        <v>512</v>
      </c>
      <c r="P36" s="20"/>
    </row>
    <row r="37" spans="1:16" x14ac:dyDescent="0.25">
      <c r="A37" s="1" t="s">
        <v>9058</v>
      </c>
      <c r="B37" s="95" t="s">
        <v>9059</v>
      </c>
      <c r="C37" s="1">
        <v>1</v>
      </c>
      <c r="D37" s="1" t="s">
        <v>309</v>
      </c>
      <c r="E37" s="21" t="s">
        <v>8828</v>
      </c>
      <c r="F37" s="20" t="s">
        <v>309</v>
      </c>
      <c r="G37" s="20" t="s">
        <v>8971</v>
      </c>
      <c r="H37" s="20" t="s">
        <v>309</v>
      </c>
      <c r="I37" s="20" t="s">
        <v>8886</v>
      </c>
      <c r="J37" s="20" t="s">
        <v>344</v>
      </c>
      <c r="K37" s="20" t="s">
        <v>8898</v>
      </c>
      <c r="L37" s="20" t="s">
        <v>512</v>
      </c>
      <c r="M37" s="20" t="s">
        <v>512</v>
      </c>
      <c r="N37" s="20" t="s">
        <v>512</v>
      </c>
      <c r="O37" s="20" t="s">
        <v>512</v>
      </c>
      <c r="P37" s="20"/>
    </row>
    <row r="38" spans="1:16" x14ac:dyDescent="0.25">
      <c r="A38" s="1" t="s">
        <v>9060</v>
      </c>
      <c r="B38" s="95" t="s">
        <v>9036</v>
      </c>
      <c r="C38" s="1">
        <v>1</v>
      </c>
      <c r="D38" s="1" t="s">
        <v>8856</v>
      </c>
      <c r="E38" s="21" t="s">
        <v>8855</v>
      </c>
      <c r="F38" s="20" t="s">
        <v>512</v>
      </c>
      <c r="G38" s="20" t="s">
        <v>512</v>
      </c>
      <c r="H38" s="20" t="s">
        <v>512</v>
      </c>
      <c r="I38" s="20" t="s">
        <v>512</v>
      </c>
      <c r="J38" s="20" t="s">
        <v>512</v>
      </c>
      <c r="K38" s="20" t="s">
        <v>512</v>
      </c>
      <c r="L38" s="20" t="s">
        <v>512</v>
      </c>
      <c r="M38" s="20" t="s">
        <v>512</v>
      </c>
      <c r="N38" s="20" t="s">
        <v>512</v>
      </c>
      <c r="O38" s="20" t="s">
        <v>512</v>
      </c>
      <c r="P38" s="20"/>
    </row>
    <row r="39" spans="1:16" x14ac:dyDescent="0.25">
      <c r="A39" s="1" t="s">
        <v>9061</v>
      </c>
      <c r="B39" s="95" t="s">
        <v>9030</v>
      </c>
      <c r="C39" s="1">
        <v>1</v>
      </c>
      <c r="D39" s="1" t="s">
        <v>3744</v>
      </c>
      <c r="E39" s="21" t="s">
        <v>8595</v>
      </c>
      <c r="F39" s="20" t="s">
        <v>8781</v>
      </c>
      <c r="G39" s="20" t="s">
        <v>8618</v>
      </c>
      <c r="H39" s="20" t="s">
        <v>309</v>
      </c>
      <c r="I39" s="20" t="s">
        <v>8878</v>
      </c>
      <c r="J39" s="20" t="s">
        <v>512</v>
      </c>
      <c r="K39" s="20" t="s">
        <v>512</v>
      </c>
      <c r="L39" s="20" t="s">
        <v>512</v>
      </c>
      <c r="M39" s="20" t="s">
        <v>512</v>
      </c>
      <c r="N39" s="20" t="s">
        <v>512</v>
      </c>
      <c r="O39" s="20" t="s">
        <v>512</v>
      </c>
      <c r="P39" s="20"/>
    </row>
    <row r="40" spans="1:16" x14ac:dyDescent="0.25">
      <c r="A40" s="1" t="s">
        <v>9062</v>
      </c>
      <c r="B40" s="96" t="s">
        <v>9033</v>
      </c>
      <c r="C40" s="1">
        <v>1</v>
      </c>
      <c r="D40" s="1" t="s">
        <v>3744</v>
      </c>
      <c r="E40" s="21" t="s">
        <v>8791</v>
      </c>
      <c r="F40" s="20" t="s">
        <v>309</v>
      </c>
      <c r="G40" s="20" t="s">
        <v>8835</v>
      </c>
      <c r="H40" s="20" t="s">
        <v>512</v>
      </c>
      <c r="I40" s="20" t="s">
        <v>512</v>
      </c>
      <c r="J40" s="20" t="s">
        <v>512</v>
      </c>
      <c r="K40" s="20" t="s">
        <v>512</v>
      </c>
      <c r="L40" s="20" t="s">
        <v>512</v>
      </c>
      <c r="M40" s="20" t="s">
        <v>512</v>
      </c>
      <c r="N40" s="20" t="s">
        <v>512</v>
      </c>
      <c r="O40" s="20" t="s">
        <v>512</v>
      </c>
      <c r="P40" s="20"/>
    </row>
    <row r="41" spans="1:16" x14ac:dyDescent="0.25">
      <c r="A41" s="1" t="s">
        <v>9063</v>
      </c>
      <c r="B41" s="95" t="s">
        <v>9046</v>
      </c>
      <c r="C41" s="1">
        <v>1</v>
      </c>
      <c r="D41" s="20" t="s">
        <v>106</v>
      </c>
      <c r="E41" s="59" t="s">
        <v>8810</v>
      </c>
      <c r="F41" s="20" t="s">
        <v>309</v>
      </c>
      <c r="G41" s="21" t="s">
        <v>8880</v>
      </c>
      <c r="H41" s="21" t="s">
        <v>309</v>
      </c>
      <c r="I41" s="21">
        <v>344376</v>
      </c>
      <c r="J41" s="21" t="s">
        <v>344</v>
      </c>
      <c r="K41" s="21" t="s">
        <v>8898</v>
      </c>
      <c r="L41" s="21" t="s">
        <v>512</v>
      </c>
      <c r="M41" s="21" t="s">
        <v>512</v>
      </c>
      <c r="N41" s="21" t="s">
        <v>512</v>
      </c>
      <c r="O41" s="21" t="s">
        <v>512</v>
      </c>
      <c r="P41" s="20"/>
    </row>
    <row r="42" spans="1:16" x14ac:dyDescent="0.25">
      <c r="A42" s="1" t="s">
        <v>9064</v>
      </c>
      <c r="B42" s="95" t="s">
        <v>9048</v>
      </c>
      <c r="C42" s="1">
        <v>1</v>
      </c>
      <c r="D42" s="1" t="s">
        <v>106</v>
      </c>
      <c r="E42" s="21" t="s">
        <v>8806</v>
      </c>
      <c r="F42" s="20" t="s">
        <v>309</v>
      </c>
      <c r="G42" s="20" t="s">
        <v>8882</v>
      </c>
      <c r="H42" s="20" t="s">
        <v>309</v>
      </c>
      <c r="I42" s="20" t="s">
        <v>8973</v>
      </c>
      <c r="J42" s="21" t="s">
        <v>344</v>
      </c>
      <c r="K42" s="21" t="s">
        <v>8898</v>
      </c>
      <c r="L42" s="21" t="s">
        <v>512</v>
      </c>
      <c r="M42" s="21" t="s">
        <v>512</v>
      </c>
      <c r="N42" s="21" t="s">
        <v>512</v>
      </c>
      <c r="O42" s="21" t="s">
        <v>512</v>
      </c>
      <c r="P42" s="20"/>
    </row>
    <row r="43" spans="1:16" x14ac:dyDescent="0.25">
      <c r="A43" s="1" t="s">
        <v>9065</v>
      </c>
      <c r="B43" s="95" t="s">
        <v>9030</v>
      </c>
      <c r="C43" s="1">
        <v>1</v>
      </c>
      <c r="D43" s="1" t="s">
        <v>3744</v>
      </c>
      <c r="E43" s="21" t="s">
        <v>8595</v>
      </c>
      <c r="F43" s="20" t="s">
        <v>8781</v>
      </c>
      <c r="G43" s="20" t="s">
        <v>8616</v>
      </c>
      <c r="H43" s="20" t="s">
        <v>309</v>
      </c>
      <c r="I43" s="20" t="s">
        <v>8878</v>
      </c>
      <c r="J43" s="21" t="s">
        <v>512</v>
      </c>
      <c r="K43" s="21" t="s">
        <v>512</v>
      </c>
      <c r="L43" s="21" t="s">
        <v>512</v>
      </c>
      <c r="M43" s="21" t="s">
        <v>512</v>
      </c>
      <c r="N43" s="21" t="s">
        <v>512</v>
      </c>
      <c r="O43" s="21" t="s">
        <v>512</v>
      </c>
      <c r="P43" s="20"/>
    </row>
    <row r="44" spans="1:16" x14ac:dyDescent="0.25">
      <c r="A44" s="1" t="s">
        <v>9066</v>
      </c>
      <c r="B44" s="95" t="s">
        <v>9036</v>
      </c>
      <c r="C44" s="1">
        <v>1</v>
      </c>
      <c r="D44" s="1" t="s">
        <v>8856</v>
      </c>
      <c r="E44" s="21" t="s">
        <v>8855</v>
      </c>
      <c r="F44" s="20" t="s">
        <v>512</v>
      </c>
      <c r="G44" s="20" t="s">
        <v>512</v>
      </c>
      <c r="H44" s="20" t="s">
        <v>512</v>
      </c>
      <c r="I44" s="20" t="s">
        <v>512</v>
      </c>
      <c r="J44" s="21" t="s">
        <v>512</v>
      </c>
      <c r="K44" s="21" t="s">
        <v>512</v>
      </c>
      <c r="L44" s="21" t="s">
        <v>512</v>
      </c>
      <c r="M44" s="21" t="s">
        <v>512</v>
      </c>
      <c r="N44" s="21" t="s">
        <v>512</v>
      </c>
      <c r="O44" s="21" t="s">
        <v>512</v>
      </c>
      <c r="P44" s="20"/>
    </row>
    <row r="45" spans="1:16" x14ac:dyDescent="0.25">
      <c r="A45" s="1" t="s">
        <v>9067</v>
      </c>
      <c r="B45" s="95" t="s">
        <v>9036</v>
      </c>
      <c r="C45" s="1">
        <v>1</v>
      </c>
      <c r="D45" s="1" t="s">
        <v>8856</v>
      </c>
      <c r="E45" s="21" t="s">
        <v>8855</v>
      </c>
      <c r="F45" s="20" t="s">
        <v>512</v>
      </c>
      <c r="G45" s="20" t="s">
        <v>512</v>
      </c>
      <c r="H45" s="20" t="s">
        <v>512</v>
      </c>
      <c r="I45" s="20" t="s">
        <v>512</v>
      </c>
      <c r="J45" s="21" t="s">
        <v>512</v>
      </c>
      <c r="K45" s="21" t="s">
        <v>512</v>
      </c>
      <c r="L45" s="21" t="s">
        <v>512</v>
      </c>
      <c r="M45" s="21" t="s">
        <v>512</v>
      </c>
      <c r="N45" s="21" t="s">
        <v>512</v>
      </c>
      <c r="O45" s="21" t="s">
        <v>512</v>
      </c>
      <c r="P45" s="20"/>
    </row>
    <row r="46" spans="1:16" ht="30" x14ac:dyDescent="0.25">
      <c r="A46" s="1" t="s">
        <v>9068</v>
      </c>
      <c r="B46" s="95" t="s">
        <v>9069</v>
      </c>
      <c r="C46" s="1">
        <v>1</v>
      </c>
      <c r="D46" s="1" t="s">
        <v>405</v>
      </c>
      <c r="E46" s="21" t="s">
        <v>8907</v>
      </c>
      <c r="F46" s="20" t="s">
        <v>405</v>
      </c>
      <c r="G46" s="20" t="s">
        <v>8989</v>
      </c>
      <c r="H46" s="20" t="s">
        <v>8753</v>
      </c>
      <c r="I46" s="20" t="s">
        <v>8757</v>
      </c>
      <c r="J46" s="21" t="s">
        <v>8753</v>
      </c>
      <c r="K46" s="21" t="s">
        <v>8759</v>
      </c>
      <c r="L46" s="21" t="s">
        <v>309</v>
      </c>
      <c r="M46" s="21" t="s">
        <v>8876</v>
      </c>
      <c r="N46" s="21" t="s">
        <v>8753</v>
      </c>
      <c r="O46" s="21" t="s">
        <v>8761</v>
      </c>
      <c r="P46" s="20"/>
    </row>
    <row r="47" spans="1:16" x14ac:dyDescent="0.25">
      <c r="A47" s="64" t="s">
        <v>9068</v>
      </c>
      <c r="B47" s="97" t="s">
        <v>9069</v>
      </c>
      <c r="C47" s="20">
        <v>1</v>
      </c>
      <c r="D47" s="20" t="s">
        <v>405</v>
      </c>
      <c r="E47" s="20">
        <v>1830600</v>
      </c>
      <c r="F47" s="20"/>
      <c r="G47" s="20"/>
      <c r="H47" s="20"/>
      <c r="I47" s="20"/>
      <c r="J47" s="20"/>
      <c r="K47" s="20"/>
    </row>
    <row r="48" spans="1:16" x14ac:dyDescent="0.25">
      <c r="A48" s="64" t="s">
        <v>9068</v>
      </c>
      <c r="B48" s="97" t="s">
        <v>9069</v>
      </c>
      <c r="C48" s="20">
        <v>1</v>
      </c>
      <c r="D48" s="20" t="s">
        <v>405</v>
      </c>
      <c r="E48" s="20">
        <v>28231449</v>
      </c>
      <c r="F48" s="20"/>
      <c r="G48" s="20"/>
      <c r="H48" s="20"/>
      <c r="I48" s="20"/>
      <c r="J48" s="20"/>
      <c r="K48" s="20"/>
    </row>
    <row r="49" spans="1:19" x14ac:dyDescent="0.25">
      <c r="A49" s="64" t="s">
        <v>9068</v>
      </c>
      <c r="B49" s="97" t="s">
        <v>9069</v>
      </c>
      <c r="C49" s="20">
        <v>1</v>
      </c>
      <c r="D49" s="20" t="s">
        <v>405</v>
      </c>
      <c r="E49" s="20">
        <v>18123864</v>
      </c>
      <c r="F49" s="20"/>
      <c r="G49" s="20"/>
      <c r="H49" s="20"/>
      <c r="I49" s="20"/>
      <c r="J49" s="20"/>
      <c r="K49" s="20"/>
    </row>
    <row r="50" spans="1:19" x14ac:dyDescent="0.25">
      <c r="A50" s="64" t="s">
        <v>9068</v>
      </c>
      <c r="B50" s="97" t="s">
        <v>9069</v>
      </c>
      <c r="C50" s="20">
        <v>1</v>
      </c>
      <c r="D50" s="20" t="s">
        <v>405</v>
      </c>
      <c r="E50" s="20">
        <v>25643517</v>
      </c>
      <c r="F50" s="20"/>
      <c r="G50" s="20"/>
      <c r="H50" s="20"/>
      <c r="I50" s="20"/>
      <c r="J50" s="20"/>
      <c r="K50" s="20"/>
    </row>
    <row r="51" spans="1:19" x14ac:dyDescent="0.25">
      <c r="A51" s="64" t="s">
        <v>9068</v>
      </c>
      <c r="B51" s="97" t="s">
        <v>9069</v>
      </c>
      <c r="C51" s="20">
        <v>1</v>
      </c>
      <c r="D51" s="20" t="s">
        <v>405</v>
      </c>
      <c r="E51" s="20">
        <v>18153283</v>
      </c>
      <c r="F51" s="20"/>
      <c r="G51" s="20"/>
      <c r="H51" s="20"/>
      <c r="I51" s="20"/>
      <c r="J51" s="20"/>
      <c r="K51" s="20"/>
    </row>
    <row r="52" spans="1:19" s="20" customFormat="1" x14ac:dyDescent="0.25">
      <c r="A52" s="64" t="s">
        <v>9068</v>
      </c>
      <c r="B52" s="97" t="s">
        <v>9069</v>
      </c>
      <c r="C52" s="20">
        <v>1</v>
      </c>
      <c r="D52" s="20" t="s">
        <v>405</v>
      </c>
      <c r="E52" s="20">
        <v>28135350</v>
      </c>
      <c r="Q52" s="1"/>
      <c r="R52" s="1"/>
      <c r="S52" s="1"/>
    </row>
    <row r="53" spans="1:19" x14ac:dyDescent="0.25">
      <c r="A53" s="1" t="s">
        <v>9070</v>
      </c>
      <c r="B53" s="95" t="s">
        <v>9036</v>
      </c>
      <c r="C53" s="1">
        <v>1</v>
      </c>
      <c r="D53" s="1" t="s">
        <v>8856</v>
      </c>
      <c r="E53" s="21" t="s">
        <v>8855</v>
      </c>
      <c r="F53" s="1" t="s">
        <v>512</v>
      </c>
      <c r="G53" s="1" t="s">
        <v>512</v>
      </c>
      <c r="H53" s="21" t="s">
        <v>512</v>
      </c>
      <c r="I53" s="21" t="s">
        <v>512</v>
      </c>
      <c r="J53" s="21" t="s">
        <v>512</v>
      </c>
      <c r="K53" s="21" t="s">
        <v>512</v>
      </c>
      <c r="L53" s="21" t="s">
        <v>512</v>
      </c>
      <c r="M53" s="21" t="s">
        <v>512</v>
      </c>
      <c r="N53" s="21" t="s">
        <v>512</v>
      </c>
      <c r="O53" s="21" t="s">
        <v>512</v>
      </c>
      <c r="P53" s="20"/>
      <c r="Q53" s="1" t="s">
        <v>8856</v>
      </c>
    </row>
    <row r="54" spans="1:19" x14ac:dyDescent="0.25">
      <c r="A54" s="1" t="s">
        <v>9071</v>
      </c>
      <c r="B54" s="95" t="s">
        <v>9036</v>
      </c>
      <c r="C54" s="1">
        <v>1</v>
      </c>
      <c r="D54" s="1" t="s">
        <v>8856</v>
      </c>
      <c r="E54" s="21" t="s">
        <v>8855</v>
      </c>
      <c r="F54" s="20" t="s">
        <v>512</v>
      </c>
      <c r="G54" s="20" t="s">
        <v>512</v>
      </c>
      <c r="H54" s="20" t="s">
        <v>512</v>
      </c>
      <c r="I54" s="20" t="s">
        <v>512</v>
      </c>
      <c r="J54" s="20" t="s">
        <v>512</v>
      </c>
      <c r="K54" s="20" t="s">
        <v>512</v>
      </c>
      <c r="L54" s="20" t="s">
        <v>512</v>
      </c>
      <c r="M54" s="20" t="s">
        <v>512</v>
      </c>
      <c r="N54" s="20" t="s">
        <v>512</v>
      </c>
      <c r="O54" s="20" t="s">
        <v>512</v>
      </c>
      <c r="P54" s="20"/>
      <c r="Q54" s="1" t="s">
        <v>8856</v>
      </c>
    </row>
    <row r="55" spans="1:19" x14ac:dyDescent="0.25">
      <c r="A55" s="1" t="s">
        <v>9072</v>
      </c>
      <c r="B55" s="95" t="s">
        <v>9073</v>
      </c>
      <c r="C55" s="1">
        <v>1</v>
      </c>
      <c r="D55" s="1" t="s">
        <v>8817</v>
      </c>
      <c r="E55" s="21">
        <v>226900</v>
      </c>
      <c r="F55" s="20" t="s">
        <v>512</v>
      </c>
      <c r="G55" s="20" t="s">
        <v>512</v>
      </c>
      <c r="H55" s="20" t="s">
        <v>512</v>
      </c>
      <c r="I55" s="20" t="s">
        <v>512</v>
      </c>
      <c r="J55" s="20" t="s">
        <v>512</v>
      </c>
      <c r="K55" s="20" t="s">
        <v>512</v>
      </c>
      <c r="L55" s="20" t="s">
        <v>512</v>
      </c>
      <c r="M55" s="20" t="s">
        <v>512</v>
      </c>
      <c r="N55" s="20" t="s">
        <v>512</v>
      </c>
      <c r="O55" s="20" t="s">
        <v>512</v>
      </c>
      <c r="P55" s="20"/>
      <c r="Q55" s="1" t="s">
        <v>8817</v>
      </c>
    </row>
    <row r="56" spans="1:19" x14ac:dyDescent="0.25">
      <c r="A56" s="1" t="s">
        <v>9074</v>
      </c>
      <c r="B56" s="95" t="s">
        <v>9020</v>
      </c>
      <c r="C56" s="1">
        <v>1</v>
      </c>
      <c r="D56" s="1" t="s">
        <v>3744</v>
      </c>
      <c r="E56" s="1" t="s">
        <v>8789</v>
      </c>
      <c r="F56" s="21" t="s">
        <v>309</v>
      </c>
      <c r="G56" s="20" t="s">
        <v>8837</v>
      </c>
      <c r="H56" s="60" t="s">
        <v>8781</v>
      </c>
      <c r="I56" s="20" t="s">
        <v>8797</v>
      </c>
      <c r="J56" s="20" t="s">
        <v>3744</v>
      </c>
      <c r="K56" s="20" t="s">
        <v>8613</v>
      </c>
      <c r="L56" s="20" t="s">
        <v>512</v>
      </c>
      <c r="M56" s="20" t="s">
        <v>512</v>
      </c>
      <c r="N56" s="20" t="s">
        <v>512</v>
      </c>
      <c r="O56" s="20" t="s">
        <v>512</v>
      </c>
      <c r="P56" s="20"/>
      <c r="Q56" s="1" t="s">
        <v>8789</v>
      </c>
    </row>
    <row r="57" spans="1:19" x14ac:dyDescent="0.25">
      <c r="A57" s="1" t="s">
        <v>9075</v>
      </c>
      <c r="B57" s="95" t="s">
        <v>9073</v>
      </c>
      <c r="C57" s="1">
        <v>1</v>
      </c>
      <c r="D57" s="1" t="s">
        <v>8817</v>
      </c>
      <c r="E57" s="21">
        <v>226900</v>
      </c>
      <c r="F57" s="20" t="s">
        <v>512</v>
      </c>
      <c r="G57" s="20" t="s">
        <v>512</v>
      </c>
      <c r="H57" s="20" t="s">
        <v>512</v>
      </c>
      <c r="I57" s="20" t="s">
        <v>512</v>
      </c>
      <c r="J57" s="20" t="s">
        <v>512</v>
      </c>
      <c r="K57" s="20" t="s">
        <v>512</v>
      </c>
      <c r="L57" s="20" t="s">
        <v>512</v>
      </c>
      <c r="M57" s="20" t="s">
        <v>512</v>
      </c>
      <c r="N57" s="20" t="s">
        <v>512</v>
      </c>
      <c r="O57" s="20" t="s">
        <v>512</v>
      </c>
      <c r="P57" s="20"/>
      <c r="Q57" s="1" t="s">
        <v>8817</v>
      </c>
    </row>
    <row r="58" spans="1:19" x14ac:dyDescent="0.25">
      <c r="A58" s="1" t="s">
        <v>9076</v>
      </c>
      <c r="B58" s="95" t="s">
        <v>9046</v>
      </c>
      <c r="C58" s="1">
        <v>1</v>
      </c>
      <c r="D58" s="1" t="s">
        <v>106</v>
      </c>
      <c r="E58" s="21" t="s">
        <v>8810</v>
      </c>
      <c r="F58" s="20" t="s">
        <v>309</v>
      </c>
      <c r="G58" s="20" t="s">
        <v>8880</v>
      </c>
      <c r="H58" s="20" t="s">
        <v>309</v>
      </c>
      <c r="I58" s="20">
        <v>344376</v>
      </c>
      <c r="J58" s="20" t="s">
        <v>344</v>
      </c>
      <c r="K58" s="20" t="s">
        <v>8898</v>
      </c>
      <c r="L58" s="20" t="s">
        <v>512</v>
      </c>
      <c r="M58" s="20" t="s">
        <v>512</v>
      </c>
      <c r="N58" s="20" t="s">
        <v>512</v>
      </c>
      <c r="O58" s="20" t="s">
        <v>512</v>
      </c>
      <c r="P58" s="20"/>
      <c r="Q58" s="1" t="s">
        <v>106</v>
      </c>
    </row>
    <row r="59" spans="1:19" x14ac:dyDescent="0.25">
      <c r="A59" s="1" t="s">
        <v>9077</v>
      </c>
      <c r="B59" s="95" t="s">
        <v>9048</v>
      </c>
      <c r="C59" s="1">
        <v>1</v>
      </c>
      <c r="D59" s="1" t="s">
        <v>106</v>
      </c>
      <c r="E59" s="21" t="s">
        <v>8806</v>
      </c>
      <c r="F59" s="20" t="s">
        <v>309</v>
      </c>
      <c r="G59" s="20" t="s">
        <v>8882</v>
      </c>
      <c r="H59" s="20" t="s">
        <v>309</v>
      </c>
      <c r="I59" s="20" t="s">
        <v>8973</v>
      </c>
      <c r="J59" s="20" t="s">
        <v>344</v>
      </c>
      <c r="K59" s="20" t="s">
        <v>8898</v>
      </c>
      <c r="L59" s="20" t="s">
        <v>512</v>
      </c>
      <c r="M59" s="20" t="s">
        <v>512</v>
      </c>
      <c r="N59" s="20" t="s">
        <v>512</v>
      </c>
      <c r="O59" s="20" t="s">
        <v>512</v>
      </c>
      <c r="P59" s="20"/>
      <c r="Q59" s="1" t="s">
        <v>106</v>
      </c>
    </row>
    <row r="60" spans="1:19" x14ac:dyDescent="0.25">
      <c r="A60" s="1" t="s">
        <v>9078</v>
      </c>
      <c r="B60" s="95" t="s">
        <v>9026</v>
      </c>
      <c r="C60" s="1">
        <v>1</v>
      </c>
      <c r="D60" s="1" t="s">
        <v>9027</v>
      </c>
      <c r="E60" s="21">
        <v>160520</v>
      </c>
      <c r="F60" s="20" t="s">
        <v>9027</v>
      </c>
      <c r="G60" s="20" t="s">
        <v>8896</v>
      </c>
      <c r="H60" s="20" t="s">
        <v>512</v>
      </c>
      <c r="I60" s="20" t="s">
        <v>512</v>
      </c>
      <c r="J60" s="20" t="s">
        <v>512</v>
      </c>
      <c r="K60" s="20" t="s">
        <v>512</v>
      </c>
      <c r="L60" s="20" t="s">
        <v>512</v>
      </c>
      <c r="M60" s="20" t="s">
        <v>512</v>
      </c>
      <c r="N60" s="20" t="s">
        <v>512</v>
      </c>
      <c r="O60" s="20" t="s">
        <v>512</v>
      </c>
      <c r="P60" s="20"/>
      <c r="Q60" s="1" t="s">
        <v>9027</v>
      </c>
    </row>
    <row r="61" spans="1:19" x14ac:dyDescent="0.25">
      <c r="A61" s="1" t="s">
        <v>9079</v>
      </c>
      <c r="B61" s="95" t="s">
        <v>9030</v>
      </c>
      <c r="C61" s="1">
        <v>1</v>
      </c>
      <c r="D61" s="1" t="s">
        <v>3744</v>
      </c>
      <c r="E61" s="21" t="s">
        <v>8595</v>
      </c>
      <c r="F61" s="20" t="s">
        <v>8781</v>
      </c>
      <c r="G61" s="20" t="s">
        <v>8618</v>
      </c>
      <c r="H61" s="20" t="s">
        <v>309</v>
      </c>
      <c r="I61" s="20" t="s">
        <v>8878</v>
      </c>
      <c r="J61" s="20" t="s">
        <v>512</v>
      </c>
      <c r="K61" s="20" t="s">
        <v>512</v>
      </c>
      <c r="L61" s="20" t="s">
        <v>512</v>
      </c>
      <c r="M61" s="20" t="s">
        <v>512</v>
      </c>
      <c r="N61" s="20" t="s">
        <v>512</v>
      </c>
      <c r="O61" s="20" t="s">
        <v>512</v>
      </c>
      <c r="P61" s="20"/>
      <c r="Q61" s="1" t="s">
        <v>3744</v>
      </c>
    </row>
    <row r="62" spans="1:19" x14ac:dyDescent="0.25">
      <c r="A62" s="1" t="s">
        <v>9080</v>
      </c>
      <c r="B62" s="95" t="s">
        <v>9059</v>
      </c>
      <c r="C62" s="1">
        <v>1</v>
      </c>
      <c r="D62" s="1" t="s">
        <v>309</v>
      </c>
      <c r="E62" s="21" t="s">
        <v>8828</v>
      </c>
      <c r="F62" s="20" t="s">
        <v>309</v>
      </c>
      <c r="G62" s="20" t="s">
        <v>8971</v>
      </c>
      <c r="H62" s="20" t="s">
        <v>309</v>
      </c>
      <c r="I62" s="20" t="s">
        <v>8886</v>
      </c>
      <c r="J62" s="20" t="s">
        <v>344</v>
      </c>
      <c r="K62" s="20" t="s">
        <v>8898</v>
      </c>
      <c r="L62" s="20" t="s">
        <v>512</v>
      </c>
      <c r="M62" s="20" t="s">
        <v>512</v>
      </c>
      <c r="N62" s="20" t="s">
        <v>512</v>
      </c>
      <c r="O62" s="20" t="s">
        <v>512</v>
      </c>
      <c r="P62" s="20"/>
      <c r="Q62" s="1" t="s">
        <v>309</v>
      </c>
    </row>
    <row r="63" spans="1:19" x14ac:dyDescent="0.25">
      <c r="A63" s="1" t="s">
        <v>9081</v>
      </c>
      <c r="B63" s="95" t="s">
        <v>9036</v>
      </c>
      <c r="C63" s="1">
        <v>1</v>
      </c>
      <c r="D63" s="1" t="s">
        <v>8856</v>
      </c>
      <c r="E63" s="21" t="s">
        <v>8855</v>
      </c>
      <c r="F63" s="1" t="s">
        <v>512</v>
      </c>
      <c r="G63" s="1" t="s">
        <v>512</v>
      </c>
      <c r="H63" s="20" t="s">
        <v>512</v>
      </c>
      <c r="I63" s="20" t="s">
        <v>512</v>
      </c>
      <c r="J63" s="1" t="s">
        <v>512</v>
      </c>
      <c r="K63" s="1" t="s">
        <v>512</v>
      </c>
      <c r="L63" s="1" t="s">
        <v>512</v>
      </c>
      <c r="M63" s="1" t="s">
        <v>512</v>
      </c>
      <c r="N63" s="1" t="s">
        <v>512</v>
      </c>
      <c r="O63" s="1" t="s">
        <v>512</v>
      </c>
      <c r="P63" s="20"/>
      <c r="Q63" s="1" t="s">
        <v>8856</v>
      </c>
    </row>
    <row r="64" spans="1:19" x14ac:dyDescent="0.25">
      <c r="A64" s="1" t="s">
        <v>9082</v>
      </c>
      <c r="B64" s="95" t="s">
        <v>9036</v>
      </c>
      <c r="C64" s="1">
        <v>1</v>
      </c>
      <c r="D64" s="1" t="s">
        <v>8856</v>
      </c>
      <c r="E64" s="21" t="s">
        <v>8855</v>
      </c>
      <c r="F64" s="20" t="s">
        <v>512</v>
      </c>
      <c r="G64" s="20" t="s">
        <v>512</v>
      </c>
      <c r="H64" s="20" t="s">
        <v>512</v>
      </c>
      <c r="I64" s="20" t="s">
        <v>512</v>
      </c>
      <c r="J64" s="20" t="s">
        <v>512</v>
      </c>
      <c r="K64" s="20" t="s">
        <v>512</v>
      </c>
      <c r="L64" s="20" t="s">
        <v>512</v>
      </c>
      <c r="M64" s="20" t="s">
        <v>512</v>
      </c>
      <c r="N64" s="20" t="s">
        <v>512</v>
      </c>
      <c r="O64" s="20" t="s">
        <v>512</v>
      </c>
      <c r="P64" s="20"/>
      <c r="Q64" s="1" t="s">
        <v>8856</v>
      </c>
    </row>
    <row r="65" spans="1:17" x14ac:dyDescent="0.25">
      <c r="A65" s="1" t="s">
        <v>9083</v>
      </c>
      <c r="B65" s="95" t="s">
        <v>9044</v>
      </c>
      <c r="C65" s="1">
        <v>1</v>
      </c>
      <c r="D65" s="1" t="s">
        <v>3744</v>
      </c>
      <c r="E65" s="21" t="s">
        <v>8657</v>
      </c>
      <c r="F65" s="20" t="s">
        <v>3744</v>
      </c>
      <c r="G65" s="20" t="s">
        <v>8780</v>
      </c>
      <c r="H65" s="20" t="s">
        <v>309</v>
      </c>
      <c r="I65" s="20" t="s">
        <v>8835</v>
      </c>
      <c r="J65" s="20" t="s">
        <v>309</v>
      </c>
      <c r="K65" s="20" t="s">
        <v>8884</v>
      </c>
      <c r="L65" s="20" t="s">
        <v>3744</v>
      </c>
      <c r="M65" s="20" t="s">
        <v>8677</v>
      </c>
      <c r="N65" s="20" t="s">
        <v>3744</v>
      </c>
      <c r="O65" s="20" t="s">
        <v>8783</v>
      </c>
      <c r="P65" s="20"/>
      <c r="Q65" s="1" t="s">
        <v>3744</v>
      </c>
    </row>
    <row r="66" spans="1:17" x14ac:dyDescent="0.25">
      <c r="A66" s="1" t="s">
        <v>9084</v>
      </c>
      <c r="B66" s="95" t="s">
        <v>9046</v>
      </c>
      <c r="C66" s="1">
        <v>1</v>
      </c>
      <c r="D66" s="1" t="s">
        <v>106</v>
      </c>
      <c r="E66" s="21" t="s">
        <v>8810</v>
      </c>
      <c r="F66" s="20" t="s">
        <v>309</v>
      </c>
      <c r="G66" s="20" t="s">
        <v>8880</v>
      </c>
      <c r="H66" s="20" t="s">
        <v>309</v>
      </c>
      <c r="I66" s="20">
        <v>344376</v>
      </c>
      <c r="J66" s="20" t="s">
        <v>344</v>
      </c>
      <c r="K66" s="20" t="s">
        <v>8898</v>
      </c>
      <c r="L66" s="20" t="s">
        <v>512</v>
      </c>
      <c r="M66" s="20" t="s">
        <v>512</v>
      </c>
      <c r="N66" s="20" t="s">
        <v>512</v>
      </c>
      <c r="O66" s="20" t="s">
        <v>512</v>
      </c>
      <c r="P66" s="20"/>
      <c r="Q66" s="1" t="s">
        <v>106</v>
      </c>
    </row>
    <row r="67" spans="1:17" x14ac:dyDescent="0.25">
      <c r="A67" s="1" t="s">
        <v>9085</v>
      </c>
      <c r="B67" s="95" t="s">
        <v>9048</v>
      </c>
      <c r="C67" s="1">
        <v>1</v>
      </c>
      <c r="D67" s="1" t="s">
        <v>106</v>
      </c>
      <c r="E67" s="21" t="s">
        <v>8806</v>
      </c>
      <c r="F67" s="20" t="s">
        <v>309</v>
      </c>
      <c r="G67" s="20" t="s">
        <v>8882</v>
      </c>
      <c r="H67" s="20" t="s">
        <v>309</v>
      </c>
      <c r="I67" s="20" t="s">
        <v>8973</v>
      </c>
      <c r="J67" s="20" t="s">
        <v>344</v>
      </c>
      <c r="K67" s="20" t="s">
        <v>8898</v>
      </c>
      <c r="L67" s="20" t="s">
        <v>512</v>
      </c>
      <c r="M67" s="20" t="s">
        <v>512</v>
      </c>
      <c r="N67" s="20" t="s">
        <v>512</v>
      </c>
      <c r="O67" s="20" t="s">
        <v>512</v>
      </c>
      <c r="P67" s="20"/>
      <c r="Q67" s="1" t="s">
        <v>106</v>
      </c>
    </row>
    <row r="68" spans="1:17" x14ac:dyDescent="0.25">
      <c r="A68" s="1" t="s">
        <v>9086</v>
      </c>
      <c r="B68" s="95" t="s">
        <v>9030</v>
      </c>
      <c r="C68" s="1">
        <v>1</v>
      </c>
      <c r="D68" s="1" t="s">
        <v>3744</v>
      </c>
      <c r="E68" s="21" t="s">
        <v>8595</v>
      </c>
      <c r="F68" s="20" t="s">
        <v>8781</v>
      </c>
      <c r="G68" s="20" t="s">
        <v>8618</v>
      </c>
      <c r="H68" s="20" t="s">
        <v>309</v>
      </c>
      <c r="I68" s="20" t="s">
        <v>8878</v>
      </c>
      <c r="J68" s="20" t="s">
        <v>512</v>
      </c>
      <c r="K68" s="20" t="s">
        <v>512</v>
      </c>
      <c r="L68" s="20" t="s">
        <v>512</v>
      </c>
      <c r="M68" s="20" t="s">
        <v>512</v>
      </c>
      <c r="N68" s="20" t="s">
        <v>512</v>
      </c>
      <c r="O68" s="20" t="s">
        <v>512</v>
      </c>
      <c r="P68" s="20"/>
      <c r="Q68" s="1" t="s">
        <v>3744</v>
      </c>
    </row>
    <row r="69" spans="1:17" x14ac:dyDescent="0.25">
      <c r="A69" s="1" t="s">
        <v>9087</v>
      </c>
      <c r="B69" s="95" t="s">
        <v>9036</v>
      </c>
      <c r="C69" s="1">
        <v>1</v>
      </c>
      <c r="D69" s="1" t="s">
        <v>8856</v>
      </c>
      <c r="E69" s="21" t="s">
        <v>8855</v>
      </c>
      <c r="F69" s="20" t="s">
        <v>512</v>
      </c>
      <c r="G69" s="20" t="s">
        <v>512</v>
      </c>
      <c r="H69" s="20" t="s">
        <v>512</v>
      </c>
      <c r="I69" s="20" t="s">
        <v>512</v>
      </c>
      <c r="J69" s="20" t="s">
        <v>512</v>
      </c>
      <c r="K69" s="20" t="s">
        <v>512</v>
      </c>
      <c r="L69" s="20" t="s">
        <v>512</v>
      </c>
      <c r="M69" s="20" t="s">
        <v>512</v>
      </c>
      <c r="N69" s="20" t="s">
        <v>512</v>
      </c>
      <c r="O69" s="20" t="s">
        <v>512</v>
      </c>
      <c r="P69" s="20"/>
      <c r="Q69" s="1" t="s">
        <v>8856</v>
      </c>
    </row>
    <row r="70" spans="1:17" x14ac:dyDescent="0.25">
      <c r="A70" s="1" t="s">
        <v>9088</v>
      </c>
      <c r="B70" s="95" t="s">
        <v>9044</v>
      </c>
      <c r="C70" s="1">
        <v>1</v>
      </c>
      <c r="D70" s="1" t="s">
        <v>3744</v>
      </c>
      <c r="E70" s="21" t="s">
        <v>8657</v>
      </c>
      <c r="F70" s="20" t="s">
        <v>3744</v>
      </c>
      <c r="G70" s="20" t="s">
        <v>8780</v>
      </c>
      <c r="H70" s="20" t="s">
        <v>309</v>
      </c>
      <c r="I70" s="20" t="s">
        <v>8835</v>
      </c>
      <c r="J70" s="20" t="s">
        <v>309</v>
      </c>
      <c r="K70" s="20" t="s">
        <v>8884</v>
      </c>
      <c r="L70" s="20" t="s">
        <v>3744</v>
      </c>
      <c r="M70" s="20" t="s">
        <v>8677</v>
      </c>
      <c r="N70" s="20" t="s">
        <v>3744</v>
      </c>
      <c r="O70" s="20" t="s">
        <v>8783</v>
      </c>
      <c r="P70" s="20"/>
      <c r="Q70" s="1" t="s">
        <v>3744</v>
      </c>
    </row>
    <row r="71" spans="1:17" x14ac:dyDescent="0.25">
      <c r="A71" s="1" t="s">
        <v>9089</v>
      </c>
      <c r="B71" s="95" t="s">
        <v>9046</v>
      </c>
      <c r="C71" s="1">
        <v>1</v>
      </c>
      <c r="D71" s="1" t="s">
        <v>106</v>
      </c>
      <c r="E71" s="21" t="s">
        <v>8810</v>
      </c>
      <c r="F71" s="20" t="s">
        <v>309</v>
      </c>
      <c r="G71" s="60" t="s">
        <v>8880</v>
      </c>
      <c r="H71" s="20" t="s">
        <v>309</v>
      </c>
      <c r="I71" s="20">
        <v>344376</v>
      </c>
      <c r="J71" s="20" t="s">
        <v>344</v>
      </c>
      <c r="K71" s="20" t="s">
        <v>8898</v>
      </c>
      <c r="L71" s="20" t="s">
        <v>512</v>
      </c>
      <c r="M71" s="20" t="s">
        <v>512</v>
      </c>
      <c r="N71" s="20" t="s">
        <v>512</v>
      </c>
      <c r="O71" s="20" t="s">
        <v>512</v>
      </c>
      <c r="P71" s="20"/>
      <c r="Q71" s="1" t="s">
        <v>106</v>
      </c>
    </row>
    <row r="72" spans="1:17" x14ac:dyDescent="0.25">
      <c r="A72" s="1" t="s">
        <v>9090</v>
      </c>
      <c r="B72" s="95" t="s">
        <v>9048</v>
      </c>
      <c r="C72" s="1">
        <v>1</v>
      </c>
      <c r="D72" s="1" t="s">
        <v>106</v>
      </c>
      <c r="E72" s="21" t="s">
        <v>8806</v>
      </c>
      <c r="F72" s="20" t="s">
        <v>309</v>
      </c>
      <c r="G72" s="60" t="s">
        <v>8882</v>
      </c>
      <c r="H72" s="20" t="s">
        <v>309</v>
      </c>
      <c r="I72" s="20" t="s">
        <v>8973</v>
      </c>
      <c r="J72" s="20" t="s">
        <v>344</v>
      </c>
      <c r="K72" s="20" t="s">
        <v>8898</v>
      </c>
      <c r="L72" s="20" t="s">
        <v>512</v>
      </c>
      <c r="M72" s="20" t="s">
        <v>512</v>
      </c>
      <c r="N72" s="20" t="s">
        <v>512</v>
      </c>
      <c r="O72" s="20" t="s">
        <v>512</v>
      </c>
      <c r="P72" s="20"/>
      <c r="Q72" s="1" t="s">
        <v>106</v>
      </c>
    </row>
    <row r="73" spans="1:17" x14ac:dyDescent="0.25">
      <c r="A73" s="1" t="s">
        <v>9091</v>
      </c>
      <c r="B73" s="95" t="s">
        <v>9030</v>
      </c>
      <c r="C73" s="1">
        <v>1</v>
      </c>
      <c r="D73" s="1" t="s">
        <v>3744</v>
      </c>
      <c r="E73" s="21" t="s">
        <v>8595</v>
      </c>
      <c r="F73" s="20" t="s">
        <v>8781</v>
      </c>
      <c r="G73" s="20" t="s">
        <v>8616</v>
      </c>
      <c r="H73" s="20" t="s">
        <v>309</v>
      </c>
      <c r="I73" s="20" t="s">
        <v>8878</v>
      </c>
      <c r="J73" s="20" t="s">
        <v>512</v>
      </c>
      <c r="K73" s="20" t="s">
        <v>512</v>
      </c>
      <c r="L73" s="20" t="s">
        <v>512</v>
      </c>
      <c r="M73" s="20" t="s">
        <v>512</v>
      </c>
      <c r="N73" s="20" t="s">
        <v>512</v>
      </c>
      <c r="O73" s="20" t="s">
        <v>512</v>
      </c>
      <c r="P73" s="20"/>
      <c r="Q73" s="1" t="s">
        <v>3744</v>
      </c>
    </row>
    <row r="74" spans="1:17" x14ac:dyDescent="0.25">
      <c r="A74" s="1" t="s">
        <v>9092</v>
      </c>
      <c r="B74" s="95" t="s">
        <v>9036</v>
      </c>
      <c r="C74" s="1">
        <v>1</v>
      </c>
      <c r="D74" s="1" t="s">
        <v>8856</v>
      </c>
      <c r="E74" s="21" t="s">
        <v>8855</v>
      </c>
      <c r="F74" s="20" t="s">
        <v>512</v>
      </c>
      <c r="G74" s="20" t="s">
        <v>512</v>
      </c>
      <c r="H74" s="20" t="s">
        <v>512</v>
      </c>
      <c r="I74" s="20" t="s">
        <v>512</v>
      </c>
      <c r="J74" s="20" t="s">
        <v>512</v>
      </c>
      <c r="K74" s="20" t="s">
        <v>512</v>
      </c>
      <c r="L74" s="20" t="s">
        <v>512</v>
      </c>
      <c r="M74" s="20" t="s">
        <v>512</v>
      </c>
      <c r="N74" s="20" t="s">
        <v>512</v>
      </c>
      <c r="O74" s="20" t="s">
        <v>512</v>
      </c>
      <c r="P74" s="20"/>
      <c r="Q74" s="1" t="s">
        <v>8856</v>
      </c>
    </row>
    <row r="75" spans="1:17" x14ac:dyDescent="0.25">
      <c r="A75" s="1" t="s">
        <v>9093</v>
      </c>
      <c r="B75" s="95" t="s">
        <v>9020</v>
      </c>
      <c r="C75" s="1">
        <v>1</v>
      </c>
      <c r="D75" s="1" t="s">
        <v>3744</v>
      </c>
      <c r="E75" s="21" t="s">
        <v>8789</v>
      </c>
      <c r="F75" s="20" t="s">
        <v>309</v>
      </c>
      <c r="G75" s="20" t="s">
        <v>8837</v>
      </c>
      <c r="H75" s="20" t="s">
        <v>8781</v>
      </c>
      <c r="I75" s="20" t="s">
        <v>8797</v>
      </c>
      <c r="J75" s="20" t="s">
        <v>3744</v>
      </c>
      <c r="K75" s="20" t="s">
        <v>8613</v>
      </c>
      <c r="L75" s="20" t="s">
        <v>512</v>
      </c>
      <c r="M75" s="20" t="s">
        <v>512</v>
      </c>
      <c r="N75" s="20" t="s">
        <v>512</v>
      </c>
      <c r="O75" s="20" t="s">
        <v>512</v>
      </c>
      <c r="P75" s="20"/>
      <c r="Q75" s="1" t="s">
        <v>3744</v>
      </c>
    </row>
    <row r="76" spans="1:17" x14ac:dyDescent="0.25">
      <c r="A76" s="1" t="s">
        <v>9094</v>
      </c>
      <c r="B76" s="95" t="s">
        <v>9020</v>
      </c>
      <c r="C76" s="1">
        <v>1</v>
      </c>
      <c r="D76" s="1" t="s">
        <v>3744</v>
      </c>
      <c r="E76" s="21" t="s">
        <v>8789</v>
      </c>
      <c r="F76" s="20" t="s">
        <v>309</v>
      </c>
      <c r="G76" s="20" t="s">
        <v>8837</v>
      </c>
      <c r="H76" s="20" t="s">
        <v>8781</v>
      </c>
      <c r="I76" s="20" t="s">
        <v>8797</v>
      </c>
      <c r="J76" s="20" t="s">
        <v>3744</v>
      </c>
      <c r="K76" s="20" t="s">
        <v>8613</v>
      </c>
      <c r="L76" s="20" t="s">
        <v>512</v>
      </c>
      <c r="M76" s="20" t="s">
        <v>512</v>
      </c>
      <c r="N76" s="20" t="s">
        <v>512</v>
      </c>
      <c r="O76" s="20" t="s">
        <v>512</v>
      </c>
      <c r="P76" s="20"/>
      <c r="Q76" s="1" t="s">
        <v>3744</v>
      </c>
    </row>
    <row r="77" spans="1:17" ht="30" x14ac:dyDescent="0.25">
      <c r="A77" s="1" t="s">
        <v>9095</v>
      </c>
      <c r="B77" s="95" t="s">
        <v>9024</v>
      </c>
      <c r="C77" s="1">
        <v>1</v>
      </c>
      <c r="D77" s="1" t="s">
        <v>405</v>
      </c>
      <c r="E77" s="21" t="s">
        <v>8985</v>
      </c>
      <c r="F77" s="20" t="s">
        <v>405</v>
      </c>
      <c r="G77" s="20" t="s">
        <v>8989</v>
      </c>
      <c r="H77" s="20" t="s">
        <v>8753</v>
      </c>
      <c r="I77" s="20" t="s">
        <v>8757</v>
      </c>
      <c r="J77" s="20" t="s">
        <v>8753</v>
      </c>
      <c r="K77" s="20" t="s">
        <v>8759</v>
      </c>
      <c r="L77" s="20" t="s">
        <v>309</v>
      </c>
      <c r="M77" s="20" t="s">
        <v>8876</v>
      </c>
      <c r="N77" s="20" t="s">
        <v>8753</v>
      </c>
      <c r="O77" s="20" t="s">
        <v>8761</v>
      </c>
      <c r="P77" s="20"/>
      <c r="Q77" s="1" t="s">
        <v>405</v>
      </c>
    </row>
    <row r="78" spans="1:17" x14ac:dyDescent="0.25">
      <c r="A78" s="64" t="s">
        <v>9095</v>
      </c>
      <c r="B78" s="97" t="s">
        <v>9024</v>
      </c>
      <c r="C78" s="20">
        <v>1</v>
      </c>
      <c r="D78" s="20" t="s">
        <v>405</v>
      </c>
      <c r="E78" s="20">
        <v>1830600</v>
      </c>
      <c r="F78" s="20" t="s">
        <v>512</v>
      </c>
      <c r="G78" s="20" t="s">
        <v>512</v>
      </c>
      <c r="H78" s="20" t="s">
        <v>512</v>
      </c>
      <c r="I78" s="20" t="s">
        <v>512</v>
      </c>
      <c r="J78" s="20" t="s">
        <v>512</v>
      </c>
      <c r="K78" s="20" t="s">
        <v>512</v>
      </c>
      <c r="L78" s="1" t="s">
        <v>512</v>
      </c>
      <c r="M78" s="1" t="s">
        <v>512</v>
      </c>
      <c r="N78" s="1" t="s">
        <v>512</v>
      </c>
      <c r="O78" s="1" t="s">
        <v>512</v>
      </c>
      <c r="Q78" s="1" t="s">
        <v>512</v>
      </c>
    </row>
    <row r="79" spans="1:17" x14ac:dyDescent="0.25">
      <c r="A79" s="64" t="s">
        <v>9095</v>
      </c>
      <c r="B79" s="97" t="s">
        <v>9024</v>
      </c>
      <c r="C79" s="20">
        <v>1</v>
      </c>
      <c r="D79" s="20" t="s">
        <v>405</v>
      </c>
      <c r="E79" s="20">
        <v>28231449</v>
      </c>
      <c r="F79" s="20" t="s">
        <v>512</v>
      </c>
      <c r="G79" s="20" t="s">
        <v>512</v>
      </c>
      <c r="H79" s="20" t="s">
        <v>512</v>
      </c>
      <c r="I79" s="20" t="s">
        <v>512</v>
      </c>
      <c r="J79" s="20" t="s">
        <v>512</v>
      </c>
      <c r="K79" s="20" t="s">
        <v>512</v>
      </c>
      <c r="L79" s="1" t="s">
        <v>512</v>
      </c>
      <c r="M79" s="1" t="s">
        <v>512</v>
      </c>
      <c r="N79" s="1" t="s">
        <v>512</v>
      </c>
      <c r="O79" s="1" t="s">
        <v>512</v>
      </c>
      <c r="Q79" s="1" t="s">
        <v>512</v>
      </c>
    </row>
    <row r="80" spans="1:17" x14ac:dyDescent="0.25">
      <c r="A80" s="64" t="s">
        <v>9095</v>
      </c>
      <c r="B80" s="97" t="s">
        <v>9024</v>
      </c>
      <c r="C80" s="20">
        <v>1</v>
      </c>
      <c r="D80" s="20" t="s">
        <v>405</v>
      </c>
      <c r="E80" s="20">
        <v>18123864</v>
      </c>
      <c r="F80" s="20" t="s">
        <v>512</v>
      </c>
      <c r="G80" s="20" t="s">
        <v>512</v>
      </c>
      <c r="H80" s="20" t="s">
        <v>512</v>
      </c>
      <c r="I80" s="20" t="s">
        <v>512</v>
      </c>
      <c r="J80" s="20" t="s">
        <v>512</v>
      </c>
      <c r="K80" s="20" t="s">
        <v>512</v>
      </c>
      <c r="L80" s="1" t="s">
        <v>512</v>
      </c>
      <c r="M80" s="1" t="s">
        <v>512</v>
      </c>
      <c r="N80" s="1" t="s">
        <v>512</v>
      </c>
      <c r="O80" s="1" t="s">
        <v>512</v>
      </c>
      <c r="Q80" s="1" t="s">
        <v>512</v>
      </c>
    </row>
    <row r="81" spans="1:17" x14ac:dyDescent="0.25">
      <c r="A81" s="64" t="s">
        <v>9095</v>
      </c>
      <c r="B81" s="97" t="s">
        <v>9024</v>
      </c>
      <c r="C81" s="20">
        <v>1</v>
      </c>
      <c r="D81" s="20" t="s">
        <v>405</v>
      </c>
      <c r="E81" s="20">
        <v>25643517</v>
      </c>
      <c r="F81" s="20" t="s">
        <v>512</v>
      </c>
      <c r="G81" s="20" t="s">
        <v>512</v>
      </c>
      <c r="H81" s="20" t="s">
        <v>512</v>
      </c>
      <c r="I81" s="20" t="s">
        <v>512</v>
      </c>
      <c r="J81" s="20" t="s">
        <v>512</v>
      </c>
      <c r="K81" s="20" t="s">
        <v>512</v>
      </c>
      <c r="L81" s="1" t="s">
        <v>512</v>
      </c>
      <c r="M81" s="1" t="s">
        <v>512</v>
      </c>
      <c r="N81" s="1" t="s">
        <v>512</v>
      </c>
      <c r="O81" s="1" t="s">
        <v>512</v>
      </c>
      <c r="Q81" s="1" t="s">
        <v>512</v>
      </c>
    </row>
    <row r="82" spans="1:17" x14ac:dyDescent="0.25">
      <c r="A82" s="1" t="s">
        <v>9095</v>
      </c>
      <c r="B82" s="95" t="s">
        <v>9024</v>
      </c>
      <c r="C82" s="1">
        <v>1</v>
      </c>
      <c r="D82" s="1" t="s">
        <v>405</v>
      </c>
      <c r="E82" s="21">
        <v>28135350</v>
      </c>
      <c r="F82" s="1" t="s">
        <v>512</v>
      </c>
      <c r="G82" s="1" t="s">
        <v>512</v>
      </c>
      <c r="H82" s="1" t="s">
        <v>512</v>
      </c>
      <c r="I82" s="1" t="s">
        <v>512</v>
      </c>
      <c r="J82" s="1" t="s">
        <v>512</v>
      </c>
      <c r="K82" s="1" t="s">
        <v>512</v>
      </c>
      <c r="L82" s="1" t="s">
        <v>512</v>
      </c>
      <c r="M82" s="1" t="s">
        <v>512</v>
      </c>
      <c r="N82" s="1" t="s">
        <v>512</v>
      </c>
      <c r="O82" s="1" t="s">
        <v>512</v>
      </c>
      <c r="Q82" s="1" t="s">
        <v>512</v>
      </c>
    </row>
    <row r="83" spans="1:17" x14ac:dyDescent="0.25">
      <c r="A83" s="1" t="s">
        <v>9095</v>
      </c>
      <c r="B83" s="95" t="s">
        <v>9024</v>
      </c>
      <c r="C83" s="1">
        <v>1</v>
      </c>
      <c r="D83" s="1" t="s">
        <v>405</v>
      </c>
      <c r="E83" s="21">
        <v>18153283</v>
      </c>
      <c r="F83" s="1" t="s">
        <v>512</v>
      </c>
      <c r="G83" s="1" t="s">
        <v>512</v>
      </c>
      <c r="H83" s="1" t="s">
        <v>512</v>
      </c>
      <c r="I83" s="1" t="s">
        <v>512</v>
      </c>
      <c r="J83" s="1" t="s">
        <v>512</v>
      </c>
      <c r="K83" s="1" t="s">
        <v>512</v>
      </c>
      <c r="L83" s="1" t="s">
        <v>512</v>
      </c>
      <c r="M83" s="1" t="s">
        <v>512</v>
      </c>
      <c r="N83" s="1" t="s">
        <v>512</v>
      </c>
      <c r="O83" s="1" t="s">
        <v>512</v>
      </c>
      <c r="Q83" s="1" t="s">
        <v>512</v>
      </c>
    </row>
    <row r="84" spans="1:17" x14ac:dyDescent="0.25">
      <c r="A84" s="1" t="s">
        <v>9096</v>
      </c>
      <c r="B84" s="95" t="s">
        <v>9026</v>
      </c>
      <c r="C84" s="1">
        <v>1</v>
      </c>
      <c r="D84" s="1" t="s">
        <v>9027</v>
      </c>
      <c r="E84" s="21">
        <v>160520</v>
      </c>
      <c r="F84" s="20" t="s">
        <v>9027</v>
      </c>
      <c r="G84" s="20" t="s">
        <v>8896</v>
      </c>
      <c r="H84" s="20" t="s">
        <v>512</v>
      </c>
      <c r="I84" s="20" t="s">
        <v>512</v>
      </c>
      <c r="J84" s="20" t="s">
        <v>512</v>
      </c>
      <c r="K84" s="20" t="s">
        <v>512</v>
      </c>
      <c r="L84" s="20" t="s">
        <v>512</v>
      </c>
      <c r="M84" s="20" t="s">
        <v>512</v>
      </c>
      <c r="N84" s="20" t="s">
        <v>512</v>
      </c>
      <c r="O84" s="20" t="s">
        <v>512</v>
      </c>
      <c r="P84" s="20"/>
      <c r="Q84" s="1" t="s">
        <v>9027</v>
      </c>
    </row>
    <row r="85" spans="1:17" x14ac:dyDescent="0.25">
      <c r="A85" s="1" t="s">
        <v>9097</v>
      </c>
      <c r="B85" s="95" t="s">
        <v>9026</v>
      </c>
      <c r="C85" s="1">
        <v>1</v>
      </c>
      <c r="D85" s="1" t="s">
        <v>9027</v>
      </c>
      <c r="E85" s="21">
        <v>160520</v>
      </c>
      <c r="F85" s="20" t="s">
        <v>9027</v>
      </c>
      <c r="G85" s="20" t="s">
        <v>8896</v>
      </c>
      <c r="H85" s="20" t="s">
        <v>512</v>
      </c>
      <c r="I85" s="20" t="s">
        <v>512</v>
      </c>
      <c r="J85" s="21" t="s">
        <v>512</v>
      </c>
      <c r="K85" s="21" t="s">
        <v>512</v>
      </c>
      <c r="L85" s="21" t="s">
        <v>512</v>
      </c>
      <c r="M85" s="21" t="s">
        <v>512</v>
      </c>
      <c r="N85" s="21" t="s">
        <v>512</v>
      </c>
      <c r="O85" s="21" t="s">
        <v>512</v>
      </c>
      <c r="P85" s="20"/>
      <c r="Q85" s="1" t="s">
        <v>9027</v>
      </c>
    </row>
    <row r="86" spans="1:17" x14ac:dyDescent="0.25">
      <c r="A86" s="1" t="s">
        <v>9098</v>
      </c>
      <c r="B86" s="95" t="s">
        <v>9030</v>
      </c>
      <c r="C86" s="1">
        <v>1</v>
      </c>
      <c r="D86" s="1" t="s">
        <v>3744</v>
      </c>
      <c r="E86" s="21" t="s">
        <v>8595</v>
      </c>
      <c r="F86" s="1" t="s">
        <v>8781</v>
      </c>
      <c r="G86" s="57" t="s">
        <v>8616</v>
      </c>
      <c r="H86" s="1" t="s">
        <v>309</v>
      </c>
      <c r="I86" s="1" t="s">
        <v>8878</v>
      </c>
      <c r="J86" s="21"/>
      <c r="K86" s="21"/>
      <c r="L86" s="21"/>
      <c r="M86" s="21"/>
      <c r="N86" s="21"/>
      <c r="O86" s="21"/>
      <c r="P86" s="20"/>
    </row>
    <row r="87" spans="1:17" x14ac:dyDescent="0.25">
      <c r="A87" s="1" t="s">
        <v>9098</v>
      </c>
      <c r="B87" s="95" t="s">
        <v>9030</v>
      </c>
      <c r="C87" s="1">
        <v>1</v>
      </c>
      <c r="D87" s="1" t="s">
        <v>3744</v>
      </c>
      <c r="E87" s="21" t="s">
        <v>8595</v>
      </c>
      <c r="F87" s="1" t="s">
        <v>8781</v>
      </c>
      <c r="G87" s="1" t="s">
        <v>8616</v>
      </c>
      <c r="H87" s="1" t="s">
        <v>309</v>
      </c>
      <c r="I87" s="1" t="s">
        <v>8878</v>
      </c>
      <c r="J87" s="21" t="s">
        <v>512</v>
      </c>
      <c r="K87" s="21" t="s">
        <v>512</v>
      </c>
      <c r="L87" s="21" t="s">
        <v>512</v>
      </c>
      <c r="M87" s="21" t="s">
        <v>512</v>
      </c>
      <c r="N87" s="21" t="s">
        <v>512</v>
      </c>
      <c r="O87" s="21" t="s">
        <v>512</v>
      </c>
      <c r="P87" s="20"/>
      <c r="Q87" s="1" t="s">
        <v>8843</v>
      </c>
    </row>
    <row r="88" spans="1:17" x14ac:dyDescent="0.25">
      <c r="A88" s="1" t="s">
        <v>9099</v>
      </c>
      <c r="B88" s="95" t="s">
        <v>9030</v>
      </c>
      <c r="C88" s="1">
        <v>1</v>
      </c>
      <c r="D88" s="1" t="s">
        <v>3744</v>
      </c>
      <c r="E88" s="21" t="s">
        <v>8595</v>
      </c>
      <c r="F88" s="20" t="s">
        <v>8781</v>
      </c>
      <c r="G88" s="20" t="s">
        <v>8616</v>
      </c>
      <c r="H88" s="20" t="s">
        <v>309</v>
      </c>
      <c r="I88" s="20" t="s">
        <v>8878</v>
      </c>
      <c r="J88" s="21" t="s">
        <v>512</v>
      </c>
      <c r="K88" s="21" t="s">
        <v>512</v>
      </c>
      <c r="L88" s="21" t="s">
        <v>512</v>
      </c>
      <c r="M88" s="21" t="s">
        <v>512</v>
      </c>
      <c r="N88" s="21" t="s">
        <v>512</v>
      </c>
      <c r="O88" s="21" t="s">
        <v>512</v>
      </c>
      <c r="P88" s="20"/>
      <c r="Q88" s="1" t="s">
        <v>3744</v>
      </c>
    </row>
    <row r="89" spans="1:17" x14ac:dyDescent="0.25">
      <c r="A89" s="1" t="s">
        <v>9100</v>
      </c>
      <c r="B89" s="96" t="s">
        <v>9033</v>
      </c>
      <c r="C89" s="1">
        <v>1</v>
      </c>
      <c r="D89" s="1" t="s">
        <v>3744</v>
      </c>
      <c r="E89" s="21" t="s">
        <v>8791</v>
      </c>
      <c r="F89" s="20" t="s">
        <v>309</v>
      </c>
      <c r="G89" s="20" t="s">
        <v>8835</v>
      </c>
      <c r="H89" s="20" t="s">
        <v>512</v>
      </c>
      <c r="I89" s="20" t="s">
        <v>512</v>
      </c>
      <c r="J89" s="21" t="s">
        <v>512</v>
      </c>
      <c r="K89" s="21" t="s">
        <v>512</v>
      </c>
      <c r="L89" s="21" t="s">
        <v>512</v>
      </c>
      <c r="M89" s="21" t="s">
        <v>512</v>
      </c>
      <c r="N89" s="21" t="s">
        <v>512</v>
      </c>
      <c r="O89" s="21" t="s">
        <v>512</v>
      </c>
      <c r="P89" s="20"/>
      <c r="Q89" s="1" t="s">
        <v>3744</v>
      </c>
    </row>
    <row r="90" spans="1:17" x14ac:dyDescent="0.25">
      <c r="A90" s="1" t="s">
        <v>9101</v>
      </c>
      <c r="B90" s="95" t="s">
        <v>9046</v>
      </c>
      <c r="C90" s="1">
        <v>1</v>
      </c>
      <c r="D90" s="1" t="s">
        <v>106</v>
      </c>
      <c r="E90" s="21" t="s">
        <v>8810</v>
      </c>
      <c r="F90" s="20" t="s">
        <v>309</v>
      </c>
      <c r="G90" s="20" t="s">
        <v>8880</v>
      </c>
      <c r="H90" s="20" t="s">
        <v>309</v>
      </c>
      <c r="I90" s="20">
        <v>344376</v>
      </c>
      <c r="J90" s="21" t="s">
        <v>344</v>
      </c>
      <c r="K90" s="21" t="s">
        <v>8898</v>
      </c>
      <c r="L90" s="21" t="s">
        <v>512</v>
      </c>
      <c r="M90" s="21" t="s">
        <v>512</v>
      </c>
      <c r="N90" s="21" t="s">
        <v>512</v>
      </c>
      <c r="O90" s="21" t="s">
        <v>512</v>
      </c>
      <c r="P90" s="20"/>
      <c r="Q90" s="1" t="s">
        <v>106</v>
      </c>
    </row>
    <row r="91" spans="1:17" ht="30" x14ac:dyDescent="0.25">
      <c r="A91" s="1" t="s">
        <v>9102</v>
      </c>
      <c r="B91" s="95" t="s">
        <v>9048</v>
      </c>
      <c r="C91" s="1">
        <v>1</v>
      </c>
      <c r="D91" s="1" t="s">
        <v>106</v>
      </c>
      <c r="E91" s="21" t="s">
        <v>8806</v>
      </c>
      <c r="F91" s="1" t="s">
        <v>309</v>
      </c>
      <c r="G91" s="1" t="s">
        <v>8882</v>
      </c>
      <c r="H91" s="21" t="s">
        <v>309</v>
      </c>
      <c r="I91" s="21" t="s">
        <v>8973</v>
      </c>
      <c r="J91" s="21" t="s">
        <v>344</v>
      </c>
      <c r="K91" s="21" t="s">
        <v>8898</v>
      </c>
      <c r="L91" s="21" t="s">
        <v>512</v>
      </c>
      <c r="M91" s="21" t="s">
        <v>512</v>
      </c>
      <c r="N91" s="21" t="s">
        <v>512</v>
      </c>
      <c r="O91" s="21" t="s">
        <v>512</v>
      </c>
      <c r="P91" s="20"/>
      <c r="Q91" s="1" t="s">
        <v>106</v>
      </c>
    </row>
    <row r="92" spans="1:17" x14ac:dyDescent="0.25">
      <c r="A92" s="1" t="s">
        <v>9103</v>
      </c>
      <c r="B92" s="95" t="s">
        <v>9030</v>
      </c>
      <c r="C92" s="1">
        <v>1</v>
      </c>
      <c r="D92" s="1" t="s">
        <v>3744</v>
      </c>
      <c r="E92" s="21" t="s">
        <v>8595</v>
      </c>
      <c r="F92" s="20" t="s">
        <v>8781</v>
      </c>
      <c r="G92" s="20" t="s">
        <v>8618</v>
      </c>
      <c r="H92" s="20" t="s">
        <v>309</v>
      </c>
      <c r="I92" s="20" t="s">
        <v>8878</v>
      </c>
      <c r="J92" s="20" t="s">
        <v>512</v>
      </c>
      <c r="K92" s="20" t="s">
        <v>512</v>
      </c>
      <c r="L92" s="20" t="s">
        <v>512</v>
      </c>
      <c r="M92" s="20" t="s">
        <v>512</v>
      </c>
      <c r="N92" s="20" t="s">
        <v>512</v>
      </c>
      <c r="O92" s="20" t="s">
        <v>512</v>
      </c>
      <c r="P92" s="20"/>
      <c r="Q92" s="1" t="s">
        <v>3744</v>
      </c>
    </row>
    <row r="93" spans="1:17" x14ac:dyDescent="0.25">
      <c r="A93" s="1" t="s">
        <v>9104</v>
      </c>
      <c r="B93" s="95" t="s">
        <v>9036</v>
      </c>
      <c r="C93" s="1">
        <v>1</v>
      </c>
      <c r="D93" s="1" t="s">
        <v>8856</v>
      </c>
      <c r="E93" s="21" t="s">
        <v>8855</v>
      </c>
      <c r="F93" s="20" t="s">
        <v>8753</v>
      </c>
      <c r="G93" s="20" t="s">
        <v>8757</v>
      </c>
      <c r="H93" s="20" t="s">
        <v>8753</v>
      </c>
      <c r="I93" s="20" t="s">
        <v>8759</v>
      </c>
      <c r="J93" s="20" t="s">
        <v>8753</v>
      </c>
      <c r="K93" s="20" t="s">
        <v>8761</v>
      </c>
      <c r="L93" s="20" t="s">
        <v>512</v>
      </c>
      <c r="M93" s="20" t="s">
        <v>512</v>
      </c>
      <c r="N93" s="20" t="s">
        <v>512</v>
      </c>
      <c r="O93" s="20" t="s">
        <v>512</v>
      </c>
      <c r="P93" s="20"/>
      <c r="Q93" s="1" t="s">
        <v>8856</v>
      </c>
    </row>
    <row r="94" spans="1:17" x14ac:dyDescent="0.25">
      <c r="A94" s="1" t="s">
        <v>9105</v>
      </c>
      <c r="B94" s="95" t="s">
        <v>9036</v>
      </c>
      <c r="C94" s="1">
        <v>1</v>
      </c>
      <c r="D94" s="1" t="s">
        <v>8856</v>
      </c>
      <c r="E94" s="21" t="s">
        <v>8855</v>
      </c>
      <c r="F94" s="20" t="s">
        <v>8753</v>
      </c>
      <c r="G94" s="20" t="s">
        <v>8757</v>
      </c>
      <c r="H94" s="20" t="s">
        <v>8753</v>
      </c>
      <c r="I94" s="20" t="s">
        <v>8759</v>
      </c>
      <c r="J94" s="20" t="s">
        <v>8753</v>
      </c>
      <c r="K94" s="20" t="s">
        <v>8761</v>
      </c>
      <c r="L94" s="20" t="s">
        <v>512</v>
      </c>
      <c r="M94" s="20" t="s">
        <v>512</v>
      </c>
      <c r="N94" s="20" t="s">
        <v>512</v>
      </c>
      <c r="O94" s="20" t="s">
        <v>512</v>
      </c>
      <c r="P94" s="20"/>
      <c r="Q94" s="1" t="s">
        <v>8856</v>
      </c>
    </row>
    <row r="95" spans="1:17" x14ac:dyDescent="0.25">
      <c r="A95" s="1" t="s">
        <v>9106</v>
      </c>
      <c r="B95" s="95" t="s">
        <v>9046</v>
      </c>
      <c r="C95" s="1">
        <v>1</v>
      </c>
      <c r="D95" s="1" t="s">
        <v>106</v>
      </c>
      <c r="E95" s="21" t="s">
        <v>8810</v>
      </c>
      <c r="F95" s="20" t="s">
        <v>309</v>
      </c>
      <c r="G95" s="20" t="s">
        <v>8880</v>
      </c>
      <c r="H95" s="20" t="s">
        <v>309</v>
      </c>
      <c r="I95" s="20">
        <v>344376</v>
      </c>
      <c r="J95" s="20" t="s">
        <v>344</v>
      </c>
      <c r="K95" s="20" t="s">
        <v>8898</v>
      </c>
      <c r="L95" s="20" t="s">
        <v>512</v>
      </c>
      <c r="M95" s="20" t="s">
        <v>512</v>
      </c>
      <c r="N95" s="20" t="s">
        <v>512</v>
      </c>
      <c r="O95" s="20" t="s">
        <v>512</v>
      </c>
      <c r="P95" s="20"/>
      <c r="Q95" s="1" t="s">
        <v>106</v>
      </c>
    </row>
    <row r="96" spans="1:17" x14ac:dyDescent="0.25">
      <c r="A96" s="1" t="s">
        <v>9107</v>
      </c>
      <c r="B96" s="95" t="s">
        <v>9048</v>
      </c>
      <c r="C96" s="1">
        <v>1</v>
      </c>
      <c r="D96" s="1" t="s">
        <v>106</v>
      </c>
      <c r="E96" s="21" t="s">
        <v>8806</v>
      </c>
      <c r="F96" s="20" t="s">
        <v>309</v>
      </c>
      <c r="G96" s="20" t="s">
        <v>8882</v>
      </c>
      <c r="H96" s="20" t="s">
        <v>309</v>
      </c>
      <c r="I96" s="20" t="s">
        <v>8973</v>
      </c>
      <c r="J96" s="20" t="s">
        <v>344</v>
      </c>
      <c r="K96" s="20" t="s">
        <v>8898</v>
      </c>
      <c r="L96" s="20" t="s">
        <v>512</v>
      </c>
      <c r="M96" s="20" t="s">
        <v>512</v>
      </c>
      <c r="N96" s="20" t="s">
        <v>512</v>
      </c>
      <c r="O96" s="20" t="s">
        <v>512</v>
      </c>
      <c r="P96" s="20"/>
      <c r="Q96" s="1" t="s">
        <v>106</v>
      </c>
    </row>
    <row r="97" spans="1:19" x14ac:dyDescent="0.25">
      <c r="A97" s="1" t="s">
        <v>9108</v>
      </c>
      <c r="B97" s="95" t="s">
        <v>9041</v>
      </c>
      <c r="C97" s="1">
        <v>1</v>
      </c>
      <c r="D97" s="1" t="s">
        <v>3744</v>
      </c>
      <c r="E97" s="21" t="s">
        <v>8785</v>
      </c>
      <c r="F97" s="20" t="s">
        <v>309</v>
      </c>
      <c r="G97" s="20" t="s">
        <v>8878</v>
      </c>
      <c r="H97" s="20" t="s">
        <v>8781</v>
      </c>
      <c r="I97" s="20" t="s">
        <v>8797</v>
      </c>
      <c r="J97" s="20" t="s">
        <v>512</v>
      </c>
      <c r="K97" s="20" t="s">
        <v>512</v>
      </c>
      <c r="L97" s="20" t="s">
        <v>512</v>
      </c>
      <c r="M97" s="20" t="s">
        <v>512</v>
      </c>
      <c r="N97" s="20" t="s">
        <v>512</v>
      </c>
      <c r="O97" s="20" t="s">
        <v>512</v>
      </c>
      <c r="P97" s="20"/>
      <c r="Q97" s="1" t="s">
        <v>3744</v>
      </c>
    </row>
    <row r="98" spans="1:19" x14ac:dyDescent="0.25">
      <c r="A98" s="1" t="s">
        <v>9109</v>
      </c>
      <c r="B98" s="95" t="s">
        <v>9030</v>
      </c>
      <c r="C98" s="1">
        <v>1</v>
      </c>
      <c r="D98" s="1" t="s">
        <v>3744</v>
      </c>
      <c r="E98" s="21" t="s">
        <v>8595</v>
      </c>
      <c r="F98" s="20" t="s">
        <v>8781</v>
      </c>
      <c r="G98" s="20" t="s">
        <v>8616</v>
      </c>
      <c r="H98" s="20" t="s">
        <v>309</v>
      </c>
      <c r="I98" s="20" t="s">
        <v>8878</v>
      </c>
      <c r="J98" s="20" t="s">
        <v>512</v>
      </c>
      <c r="K98" s="20" t="s">
        <v>512</v>
      </c>
      <c r="L98" s="20" t="s">
        <v>512</v>
      </c>
      <c r="M98" s="20" t="s">
        <v>512</v>
      </c>
      <c r="N98" s="20" t="s">
        <v>512</v>
      </c>
      <c r="O98" s="20" t="s">
        <v>512</v>
      </c>
      <c r="P98" s="20"/>
      <c r="Q98" s="1" t="s">
        <v>3744</v>
      </c>
    </row>
    <row r="99" spans="1:19" x14ac:dyDescent="0.25">
      <c r="A99" s="1" t="s">
        <v>9110</v>
      </c>
      <c r="B99" s="95" t="s">
        <v>9036</v>
      </c>
      <c r="C99" s="1">
        <v>1</v>
      </c>
      <c r="D99" s="1" t="s">
        <v>8856</v>
      </c>
      <c r="E99" s="21" t="s">
        <v>8855</v>
      </c>
      <c r="F99" s="20" t="s">
        <v>8753</v>
      </c>
      <c r="G99" s="20" t="s">
        <v>8757</v>
      </c>
      <c r="H99" s="20" t="s">
        <v>8753</v>
      </c>
      <c r="I99" s="20" t="s">
        <v>8759</v>
      </c>
      <c r="J99" s="20" t="s">
        <v>8753</v>
      </c>
      <c r="K99" s="20" t="s">
        <v>8761</v>
      </c>
      <c r="L99" s="20" t="s">
        <v>512</v>
      </c>
      <c r="M99" s="20" t="s">
        <v>512</v>
      </c>
      <c r="N99" s="20" t="s">
        <v>512</v>
      </c>
      <c r="O99" s="20" t="s">
        <v>512</v>
      </c>
      <c r="P99" s="20"/>
      <c r="Q99" s="1" t="s">
        <v>8856</v>
      </c>
    </row>
    <row r="100" spans="1:19" x14ac:dyDescent="0.25">
      <c r="A100" s="1" t="s">
        <v>9111</v>
      </c>
      <c r="B100" s="95" t="s">
        <v>9036</v>
      </c>
      <c r="C100" s="1">
        <v>1</v>
      </c>
      <c r="D100" s="1" t="s">
        <v>8856</v>
      </c>
      <c r="E100" s="21" t="s">
        <v>8855</v>
      </c>
      <c r="F100" s="20" t="s">
        <v>8753</v>
      </c>
      <c r="G100" s="20" t="s">
        <v>8757</v>
      </c>
      <c r="H100" s="20" t="s">
        <v>8753</v>
      </c>
      <c r="I100" s="20" t="s">
        <v>8759</v>
      </c>
      <c r="J100" s="20" t="s">
        <v>8753</v>
      </c>
      <c r="K100" s="20" t="s">
        <v>8761</v>
      </c>
      <c r="L100" s="20" t="s">
        <v>512</v>
      </c>
      <c r="M100" s="20" t="s">
        <v>512</v>
      </c>
      <c r="N100" s="20" t="s">
        <v>512</v>
      </c>
      <c r="O100" s="20" t="s">
        <v>512</v>
      </c>
      <c r="P100" s="20"/>
      <c r="Q100" s="1" t="s">
        <v>8856</v>
      </c>
    </row>
    <row r="101" spans="1:19" s="63" customFormat="1" x14ac:dyDescent="0.25">
      <c r="A101" s="1" t="s">
        <v>9112</v>
      </c>
      <c r="B101" s="95" t="s">
        <v>9039</v>
      </c>
      <c r="C101" s="1">
        <v>1</v>
      </c>
      <c r="D101" s="1" t="s">
        <v>3744</v>
      </c>
      <c r="E101" s="21" t="s">
        <v>8804</v>
      </c>
      <c r="F101" s="20" t="s">
        <v>8781</v>
      </c>
      <c r="G101" s="20" t="s">
        <v>8618</v>
      </c>
      <c r="H101" s="20" t="s">
        <v>309</v>
      </c>
      <c r="I101" s="20" t="s">
        <v>8878</v>
      </c>
      <c r="J101" s="20" t="s">
        <v>512</v>
      </c>
      <c r="K101" s="20" t="s">
        <v>512</v>
      </c>
      <c r="L101" s="20" t="s">
        <v>512</v>
      </c>
      <c r="M101" s="20" t="s">
        <v>512</v>
      </c>
      <c r="N101" s="20" t="s">
        <v>512</v>
      </c>
      <c r="O101" s="20" t="s">
        <v>512</v>
      </c>
      <c r="P101" s="20"/>
      <c r="Q101" s="1" t="s">
        <v>3744</v>
      </c>
      <c r="R101" s="1"/>
      <c r="S101" s="1"/>
    </row>
    <row r="102" spans="1:19" s="63" customFormat="1" x14ac:dyDescent="0.25">
      <c r="A102" s="1" t="s">
        <v>9113</v>
      </c>
      <c r="B102" s="95" t="s">
        <v>9036</v>
      </c>
      <c r="C102" s="1">
        <v>1</v>
      </c>
      <c r="D102" s="1" t="s">
        <v>8856</v>
      </c>
      <c r="E102" s="21" t="s">
        <v>8855</v>
      </c>
      <c r="F102" s="20" t="s">
        <v>512</v>
      </c>
      <c r="G102" s="20" t="s">
        <v>512</v>
      </c>
      <c r="H102" s="20" t="s">
        <v>512</v>
      </c>
      <c r="I102" s="20" t="s">
        <v>512</v>
      </c>
      <c r="J102" s="20" t="s">
        <v>512</v>
      </c>
      <c r="K102" s="20" t="s">
        <v>512</v>
      </c>
      <c r="L102" s="20" t="s">
        <v>512</v>
      </c>
      <c r="M102" s="20" t="s">
        <v>512</v>
      </c>
      <c r="N102" s="20" t="s">
        <v>512</v>
      </c>
      <c r="O102" s="20" t="s">
        <v>512</v>
      </c>
      <c r="P102" s="20"/>
      <c r="Q102" s="1" t="s">
        <v>8856</v>
      </c>
      <c r="R102" s="1"/>
      <c r="S102" s="1"/>
    </row>
    <row r="103" spans="1:19" x14ac:dyDescent="0.25">
      <c r="A103" s="1" t="s">
        <v>9114</v>
      </c>
      <c r="B103" s="95" t="s">
        <v>9036</v>
      </c>
      <c r="C103" s="1">
        <v>1</v>
      </c>
      <c r="D103" s="1" t="s">
        <v>8856</v>
      </c>
      <c r="E103" s="21" t="s">
        <v>8855</v>
      </c>
      <c r="F103" s="20" t="s">
        <v>8753</v>
      </c>
      <c r="G103" s="20" t="s">
        <v>8757</v>
      </c>
      <c r="H103" s="20" t="s">
        <v>8753</v>
      </c>
      <c r="I103" s="20" t="s">
        <v>8759</v>
      </c>
      <c r="J103" s="20" t="s">
        <v>8753</v>
      </c>
      <c r="K103" s="20" t="s">
        <v>8761</v>
      </c>
      <c r="L103" s="20" t="s">
        <v>512</v>
      </c>
      <c r="M103" s="20" t="s">
        <v>512</v>
      </c>
      <c r="N103" s="20" t="s">
        <v>512</v>
      </c>
      <c r="O103" s="20" t="s">
        <v>512</v>
      </c>
      <c r="P103" s="20"/>
      <c r="Q103" s="1" t="s">
        <v>8856</v>
      </c>
    </row>
    <row r="104" spans="1:19" x14ac:dyDescent="0.25">
      <c r="A104" s="1" t="s">
        <v>9115</v>
      </c>
      <c r="B104" s="95" t="s">
        <v>9041</v>
      </c>
      <c r="C104" s="1">
        <v>1</v>
      </c>
      <c r="D104" s="1" t="s">
        <v>3744</v>
      </c>
      <c r="E104" s="21" t="s">
        <v>8785</v>
      </c>
      <c r="F104" s="20" t="s">
        <v>309</v>
      </c>
      <c r="G104" s="20" t="s">
        <v>8878</v>
      </c>
      <c r="H104" s="20" t="s">
        <v>8781</v>
      </c>
      <c r="I104" s="20" t="s">
        <v>8797</v>
      </c>
      <c r="J104" s="20" t="s">
        <v>512</v>
      </c>
      <c r="K104" s="20" t="s">
        <v>512</v>
      </c>
      <c r="L104" s="20" t="s">
        <v>512</v>
      </c>
      <c r="M104" s="20" t="s">
        <v>512</v>
      </c>
      <c r="N104" s="20" t="s">
        <v>512</v>
      </c>
      <c r="O104" s="20" t="s">
        <v>512</v>
      </c>
      <c r="P104" s="20"/>
      <c r="Q104" s="1" t="s">
        <v>3744</v>
      </c>
    </row>
    <row r="105" spans="1:19" x14ac:dyDescent="0.25">
      <c r="A105" s="1" t="s">
        <v>9116</v>
      </c>
      <c r="B105" s="95" t="s">
        <v>9044</v>
      </c>
      <c r="C105" s="1">
        <v>1</v>
      </c>
      <c r="D105" s="1" t="s">
        <v>3744</v>
      </c>
      <c r="E105" s="21" t="s">
        <v>8780</v>
      </c>
      <c r="F105" s="20" t="s">
        <v>8781</v>
      </c>
      <c r="G105" s="20" t="s">
        <v>8657</v>
      </c>
      <c r="H105" s="20" t="s">
        <v>309</v>
      </c>
      <c r="I105" s="20" t="s">
        <v>8835</v>
      </c>
      <c r="J105" s="20" t="s">
        <v>309</v>
      </c>
      <c r="K105" s="20" t="s">
        <v>8884</v>
      </c>
      <c r="L105" s="20" t="s">
        <v>3744</v>
      </c>
      <c r="M105" s="20" t="s">
        <v>8677</v>
      </c>
      <c r="N105" s="20" t="s">
        <v>3744</v>
      </c>
      <c r="O105" s="20" t="s">
        <v>8783</v>
      </c>
      <c r="P105" s="20"/>
      <c r="Q105" s="1" t="s">
        <v>3744</v>
      </c>
    </row>
    <row r="106" spans="1:19" x14ac:dyDescent="0.25">
      <c r="A106" s="1" t="s">
        <v>9117</v>
      </c>
      <c r="B106" s="95" t="s">
        <v>9046</v>
      </c>
      <c r="C106" s="1">
        <v>1</v>
      </c>
      <c r="D106" s="1" t="s">
        <v>106</v>
      </c>
      <c r="E106" s="21" t="s">
        <v>8810</v>
      </c>
      <c r="F106" s="20" t="s">
        <v>309</v>
      </c>
      <c r="G106" s="20" t="s">
        <v>8880</v>
      </c>
      <c r="H106" s="20" t="s">
        <v>309</v>
      </c>
      <c r="I106" s="20">
        <v>344376</v>
      </c>
      <c r="J106" s="20" t="s">
        <v>344</v>
      </c>
      <c r="K106" s="20" t="s">
        <v>8898</v>
      </c>
      <c r="L106" s="20" t="s">
        <v>512</v>
      </c>
      <c r="M106" s="20" t="s">
        <v>512</v>
      </c>
      <c r="N106" s="20" t="s">
        <v>512</v>
      </c>
      <c r="O106" s="20" t="s">
        <v>512</v>
      </c>
      <c r="P106" s="20"/>
      <c r="Q106" s="1" t="s">
        <v>106</v>
      </c>
    </row>
    <row r="107" spans="1:19" x14ac:dyDescent="0.25">
      <c r="A107" s="1" t="s">
        <v>9118</v>
      </c>
      <c r="B107" s="95" t="s">
        <v>9048</v>
      </c>
      <c r="C107" s="1">
        <v>1</v>
      </c>
      <c r="D107" s="1" t="s">
        <v>106</v>
      </c>
      <c r="E107" s="21" t="s">
        <v>8806</v>
      </c>
      <c r="F107" s="20" t="s">
        <v>309</v>
      </c>
      <c r="G107" s="20" t="s">
        <v>8882</v>
      </c>
      <c r="H107" s="20" t="s">
        <v>309</v>
      </c>
      <c r="I107" s="20" t="s">
        <v>8973</v>
      </c>
      <c r="J107" s="20" t="s">
        <v>344</v>
      </c>
      <c r="K107" s="20" t="s">
        <v>8898</v>
      </c>
      <c r="L107" s="20" t="s">
        <v>512</v>
      </c>
      <c r="M107" s="20" t="s">
        <v>512</v>
      </c>
      <c r="N107" s="20" t="s">
        <v>512</v>
      </c>
      <c r="O107" s="20" t="s">
        <v>512</v>
      </c>
      <c r="P107" s="20"/>
      <c r="Q107" s="1" t="s">
        <v>106</v>
      </c>
    </row>
    <row r="108" spans="1:19" x14ac:dyDescent="0.25">
      <c r="A108" s="1" t="s">
        <v>9119</v>
      </c>
      <c r="B108" s="95" t="s">
        <v>9030</v>
      </c>
      <c r="C108" s="1">
        <v>1</v>
      </c>
      <c r="D108" s="1" t="s">
        <v>3744</v>
      </c>
      <c r="E108" s="21" t="s">
        <v>8595</v>
      </c>
      <c r="F108" s="20" t="s">
        <v>8781</v>
      </c>
      <c r="G108" s="20" t="s">
        <v>8616</v>
      </c>
      <c r="H108" s="20" t="s">
        <v>309</v>
      </c>
      <c r="I108" s="20" t="s">
        <v>8878</v>
      </c>
      <c r="J108" s="20" t="s">
        <v>512</v>
      </c>
      <c r="K108" s="20" t="s">
        <v>512</v>
      </c>
      <c r="L108" s="20" t="s">
        <v>512</v>
      </c>
      <c r="M108" s="20" t="s">
        <v>512</v>
      </c>
      <c r="N108" s="20" t="s">
        <v>512</v>
      </c>
      <c r="O108" s="20" t="s">
        <v>512</v>
      </c>
      <c r="P108" s="20"/>
      <c r="Q108" s="1" t="s">
        <v>3744</v>
      </c>
    </row>
    <row r="109" spans="1:19" x14ac:dyDescent="0.25">
      <c r="A109" s="1" t="s">
        <v>9119</v>
      </c>
      <c r="B109" s="95" t="s">
        <v>9030</v>
      </c>
      <c r="C109" s="1">
        <v>1</v>
      </c>
      <c r="D109" s="1" t="s">
        <v>3744</v>
      </c>
      <c r="E109" s="21" t="s">
        <v>8595</v>
      </c>
      <c r="F109" s="20" t="s">
        <v>8781</v>
      </c>
      <c r="G109" s="20" t="s">
        <v>8616</v>
      </c>
      <c r="H109" s="20" t="s">
        <v>309</v>
      </c>
      <c r="I109" s="20" t="s">
        <v>8878</v>
      </c>
      <c r="J109" s="20" t="s">
        <v>512</v>
      </c>
      <c r="K109" s="20" t="s">
        <v>512</v>
      </c>
      <c r="L109" s="20" t="s">
        <v>512</v>
      </c>
      <c r="M109" s="20" t="s">
        <v>512</v>
      </c>
      <c r="N109" s="20" t="s">
        <v>512</v>
      </c>
      <c r="O109" s="20" t="s">
        <v>512</v>
      </c>
      <c r="P109" s="20"/>
      <c r="Q109" s="1" t="s">
        <v>3744</v>
      </c>
    </row>
    <row r="110" spans="1:19" x14ac:dyDescent="0.25">
      <c r="A110" s="1" t="s">
        <v>9120</v>
      </c>
      <c r="B110" s="95" t="s">
        <v>9039</v>
      </c>
      <c r="C110" s="1">
        <v>1</v>
      </c>
      <c r="D110" s="1" t="s">
        <v>3744</v>
      </c>
      <c r="E110" s="21" t="s">
        <v>8804</v>
      </c>
      <c r="F110" s="20" t="s">
        <v>8781</v>
      </c>
      <c r="G110" s="20" t="s">
        <v>8616</v>
      </c>
      <c r="H110" s="20" t="s">
        <v>309</v>
      </c>
      <c r="I110" s="20" t="s">
        <v>8878</v>
      </c>
      <c r="J110" s="20" t="s">
        <v>512</v>
      </c>
      <c r="K110" s="20" t="s">
        <v>512</v>
      </c>
      <c r="L110" s="20" t="s">
        <v>512</v>
      </c>
      <c r="M110" s="20" t="s">
        <v>512</v>
      </c>
      <c r="N110" s="20" t="s">
        <v>512</v>
      </c>
      <c r="O110" s="20" t="s">
        <v>512</v>
      </c>
      <c r="P110" s="20"/>
      <c r="Q110" s="1" t="s">
        <v>3744</v>
      </c>
    </row>
    <row r="111" spans="1:19" x14ac:dyDescent="0.25">
      <c r="A111" s="1" t="s">
        <v>9120</v>
      </c>
      <c r="B111" s="95" t="s">
        <v>9039</v>
      </c>
      <c r="C111" s="1">
        <v>1</v>
      </c>
      <c r="D111" s="1" t="s">
        <v>3744</v>
      </c>
      <c r="E111" s="21" t="s">
        <v>8804</v>
      </c>
      <c r="F111" s="20" t="s">
        <v>8781</v>
      </c>
      <c r="G111" s="20" t="s">
        <v>8616</v>
      </c>
      <c r="H111" s="20" t="s">
        <v>309</v>
      </c>
      <c r="I111" s="20" t="s">
        <v>8878</v>
      </c>
      <c r="J111" s="20" t="s">
        <v>512</v>
      </c>
      <c r="K111" s="20" t="s">
        <v>512</v>
      </c>
      <c r="L111" s="20" t="s">
        <v>512</v>
      </c>
      <c r="M111" s="20" t="s">
        <v>512</v>
      </c>
      <c r="N111" s="20" t="s">
        <v>512</v>
      </c>
      <c r="O111" s="20" t="s">
        <v>512</v>
      </c>
      <c r="P111" s="20"/>
      <c r="Q111" s="1" t="s">
        <v>3744</v>
      </c>
    </row>
    <row r="112" spans="1:19" x14ac:dyDescent="0.25">
      <c r="A112" s="1" t="s">
        <v>9121</v>
      </c>
      <c r="B112" s="95" t="s">
        <v>9036</v>
      </c>
      <c r="C112" s="1">
        <v>1</v>
      </c>
      <c r="D112" s="1" t="s">
        <v>8856</v>
      </c>
      <c r="E112" s="21" t="s">
        <v>8855</v>
      </c>
      <c r="F112" s="20" t="s">
        <v>8753</v>
      </c>
      <c r="G112" s="20" t="s">
        <v>8757</v>
      </c>
      <c r="H112" s="20" t="s">
        <v>8753</v>
      </c>
      <c r="I112" s="20" t="s">
        <v>8759</v>
      </c>
      <c r="J112" s="20" t="s">
        <v>8753</v>
      </c>
      <c r="K112" s="20" t="s">
        <v>8761</v>
      </c>
      <c r="L112" s="20" t="s">
        <v>512</v>
      </c>
      <c r="M112" s="20" t="s">
        <v>512</v>
      </c>
      <c r="N112" s="20" t="s">
        <v>512</v>
      </c>
      <c r="O112" s="20" t="s">
        <v>512</v>
      </c>
      <c r="P112" s="20"/>
      <c r="Q112" s="1" t="s">
        <v>8856</v>
      </c>
    </row>
    <row r="113" spans="1:17" x14ac:dyDescent="0.25">
      <c r="A113" s="1" t="s">
        <v>9122</v>
      </c>
      <c r="B113" s="95" t="s">
        <v>9036</v>
      </c>
      <c r="C113" s="1">
        <v>1</v>
      </c>
      <c r="D113" s="1" t="s">
        <v>8856</v>
      </c>
      <c r="E113" s="21" t="s">
        <v>8855</v>
      </c>
      <c r="F113" s="20" t="s">
        <v>8753</v>
      </c>
      <c r="G113" s="20" t="s">
        <v>8757</v>
      </c>
      <c r="H113" s="20" t="s">
        <v>8753</v>
      </c>
      <c r="I113" s="20" t="s">
        <v>8759</v>
      </c>
      <c r="J113" s="20" t="s">
        <v>8753</v>
      </c>
      <c r="K113" s="20" t="s">
        <v>8761</v>
      </c>
      <c r="L113" s="20" t="s">
        <v>512</v>
      </c>
      <c r="M113" s="20" t="s">
        <v>512</v>
      </c>
      <c r="N113" s="20" t="s">
        <v>512</v>
      </c>
      <c r="O113" s="20" t="s">
        <v>512</v>
      </c>
      <c r="P113" s="20"/>
      <c r="Q113" s="1" t="s">
        <v>8856</v>
      </c>
    </row>
    <row r="114" spans="1:17" x14ac:dyDescent="0.25">
      <c r="A114" s="1" t="s">
        <v>9123</v>
      </c>
      <c r="B114" s="95" t="s">
        <v>9036</v>
      </c>
      <c r="C114" s="1">
        <v>1</v>
      </c>
      <c r="D114" s="1" t="s">
        <v>8856</v>
      </c>
      <c r="E114" s="21" t="s">
        <v>8855</v>
      </c>
      <c r="F114" s="20" t="s">
        <v>8753</v>
      </c>
      <c r="G114" s="20" t="s">
        <v>8757</v>
      </c>
      <c r="H114" s="20" t="s">
        <v>8753</v>
      </c>
      <c r="I114" s="20" t="s">
        <v>8759</v>
      </c>
      <c r="J114" s="20" t="s">
        <v>8753</v>
      </c>
      <c r="K114" s="20" t="s">
        <v>8761</v>
      </c>
      <c r="L114" s="20" t="s">
        <v>512</v>
      </c>
      <c r="M114" s="20" t="s">
        <v>512</v>
      </c>
      <c r="N114" s="20" t="s">
        <v>512</v>
      </c>
      <c r="O114" s="20" t="s">
        <v>512</v>
      </c>
      <c r="P114" s="20"/>
      <c r="Q114" s="1" t="s">
        <v>8856</v>
      </c>
    </row>
    <row r="115" spans="1:17" x14ac:dyDescent="0.25">
      <c r="A115" s="1" t="s">
        <v>9124</v>
      </c>
      <c r="B115" s="95" t="s">
        <v>9036</v>
      </c>
      <c r="C115" s="1">
        <v>1</v>
      </c>
      <c r="D115" s="1" t="s">
        <v>8856</v>
      </c>
      <c r="E115" s="21" t="s">
        <v>8855</v>
      </c>
      <c r="F115" s="20" t="s">
        <v>8753</v>
      </c>
      <c r="G115" s="20" t="s">
        <v>8757</v>
      </c>
      <c r="H115" s="20" t="s">
        <v>8753</v>
      </c>
      <c r="I115" s="20" t="s">
        <v>8759</v>
      </c>
      <c r="J115" s="20" t="s">
        <v>8753</v>
      </c>
      <c r="K115" s="20" t="s">
        <v>8761</v>
      </c>
      <c r="L115" s="20" t="s">
        <v>512</v>
      </c>
      <c r="M115" s="20" t="s">
        <v>512</v>
      </c>
      <c r="N115" s="20" t="s">
        <v>512</v>
      </c>
      <c r="O115" s="20" t="s">
        <v>512</v>
      </c>
      <c r="P115" s="20"/>
      <c r="Q115" s="1" t="s">
        <v>8856</v>
      </c>
    </row>
    <row r="116" spans="1:17" x14ac:dyDescent="0.25">
      <c r="A116" s="1" t="s">
        <v>9125</v>
      </c>
      <c r="B116" s="95" t="s">
        <v>9044</v>
      </c>
      <c r="C116" s="1">
        <v>1</v>
      </c>
      <c r="D116" s="1" t="s">
        <v>3744</v>
      </c>
      <c r="E116" s="21" t="s">
        <v>8780</v>
      </c>
      <c r="F116" s="20" t="s">
        <v>8781</v>
      </c>
      <c r="G116" s="20" t="s">
        <v>8657</v>
      </c>
      <c r="H116" s="20" t="s">
        <v>309</v>
      </c>
      <c r="I116" s="20" t="s">
        <v>8835</v>
      </c>
      <c r="J116" s="20" t="s">
        <v>309</v>
      </c>
      <c r="K116" s="20" t="s">
        <v>8884</v>
      </c>
      <c r="L116" s="20" t="s">
        <v>3744</v>
      </c>
      <c r="M116" s="20" t="s">
        <v>8677</v>
      </c>
      <c r="N116" s="20" t="s">
        <v>3744</v>
      </c>
      <c r="O116" s="20" t="s">
        <v>8783</v>
      </c>
      <c r="P116" s="20"/>
      <c r="Q116" s="1" t="s">
        <v>3744</v>
      </c>
    </row>
    <row r="117" spans="1:17" x14ac:dyDescent="0.25">
      <c r="A117" s="1" t="s">
        <v>9126</v>
      </c>
      <c r="B117" s="95" t="s">
        <v>9044</v>
      </c>
      <c r="C117" s="1">
        <v>1</v>
      </c>
      <c r="D117" s="1" t="s">
        <v>3744</v>
      </c>
      <c r="E117" s="21" t="s">
        <v>8780</v>
      </c>
      <c r="F117" s="20" t="s">
        <v>8781</v>
      </c>
      <c r="G117" s="20" t="s">
        <v>8657</v>
      </c>
      <c r="H117" s="20" t="s">
        <v>309</v>
      </c>
      <c r="I117" s="20" t="s">
        <v>8835</v>
      </c>
      <c r="J117" s="20" t="s">
        <v>309</v>
      </c>
      <c r="K117" s="20" t="s">
        <v>8884</v>
      </c>
      <c r="L117" s="20" t="s">
        <v>3744</v>
      </c>
      <c r="M117" s="20" t="s">
        <v>8677</v>
      </c>
      <c r="N117" s="20" t="s">
        <v>3744</v>
      </c>
      <c r="O117" s="20" t="s">
        <v>8783</v>
      </c>
      <c r="P117" s="20"/>
      <c r="Q117" s="1" t="s">
        <v>3744</v>
      </c>
    </row>
    <row r="118" spans="1:17" x14ac:dyDescent="0.25">
      <c r="A118" s="1" t="s">
        <v>9127</v>
      </c>
      <c r="B118" s="95" t="s">
        <v>9046</v>
      </c>
      <c r="C118" s="1">
        <v>1</v>
      </c>
      <c r="D118" s="1" t="s">
        <v>106</v>
      </c>
      <c r="E118" s="21" t="s">
        <v>8810</v>
      </c>
      <c r="F118" s="20" t="s">
        <v>309</v>
      </c>
      <c r="G118" s="20" t="s">
        <v>8880</v>
      </c>
      <c r="H118" s="20" t="s">
        <v>309</v>
      </c>
      <c r="I118" s="20">
        <v>344376</v>
      </c>
      <c r="J118" s="20" t="s">
        <v>344</v>
      </c>
      <c r="K118" s="20" t="s">
        <v>8898</v>
      </c>
      <c r="L118" s="20" t="s">
        <v>512</v>
      </c>
      <c r="M118" s="20" t="s">
        <v>512</v>
      </c>
      <c r="N118" s="20" t="s">
        <v>512</v>
      </c>
      <c r="O118" s="20" t="s">
        <v>512</v>
      </c>
      <c r="P118" s="20"/>
      <c r="Q118" s="1" t="s">
        <v>106</v>
      </c>
    </row>
    <row r="119" spans="1:17" x14ac:dyDescent="0.25">
      <c r="A119" s="1" t="s">
        <v>9128</v>
      </c>
      <c r="B119" s="95" t="s">
        <v>9048</v>
      </c>
      <c r="C119" s="1">
        <v>1</v>
      </c>
      <c r="D119" s="1" t="s">
        <v>106</v>
      </c>
      <c r="E119" s="21" t="s">
        <v>8806</v>
      </c>
      <c r="F119" s="20" t="s">
        <v>309</v>
      </c>
      <c r="G119" s="20" t="s">
        <v>8882</v>
      </c>
      <c r="H119" s="20" t="s">
        <v>309</v>
      </c>
      <c r="I119" s="20" t="s">
        <v>8973</v>
      </c>
      <c r="J119" s="20" t="s">
        <v>344</v>
      </c>
      <c r="K119" s="20" t="s">
        <v>8898</v>
      </c>
      <c r="L119" s="20" t="s">
        <v>512</v>
      </c>
      <c r="M119" s="20" t="s">
        <v>512</v>
      </c>
      <c r="N119" s="20" t="s">
        <v>512</v>
      </c>
      <c r="O119" s="20" t="s">
        <v>512</v>
      </c>
      <c r="P119" s="20"/>
      <c r="Q119" s="1" t="s">
        <v>106</v>
      </c>
    </row>
    <row r="120" spans="1:17" x14ac:dyDescent="0.25">
      <c r="A120" s="1" t="s">
        <v>9129</v>
      </c>
      <c r="B120" s="95" t="s">
        <v>9030</v>
      </c>
      <c r="C120" s="1">
        <v>1</v>
      </c>
      <c r="D120" s="1" t="s">
        <v>3744</v>
      </c>
      <c r="E120" s="21" t="s">
        <v>8595</v>
      </c>
      <c r="F120" s="20" t="s">
        <v>8781</v>
      </c>
      <c r="G120" s="20" t="s">
        <v>8618</v>
      </c>
      <c r="H120" s="20" t="s">
        <v>309</v>
      </c>
      <c r="I120" s="20" t="s">
        <v>8878</v>
      </c>
      <c r="J120" s="20" t="s">
        <v>512</v>
      </c>
      <c r="K120" s="20" t="s">
        <v>512</v>
      </c>
      <c r="L120" s="20" t="s">
        <v>512</v>
      </c>
      <c r="M120" s="20" t="s">
        <v>512</v>
      </c>
      <c r="N120" s="20" t="s">
        <v>512</v>
      </c>
      <c r="O120" s="20" t="s">
        <v>512</v>
      </c>
      <c r="P120" s="20"/>
      <c r="Q120" s="1" t="s">
        <v>3744</v>
      </c>
    </row>
    <row r="121" spans="1:17" x14ac:dyDescent="0.25">
      <c r="A121" s="1" t="s">
        <v>9130</v>
      </c>
      <c r="B121" s="95" t="s">
        <v>9030</v>
      </c>
      <c r="C121" s="1">
        <v>1</v>
      </c>
      <c r="D121" s="1" t="s">
        <v>3744</v>
      </c>
      <c r="E121" s="21" t="s">
        <v>8595</v>
      </c>
      <c r="F121" s="20" t="s">
        <v>8781</v>
      </c>
      <c r="G121" s="20" t="s">
        <v>8618</v>
      </c>
      <c r="H121" s="20" t="s">
        <v>309</v>
      </c>
      <c r="I121" s="20" t="s">
        <v>8878</v>
      </c>
      <c r="J121" s="20" t="s">
        <v>512</v>
      </c>
      <c r="K121" s="20" t="s">
        <v>512</v>
      </c>
      <c r="L121" s="20" t="s">
        <v>512</v>
      </c>
      <c r="M121" s="20" t="s">
        <v>512</v>
      </c>
      <c r="N121" s="20" t="s">
        <v>512</v>
      </c>
      <c r="O121" s="20" t="s">
        <v>512</v>
      </c>
      <c r="P121" s="20"/>
      <c r="Q121" s="1" t="s">
        <v>3744</v>
      </c>
    </row>
    <row r="122" spans="1:17" x14ac:dyDescent="0.25">
      <c r="A122" s="1" t="s">
        <v>9131</v>
      </c>
      <c r="B122" s="95" t="s">
        <v>9036</v>
      </c>
      <c r="C122" s="1">
        <v>1</v>
      </c>
      <c r="D122" s="1" t="s">
        <v>8856</v>
      </c>
      <c r="E122" s="21" t="s">
        <v>8855</v>
      </c>
      <c r="F122" s="20" t="s">
        <v>8753</v>
      </c>
      <c r="G122" s="20" t="s">
        <v>8757</v>
      </c>
      <c r="H122" s="20" t="s">
        <v>8753</v>
      </c>
      <c r="I122" s="20" t="s">
        <v>8759</v>
      </c>
      <c r="J122" s="20" t="s">
        <v>8753</v>
      </c>
      <c r="K122" s="20" t="s">
        <v>8761</v>
      </c>
      <c r="L122" s="20" t="s">
        <v>512</v>
      </c>
      <c r="M122" s="20" t="s">
        <v>512</v>
      </c>
      <c r="N122" s="20" t="s">
        <v>512</v>
      </c>
      <c r="O122" s="20" t="s">
        <v>512</v>
      </c>
      <c r="P122" s="20"/>
      <c r="Q122" s="1" t="s">
        <v>8856</v>
      </c>
    </row>
    <row r="123" spans="1:17" x14ac:dyDescent="0.25">
      <c r="A123" s="1" t="s">
        <v>9132</v>
      </c>
      <c r="B123" s="95" t="s">
        <v>9030</v>
      </c>
      <c r="C123" s="1">
        <v>1</v>
      </c>
      <c r="D123" s="1" t="s">
        <v>3744</v>
      </c>
      <c r="E123" s="21" t="s">
        <v>8595</v>
      </c>
      <c r="F123" s="20" t="s">
        <v>8781</v>
      </c>
      <c r="G123" s="20" t="s">
        <v>8618</v>
      </c>
      <c r="H123" s="20" t="s">
        <v>309</v>
      </c>
      <c r="I123" s="20" t="s">
        <v>8878</v>
      </c>
      <c r="J123" s="20" t="s">
        <v>512</v>
      </c>
      <c r="K123" s="20" t="s">
        <v>512</v>
      </c>
      <c r="L123" s="20" t="s">
        <v>512</v>
      </c>
      <c r="M123" s="20" t="s">
        <v>512</v>
      </c>
      <c r="N123" s="20" t="s">
        <v>512</v>
      </c>
      <c r="O123" s="20" t="s">
        <v>512</v>
      </c>
      <c r="P123" s="20"/>
      <c r="Q123" s="1" t="s">
        <v>3744</v>
      </c>
    </row>
    <row r="124" spans="1:17" x14ac:dyDescent="0.25">
      <c r="A124" s="1" t="s">
        <v>9133</v>
      </c>
      <c r="B124" s="95" t="s">
        <v>9036</v>
      </c>
      <c r="C124" s="1">
        <v>1</v>
      </c>
      <c r="D124" s="1" t="s">
        <v>8856</v>
      </c>
      <c r="E124" s="21" t="s">
        <v>8855</v>
      </c>
      <c r="F124" s="20" t="s">
        <v>8753</v>
      </c>
      <c r="G124" s="20" t="s">
        <v>8757</v>
      </c>
      <c r="H124" s="20" t="s">
        <v>8753</v>
      </c>
      <c r="I124" s="20" t="s">
        <v>8759</v>
      </c>
      <c r="J124" s="20" t="s">
        <v>8753</v>
      </c>
      <c r="K124" s="20" t="s">
        <v>8761</v>
      </c>
      <c r="L124" s="20" t="s">
        <v>512</v>
      </c>
      <c r="M124" s="20" t="s">
        <v>512</v>
      </c>
      <c r="N124" s="20" t="s">
        <v>512</v>
      </c>
      <c r="O124" s="20" t="s">
        <v>512</v>
      </c>
      <c r="P124" s="20"/>
      <c r="Q124" s="1" t="s">
        <v>8856</v>
      </c>
    </row>
    <row r="125" spans="1:17" x14ac:dyDescent="0.25">
      <c r="A125" s="1" t="s">
        <v>9134</v>
      </c>
      <c r="B125" s="95" t="s">
        <v>9059</v>
      </c>
      <c r="C125" s="1">
        <v>1</v>
      </c>
      <c r="D125" s="1" t="s">
        <v>309</v>
      </c>
      <c r="E125" s="21" t="s">
        <v>8828</v>
      </c>
      <c r="F125" s="20" t="s">
        <v>309</v>
      </c>
      <c r="G125" s="20" t="s">
        <v>8971</v>
      </c>
      <c r="H125" s="20" t="s">
        <v>309</v>
      </c>
      <c r="I125" s="20" t="s">
        <v>8886</v>
      </c>
      <c r="J125" s="20" t="s">
        <v>344</v>
      </c>
      <c r="K125" s="20" t="s">
        <v>8898</v>
      </c>
      <c r="L125" s="20" t="s">
        <v>512</v>
      </c>
      <c r="M125" s="20" t="s">
        <v>512</v>
      </c>
      <c r="N125" s="20" t="s">
        <v>512</v>
      </c>
      <c r="O125" s="20" t="s">
        <v>512</v>
      </c>
      <c r="P125" s="20"/>
      <c r="Q125" s="1" t="s">
        <v>309</v>
      </c>
    </row>
    <row r="126" spans="1:17" x14ac:dyDescent="0.25">
      <c r="A126" s="1" t="s">
        <v>9135</v>
      </c>
      <c r="B126" s="95" t="s">
        <v>9059</v>
      </c>
      <c r="C126" s="1">
        <v>1</v>
      </c>
      <c r="D126" s="1" t="s">
        <v>309</v>
      </c>
      <c r="E126" s="21" t="s">
        <v>8828</v>
      </c>
      <c r="F126" s="20" t="s">
        <v>309</v>
      </c>
      <c r="G126" s="20" t="s">
        <v>8971</v>
      </c>
      <c r="H126" s="20" t="s">
        <v>309</v>
      </c>
      <c r="I126" s="20" t="s">
        <v>8886</v>
      </c>
      <c r="J126" s="20" t="s">
        <v>344</v>
      </c>
      <c r="K126" s="20" t="s">
        <v>8898</v>
      </c>
      <c r="L126" s="20" t="s">
        <v>512</v>
      </c>
      <c r="M126" s="20" t="s">
        <v>512</v>
      </c>
      <c r="N126" s="20" t="s">
        <v>512</v>
      </c>
      <c r="O126" s="20" t="s">
        <v>512</v>
      </c>
      <c r="P126" s="20"/>
      <c r="Q126" s="63" t="s">
        <v>309</v>
      </c>
    </row>
    <row r="127" spans="1:17" x14ac:dyDescent="0.25">
      <c r="A127" s="1" t="s">
        <v>9136</v>
      </c>
      <c r="B127" s="95" t="s">
        <v>9036</v>
      </c>
      <c r="C127" s="1">
        <v>1</v>
      </c>
      <c r="D127" s="1" t="s">
        <v>8856</v>
      </c>
      <c r="E127" s="21" t="s">
        <v>8855</v>
      </c>
      <c r="F127" s="20" t="s">
        <v>8753</v>
      </c>
      <c r="G127" s="20" t="s">
        <v>8757</v>
      </c>
      <c r="H127" s="20" t="s">
        <v>8753</v>
      </c>
      <c r="I127" s="20" t="s">
        <v>8759</v>
      </c>
      <c r="J127" s="20" t="s">
        <v>8753</v>
      </c>
      <c r="K127" s="20" t="s">
        <v>8761</v>
      </c>
      <c r="L127" s="20" t="s">
        <v>512</v>
      </c>
      <c r="M127" s="20" t="s">
        <v>512</v>
      </c>
      <c r="N127" s="20" t="s">
        <v>512</v>
      </c>
      <c r="O127" s="20" t="s">
        <v>512</v>
      </c>
      <c r="P127" s="20"/>
      <c r="Q127" s="63" t="s">
        <v>8856</v>
      </c>
    </row>
    <row r="128" spans="1:17" x14ac:dyDescent="0.25">
      <c r="A128" s="1" t="s">
        <v>9137</v>
      </c>
      <c r="B128" s="95" t="s">
        <v>9041</v>
      </c>
      <c r="C128" s="1">
        <v>1</v>
      </c>
      <c r="D128" s="1" t="s">
        <v>3744</v>
      </c>
      <c r="E128" s="21" t="s">
        <v>8785</v>
      </c>
      <c r="F128" s="20" t="s">
        <v>309</v>
      </c>
      <c r="G128" s="20" t="s">
        <v>8878</v>
      </c>
      <c r="H128" s="20" t="s">
        <v>8781</v>
      </c>
      <c r="I128" s="20" t="s">
        <v>8797</v>
      </c>
      <c r="J128" s="20" t="s">
        <v>512</v>
      </c>
      <c r="K128" s="20" t="s">
        <v>512</v>
      </c>
      <c r="L128" s="20" t="s">
        <v>512</v>
      </c>
      <c r="M128" s="20" t="s">
        <v>512</v>
      </c>
      <c r="N128" s="20" t="s">
        <v>512</v>
      </c>
      <c r="O128" s="20" t="s">
        <v>512</v>
      </c>
      <c r="P128" s="20"/>
      <c r="Q128" s="1" t="s">
        <v>3744</v>
      </c>
    </row>
    <row r="129" spans="1:17" x14ac:dyDescent="0.25">
      <c r="A129" s="1" t="s">
        <v>9138</v>
      </c>
      <c r="B129" s="95" t="s">
        <v>9139</v>
      </c>
      <c r="C129" s="1">
        <v>1</v>
      </c>
      <c r="D129" s="1" t="s">
        <v>3744</v>
      </c>
      <c r="E129" s="21" t="s">
        <v>8787</v>
      </c>
      <c r="F129" s="20" t="s">
        <v>309</v>
      </c>
      <c r="G129" s="20" t="s">
        <v>8878</v>
      </c>
      <c r="H129" s="20" t="s">
        <v>8781</v>
      </c>
      <c r="I129" s="20" t="s">
        <v>8797</v>
      </c>
      <c r="J129" s="20" t="s">
        <v>512</v>
      </c>
      <c r="K129" s="20" t="s">
        <v>512</v>
      </c>
      <c r="L129" s="20" t="s">
        <v>512</v>
      </c>
      <c r="M129" s="20" t="s">
        <v>512</v>
      </c>
      <c r="N129" s="20" t="s">
        <v>512</v>
      </c>
      <c r="O129" s="20" t="s">
        <v>512</v>
      </c>
      <c r="P129" s="20"/>
      <c r="Q129" s="1" t="s">
        <v>3744</v>
      </c>
    </row>
    <row r="130" spans="1:17" x14ac:dyDescent="0.25">
      <c r="A130" s="1" t="s">
        <v>9140</v>
      </c>
      <c r="B130" s="95" t="s">
        <v>9030</v>
      </c>
      <c r="C130" s="1">
        <v>1</v>
      </c>
      <c r="D130" s="1" t="s">
        <v>3744</v>
      </c>
      <c r="E130" s="21" t="s">
        <v>8595</v>
      </c>
      <c r="F130" s="20" t="s">
        <v>8781</v>
      </c>
      <c r="G130" s="20" t="s">
        <v>8618</v>
      </c>
      <c r="H130" s="20" t="s">
        <v>309</v>
      </c>
      <c r="I130" s="20" t="s">
        <v>8878</v>
      </c>
      <c r="J130" s="20" t="s">
        <v>512</v>
      </c>
      <c r="K130" s="20" t="s">
        <v>512</v>
      </c>
      <c r="L130" s="20" t="s">
        <v>512</v>
      </c>
      <c r="M130" s="20" t="s">
        <v>512</v>
      </c>
      <c r="N130" s="20" t="s">
        <v>512</v>
      </c>
      <c r="O130" s="20" t="s">
        <v>512</v>
      </c>
      <c r="P130" s="20"/>
      <c r="Q130" s="1" t="s">
        <v>3744</v>
      </c>
    </row>
    <row r="131" spans="1:17" x14ac:dyDescent="0.25">
      <c r="A131" s="1" t="s">
        <v>9141</v>
      </c>
      <c r="B131" s="95" t="s">
        <v>9036</v>
      </c>
      <c r="C131" s="1">
        <v>1</v>
      </c>
      <c r="D131" s="1" t="s">
        <v>8856</v>
      </c>
      <c r="E131" s="21" t="s">
        <v>8855</v>
      </c>
      <c r="F131" s="20" t="s">
        <v>8753</v>
      </c>
      <c r="G131" s="20" t="s">
        <v>8757</v>
      </c>
      <c r="H131" s="20" t="s">
        <v>8753</v>
      </c>
      <c r="I131" s="20" t="s">
        <v>8759</v>
      </c>
      <c r="J131" s="20" t="s">
        <v>8753</v>
      </c>
      <c r="K131" s="20" t="s">
        <v>8761</v>
      </c>
      <c r="L131" s="20" t="s">
        <v>512</v>
      </c>
      <c r="M131" s="20" t="s">
        <v>512</v>
      </c>
      <c r="N131" s="20" t="s">
        <v>512</v>
      </c>
      <c r="O131" s="20" t="s">
        <v>512</v>
      </c>
      <c r="P131" s="20"/>
      <c r="Q131" s="1" t="s">
        <v>8856</v>
      </c>
    </row>
    <row r="132" spans="1:17" x14ac:dyDescent="0.25">
      <c r="A132" s="1" t="s">
        <v>9142</v>
      </c>
      <c r="B132" s="95" t="s">
        <v>9036</v>
      </c>
      <c r="C132" s="1">
        <v>1</v>
      </c>
      <c r="D132" s="1" t="s">
        <v>8856</v>
      </c>
      <c r="E132" s="21" t="s">
        <v>8855</v>
      </c>
      <c r="F132" s="20" t="s">
        <v>8753</v>
      </c>
      <c r="G132" s="20" t="s">
        <v>8757</v>
      </c>
      <c r="H132" s="20" t="s">
        <v>8753</v>
      </c>
      <c r="I132" s="20" t="s">
        <v>8759</v>
      </c>
      <c r="J132" s="20" t="s">
        <v>8753</v>
      </c>
      <c r="K132" s="20" t="s">
        <v>8761</v>
      </c>
      <c r="L132" s="20" t="s">
        <v>512</v>
      </c>
      <c r="M132" s="20" t="s">
        <v>512</v>
      </c>
      <c r="N132" s="20" t="s">
        <v>512</v>
      </c>
      <c r="O132" s="20" t="s">
        <v>512</v>
      </c>
      <c r="P132" s="20"/>
      <c r="Q132" s="1" t="s">
        <v>8856</v>
      </c>
    </row>
    <row r="133" spans="1:17" x14ac:dyDescent="0.25">
      <c r="A133" s="1" t="s">
        <v>9143</v>
      </c>
      <c r="B133" s="95" t="s">
        <v>9036</v>
      </c>
      <c r="C133" s="1">
        <v>1</v>
      </c>
      <c r="D133" s="1" t="s">
        <v>8856</v>
      </c>
      <c r="E133" s="21" t="s">
        <v>8855</v>
      </c>
      <c r="F133" s="20" t="s">
        <v>8753</v>
      </c>
      <c r="G133" s="20" t="s">
        <v>8757</v>
      </c>
      <c r="H133" s="20" t="s">
        <v>8753</v>
      </c>
      <c r="I133" s="20" t="s">
        <v>8759</v>
      </c>
      <c r="J133" s="20" t="s">
        <v>8753</v>
      </c>
      <c r="K133" s="20" t="s">
        <v>8761</v>
      </c>
      <c r="L133" s="20" t="s">
        <v>512</v>
      </c>
      <c r="M133" s="20" t="s">
        <v>512</v>
      </c>
      <c r="N133" s="20" t="s">
        <v>512</v>
      </c>
      <c r="O133" s="20" t="s">
        <v>512</v>
      </c>
      <c r="P133" s="20"/>
      <c r="Q133" s="1" t="s">
        <v>8856</v>
      </c>
    </row>
    <row r="134" spans="1:17" x14ac:dyDescent="0.25">
      <c r="A134" s="1" t="s">
        <v>9144</v>
      </c>
      <c r="B134" s="95" t="s">
        <v>9046</v>
      </c>
      <c r="C134" s="1">
        <v>1</v>
      </c>
      <c r="D134" s="1" t="s">
        <v>106</v>
      </c>
      <c r="E134" s="21" t="s">
        <v>8810</v>
      </c>
      <c r="F134" s="20" t="s">
        <v>309</v>
      </c>
      <c r="G134" s="20" t="s">
        <v>8880</v>
      </c>
      <c r="H134" s="20" t="s">
        <v>309</v>
      </c>
      <c r="I134" s="20">
        <v>344376</v>
      </c>
      <c r="J134" s="20" t="s">
        <v>344</v>
      </c>
      <c r="K134" s="20" t="s">
        <v>8898</v>
      </c>
      <c r="L134" s="20" t="s">
        <v>512</v>
      </c>
      <c r="M134" s="20" t="s">
        <v>512</v>
      </c>
      <c r="N134" s="20" t="s">
        <v>512</v>
      </c>
      <c r="O134" s="20" t="s">
        <v>512</v>
      </c>
      <c r="P134" s="20"/>
      <c r="Q134" s="1" t="s">
        <v>106</v>
      </c>
    </row>
    <row r="135" spans="1:17" x14ac:dyDescent="0.25">
      <c r="A135" s="1" t="s">
        <v>9145</v>
      </c>
      <c r="B135" s="95" t="s">
        <v>9036</v>
      </c>
      <c r="C135" s="1">
        <v>1</v>
      </c>
      <c r="D135" s="1" t="s">
        <v>8856</v>
      </c>
      <c r="E135" s="21" t="s">
        <v>8855</v>
      </c>
      <c r="F135" s="1" t="s">
        <v>8753</v>
      </c>
      <c r="G135" s="1" t="s">
        <v>8757</v>
      </c>
      <c r="H135" s="20" t="s">
        <v>8753</v>
      </c>
      <c r="I135" s="20" t="s">
        <v>8759</v>
      </c>
      <c r="J135" s="1" t="s">
        <v>8753</v>
      </c>
      <c r="K135" s="1" t="s">
        <v>8761</v>
      </c>
      <c r="L135" s="1" t="s">
        <v>512</v>
      </c>
      <c r="M135" s="1" t="s">
        <v>512</v>
      </c>
      <c r="N135" s="1" t="s">
        <v>512</v>
      </c>
      <c r="O135" s="1" t="s">
        <v>512</v>
      </c>
      <c r="P135" s="20"/>
      <c r="Q135" s="1" t="s">
        <v>8856</v>
      </c>
    </row>
    <row r="136" spans="1:17" x14ac:dyDescent="0.25">
      <c r="A136" s="1" t="s">
        <v>9146</v>
      </c>
      <c r="B136" s="95" t="s">
        <v>9041</v>
      </c>
      <c r="C136" s="1">
        <v>1</v>
      </c>
      <c r="D136" s="1" t="s">
        <v>3744</v>
      </c>
      <c r="E136" s="21" t="s">
        <v>8785</v>
      </c>
      <c r="F136" s="1" t="s">
        <v>309</v>
      </c>
      <c r="G136" s="1" t="s">
        <v>8878</v>
      </c>
      <c r="H136" s="20" t="s">
        <v>8781</v>
      </c>
      <c r="I136" s="20" t="s">
        <v>8797</v>
      </c>
      <c r="J136" s="1" t="s">
        <v>8781</v>
      </c>
      <c r="K136" s="1" t="s">
        <v>8618</v>
      </c>
      <c r="L136" s="1" t="s">
        <v>512</v>
      </c>
      <c r="M136" s="1" t="s">
        <v>512</v>
      </c>
      <c r="N136" s="1" t="s">
        <v>512</v>
      </c>
      <c r="O136" s="1" t="s">
        <v>512</v>
      </c>
      <c r="P136" s="20"/>
      <c r="Q136" s="1" t="s">
        <v>3744</v>
      </c>
    </row>
    <row r="137" spans="1:17" x14ac:dyDescent="0.25">
      <c r="A137" s="1" t="s">
        <v>9147</v>
      </c>
      <c r="B137" s="95" t="s">
        <v>9139</v>
      </c>
      <c r="C137" s="1">
        <v>1</v>
      </c>
      <c r="D137" s="1" t="s">
        <v>3744</v>
      </c>
      <c r="E137" s="21" t="s">
        <v>8787</v>
      </c>
      <c r="F137" s="20" t="s">
        <v>309</v>
      </c>
      <c r="G137" s="20" t="s">
        <v>8878</v>
      </c>
      <c r="H137" s="20" t="s">
        <v>8781</v>
      </c>
      <c r="I137" s="20" t="s">
        <v>8797</v>
      </c>
      <c r="J137" s="20" t="s">
        <v>8781</v>
      </c>
      <c r="K137" s="20" t="s">
        <v>8618</v>
      </c>
      <c r="L137" s="20" t="s">
        <v>512</v>
      </c>
      <c r="M137" s="20" t="s">
        <v>512</v>
      </c>
      <c r="N137" s="20" t="s">
        <v>512</v>
      </c>
      <c r="O137" s="20" t="s">
        <v>512</v>
      </c>
      <c r="P137" s="20"/>
      <c r="Q137" s="1" t="s">
        <v>3744</v>
      </c>
    </row>
    <row r="138" spans="1:17" x14ac:dyDescent="0.25">
      <c r="A138" s="1" t="s">
        <v>9148</v>
      </c>
      <c r="B138" s="95" t="s">
        <v>9030</v>
      </c>
      <c r="C138" s="1">
        <v>1</v>
      </c>
      <c r="D138" s="1" t="s">
        <v>3744</v>
      </c>
      <c r="E138" s="21" t="s">
        <v>8595</v>
      </c>
      <c r="F138" s="20" t="s">
        <v>8781</v>
      </c>
      <c r="G138" s="20" t="s">
        <v>8618</v>
      </c>
      <c r="H138" s="20" t="s">
        <v>309</v>
      </c>
      <c r="I138" s="20" t="s">
        <v>8878</v>
      </c>
      <c r="J138" s="20" t="s">
        <v>512</v>
      </c>
      <c r="K138" s="20" t="s">
        <v>512</v>
      </c>
      <c r="L138" s="20" t="s">
        <v>512</v>
      </c>
      <c r="M138" s="20" t="s">
        <v>512</v>
      </c>
      <c r="N138" s="20" t="s">
        <v>512</v>
      </c>
      <c r="O138" s="20" t="s">
        <v>512</v>
      </c>
      <c r="P138" s="20"/>
      <c r="Q138" s="1" t="s">
        <v>3744</v>
      </c>
    </row>
    <row r="139" spans="1:17" x14ac:dyDescent="0.25">
      <c r="A139" s="1" t="s">
        <v>9149</v>
      </c>
      <c r="B139" s="95" t="s">
        <v>9036</v>
      </c>
      <c r="C139" s="1">
        <v>1</v>
      </c>
      <c r="D139" s="1" t="s">
        <v>8856</v>
      </c>
      <c r="E139" s="21" t="s">
        <v>8855</v>
      </c>
      <c r="F139" s="20" t="s">
        <v>8753</v>
      </c>
      <c r="G139" s="20" t="s">
        <v>8757</v>
      </c>
      <c r="H139" s="20" t="s">
        <v>8753</v>
      </c>
      <c r="I139" s="20" t="s">
        <v>8759</v>
      </c>
      <c r="J139" s="20" t="s">
        <v>8753</v>
      </c>
      <c r="K139" s="20" t="s">
        <v>8761</v>
      </c>
      <c r="L139" s="20" t="s">
        <v>512</v>
      </c>
      <c r="M139" s="20" t="s">
        <v>512</v>
      </c>
      <c r="N139" s="20" t="s">
        <v>512</v>
      </c>
      <c r="O139" s="20" t="s">
        <v>512</v>
      </c>
      <c r="P139" s="20"/>
      <c r="Q139" s="1" t="s">
        <v>8856</v>
      </c>
    </row>
    <row r="140" spans="1:17" x14ac:dyDescent="0.25">
      <c r="A140" s="1" t="s">
        <v>9150</v>
      </c>
      <c r="B140" s="95" t="s">
        <v>9036</v>
      </c>
      <c r="C140" s="1">
        <v>1</v>
      </c>
      <c r="D140" s="1" t="s">
        <v>8856</v>
      </c>
      <c r="E140" s="21" t="s">
        <v>8855</v>
      </c>
      <c r="F140" s="20" t="s">
        <v>8753</v>
      </c>
      <c r="G140" s="20" t="s">
        <v>8757</v>
      </c>
      <c r="H140" s="20" t="s">
        <v>8753</v>
      </c>
      <c r="I140" s="20" t="s">
        <v>8759</v>
      </c>
      <c r="J140" s="20" t="s">
        <v>8753</v>
      </c>
      <c r="K140" s="20" t="s">
        <v>8761</v>
      </c>
      <c r="L140" s="20" t="s">
        <v>512</v>
      </c>
      <c r="M140" s="20" t="s">
        <v>512</v>
      </c>
      <c r="N140" s="20" t="s">
        <v>512</v>
      </c>
      <c r="O140" s="20" t="s">
        <v>512</v>
      </c>
      <c r="P140" s="20"/>
      <c r="Q140" s="1" t="s">
        <v>8856</v>
      </c>
    </row>
    <row r="141" spans="1:17" x14ac:dyDescent="0.25">
      <c r="A141" s="1" t="s">
        <v>9151</v>
      </c>
      <c r="B141" s="95" t="s">
        <v>9036</v>
      </c>
      <c r="C141" s="1">
        <v>1</v>
      </c>
      <c r="D141" s="1" t="s">
        <v>8856</v>
      </c>
      <c r="E141" s="21" t="s">
        <v>8855</v>
      </c>
      <c r="F141" s="20" t="s">
        <v>8753</v>
      </c>
      <c r="G141" s="20" t="s">
        <v>8757</v>
      </c>
      <c r="H141" s="20" t="s">
        <v>8753</v>
      </c>
      <c r="I141" s="20" t="s">
        <v>8759</v>
      </c>
      <c r="J141" s="20" t="s">
        <v>8753</v>
      </c>
      <c r="K141" s="20" t="s">
        <v>8761</v>
      </c>
      <c r="L141" s="20" t="s">
        <v>512</v>
      </c>
      <c r="M141" s="20" t="s">
        <v>512</v>
      </c>
      <c r="N141" s="20" t="s">
        <v>512</v>
      </c>
      <c r="O141" s="20" t="s">
        <v>512</v>
      </c>
      <c r="P141" s="20"/>
      <c r="Q141" s="1" t="s">
        <v>8856</v>
      </c>
    </row>
    <row r="142" spans="1:17" x14ac:dyDescent="0.25">
      <c r="A142" s="1" t="s">
        <v>9152</v>
      </c>
      <c r="B142" s="95" t="s">
        <v>9036</v>
      </c>
      <c r="C142" s="1">
        <v>1</v>
      </c>
      <c r="D142" s="1" t="s">
        <v>8856</v>
      </c>
      <c r="E142" s="21" t="s">
        <v>8855</v>
      </c>
      <c r="F142" s="20" t="s">
        <v>8753</v>
      </c>
      <c r="G142" s="20" t="s">
        <v>8757</v>
      </c>
      <c r="H142" s="20" t="s">
        <v>8753</v>
      </c>
      <c r="I142" s="20" t="s">
        <v>8759</v>
      </c>
      <c r="J142" s="20" t="s">
        <v>8753</v>
      </c>
      <c r="K142" s="20" t="s">
        <v>8761</v>
      </c>
      <c r="L142" s="20" t="s">
        <v>512</v>
      </c>
      <c r="M142" s="20" t="s">
        <v>512</v>
      </c>
      <c r="N142" s="20" t="s">
        <v>512</v>
      </c>
      <c r="O142" s="20" t="s">
        <v>512</v>
      </c>
      <c r="P142" s="20"/>
      <c r="Q142" s="1" t="s">
        <v>8856</v>
      </c>
    </row>
    <row r="143" spans="1:17" x14ac:dyDescent="0.25">
      <c r="A143" s="1" t="s">
        <v>9153</v>
      </c>
      <c r="B143" s="95" t="s">
        <v>9030</v>
      </c>
      <c r="C143" s="1">
        <v>1</v>
      </c>
      <c r="D143" s="1" t="s">
        <v>3744</v>
      </c>
      <c r="E143" s="21" t="s">
        <v>8595</v>
      </c>
      <c r="F143" s="20" t="s">
        <v>8781</v>
      </c>
      <c r="G143" s="20" t="s">
        <v>8618</v>
      </c>
      <c r="H143" s="20" t="s">
        <v>309</v>
      </c>
      <c r="I143" s="20" t="s">
        <v>8878</v>
      </c>
      <c r="J143" s="20" t="s">
        <v>512</v>
      </c>
      <c r="K143" s="20" t="s">
        <v>512</v>
      </c>
      <c r="L143" s="20" t="s">
        <v>512</v>
      </c>
      <c r="M143" s="20" t="s">
        <v>512</v>
      </c>
      <c r="N143" s="20" t="s">
        <v>512</v>
      </c>
      <c r="O143" s="20" t="s">
        <v>512</v>
      </c>
      <c r="P143" s="20"/>
      <c r="Q143" s="1" t="s">
        <v>3744</v>
      </c>
    </row>
    <row r="144" spans="1:17" x14ac:dyDescent="0.25">
      <c r="A144" s="1" t="s">
        <v>9154</v>
      </c>
      <c r="B144" s="95" t="s">
        <v>9059</v>
      </c>
      <c r="C144" s="1">
        <v>1</v>
      </c>
      <c r="D144" s="1" t="s">
        <v>309</v>
      </c>
      <c r="E144" s="21" t="s">
        <v>8828</v>
      </c>
      <c r="F144" s="20" t="s">
        <v>309</v>
      </c>
      <c r="G144" s="20" t="s">
        <v>8971</v>
      </c>
      <c r="H144" s="20" t="s">
        <v>309</v>
      </c>
      <c r="I144" s="20" t="s">
        <v>8886</v>
      </c>
      <c r="J144" s="20" t="s">
        <v>344</v>
      </c>
      <c r="K144" s="20" t="s">
        <v>8898</v>
      </c>
      <c r="L144" s="20" t="s">
        <v>512</v>
      </c>
      <c r="M144" s="20" t="s">
        <v>512</v>
      </c>
      <c r="N144" s="20" t="s">
        <v>512</v>
      </c>
      <c r="O144" s="20" t="s">
        <v>512</v>
      </c>
      <c r="P144" s="20"/>
      <c r="Q144" s="1" t="s">
        <v>309</v>
      </c>
    </row>
    <row r="145" spans="1:17" x14ac:dyDescent="0.25">
      <c r="A145" s="1" t="s">
        <v>9155</v>
      </c>
      <c r="B145" s="95" t="s">
        <v>9139</v>
      </c>
      <c r="C145" s="1">
        <v>1</v>
      </c>
      <c r="D145" s="1" t="s">
        <v>3744</v>
      </c>
      <c r="E145" s="21" t="s">
        <v>8787</v>
      </c>
      <c r="F145" s="20" t="s">
        <v>309</v>
      </c>
      <c r="G145" s="20" t="s">
        <v>8878</v>
      </c>
      <c r="H145" s="20" t="s">
        <v>8781</v>
      </c>
      <c r="I145" s="20" t="s">
        <v>8797</v>
      </c>
      <c r="J145" s="20" t="s">
        <v>512</v>
      </c>
      <c r="K145" s="20" t="s">
        <v>512</v>
      </c>
      <c r="L145" s="20" t="s">
        <v>512</v>
      </c>
      <c r="M145" s="20" t="s">
        <v>512</v>
      </c>
      <c r="N145" s="20" t="s">
        <v>512</v>
      </c>
      <c r="O145" s="20" t="s">
        <v>512</v>
      </c>
      <c r="P145" s="20"/>
      <c r="Q145" s="1" t="s">
        <v>3744</v>
      </c>
    </row>
    <row r="146" spans="1:17" x14ac:dyDescent="0.25">
      <c r="A146" s="1" t="s">
        <v>9156</v>
      </c>
      <c r="B146" s="95" t="s">
        <v>9030</v>
      </c>
      <c r="C146" s="1">
        <v>1</v>
      </c>
      <c r="D146" s="1" t="s">
        <v>3744</v>
      </c>
      <c r="E146" s="21" t="s">
        <v>8595</v>
      </c>
      <c r="F146" s="20" t="s">
        <v>8781</v>
      </c>
      <c r="G146" s="20" t="s">
        <v>8616</v>
      </c>
      <c r="H146" s="20" t="s">
        <v>309</v>
      </c>
      <c r="I146" s="20" t="s">
        <v>8878</v>
      </c>
      <c r="J146" s="20" t="s">
        <v>512</v>
      </c>
      <c r="K146" s="20" t="s">
        <v>512</v>
      </c>
      <c r="L146" s="20" t="s">
        <v>512</v>
      </c>
      <c r="M146" s="20" t="s">
        <v>512</v>
      </c>
      <c r="N146" s="20" t="s">
        <v>512</v>
      </c>
      <c r="O146" s="20" t="s">
        <v>512</v>
      </c>
      <c r="P146" s="20"/>
      <c r="Q146" s="1" t="s">
        <v>3744</v>
      </c>
    </row>
    <row r="147" spans="1:17" x14ac:dyDescent="0.25">
      <c r="A147" s="1" t="s">
        <v>9157</v>
      </c>
      <c r="B147" s="95" t="s">
        <v>9041</v>
      </c>
      <c r="C147" s="1">
        <v>1</v>
      </c>
      <c r="D147" s="1" t="s">
        <v>3744</v>
      </c>
      <c r="E147" s="21" t="s">
        <v>8785</v>
      </c>
      <c r="F147" s="20" t="s">
        <v>309</v>
      </c>
      <c r="G147" s="20" t="s">
        <v>8878</v>
      </c>
      <c r="H147" s="20" t="s">
        <v>8781</v>
      </c>
      <c r="I147" s="20" t="s">
        <v>8797</v>
      </c>
      <c r="J147" s="20" t="s">
        <v>512</v>
      </c>
      <c r="K147" s="20" t="s">
        <v>512</v>
      </c>
      <c r="L147" s="20" t="s">
        <v>512</v>
      </c>
      <c r="M147" s="20" t="s">
        <v>512</v>
      </c>
      <c r="N147" s="20" t="s">
        <v>512</v>
      </c>
      <c r="O147" s="20" t="s">
        <v>512</v>
      </c>
      <c r="P147" s="20"/>
      <c r="Q147" s="1" t="s">
        <v>3744</v>
      </c>
    </row>
    <row r="148" spans="1:17" x14ac:dyDescent="0.25">
      <c r="A148" s="1" t="s">
        <v>9158</v>
      </c>
      <c r="B148" s="95" t="s">
        <v>9030</v>
      </c>
      <c r="C148" s="1">
        <v>1</v>
      </c>
      <c r="D148" s="1" t="s">
        <v>3744</v>
      </c>
      <c r="E148" s="21" t="s">
        <v>8595</v>
      </c>
      <c r="F148" s="20" t="s">
        <v>8781</v>
      </c>
      <c r="G148" s="20" t="s">
        <v>8616</v>
      </c>
      <c r="H148" s="20" t="s">
        <v>309</v>
      </c>
      <c r="I148" s="20" t="s">
        <v>8878</v>
      </c>
      <c r="J148" s="20" t="s">
        <v>512</v>
      </c>
      <c r="K148" s="20" t="s">
        <v>512</v>
      </c>
      <c r="L148" s="20" t="s">
        <v>512</v>
      </c>
      <c r="M148" s="20" t="s">
        <v>512</v>
      </c>
      <c r="N148" s="20" t="s">
        <v>512</v>
      </c>
      <c r="O148" s="20" t="s">
        <v>512</v>
      </c>
      <c r="P148" s="20"/>
      <c r="Q148" s="1" t="s">
        <v>3744</v>
      </c>
    </row>
    <row r="149" spans="1:17" x14ac:dyDescent="0.25">
      <c r="A149" s="1" t="s">
        <v>9159</v>
      </c>
      <c r="B149" s="95" t="s">
        <v>9160</v>
      </c>
      <c r="C149" s="1">
        <v>1</v>
      </c>
      <c r="D149" s="1" t="s">
        <v>3744</v>
      </c>
      <c r="E149" s="21" t="s">
        <v>8785</v>
      </c>
      <c r="F149" s="20" t="s">
        <v>309</v>
      </c>
      <c r="G149" s="20" t="s">
        <v>8878</v>
      </c>
      <c r="H149" s="20" t="s">
        <v>8781</v>
      </c>
      <c r="I149" s="20" t="s">
        <v>8797</v>
      </c>
      <c r="J149" s="20" t="s">
        <v>512</v>
      </c>
      <c r="K149" s="20" t="s">
        <v>512</v>
      </c>
      <c r="L149" s="20" t="s">
        <v>512</v>
      </c>
      <c r="M149" s="20" t="s">
        <v>512</v>
      </c>
      <c r="N149" s="20" t="s">
        <v>512</v>
      </c>
      <c r="O149" s="20" t="s">
        <v>512</v>
      </c>
      <c r="P149" s="20"/>
      <c r="Q149" s="1" t="s">
        <v>3744</v>
      </c>
    </row>
    <row r="150" spans="1:17" x14ac:dyDescent="0.25">
      <c r="A150" s="1" t="s">
        <v>9161</v>
      </c>
      <c r="B150" s="95" t="s">
        <v>9046</v>
      </c>
      <c r="C150" s="1">
        <v>1</v>
      </c>
      <c r="D150" s="1" t="s">
        <v>106</v>
      </c>
      <c r="E150" s="21" t="s">
        <v>8810</v>
      </c>
      <c r="F150" s="20" t="s">
        <v>309</v>
      </c>
      <c r="G150" s="20" t="s">
        <v>8880</v>
      </c>
      <c r="H150" s="20" t="s">
        <v>309</v>
      </c>
      <c r="I150" s="20">
        <v>344376</v>
      </c>
      <c r="J150" s="20" t="s">
        <v>344</v>
      </c>
      <c r="K150" s="20" t="s">
        <v>8898</v>
      </c>
      <c r="L150" s="20" t="s">
        <v>512</v>
      </c>
      <c r="M150" s="20" t="s">
        <v>512</v>
      </c>
      <c r="N150" s="20" t="s">
        <v>512</v>
      </c>
      <c r="O150" s="20" t="s">
        <v>512</v>
      </c>
      <c r="P150" s="20"/>
      <c r="Q150" s="1" t="s">
        <v>106</v>
      </c>
    </row>
    <row r="151" spans="1:17" x14ac:dyDescent="0.25">
      <c r="A151" s="1" t="s">
        <v>9162</v>
      </c>
      <c r="B151" s="95" t="s">
        <v>9048</v>
      </c>
      <c r="C151" s="1">
        <v>1</v>
      </c>
      <c r="D151" s="1" t="s">
        <v>106</v>
      </c>
      <c r="E151" s="21" t="s">
        <v>8806</v>
      </c>
      <c r="F151" s="20" t="s">
        <v>309</v>
      </c>
      <c r="G151" s="20" t="s">
        <v>8882</v>
      </c>
      <c r="H151" s="20" t="s">
        <v>309</v>
      </c>
      <c r="I151" s="20" t="s">
        <v>8973</v>
      </c>
      <c r="J151" s="20" t="s">
        <v>344</v>
      </c>
      <c r="K151" s="20" t="s">
        <v>8898</v>
      </c>
      <c r="L151" s="20" t="s">
        <v>512</v>
      </c>
      <c r="M151" s="20" t="s">
        <v>512</v>
      </c>
      <c r="N151" s="20" t="s">
        <v>512</v>
      </c>
      <c r="O151" s="20" t="s">
        <v>512</v>
      </c>
      <c r="P151" s="20"/>
      <c r="Q151" s="1" t="s">
        <v>106</v>
      </c>
    </row>
    <row r="152" spans="1:17" x14ac:dyDescent="0.25">
      <c r="A152" s="1" t="s">
        <v>9163</v>
      </c>
      <c r="B152" s="95" t="s">
        <v>9030</v>
      </c>
      <c r="C152" s="1">
        <v>1</v>
      </c>
      <c r="D152" s="1" t="s">
        <v>3744</v>
      </c>
      <c r="E152" s="21" t="s">
        <v>8595</v>
      </c>
      <c r="F152" s="20" t="s">
        <v>8781</v>
      </c>
      <c r="G152" s="20" t="s">
        <v>8618</v>
      </c>
      <c r="H152" s="20" t="s">
        <v>309</v>
      </c>
      <c r="I152" s="20" t="s">
        <v>8878</v>
      </c>
      <c r="J152" s="20" t="s">
        <v>512</v>
      </c>
      <c r="K152" s="20" t="s">
        <v>512</v>
      </c>
      <c r="L152" s="20" t="s">
        <v>512</v>
      </c>
      <c r="M152" s="20" t="s">
        <v>512</v>
      </c>
      <c r="N152" s="20" t="s">
        <v>512</v>
      </c>
      <c r="O152" s="20" t="s">
        <v>512</v>
      </c>
      <c r="P152" s="20"/>
      <c r="Q152" s="1" t="s">
        <v>3744</v>
      </c>
    </row>
    <row r="153" spans="1:17" x14ac:dyDescent="0.25">
      <c r="A153" s="1" t="s">
        <v>9164</v>
      </c>
      <c r="B153" s="95" t="s">
        <v>9036</v>
      </c>
      <c r="C153" s="1">
        <v>1</v>
      </c>
      <c r="D153" s="1" t="s">
        <v>8856</v>
      </c>
      <c r="E153" s="21" t="s">
        <v>8855</v>
      </c>
      <c r="F153" s="20" t="s">
        <v>8753</v>
      </c>
      <c r="G153" s="20" t="s">
        <v>8757</v>
      </c>
      <c r="H153" s="20" t="s">
        <v>8753</v>
      </c>
      <c r="I153" s="20" t="s">
        <v>8759</v>
      </c>
      <c r="J153" s="20" t="s">
        <v>8753</v>
      </c>
      <c r="K153" s="20" t="s">
        <v>8761</v>
      </c>
      <c r="L153" s="20" t="s">
        <v>512</v>
      </c>
      <c r="M153" s="20" t="s">
        <v>512</v>
      </c>
      <c r="N153" s="20" t="s">
        <v>512</v>
      </c>
      <c r="O153" s="20" t="s">
        <v>512</v>
      </c>
      <c r="P153" s="20"/>
      <c r="Q153" s="1" t="s">
        <v>8856</v>
      </c>
    </row>
    <row r="154" spans="1:17" x14ac:dyDescent="0.25">
      <c r="A154" s="1" t="s">
        <v>9165</v>
      </c>
      <c r="B154" s="95" t="s">
        <v>9046</v>
      </c>
      <c r="C154" s="1">
        <v>1</v>
      </c>
      <c r="D154" s="1" t="s">
        <v>106</v>
      </c>
      <c r="E154" s="21" t="s">
        <v>8810</v>
      </c>
      <c r="F154" s="20" t="s">
        <v>309</v>
      </c>
      <c r="G154" s="20" t="s">
        <v>8880</v>
      </c>
      <c r="H154" s="20" t="s">
        <v>309</v>
      </c>
      <c r="I154" s="20">
        <v>344376</v>
      </c>
      <c r="J154" s="20" t="s">
        <v>344</v>
      </c>
      <c r="K154" s="20" t="s">
        <v>8898</v>
      </c>
      <c r="L154" s="20" t="s">
        <v>512</v>
      </c>
      <c r="M154" s="20" t="s">
        <v>512</v>
      </c>
      <c r="N154" s="20" t="s">
        <v>512</v>
      </c>
      <c r="O154" s="20" t="s">
        <v>512</v>
      </c>
      <c r="P154" s="20"/>
      <c r="Q154" s="1" t="s">
        <v>106</v>
      </c>
    </row>
    <row r="155" spans="1:17" x14ac:dyDescent="0.25">
      <c r="A155" s="1" t="s">
        <v>9166</v>
      </c>
      <c r="B155" s="95" t="s">
        <v>9036</v>
      </c>
      <c r="C155" s="1">
        <v>1</v>
      </c>
      <c r="D155" s="1" t="s">
        <v>8856</v>
      </c>
      <c r="E155" s="21" t="s">
        <v>8855</v>
      </c>
      <c r="F155" s="1" t="s">
        <v>8753</v>
      </c>
      <c r="G155" s="1" t="s">
        <v>8757</v>
      </c>
      <c r="H155" s="20" t="s">
        <v>8753</v>
      </c>
      <c r="I155" s="20" t="s">
        <v>8759</v>
      </c>
      <c r="J155" s="1" t="s">
        <v>8753</v>
      </c>
      <c r="K155" s="1" t="s">
        <v>8761</v>
      </c>
      <c r="L155" s="1" t="s">
        <v>512</v>
      </c>
      <c r="M155" s="1" t="s">
        <v>512</v>
      </c>
      <c r="N155" s="1" t="s">
        <v>512</v>
      </c>
      <c r="O155" s="1" t="s">
        <v>512</v>
      </c>
      <c r="P155" s="20"/>
      <c r="Q155" s="1" t="s">
        <v>8856</v>
      </c>
    </row>
    <row r="156" spans="1:17" x14ac:dyDescent="0.25">
      <c r="A156" s="1" t="s">
        <v>9167</v>
      </c>
      <c r="B156" s="95" t="s">
        <v>9039</v>
      </c>
      <c r="C156" s="1">
        <v>1</v>
      </c>
      <c r="D156" s="1" t="s">
        <v>3744</v>
      </c>
      <c r="E156" s="21" t="s">
        <v>8804</v>
      </c>
      <c r="F156" s="20" t="s">
        <v>8781</v>
      </c>
      <c r="G156" s="20" t="s">
        <v>8616</v>
      </c>
      <c r="H156" s="20" t="s">
        <v>309</v>
      </c>
      <c r="I156" s="20" t="s">
        <v>8878</v>
      </c>
      <c r="J156" s="20" t="s">
        <v>512</v>
      </c>
      <c r="K156" s="20" t="s">
        <v>512</v>
      </c>
      <c r="L156" s="20" t="s">
        <v>512</v>
      </c>
      <c r="M156" s="20" t="s">
        <v>512</v>
      </c>
      <c r="N156" s="20" t="s">
        <v>512</v>
      </c>
      <c r="O156" s="20" t="s">
        <v>512</v>
      </c>
      <c r="P156" s="20"/>
      <c r="Q156" s="1" t="s">
        <v>3744</v>
      </c>
    </row>
    <row r="157" spans="1:17" x14ac:dyDescent="0.25">
      <c r="A157" s="1" t="s">
        <v>9167</v>
      </c>
      <c r="B157" s="95" t="s">
        <v>9039</v>
      </c>
      <c r="C157" s="1">
        <v>1</v>
      </c>
      <c r="D157" s="1" t="s">
        <v>3744</v>
      </c>
      <c r="E157" s="21" t="s">
        <v>8804</v>
      </c>
      <c r="F157" s="20" t="s">
        <v>8781</v>
      </c>
      <c r="G157" s="20" t="s">
        <v>8616</v>
      </c>
      <c r="H157" s="20" t="s">
        <v>309</v>
      </c>
      <c r="I157" s="20" t="s">
        <v>8878</v>
      </c>
      <c r="J157" s="20" t="s">
        <v>512</v>
      </c>
      <c r="K157" s="20" t="s">
        <v>512</v>
      </c>
      <c r="L157" s="20" t="s">
        <v>512</v>
      </c>
      <c r="M157" s="20" t="s">
        <v>512</v>
      </c>
      <c r="N157" s="20" t="s">
        <v>512</v>
      </c>
      <c r="O157" s="20" t="s">
        <v>512</v>
      </c>
      <c r="P157" s="20"/>
      <c r="Q157" s="1" t="s">
        <v>3744</v>
      </c>
    </row>
    <row r="158" spans="1:17" x14ac:dyDescent="0.25">
      <c r="A158" s="1" t="s">
        <v>9168</v>
      </c>
      <c r="B158" s="95" t="s">
        <v>9041</v>
      </c>
      <c r="C158" s="1">
        <v>1</v>
      </c>
      <c r="D158" s="1" t="s">
        <v>3744</v>
      </c>
      <c r="E158" s="21" t="s">
        <v>8785</v>
      </c>
      <c r="F158" s="20" t="s">
        <v>309</v>
      </c>
      <c r="G158" s="20" t="s">
        <v>8878</v>
      </c>
      <c r="H158" s="20" t="s">
        <v>8781</v>
      </c>
      <c r="I158" s="20" t="s">
        <v>8797</v>
      </c>
      <c r="J158" s="20" t="s">
        <v>512</v>
      </c>
      <c r="K158" s="20" t="s">
        <v>512</v>
      </c>
      <c r="L158" s="20" t="s">
        <v>512</v>
      </c>
      <c r="M158" s="20" t="s">
        <v>512</v>
      </c>
      <c r="N158" s="20" t="s">
        <v>512</v>
      </c>
      <c r="O158" s="20" t="s">
        <v>512</v>
      </c>
      <c r="P158" s="20"/>
      <c r="Q158" s="1" t="s">
        <v>3744</v>
      </c>
    </row>
    <row r="159" spans="1:17" x14ac:dyDescent="0.25">
      <c r="A159" s="1" t="s">
        <v>9169</v>
      </c>
      <c r="B159" s="95" t="s">
        <v>9030</v>
      </c>
      <c r="C159" s="1">
        <v>1</v>
      </c>
      <c r="D159" s="1" t="s">
        <v>3744</v>
      </c>
      <c r="E159" s="21" t="s">
        <v>8595</v>
      </c>
      <c r="F159" s="20" t="s">
        <v>8781</v>
      </c>
      <c r="G159" s="20" t="s">
        <v>8616</v>
      </c>
      <c r="H159" s="20" t="s">
        <v>309</v>
      </c>
      <c r="I159" s="20" t="s">
        <v>8878</v>
      </c>
      <c r="J159" s="20" t="s">
        <v>512</v>
      </c>
      <c r="K159" s="20" t="s">
        <v>512</v>
      </c>
      <c r="L159" s="20" t="s">
        <v>512</v>
      </c>
      <c r="M159" s="20" t="s">
        <v>512</v>
      </c>
      <c r="N159" s="20" t="s">
        <v>512</v>
      </c>
      <c r="O159" s="20" t="s">
        <v>512</v>
      </c>
      <c r="P159" s="20"/>
      <c r="Q159" s="1" t="s">
        <v>3744</v>
      </c>
    </row>
    <row r="160" spans="1:17" x14ac:dyDescent="0.25">
      <c r="A160" s="1" t="s">
        <v>9170</v>
      </c>
      <c r="B160" s="95" t="s">
        <v>9041</v>
      </c>
      <c r="C160" s="1">
        <v>1</v>
      </c>
      <c r="D160" s="1" t="s">
        <v>3744</v>
      </c>
      <c r="E160" s="21" t="s">
        <v>8785</v>
      </c>
      <c r="F160" s="20" t="s">
        <v>309</v>
      </c>
      <c r="G160" s="20" t="s">
        <v>8878</v>
      </c>
      <c r="H160" s="20" t="s">
        <v>8781</v>
      </c>
      <c r="I160" s="20" t="s">
        <v>8797</v>
      </c>
      <c r="J160" s="20" t="s">
        <v>512</v>
      </c>
      <c r="K160" s="20" t="s">
        <v>512</v>
      </c>
      <c r="L160" s="20" t="s">
        <v>512</v>
      </c>
      <c r="M160" s="20" t="s">
        <v>512</v>
      </c>
      <c r="N160" s="20" t="s">
        <v>512</v>
      </c>
      <c r="O160" s="20" t="s">
        <v>512</v>
      </c>
      <c r="P160" s="20"/>
      <c r="Q160" s="1" t="s">
        <v>3744</v>
      </c>
    </row>
    <row r="161" spans="1:17" x14ac:dyDescent="0.25">
      <c r="A161" s="1" t="s">
        <v>9171</v>
      </c>
      <c r="B161" s="95" t="s">
        <v>9030</v>
      </c>
      <c r="C161" s="1">
        <v>1</v>
      </c>
      <c r="D161" s="1" t="s">
        <v>3744</v>
      </c>
      <c r="E161" s="21" t="s">
        <v>8595</v>
      </c>
      <c r="F161" s="20" t="s">
        <v>8781</v>
      </c>
      <c r="G161" s="20" t="s">
        <v>8616</v>
      </c>
      <c r="H161" s="20" t="s">
        <v>309</v>
      </c>
      <c r="I161" s="20" t="s">
        <v>8878</v>
      </c>
      <c r="J161" s="20" t="s">
        <v>512</v>
      </c>
      <c r="K161" s="20" t="s">
        <v>512</v>
      </c>
      <c r="L161" s="20" t="s">
        <v>512</v>
      </c>
      <c r="M161" s="20" t="s">
        <v>512</v>
      </c>
      <c r="N161" s="20" t="s">
        <v>512</v>
      </c>
      <c r="O161" s="20" t="s">
        <v>512</v>
      </c>
      <c r="P161" s="20"/>
      <c r="Q161" s="1" t="s">
        <v>3744</v>
      </c>
    </row>
    <row r="162" spans="1:17" x14ac:dyDescent="0.25">
      <c r="A162" s="1" t="s">
        <v>9172</v>
      </c>
      <c r="B162" s="95" t="s">
        <v>9046</v>
      </c>
      <c r="C162" s="1">
        <v>1</v>
      </c>
      <c r="D162" s="1" t="s">
        <v>106</v>
      </c>
      <c r="E162" s="21" t="s">
        <v>8810</v>
      </c>
      <c r="F162" s="20" t="s">
        <v>309</v>
      </c>
      <c r="G162" s="20" t="s">
        <v>8880</v>
      </c>
      <c r="H162" s="20" t="s">
        <v>309</v>
      </c>
      <c r="I162" s="20">
        <v>344376</v>
      </c>
      <c r="J162" s="20" t="s">
        <v>344</v>
      </c>
      <c r="K162" s="20" t="s">
        <v>8898</v>
      </c>
      <c r="L162" s="20" t="s">
        <v>512</v>
      </c>
      <c r="M162" s="20" t="s">
        <v>512</v>
      </c>
      <c r="N162" s="20" t="s">
        <v>512</v>
      </c>
      <c r="O162" s="20" t="s">
        <v>512</v>
      </c>
      <c r="P162" s="20"/>
      <c r="Q162" s="1" t="s">
        <v>106</v>
      </c>
    </row>
    <row r="163" spans="1:17" x14ac:dyDescent="0.25">
      <c r="A163" s="1" t="s">
        <v>9173</v>
      </c>
      <c r="B163" s="95" t="s">
        <v>9048</v>
      </c>
      <c r="C163" s="1">
        <v>1</v>
      </c>
      <c r="D163" s="1" t="s">
        <v>106</v>
      </c>
      <c r="E163" s="21" t="s">
        <v>8806</v>
      </c>
      <c r="F163" s="20" t="s">
        <v>309</v>
      </c>
      <c r="G163" s="20" t="s">
        <v>8882</v>
      </c>
      <c r="H163" s="20" t="s">
        <v>309</v>
      </c>
      <c r="I163" s="20" t="s">
        <v>8973</v>
      </c>
      <c r="J163" s="20" t="s">
        <v>344</v>
      </c>
      <c r="K163" s="20" t="s">
        <v>8898</v>
      </c>
      <c r="L163" s="20" t="s">
        <v>512</v>
      </c>
      <c r="M163" s="20" t="s">
        <v>512</v>
      </c>
      <c r="N163" s="20" t="s">
        <v>512</v>
      </c>
      <c r="O163" s="20" t="s">
        <v>512</v>
      </c>
      <c r="P163" s="20"/>
      <c r="Q163" s="1" t="s">
        <v>106</v>
      </c>
    </row>
    <row r="164" spans="1:17" x14ac:dyDescent="0.25">
      <c r="A164" s="1" t="s">
        <v>9174</v>
      </c>
      <c r="B164" s="95" t="s">
        <v>9036</v>
      </c>
      <c r="C164" s="1">
        <v>1</v>
      </c>
      <c r="D164" s="1" t="s">
        <v>8856</v>
      </c>
      <c r="E164" s="21" t="s">
        <v>8855</v>
      </c>
      <c r="F164" s="20" t="s">
        <v>8753</v>
      </c>
      <c r="G164" s="20" t="s">
        <v>8757</v>
      </c>
      <c r="H164" s="20" t="s">
        <v>8753</v>
      </c>
      <c r="I164" s="20" t="s">
        <v>8759</v>
      </c>
      <c r="J164" s="20" t="s">
        <v>8753</v>
      </c>
      <c r="K164" s="20" t="s">
        <v>8761</v>
      </c>
      <c r="L164" s="20" t="s">
        <v>512</v>
      </c>
      <c r="M164" s="20" t="s">
        <v>512</v>
      </c>
      <c r="N164" s="20" t="s">
        <v>512</v>
      </c>
      <c r="O164" s="20" t="s">
        <v>512</v>
      </c>
      <c r="P164" s="20"/>
      <c r="Q164" s="1" t="s">
        <v>8856</v>
      </c>
    </row>
    <row r="165" spans="1:17" x14ac:dyDescent="0.25">
      <c r="A165" s="1" t="s">
        <v>9175</v>
      </c>
      <c r="B165" s="96" t="s">
        <v>9033</v>
      </c>
      <c r="C165" s="1">
        <v>1</v>
      </c>
      <c r="D165" s="1" t="s">
        <v>3744</v>
      </c>
      <c r="E165" s="21" t="s">
        <v>8791</v>
      </c>
      <c r="F165" s="20" t="s">
        <v>309</v>
      </c>
      <c r="G165" s="20" t="s">
        <v>8835</v>
      </c>
      <c r="H165" s="20" t="s">
        <v>512</v>
      </c>
      <c r="I165" s="20" t="s">
        <v>512</v>
      </c>
      <c r="J165" s="20" t="s">
        <v>512</v>
      </c>
      <c r="K165" s="20" t="s">
        <v>512</v>
      </c>
      <c r="L165" s="20" t="s">
        <v>512</v>
      </c>
      <c r="M165" s="20" t="s">
        <v>512</v>
      </c>
      <c r="N165" s="20" t="s">
        <v>512</v>
      </c>
      <c r="O165" s="20" t="s">
        <v>512</v>
      </c>
      <c r="P165" s="20"/>
      <c r="Q165" s="1" t="s">
        <v>3744</v>
      </c>
    </row>
    <row r="166" spans="1:17" x14ac:dyDescent="0.25">
      <c r="A166" s="1" t="s">
        <v>9176</v>
      </c>
      <c r="B166" s="95" t="s">
        <v>9030</v>
      </c>
      <c r="C166" s="1">
        <v>1</v>
      </c>
      <c r="D166" s="1" t="s">
        <v>3744</v>
      </c>
      <c r="E166" s="21" t="s">
        <v>8595</v>
      </c>
      <c r="F166" s="20" t="s">
        <v>8781</v>
      </c>
      <c r="G166" s="20" t="s">
        <v>8616</v>
      </c>
      <c r="H166" s="20" t="s">
        <v>309</v>
      </c>
      <c r="I166" s="20" t="s">
        <v>8878</v>
      </c>
      <c r="J166" s="20" t="s">
        <v>512</v>
      </c>
      <c r="K166" s="20" t="s">
        <v>512</v>
      </c>
      <c r="L166" s="20" t="s">
        <v>512</v>
      </c>
      <c r="M166" s="20" t="s">
        <v>512</v>
      </c>
      <c r="N166" s="20" t="s">
        <v>512</v>
      </c>
      <c r="O166" s="20" t="s">
        <v>512</v>
      </c>
      <c r="P166" s="20"/>
      <c r="Q166" s="1" t="s">
        <v>3744</v>
      </c>
    </row>
    <row r="167" spans="1:17" x14ac:dyDescent="0.25">
      <c r="A167" s="1" t="s">
        <v>9177</v>
      </c>
      <c r="B167" s="95" t="s">
        <v>9036</v>
      </c>
      <c r="C167" s="1">
        <v>1</v>
      </c>
      <c r="D167" s="1" t="s">
        <v>8856</v>
      </c>
      <c r="E167" s="21" t="s">
        <v>8855</v>
      </c>
      <c r="F167" s="20" t="s">
        <v>8753</v>
      </c>
      <c r="G167" s="20" t="s">
        <v>8757</v>
      </c>
      <c r="H167" s="20" t="s">
        <v>8753</v>
      </c>
      <c r="I167" s="20" t="s">
        <v>8759</v>
      </c>
      <c r="J167" s="20" t="s">
        <v>8753</v>
      </c>
      <c r="K167" s="20" t="s">
        <v>8761</v>
      </c>
      <c r="L167" s="20" t="s">
        <v>512</v>
      </c>
      <c r="M167" s="20" t="s">
        <v>512</v>
      </c>
      <c r="N167" s="20" t="s">
        <v>512</v>
      </c>
      <c r="O167" s="20" t="s">
        <v>512</v>
      </c>
      <c r="P167" s="20"/>
      <c r="Q167" s="1" t="s">
        <v>8856</v>
      </c>
    </row>
    <row r="168" spans="1:17" x14ac:dyDescent="0.25">
      <c r="A168" s="1" t="s">
        <v>9178</v>
      </c>
      <c r="B168" s="95" t="s">
        <v>9039</v>
      </c>
      <c r="C168" s="1">
        <v>1</v>
      </c>
      <c r="D168" s="1" t="s">
        <v>3744</v>
      </c>
      <c r="E168" s="21" t="s">
        <v>8804</v>
      </c>
      <c r="F168" s="20" t="s">
        <v>8781</v>
      </c>
      <c r="G168" s="20" t="s">
        <v>8616</v>
      </c>
      <c r="H168" s="20" t="s">
        <v>309</v>
      </c>
      <c r="I168" s="20" t="s">
        <v>8878</v>
      </c>
      <c r="J168" s="20" t="s">
        <v>512</v>
      </c>
      <c r="K168" s="20" t="s">
        <v>512</v>
      </c>
      <c r="L168" s="20" t="s">
        <v>512</v>
      </c>
      <c r="M168" s="20" t="s">
        <v>512</v>
      </c>
      <c r="N168" s="20" t="s">
        <v>512</v>
      </c>
      <c r="O168" s="20" t="s">
        <v>512</v>
      </c>
      <c r="P168" s="20"/>
      <c r="Q168" s="1" t="s">
        <v>3744</v>
      </c>
    </row>
    <row r="169" spans="1:17" x14ac:dyDescent="0.25">
      <c r="A169" s="1" t="s">
        <v>9178</v>
      </c>
      <c r="B169" s="95" t="s">
        <v>9039</v>
      </c>
      <c r="C169" s="1">
        <v>1</v>
      </c>
      <c r="D169" s="1" t="s">
        <v>3744</v>
      </c>
      <c r="E169" s="21" t="s">
        <v>8804</v>
      </c>
      <c r="F169" s="20" t="s">
        <v>8781</v>
      </c>
      <c r="G169" s="20" t="s">
        <v>8616</v>
      </c>
      <c r="H169" s="20" t="s">
        <v>309</v>
      </c>
      <c r="I169" s="20" t="s">
        <v>8878</v>
      </c>
      <c r="J169" s="20" t="s">
        <v>512</v>
      </c>
      <c r="K169" s="20" t="s">
        <v>512</v>
      </c>
      <c r="L169" s="20" t="s">
        <v>512</v>
      </c>
      <c r="M169" s="20" t="s">
        <v>512</v>
      </c>
      <c r="N169" s="20" t="s">
        <v>512</v>
      </c>
      <c r="O169" s="20" t="s">
        <v>512</v>
      </c>
      <c r="P169" s="20"/>
      <c r="Q169" s="1" t="s">
        <v>3744</v>
      </c>
    </row>
    <row r="170" spans="1:17" x14ac:dyDescent="0.25">
      <c r="A170" s="1" t="s">
        <v>9179</v>
      </c>
      <c r="B170" s="95" t="s">
        <v>9036</v>
      </c>
      <c r="C170" s="1">
        <v>1</v>
      </c>
      <c r="D170" s="1" t="s">
        <v>8856</v>
      </c>
      <c r="E170" s="21" t="s">
        <v>8855</v>
      </c>
      <c r="F170" s="20" t="s">
        <v>8753</v>
      </c>
      <c r="G170" s="20" t="s">
        <v>8757</v>
      </c>
      <c r="H170" s="20" t="s">
        <v>8753</v>
      </c>
      <c r="I170" s="20" t="s">
        <v>8759</v>
      </c>
      <c r="J170" s="20" t="s">
        <v>8753</v>
      </c>
      <c r="K170" s="20" t="s">
        <v>8761</v>
      </c>
      <c r="L170" s="20" t="s">
        <v>512</v>
      </c>
      <c r="M170" s="20" t="s">
        <v>512</v>
      </c>
      <c r="N170" s="20" t="s">
        <v>512</v>
      </c>
      <c r="O170" s="20" t="s">
        <v>512</v>
      </c>
      <c r="P170" s="20"/>
      <c r="Q170" s="1" t="s">
        <v>8856</v>
      </c>
    </row>
    <row r="171" spans="1:17" x14ac:dyDescent="0.25">
      <c r="A171" s="1" t="s">
        <v>9180</v>
      </c>
      <c r="B171" s="95" t="s">
        <v>9036</v>
      </c>
      <c r="C171" s="1">
        <v>1</v>
      </c>
      <c r="D171" s="1" t="s">
        <v>8856</v>
      </c>
      <c r="E171" s="21" t="s">
        <v>8855</v>
      </c>
      <c r="F171" s="20" t="s">
        <v>8753</v>
      </c>
      <c r="G171" s="20" t="s">
        <v>8757</v>
      </c>
      <c r="H171" s="20" t="s">
        <v>8753</v>
      </c>
      <c r="I171" s="20" t="s">
        <v>8759</v>
      </c>
      <c r="J171" s="20" t="s">
        <v>8753</v>
      </c>
      <c r="K171" s="20" t="s">
        <v>8761</v>
      </c>
      <c r="L171" s="20" t="s">
        <v>512</v>
      </c>
      <c r="M171" s="20" t="s">
        <v>512</v>
      </c>
      <c r="N171" s="20" t="s">
        <v>512</v>
      </c>
      <c r="O171" s="20" t="s">
        <v>512</v>
      </c>
      <c r="P171" s="20"/>
      <c r="Q171" s="1" t="s">
        <v>8856</v>
      </c>
    </row>
    <row r="172" spans="1:17" x14ac:dyDescent="0.25">
      <c r="A172" s="1" t="s">
        <v>9181</v>
      </c>
      <c r="B172" s="95" t="s">
        <v>9044</v>
      </c>
      <c r="C172" s="1">
        <v>1</v>
      </c>
      <c r="D172" s="1" t="s">
        <v>3744</v>
      </c>
      <c r="E172" s="21" t="s">
        <v>8657</v>
      </c>
      <c r="F172" s="20" t="s">
        <v>3744</v>
      </c>
      <c r="G172" s="20" t="s">
        <v>8780</v>
      </c>
      <c r="H172" s="20" t="s">
        <v>309</v>
      </c>
      <c r="I172" s="20" t="s">
        <v>8835</v>
      </c>
      <c r="J172" s="20" t="s">
        <v>309</v>
      </c>
      <c r="K172" s="20" t="s">
        <v>8884</v>
      </c>
      <c r="L172" s="20" t="s">
        <v>3744</v>
      </c>
      <c r="M172" s="20" t="s">
        <v>8677</v>
      </c>
      <c r="N172" s="20" t="s">
        <v>3744</v>
      </c>
      <c r="O172" s="20" t="s">
        <v>8783</v>
      </c>
      <c r="P172" s="20"/>
      <c r="Q172" s="1" t="s">
        <v>3744</v>
      </c>
    </row>
    <row r="173" spans="1:17" x14ac:dyDescent="0.25">
      <c r="A173" s="1" t="s">
        <v>9182</v>
      </c>
      <c r="B173" s="95" t="s">
        <v>9044</v>
      </c>
      <c r="C173" s="1">
        <v>1</v>
      </c>
      <c r="D173" s="1" t="s">
        <v>3744</v>
      </c>
      <c r="E173" s="21" t="s">
        <v>8657</v>
      </c>
      <c r="F173" s="20" t="s">
        <v>3744</v>
      </c>
      <c r="G173" s="20" t="s">
        <v>8780</v>
      </c>
      <c r="H173" s="20" t="s">
        <v>309</v>
      </c>
      <c r="I173" s="20" t="s">
        <v>8835</v>
      </c>
      <c r="J173" s="20" t="s">
        <v>309</v>
      </c>
      <c r="K173" s="20" t="s">
        <v>8884</v>
      </c>
      <c r="L173" s="20" t="s">
        <v>3744</v>
      </c>
      <c r="M173" s="20" t="s">
        <v>8677</v>
      </c>
      <c r="N173" s="20" t="s">
        <v>3744</v>
      </c>
      <c r="O173" s="20" t="s">
        <v>8783</v>
      </c>
      <c r="P173" s="20"/>
      <c r="Q173" s="1" t="s">
        <v>3744</v>
      </c>
    </row>
    <row r="174" spans="1:17" x14ac:dyDescent="0.25">
      <c r="A174" s="1" t="s">
        <v>9183</v>
      </c>
      <c r="B174" s="95" t="s">
        <v>9046</v>
      </c>
      <c r="C174" s="1">
        <v>1</v>
      </c>
      <c r="D174" s="1" t="s">
        <v>106</v>
      </c>
      <c r="E174" s="21" t="s">
        <v>8810</v>
      </c>
      <c r="F174" s="20" t="s">
        <v>309</v>
      </c>
      <c r="G174" s="20" t="s">
        <v>8880</v>
      </c>
      <c r="H174" s="20" t="s">
        <v>309</v>
      </c>
      <c r="I174" s="20">
        <v>344376</v>
      </c>
      <c r="J174" s="20" t="s">
        <v>344</v>
      </c>
      <c r="K174" s="20" t="s">
        <v>8898</v>
      </c>
      <c r="L174" s="20" t="s">
        <v>512</v>
      </c>
      <c r="M174" s="20" t="s">
        <v>512</v>
      </c>
      <c r="N174" s="20" t="s">
        <v>512</v>
      </c>
      <c r="O174" s="20" t="s">
        <v>512</v>
      </c>
      <c r="P174" s="20"/>
      <c r="Q174" s="1" t="s">
        <v>106</v>
      </c>
    </row>
    <row r="175" spans="1:17" x14ac:dyDescent="0.25">
      <c r="A175" s="1" t="s">
        <v>9184</v>
      </c>
      <c r="B175" s="95" t="s">
        <v>9048</v>
      </c>
      <c r="C175" s="1">
        <v>1</v>
      </c>
      <c r="D175" s="1" t="s">
        <v>106</v>
      </c>
      <c r="E175" s="21" t="s">
        <v>8806</v>
      </c>
      <c r="F175" s="20" t="s">
        <v>309</v>
      </c>
      <c r="G175" s="20" t="s">
        <v>8882</v>
      </c>
      <c r="H175" s="20" t="s">
        <v>309</v>
      </c>
      <c r="I175" s="20" t="s">
        <v>8973</v>
      </c>
      <c r="J175" s="20" t="s">
        <v>344</v>
      </c>
      <c r="K175" s="20" t="s">
        <v>8898</v>
      </c>
      <c r="L175" s="20" t="s">
        <v>512</v>
      </c>
      <c r="M175" s="20" t="s">
        <v>512</v>
      </c>
      <c r="N175" s="20" t="s">
        <v>512</v>
      </c>
      <c r="O175" s="20" t="s">
        <v>512</v>
      </c>
      <c r="P175" s="20"/>
      <c r="Q175" s="1" t="s">
        <v>106</v>
      </c>
    </row>
    <row r="176" spans="1:17" x14ac:dyDescent="0.25">
      <c r="A176" s="1" t="s">
        <v>9185</v>
      </c>
      <c r="B176" s="95" t="s">
        <v>9030</v>
      </c>
      <c r="C176" s="1">
        <v>1</v>
      </c>
      <c r="D176" s="1" t="s">
        <v>3744</v>
      </c>
      <c r="E176" s="21" t="s">
        <v>8595</v>
      </c>
      <c r="F176" s="20" t="s">
        <v>8781</v>
      </c>
      <c r="G176" s="20" t="s">
        <v>8618</v>
      </c>
      <c r="H176" s="20" t="s">
        <v>309</v>
      </c>
      <c r="I176" s="20" t="s">
        <v>8878</v>
      </c>
      <c r="J176" s="20" t="s">
        <v>512</v>
      </c>
      <c r="K176" s="20" t="s">
        <v>512</v>
      </c>
      <c r="L176" s="20" t="s">
        <v>512</v>
      </c>
      <c r="M176" s="20" t="s">
        <v>512</v>
      </c>
      <c r="N176" s="20" t="s">
        <v>512</v>
      </c>
      <c r="O176" s="20" t="s">
        <v>512</v>
      </c>
      <c r="P176" s="20"/>
      <c r="Q176" s="1" t="s">
        <v>3744</v>
      </c>
    </row>
    <row r="177" spans="1:17" x14ac:dyDescent="0.25">
      <c r="A177" s="1" t="s">
        <v>9186</v>
      </c>
      <c r="B177" s="95" t="s">
        <v>9030</v>
      </c>
      <c r="C177" s="1">
        <v>1</v>
      </c>
      <c r="D177" s="1" t="s">
        <v>3744</v>
      </c>
      <c r="E177" s="21" t="s">
        <v>8595</v>
      </c>
      <c r="F177" s="20" t="s">
        <v>8781</v>
      </c>
      <c r="G177" s="20" t="s">
        <v>8618</v>
      </c>
      <c r="H177" s="20" t="s">
        <v>309</v>
      </c>
      <c r="I177" s="20" t="s">
        <v>8878</v>
      </c>
      <c r="J177" s="20" t="s">
        <v>512</v>
      </c>
      <c r="K177" s="20" t="s">
        <v>512</v>
      </c>
      <c r="L177" s="20" t="s">
        <v>512</v>
      </c>
      <c r="M177" s="20" t="s">
        <v>512</v>
      </c>
      <c r="N177" s="20" t="s">
        <v>512</v>
      </c>
      <c r="O177" s="20" t="s">
        <v>512</v>
      </c>
      <c r="P177" s="20"/>
      <c r="Q177" s="1" t="s">
        <v>3744</v>
      </c>
    </row>
    <row r="178" spans="1:17" x14ac:dyDescent="0.25">
      <c r="A178" s="1" t="s">
        <v>9187</v>
      </c>
      <c r="B178" s="95" t="s">
        <v>9044</v>
      </c>
      <c r="C178" s="1">
        <v>1</v>
      </c>
      <c r="D178" s="1" t="s">
        <v>3744</v>
      </c>
      <c r="E178" s="21" t="s">
        <v>8657</v>
      </c>
      <c r="F178" s="20" t="s">
        <v>3744</v>
      </c>
      <c r="G178" s="20" t="s">
        <v>8780</v>
      </c>
      <c r="H178" s="20" t="s">
        <v>309</v>
      </c>
      <c r="I178" s="20" t="s">
        <v>8835</v>
      </c>
      <c r="J178" s="20" t="s">
        <v>309</v>
      </c>
      <c r="K178" s="20" t="s">
        <v>8884</v>
      </c>
      <c r="L178" s="20" t="s">
        <v>3744</v>
      </c>
      <c r="M178" s="20" t="s">
        <v>8677</v>
      </c>
      <c r="N178" s="20" t="s">
        <v>3744</v>
      </c>
      <c r="O178" s="20" t="s">
        <v>8783</v>
      </c>
      <c r="P178" s="20"/>
      <c r="Q178" s="1" t="s">
        <v>3744</v>
      </c>
    </row>
    <row r="179" spans="1:17" x14ac:dyDescent="0.25">
      <c r="A179" s="1" t="s">
        <v>9188</v>
      </c>
      <c r="B179" s="95" t="s">
        <v>9044</v>
      </c>
      <c r="C179" s="1">
        <v>1</v>
      </c>
      <c r="D179" s="1" t="s">
        <v>3744</v>
      </c>
      <c r="E179" s="21" t="s">
        <v>8657</v>
      </c>
      <c r="F179" s="20" t="s">
        <v>3744</v>
      </c>
      <c r="G179" s="20" t="s">
        <v>8780</v>
      </c>
      <c r="H179" s="20" t="s">
        <v>309</v>
      </c>
      <c r="I179" s="20" t="s">
        <v>8835</v>
      </c>
      <c r="J179" s="20" t="s">
        <v>309</v>
      </c>
      <c r="K179" s="20" t="s">
        <v>8884</v>
      </c>
      <c r="L179" s="20" t="s">
        <v>3744</v>
      </c>
      <c r="M179" s="20" t="s">
        <v>8677</v>
      </c>
      <c r="N179" s="20" t="s">
        <v>3744</v>
      </c>
      <c r="O179" s="20" t="s">
        <v>8783</v>
      </c>
      <c r="P179" s="20"/>
      <c r="Q179" s="1" t="s">
        <v>3744</v>
      </c>
    </row>
    <row r="180" spans="1:17" x14ac:dyDescent="0.25">
      <c r="A180" s="1" t="s">
        <v>9189</v>
      </c>
      <c r="B180" s="95" t="s">
        <v>9046</v>
      </c>
      <c r="C180" s="1">
        <v>1</v>
      </c>
      <c r="D180" s="1" t="s">
        <v>106</v>
      </c>
      <c r="E180" s="21" t="s">
        <v>8810</v>
      </c>
      <c r="F180" s="20" t="s">
        <v>309</v>
      </c>
      <c r="G180" s="20" t="s">
        <v>8880</v>
      </c>
      <c r="H180" s="20" t="s">
        <v>309</v>
      </c>
      <c r="I180" s="20">
        <v>344376</v>
      </c>
      <c r="J180" s="20" t="s">
        <v>344</v>
      </c>
      <c r="K180" s="20" t="s">
        <v>8898</v>
      </c>
      <c r="L180" s="20" t="s">
        <v>512</v>
      </c>
      <c r="M180" s="20" t="s">
        <v>512</v>
      </c>
      <c r="N180" s="20" t="s">
        <v>512</v>
      </c>
      <c r="O180" s="20" t="s">
        <v>512</v>
      </c>
      <c r="P180" s="20"/>
      <c r="Q180" s="1" t="s">
        <v>106</v>
      </c>
    </row>
    <row r="181" spans="1:17" x14ac:dyDescent="0.25">
      <c r="A181" s="1" t="s">
        <v>9190</v>
      </c>
      <c r="B181" s="95" t="s">
        <v>9048</v>
      </c>
      <c r="C181" s="1">
        <v>1</v>
      </c>
      <c r="D181" s="1" t="s">
        <v>106</v>
      </c>
      <c r="E181" s="21" t="s">
        <v>8806</v>
      </c>
      <c r="F181" s="20" t="s">
        <v>309</v>
      </c>
      <c r="G181" s="20" t="s">
        <v>8882</v>
      </c>
      <c r="H181" s="20" t="s">
        <v>309</v>
      </c>
      <c r="I181" s="20" t="s">
        <v>8973</v>
      </c>
      <c r="J181" s="20" t="s">
        <v>344</v>
      </c>
      <c r="K181" s="20" t="s">
        <v>8898</v>
      </c>
      <c r="L181" s="20" t="s">
        <v>512</v>
      </c>
      <c r="M181" s="20" t="s">
        <v>512</v>
      </c>
      <c r="N181" s="20" t="s">
        <v>512</v>
      </c>
      <c r="O181" s="20" t="s">
        <v>512</v>
      </c>
      <c r="P181" s="20"/>
      <c r="Q181" s="1" t="s">
        <v>106</v>
      </c>
    </row>
    <row r="182" spans="1:17" x14ac:dyDescent="0.25">
      <c r="A182" s="1" t="s">
        <v>9191</v>
      </c>
      <c r="B182" s="95" t="s">
        <v>9030</v>
      </c>
      <c r="C182" s="1">
        <v>1</v>
      </c>
      <c r="D182" s="1" t="s">
        <v>3744</v>
      </c>
      <c r="E182" s="21" t="s">
        <v>8595</v>
      </c>
      <c r="F182" s="20" t="s">
        <v>8781</v>
      </c>
      <c r="G182" s="20" t="s">
        <v>8618</v>
      </c>
      <c r="H182" s="20" t="s">
        <v>309</v>
      </c>
      <c r="I182" s="20" t="s">
        <v>8878</v>
      </c>
      <c r="J182" s="20" t="s">
        <v>512</v>
      </c>
      <c r="K182" s="20" t="s">
        <v>512</v>
      </c>
      <c r="L182" s="20" t="s">
        <v>512</v>
      </c>
      <c r="M182" s="20" t="s">
        <v>512</v>
      </c>
      <c r="N182" s="20" t="s">
        <v>512</v>
      </c>
      <c r="O182" s="20" t="s">
        <v>512</v>
      </c>
      <c r="P182" s="20"/>
      <c r="Q182" s="1" t="s">
        <v>3744</v>
      </c>
    </row>
    <row r="183" spans="1:17" x14ac:dyDescent="0.25">
      <c r="A183" s="1" t="s">
        <v>9192</v>
      </c>
      <c r="B183" s="95" t="s">
        <v>9030</v>
      </c>
      <c r="C183" s="1">
        <v>1</v>
      </c>
      <c r="D183" s="1" t="s">
        <v>3744</v>
      </c>
      <c r="E183" s="21" t="s">
        <v>8595</v>
      </c>
      <c r="F183" s="20" t="s">
        <v>8781</v>
      </c>
      <c r="G183" s="20" t="s">
        <v>8618</v>
      </c>
      <c r="H183" s="20" t="s">
        <v>309</v>
      </c>
      <c r="I183" s="20" t="s">
        <v>8878</v>
      </c>
      <c r="J183" s="20" t="s">
        <v>512</v>
      </c>
      <c r="K183" s="20" t="s">
        <v>512</v>
      </c>
      <c r="L183" s="20" t="s">
        <v>512</v>
      </c>
      <c r="M183" s="20" t="s">
        <v>512</v>
      </c>
      <c r="N183" s="20" t="s">
        <v>512</v>
      </c>
      <c r="O183" s="20" t="s">
        <v>512</v>
      </c>
      <c r="P183" s="20"/>
      <c r="Q183" s="1" t="s">
        <v>3744</v>
      </c>
    </row>
    <row r="184" spans="1:17" x14ac:dyDescent="0.25">
      <c r="A184" s="1" t="s">
        <v>9193</v>
      </c>
      <c r="B184" s="95" t="s">
        <v>9030</v>
      </c>
      <c r="C184" s="1">
        <v>1</v>
      </c>
      <c r="D184" s="1" t="s">
        <v>3744</v>
      </c>
      <c r="E184" s="21" t="s">
        <v>8595</v>
      </c>
      <c r="F184" s="20" t="s">
        <v>8781</v>
      </c>
      <c r="G184" s="20" t="s">
        <v>8618</v>
      </c>
      <c r="H184" s="20" t="s">
        <v>309</v>
      </c>
      <c r="I184" s="20" t="s">
        <v>8878</v>
      </c>
      <c r="J184" s="20" t="s">
        <v>512</v>
      </c>
      <c r="K184" s="20" t="s">
        <v>512</v>
      </c>
      <c r="L184" s="20" t="s">
        <v>512</v>
      </c>
      <c r="M184" s="20" t="s">
        <v>512</v>
      </c>
      <c r="N184" s="20" t="s">
        <v>512</v>
      </c>
      <c r="O184" s="20" t="s">
        <v>512</v>
      </c>
      <c r="P184" s="20"/>
      <c r="Q184" s="1" t="s">
        <v>3744</v>
      </c>
    </row>
    <row r="185" spans="1:17" x14ac:dyDescent="0.25">
      <c r="A185" s="1" t="s">
        <v>9194</v>
      </c>
      <c r="B185" s="95" t="s">
        <v>9059</v>
      </c>
      <c r="C185" s="1">
        <v>1</v>
      </c>
      <c r="D185" s="1" t="s">
        <v>309</v>
      </c>
      <c r="E185" s="21" t="s">
        <v>8828</v>
      </c>
      <c r="F185" s="20" t="s">
        <v>309</v>
      </c>
      <c r="G185" s="20" t="s">
        <v>8971</v>
      </c>
      <c r="H185" s="20" t="s">
        <v>309</v>
      </c>
      <c r="I185" s="20" t="s">
        <v>8886</v>
      </c>
      <c r="J185" s="20" t="s">
        <v>344</v>
      </c>
      <c r="K185" s="20" t="s">
        <v>8898</v>
      </c>
      <c r="L185" s="20" t="s">
        <v>512</v>
      </c>
      <c r="M185" s="20" t="s">
        <v>512</v>
      </c>
      <c r="N185" s="20" t="s">
        <v>512</v>
      </c>
      <c r="O185" s="20" t="s">
        <v>512</v>
      </c>
      <c r="P185" s="20"/>
      <c r="Q185" s="1" t="s">
        <v>309</v>
      </c>
    </row>
    <row r="186" spans="1:17" x14ac:dyDescent="0.25">
      <c r="A186" s="1" t="s">
        <v>9195</v>
      </c>
      <c r="B186" s="95" t="s">
        <v>9044</v>
      </c>
      <c r="C186" s="1">
        <v>1</v>
      </c>
      <c r="D186" s="1" t="s">
        <v>3744</v>
      </c>
      <c r="E186" s="21" t="s">
        <v>8657</v>
      </c>
      <c r="F186" s="20" t="s">
        <v>3744</v>
      </c>
      <c r="G186" s="20" t="s">
        <v>8780</v>
      </c>
      <c r="H186" s="20" t="s">
        <v>309</v>
      </c>
      <c r="I186" s="20" t="s">
        <v>8835</v>
      </c>
      <c r="J186" s="20" t="s">
        <v>309</v>
      </c>
      <c r="K186" s="20" t="s">
        <v>8884</v>
      </c>
      <c r="L186" s="20" t="s">
        <v>3744</v>
      </c>
      <c r="M186" s="20" t="s">
        <v>8677</v>
      </c>
      <c r="N186" s="20" t="s">
        <v>3744</v>
      </c>
      <c r="O186" s="20" t="s">
        <v>8783</v>
      </c>
      <c r="P186" s="20"/>
      <c r="Q186" s="1" t="s">
        <v>3744</v>
      </c>
    </row>
    <row r="187" spans="1:17" x14ac:dyDescent="0.25">
      <c r="A187" s="1" t="s">
        <v>9196</v>
      </c>
      <c r="B187" s="95" t="s">
        <v>9044</v>
      </c>
      <c r="C187" s="1">
        <v>1</v>
      </c>
      <c r="D187" s="1" t="s">
        <v>3744</v>
      </c>
      <c r="E187" s="21" t="s">
        <v>8657</v>
      </c>
      <c r="F187" s="20" t="s">
        <v>3744</v>
      </c>
      <c r="G187" s="20" t="s">
        <v>8780</v>
      </c>
      <c r="H187" s="20" t="s">
        <v>309</v>
      </c>
      <c r="I187" s="20" t="s">
        <v>8835</v>
      </c>
      <c r="J187" s="20" t="s">
        <v>309</v>
      </c>
      <c r="K187" s="20" t="s">
        <v>8884</v>
      </c>
      <c r="L187" s="20" t="s">
        <v>3744</v>
      </c>
      <c r="M187" s="20" t="s">
        <v>8677</v>
      </c>
      <c r="N187" s="20" t="s">
        <v>3744</v>
      </c>
      <c r="O187" s="20" t="s">
        <v>8783</v>
      </c>
      <c r="P187" s="20"/>
      <c r="Q187" s="1" t="s">
        <v>3744</v>
      </c>
    </row>
    <row r="188" spans="1:17" x14ac:dyDescent="0.25">
      <c r="A188" s="1" t="s">
        <v>9197</v>
      </c>
      <c r="B188" s="95" t="s">
        <v>9046</v>
      </c>
      <c r="C188" s="1">
        <v>1</v>
      </c>
      <c r="D188" s="1" t="s">
        <v>106</v>
      </c>
      <c r="E188" s="21" t="s">
        <v>8810</v>
      </c>
      <c r="F188" s="20" t="s">
        <v>309</v>
      </c>
      <c r="G188" s="20" t="s">
        <v>8880</v>
      </c>
      <c r="H188" s="20" t="s">
        <v>309</v>
      </c>
      <c r="I188" s="20">
        <v>344376</v>
      </c>
      <c r="J188" s="20" t="s">
        <v>344</v>
      </c>
      <c r="K188" s="20" t="s">
        <v>8898</v>
      </c>
      <c r="L188" s="20" t="s">
        <v>512</v>
      </c>
      <c r="M188" s="20" t="s">
        <v>512</v>
      </c>
      <c r="N188" s="20" t="s">
        <v>512</v>
      </c>
      <c r="O188" s="20" t="s">
        <v>512</v>
      </c>
      <c r="P188" s="20"/>
      <c r="Q188" s="1" t="s">
        <v>106</v>
      </c>
    </row>
    <row r="189" spans="1:17" x14ac:dyDescent="0.25">
      <c r="A189" s="1" t="s">
        <v>9198</v>
      </c>
      <c r="B189" s="95" t="s">
        <v>9048</v>
      </c>
      <c r="C189" s="1">
        <v>1</v>
      </c>
      <c r="D189" s="1" t="s">
        <v>106</v>
      </c>
      <c r="E189" s="21" t="s">
        <v>8806</v>
      </c>
      <c r="F189" s="20" t="s">
        <v>309</v>
      </c>
      <c r="G189" s="20" t="s">
        <v>8882</v>
      </c>
      <c r="H189" s="20" t="s">
        <v>309</v>
      </c>
      <c r="I189" s="20" t="s">
        <v>8973</v>
      </c>
      <c r="J189" s="20" t="s">
        <v>344</v>
      </c>
      <c r="K189" s="20" t="s">
        <v>8898</v>
      </c>
      <c r="L189" s="20" t="s">
        <v>512</v>
      </c>
      <c r="M189" s="20" t="s">
        <v>512</v>
      </c>
      <c r="N189" s="20" t="s">
        <v>512</v>
      </c>
      <c r="O189" s="20" t="s">
        <v>512</v>
      </c>
      <c r="P189" s="20"/>
      <c r="Q189" s="1" t="s">
        <v>106</v>
      </c>
    </row>
    <row r="190" spans="1:17" x14ac:dyDescent="0.25">
      <c r="A190" s="1" t="s">
        <v>9199</v>
      </c>
      <c r="B190" s="95" t="s">
        <v>9030</v>
      </c>
      <c r="C190" s="1">
        <v>1</v>
      </c>
      <c r="D190" s="1" t="s">
        <v>3744</v>
      </c>
      <c r="E190" s="21" t="s">
        <v>8595</v>
      </c>
      <c r="F190" s="20" t="s">
        <v>8781</v>
      </c>
      <c r="G190" s="20" t="s">
        <v>8618</v>
      </c>
      <c r="H190" s="20" t="s">
        <v>309</v>
      </c>
      <c r="I190" s="20" t="s">
        <v>8878</v>
      </c>
      <c r="J190" s="20" t="s">
        <v>512</v>
      </c>
      <c r="K190" s="20" t="s">
        <v>512</v>
      </c>
      <c r="L190" s="20" t="s">
        <v>512</v>
      </c>
      <c r="M190" s="20" t="s">
        <v>512</v>
      </c>
      <c r="N190" s="20" t="s">
        <v>512</v>
      </c>
      <c r="O190" s="20" t="s">
        <v>512</v>
      </c>
      <c r="P190" s="20"/>
      <c r="Q190" s="1" t="s">
        <v>3744</v>
      </c>
    </row>
    <row r="191" spans="1:17" x14ac:dyDescent="0.25">
      <c r="A191" s="1" t="s">
        <v>9200</v>
      </c>
      <c r="B191" s="95" t="s">
        <v>9030</v>
      </c>
      <c r="C191" s="1">
        <v>1</v>
      </c>
      <c r="D191" s="1" t="s">
        <v>3744</v>
      </c>
      <c r="E191" s="21" t="s">
        <v>8595</v>
      </c>
      <c r="F191" s="20" t="s">
        <v>8781</v>
      </c>
      <c r="G191" s="20" t="s">
        <v>8618</v>
      </c>
      <c r="H191" s="20" t="s">
        <v>309</v>
      </c>
      <c r="I191" s="20" t="s">
        <v>8878</v>
      </c>
      <c r="J191" s="20" t="s">
        <v>512</v>
      </c>
      <c r="K191" s="20" t="s">
        <v>512</v>
      </c>
      <c r="L191" s="20" t="s">
        <v>512</v>
      </c>
      <c r="M191" s="20" t="s">
        <v>512</v>
      </c>
      <c r="N191" s="20" t="s">
        <v>512</v>
      </c>
      <c r="O191" s="20" t="s">
        <v>512</v>
      </c>
      <c r="P191" s="20"/>
      <c r="Q191" s="1" t="s">
        <v>3744</v>
      </c>
    </row>
    <row r="192" spans="1:17" x14ac:dyDescent="0.25">
      <c r="A192" s="1" t="s">
        <v>9201</v>
      </c>
      <c r="B192" s="95" t="s">
        <v>9044</v>
      </c>
      <c r="C192" s="1">
        <v>1</v>
      </c>
      <c r="D192" s="1" t="s">
        <v>3744</v>
      </c>
      <c r="E192" s="21" t="s">
        <v>8657</v>
      </c>
      <c r="F192" s="20" t="s">
        <v>3744</v>
      </c>
      <c r="G192" s="20" t="s">
        <v>8780</v>
      </c>
      <c r="H192" s="20" t="s">
        <v>309</v>
      </c>
      <c r="I192" s="20" t="s">
        <v>8835</v>
      </c>
      <c r="J192" s="20" t="s">
        <v>309</v>
      </c>
      <c r="K192" s="20" t="s">
        <v>8884</v>
      </c>
      <c r="L192" s="20" t="s">
        <v>3744</v>
      </c>
      <c r="M192" s="20" t="s">
        <v>8677</v>
      </c>
      <c r="N192" s="20" t="s">
        <v>3744</v>
      </c>
      <c r="O192" s="20" t="s">
        <v>8783</v>
      </c>
      <c r="P192" s="20"/>
      <c r="Q192" s="1" t="s">
        <v>3744</v>
      </c>
    </row>
    <row r="193" spans="1:17" x14ac:dyDescent="0.25">
      <c r="A193" s="1" t="s">
        <v>9202</v>
      </c>
      <c r="B193" s="95" t="s">
        <v>9044</v>
      </c>
      <c r="C193" s="1">
        <v>1</v>
      </c>
      <c r="D193" s="1" t="s">
        <v>3744</v>
      </c>
      <c r="E193" s="21" t="s">
        <v>8657</v>
      </c>
      <c r="F193" s="20" t="s">
        <v>3744</v>
      </c>
      <c r="G193" s="20" t="s">
        <v>8780</v>
      </c>
      <c r="H193" s="20" t="s">
        <v>309</v>
      </c>
      <c r="I193" s="20" t="s">
        <v>8835</v>
      </c>
      <c r="J193" s="20" t="s">
        <v>309</v>
      </c>
      <c r="K193" s="20" t="s">
        <v>8884</v>
      </c>
      <c r="L193" s="20" t="s">
        <v>3744</v>
      </c>
      <c r="M193" s="20" t="s">
        <v>8677</v>
      </c>
      <c r="N193" s="20" t="s">
        <v>3744</v>
      </c>
      <c r="O193" s="20" t="s">
        <v>8783</v>
      </c>
      <c r="P193" s="20"/>
      <c r="Q193" s="1" t="s">
        <v>3744</v>
      </c>
    </row>
    <row r="194" spans="1:17" x14ac:dyDescent="0.25">
      <c r="A194" s="1" t="s">
        <v>9203</v>
      </c>
      <c r="B194" s="95" t="s">
        <v>9046</v>
      </c>
      <c r="C194" s="1">
        <v>1</v>
      </c>
      <c r="D194" s="1" t="s">
        <v>106</v>
      </c>
      <c r="E194" s="21" t="s">
        <v>8810</v>
      </c>
      <c r="F194" s="1" t="s">
        <v>309</v>
      </c>
      <c r="G194" s="1" t="s">
        <v>8880</v>
      </c>
      <c r="H194" s="20" t="s">
        <v>309</v>
      </c>
      <c r="I194" s="20">
        <v>344376</v>
      </c>
      <c r="J194" s="1" t="s">
        <v>344</v>
      </c>
      <c r="K194" s="1" t="s">
        <v>8898</v>
      </c>
      <c r="L194" s="1" t="s">
        <v>512</v>
      </c>
      <c r="M194" s="1" t="s">
        <v>512</v>
      </c>
      <c r="N194" s="1" t="s">
        <v>512</v>
      </c>
      <c r="O194" s="1" t="s">
        <v>512</v>
      </c>
      <c r="P194" s="20"/>
      <c r="Q194" s="1" t="s">
        <v>106</v>
      </c>
    </row>
    <row r="195" spans="1:17" x14ac:dyDescent="0.25">
      <c r="A195" s="1" t="s">
        <v>9204</v>
      </c>
      <c r="B195" s="95" t="s">
        <v>9048</v>
      </c>
      <c r="C195" s="1">
        <v>1</v>
      </c>
      <c r="D195" s="1" t="s">
        <v>106</v>
      </c>
      <c r="E195" s="21" t="s">
        <v>8806</v>
      </c>
      <c r="F195" s="20" t="s">
        <v>309</v>
      </c>
      <c r="G195" s="20" t="s">
        <v>8882</v>
      </c>
      <c r="H195" s="20" t="s">
        <v>309</v>
      </c>
      <c r="I195" s="20" t="s">
        <v>8973</v>
      </c>
      <c r="J195" s="20" t="s">
        <v>344</v>
      </c>
      <c r="K195" s="20" t="s">
        <v>8898</v>
      </c>
      <c r="L195" s="20" t="s">
        <v>512</v>
      </c>
      <c r="M195" s="20" t="s">
        <v>512</v>
      </c>
      <c r="N195" s="20" t="s">
        <v>512</v>
      </c>
      <c r="O195" s="20" t="s">
        <v>512</v>
      </c>
      <c r="P195" s="20"/>
      <c r="Q195" s="1" t="s">
        <v>106</v>
      </c>
    </row>
    <row r="196" spans="1:17" x14ac:dyDescent="0.25">
      <c r="A196" s="1" t="s">
        <v>9205</v>
      </c>
      <c r="B196" s="95" t="s">
        <v>9030</v>
      </c>
      <c r="C196" s="1">
        <v>1</v>
      </c>
      <c r="D196" s="1" t="s">
        <v>3744</v>
      </c>
      <c r="E196" s="21" t="s">
        <v>8595</v>
      </c>
      <c r="F196" s="20" t="s">
        <v>8781</v>
      </c>
      <c r="G196" s="20" t="s">
        <v>8618</v>
      </c>
      <c r="H196" s="20" t="s">
        <v>309</v>
      </c>
      <c r="I196" s="20" t="s">
        <v>8878</v>
      </c>
      <c r="J196" s="20" t="s">
        <v>512</v>
      </c>
      <c r="K196" s="20" t="s">
        <v>512</v>
      </c>
      <c r="L196" s="20" t="s">
        <v>512</v>
      </c>
      <c r="M196" s="20" t="s">
        <v>512</v>
      </c>
      <c r="N196" s="20" t="s">
        <v>512</v>
      </c>
      <c r="O196" s="20" t="s">
        <v>512</v>
      </c>
      <c r="P196" s="20"/>
      <c r="Q196" s="1" t="s">
        <v>3744</v>
      </c>
    </row>
    <row r="197" spans="1:17" x14ac:dyDescent="0.25">
      <c r="A197" s="1" t="s">
        <v>9206</v>
      </c>
      <c r="B197" s="95" t="s">
        <v>9030</v>
      </c>
      <c r="C197" s="1">
        <v>1</v>
      </c>
      <c r="D197" s="1" t="s">
        <v>3744</v>
      </c>
      <c r="E197" s="21" t="s">
        <v>8595</v>
      </c>
      <c r="F197" s="20" t="s">
        <v>8781</v>
      </c>
      <c r="G197" s="20" t="s">
        <v>8618</v>
      </c>
      <c r="H197" s="20" t="s">
        <v>309</v>
      </c>
      <c r="I197" s="20" t="s">
        <v>8878</v>
      </c>
      <c r="J197" s="20" t="s">
        <v>512</v>
      </c>
      <c r="K197" s="20" t="s">
        <v>512</v>
      </c>
      <c r="L197" s="20" t="s">
        <v>512</v>
      </c>
      <c r="M197" s="20" t="s">
        <v>512</v>
      </c>
      <c r="N197" s="20" t="s">
        <v>512</v>
      </c>
      <c r="O197" s="20" t="s">
        <v>512</v>
      </c>
      <c r="P197" s="20"/>
      <c r="Q197" s="1" t="s">
        <v>3744</v>
      </c>
    </row>
    <row r="198" spans="1:17" x14ac:dyDescent="0.25">
      <c r="A198" s="1" t="s">
        <v>9207</v>
      </c>
      <c r="B198" s="95" t="s">
        <v>9030</v>
      </c>
      <c r="C198" s="1">
        <v>1</v>
      </c>
      <c r="D198" s="1" t="s">
        <v>3744</v>
      </c>
      <c r="E198" s="21" t="s">
        <v>8595</v>
      </c>
      <c r="F198" s="20" t="s">
        <v>8781</v>
      </c>
      <c r="G198" s="20" t="s">
        <v>8616</v>
      </c>
      <c r="H198" s="20" t="s">
        <v>309</v>
      </c>
      <c r="I198" s="20" t="s">
        <v>8878</v>
      </c>
      <c r="J198" s="20" t="s">
        <v>512</v>
      </c>
      <c r="K198" s="20" t="s">
        <v>512</v>
      </c>
      <c r="L198" s="20" t="s">
        <v>512</v>
      </c>
      <c r="M198" s="20" t="s">
        <v>512</v>
      </c>
      <c r="N198" s="20" t="s">
        <v>512</v>
      </c>
      <c r="O198" s="20" t="s">
        <v>512</v>
      </c>
      <c r="P198" s="20"/>
      <c r="Q198" s="1" t="s">
        <v>3744</v>
      </c>
    </row>
    <row r="199" spans="1:17" x14ac:dyDescent="0.25">
      <c r="A199" s="1" t="s">
        <v>9208</v>
      </c>
      <c r="B199" s="95" t="s">
        <v>9059</v>
      </c>
      <c r="C199" s="1">
        <v>1</v>
      </c>
      <c r="D199" s="1" t="s">
        <v>309</v>
      </c>
      <c r="E199" s="21" t="s">
        <v>8828</v>
      </c>
      <c r="F199" s="20" t="s">
        <v>309</v>
      </c>
      <c r="G199" s="20" t="s">
        <v>8971</v>
      </c>
      <c r="H199" s="20" t="s">
        <v>309</v>
      </c>
      <c r="I199" s="20" t="s">
        <v>8886</v>
      </c>
      <c r="J199" s="20" t="s">
        <v>344</v>
      </c>
      <c r="K199" s="20" t="s">
        <v>8898</v>
      </c>
      <c r="L199" s="20" t="s">
        <v>512</v>
      </c>
      <c r="M199" s="20" t="s">
        <v>512</v>
      </c>
      <c r="N199" s="20" t="s">
        <v>512</v>
      </c>
      <c r="O199" s="20" t="s">
        <v>512</v>
      </c>
      <c r="P199" s="20"/>
      <c r="Q199" s="1" t="s">
        <v>309</v>
      </c>
    </row>
    <row r="200" spans="1:17" x14ac:dyDescent="0.25">
      <c r="A200" s="1" t="s">
        <v>9209</v>
      </c>
      <c r="B200" s="95" t="s">
        <v>9041</v>
      </c>
      <c r="C200" s="1">
        <v>1</v>
      </c>
      <c r="D200" s="1" t="s">
        <v>3744</v>
      </c>
      <c r="E200" s="21" t="s">
        <v>8785</v>
      </c>
      <c r="F200" s="20" t="s">
        <v>309</v>
      </c>
      <c r="G200" s="20" t="s">
        <v>8878</v>
      </c>
      <c r="H200" s="20" t="s">
        <v>8781</v>
      </c>
      <c r="I200" s="20" t="s">
        <v>8797</v>
      </c>
      <c r="J200" s="20" t="s">
        <v>512</v>
      </c>
      <c r="K200" s="20" t="s">
        <v>512</v>
      </c>
      <c r="L200" s="20" t="s">
        <v>512</v>
      </c>
      <c r="M200" s="20" t="s">
        <v>512</v>
      </c>
      <c r="N200" s="20" t="s">
        <v>512</v>
      </c>
      <c r="O200" s="20" t="s">
        <v>512</v>
      </c>
      <c r="P200" s="20"/>
      <c r="Q200" s="1" t="s">
        <v>3744</v>
      </c>
    </row>
    <row r="201" spans="1:17" x14ac:dyDescent="0.25">
      <c r="A201" s="1" t="s">
        <v>9210</v>
      </c>
      <c r="B201" s="95" t="s">
        <v>9030</v>
      </c>
      <c r="C201" s="1">
        <v>1</v>
      </c>
      <c r="D201" s="1" t="s">
        <v>3744</v>
      </c>
      <c r="E201" s="21" t="s">
        <v>8595</v>
      </c>
      <c r="F201" s="20" t="s">
        <v>8781</v>
      </c>
      <c r="G201" s="20" t="s">
        <v>8616</v>
      </c>
      <c r="H201" s="20" t="s">
        <v>309</v>
      </c>
      <c r="I201" s="20" t="s">
        <v>8878</v>
      </c>
      <c r="J201" s="20" t="s">
        <v>512</v>
      </c>
      <c r="K201" s="20" t="s">
        <v>512</v>
      </c>
      <c r="L201" s="20" t="s">
        <v>512</v>
      </c>
      <c r="M201" s="20" t="s">
        <v>512</v>
      </c>
      <c r="N201" s="20" t="s">
        <v>512</v>
      </c>
      <c r="O201" s="20" t="s">
        <v>512</v>
      </c>
      <c r="P201" s="20"/>
      <c r="Q201" s="1" t="s">
        <v>3744</v>
      </c>
    </row>
    <row r="202" spans="1:17" x14ac:dyDescent="0.25">
      <c r="A202" s="1" t="s">
        <v>9211</v>
      </c>
      <c r="B202" s="96" t="s">
        <v>9033</v>
      </c>
      <c r="C202" s="1">
        <v>1</v>
      </c>
      <c r="D202" s="1" t="s">
        <v>3744</v>
      </c>
      <c r="E202" s="21" t="s">
        <v>8791</v>
      </c>
      <c r="F202" s="20" t="s">
        <v>309</v>
      </c>
      <c r="G202" s="20" t="s">
        <v>8835</v>
      </c>
      <c r="H202" s="20" t="s">
        <v>512</v>
      </c>
      <c r="I202" s="20" t="s">
        <v>512</v>
      </c>
      <c r="J202" s="20" t="s">
        <v>512</v>
      </c>
      <c r="K202" s="20" t="s">
        <v>512</v>
      </c>
      <c r="L202" s="20" t="s">
        <v>512</v>
      </c>
      <c r="M202" s="20" t="s">
        <v>512</v>
      </c>
      <c r="N202" s="20" t="s">
        <v>512</v>
      </c>
      <c r="O202" s="20" t="s">
        <v>512</v>
      </c>
      <c r="P202" s="20"/>
      <c r="Q202" s="1" t="s">
        <v>3744</v>
      </c>
    </row>
    <row r="203" spans="1:17" x14ac:dyDescent="0.25">
      <c r="A203" s="1" t="s">
        <v>9212</v>
      </c>
      <c r="B203" s="95" t="s">
        <v>9030</v>
      </c>
      <c r="C203" s="1">
        <v>1</v>
      </c>
      <c r="D203" s="1" t="s">
        <v>3744</v>
      </c>
      <c r="E203" s="21" t="s">
        <v>8595</v>
      </c>
      <c r="F203" s="20" t="s">
        <v>8781</v>
      </c>
      <c r="G203" s="20" t="s">
        <v>8616</v>
      </c>
      <c r="H203" s="20" t="s">
        <v>309</v>
      </c>
      <c r="I203" s="20" t="s">
        <v>8878</v>
      </c>
      <c r="J203" s="20" t="s">
        <v>512</v>
      </c>
      <c r="K203" s="20" t="s">
        <v>512</v>
      </c>
      <c r="L203" s="20" t="s">
        <v>512</v>
      </c>
      <c r="M203" s="20" t="s">
        <v>512</v>
      </c>
      <c r="N203" s="20" t="s">
        <v>512</v>
      </c>
      <c r="O203" s="20" t="s">
        <v>512</v>
      </c>
      <c r="P203" s="20"/>
      <c r="Q203" s="1" t="s">
        <v>3744</v>
      </c>
    </row>
    <row r="204" spans="1:17" x14ac:dyDescent="0.25">
      <c r="A204" s="1" t="s">
        <v>9213</v>
      </c>
      <c r="B204" s="95" t="s">
        <v>9030</v>
      </c>
      <c r="C204" s="1">
        <v>1</v>
      </c>
      <c r="D204" s="1" t="s">
        <v>3744</v>
      </c>
      <c r="E204" s="21" t="s">
        <v>8595</v>
      </c>
      <c r="F204" s="20" t="s">
        <v>8781</v>
      </c>
      <c r="G204" s="20" t="s">
        <v>8618</v>
      </c>
      <c r="H204" s="20" t="s">
        <v>309</v>
      </c>
      <c r="I204" s="20" t="s">
        <v>8878</v>
      </c>
      <c r="J204" s="20" t="s">
        <v>512</v>
      </c>
      <c r="K204" s="20" t="s">
        <v>512</v>
      </c>
      <c r="L204" s="20" t="s">
        <v>512</v>
      </c>
      <c r="M204" s="20" t="s">
        <v>512</v>
      </c>
      <c r="N204" s="20" t="s">
        <v>512</v>
      </c>
      <c r="O204" s="20" t="s">
        <v>512</v>
      </c>
      <c r="P204" s="20"/>
      <c r="Q204" s="1" t="s">
        <v>3744</v>
      </c>
    </row>
    <row r="205" spans="1:17" x14ac:dyDescent="0.25">
      <c r="A205" s="1" t="s">
        <v>9214</v>
      </c>
      <c r="B205" s="95" t="s">
        <v>9059</v>
      </c>
      <c r="C205" s="1">
        <v>1</v>
      </c>
      <c r="D205" s="1" t="s">
        <v>309</v>
      </c>
      <c r="E205" s="21" t="s">
        <v>8828</v>
      </c>
      <c r="F205" s="20" t="s">
        <v>309</v>
      </c>
      <c r="G205" s="20" t="s">
        <v>8971</v>
      </c>
      <c r="H205" s="20" t="s">
        <v>309</v>
      </c>
      <c r="I205" s="20" t="s">
        <v>8886</v>
      </c>
      <c r="J205" s="20" t="s">
        <v>344</v>
      </c>
      <c r="K205" s="20" t="s">
        <v>8898</v>
      </c>
      <c r="L205" s="20" t="s">
        <v>512</v>
      </c>
      <c r="M205" s="20" t="s">
        <v>512</v>
      </c>
      <c r="N205" s="20" t="s">
        <v>512</v>
      </c>
      <c r="O205" s="20" t="s">
        <v>512</v>
      </c>
      <c r="P205" s="20"/>
      <c r="Q205" s="1" t="s">
        <v>309</v>
      </c>
    </row>
    <row r="206" spans="1:17" x14ac:dyDescent="0.25">
      <c r="A206" s="1" t="s">
        <v>9215</v>
      </c>
      <c r="B206" s="95" t="s">
        <v>9036</v>
      </c>
      <c r="C206" s="1">
        <v>1</v>
      </c>
      <c r="D206" s="1" t="s">
        <v>8856</v>
      </c>
      <c r="E206" s="21" t="s">
        <v>8855</v>
      </c>
      <c r="F206" s="20" t="s">
        <v>8753</v>
      </c>
      <c r="G206" s="20" t="s">
        <v>8757</v>
      </c>
      <c r="H206" s="20" t="s">
        <v>8753</v>
      </c>
      <c r="I206" s="20" t="s">
        <v>8759</v>
      </c>
      <c r="J206" s="20" t="s">
        <v>8753</v>
      </c>
      <c r="K206" s="20" t="s">
        <v>8761</v>
      </c>
      <c r="L206" s="20" t="s">
        <v>512</v>
      </c>
      <c r="M206" s="20" t="s">
        <v>512</v>
      </c>
      <c r="N206" s="20" t="s">
        <v>512</v>
      </c>
      <c r="O206" s="20" t="s">
        <v>512</v>
      </c>
      <c r="P206" s="20"/>
      <c r="Q206" s="1" t="s">
        <v>8856</v>
      </c>
    </row>
    <row r="207" spans="1:17" x14ac:dyDescent="0.25">
      <c r="A207" s="1" t="s">
        <v>9216</v>
      </c>
      <c r="B207" s="95" t="s">
        <v>9139</v>
      </c>
      <c r="C207" s="1">
        <v>1</v>
      </c>
      <c r="D207" s="1" t="s">
        <v>3744</v>
      </c>
      <c r="E207" s="21" t="s">
        <v>8787</v>
      </c>
      <c r="F207" s="20" t="s">
        <v>309</v>
      </c>
      <c r="G207" s="20" t="s">
        <v>8878</v>
      </c>
      <c r="H207" s="20" t="s">
        <v>8781</v>
      </c>
      <c r="I207" s="20" t="s">
        <v>8797</v>
      </c>
      <c r="J207" s="20" t="s">
        <v>512</v>
      </c>
      <c r="K207" s="20" t="s">
        <v>512</v>
      </c>
      <c r="L207" s="20" t="s">
        <v>512</v>
      </c>
      <c r="M207" s="20" t="s">
        <v>512</v>
      </c>
      <c r="N207" s="20" t="s">
        <v>512</v>
      </c>
      <c r="O207" s="20" t="s">
        <v>512</v>
      </c>
      <c r="P207" s="20"/>
      <c r="Q207" s="1" t="s">
        <v>3744</v>
      </c>
    </row>
    <row r="208" spans="1:17" x14ac:dyDescent="0.25">
      <c r="A208" s="1" t="s">
        <v>9217</v>
      </c>
      <c r="B208" s="95" t="s">
        <v>9030</v>
      </c>
      <c r="C208" s="1">
        <v>1</v>
      </c>
      <c r="D208" s="1" t="s">
        <v>3744</v>
      </c>
      <c r="E208" s="21" t="s">
        <v>8595</v>
      </c>
      <c r="F208" s="1" t="s">
        <v>8781</v>
      </c>
      <c r="G208" s="1" t="s">
        <v>8618</v>
      </c>
      <c r="H208" s="20" t="s">
        <v>309</v>
      </c>
      <c r="I208" s="20" t="s">
        <v>8878</v>
      </c>
      <c r="J208" s="1" t="s">
        <v>512</v>
      </c>
      <c r="K208" s="1" t="s">
        <v>512</v>
      </c>
      <c r="L208" s="1" t="s">
        <v>512</v>
      </c>
      <c r="M208" s="1" t="s">
        <v>512</v>
      </c>
      <c r="N208" s="1" t="s">
        <v>512</v>
      </c>
      <c r="O208" s="1" t="s">
        <v>512</v>
      </c>
      <c r="P208" s="20"/>
      <c r="Q208" s="1" t="s">
        <v>3744</v>
      </c>
    </row>
    <row r="209" spans="1:19" x14ac:dyDescent="0.25">
      <c r="A209" s="1" t="s">
        <v>9218</v>
      </c>
      <c r="B209" s="95" t="s">
        <v>9139</v>
      </c>
      <c r="C209" s="1">
        <v>1</v>
      </c>
      <c r="D209" s="1" t="s">
        <v>3744</v>
      </c>
      <c r="E209" s="21" t="s">
        <v>8787</v>
      </c>
      <c r="F209" s="20" t="s">
        <v>309</v>
      </c>
      <c r="G209" s="20" t="s">
        <v>8878</v>
      </c>
      <c r="H209" s="20" t="s">
        <v>8781</v>
      </c>
      <c r="I209" s="20" t="s">
        <v>8797</v>
      </c>
      <c r="J209" s="20" t="s">
        <v>512</v>
      </c>
      <c r="K209" s="20" t="s">
        <v>512</v>
      </c>
      <c r="L209" s="20" t="s">
        <v>512</v>
      </c>
      <c r="M209" s="20" t="s">
        <v>512</v>
      </c>
      <c r="N209" s="20" t="s">
        <v>512</v>
      </c>
      <c r="O209" s="20" t="s">
        <v>512</v>
      </c>
      <c r="P209" s="20"/>
      <c r="Q209" s="1" t="s">
        <v>3744</v>
      </c>
    </row>
    <row r="210" spans="1:19" x14ac:dyDescent="0.25">
      <c r="A210" s="1" t="s">
        <v>9219</v>
      </c>
      <c r="B210" s="95" t="s">
        <v>9044</v>
      </c>
      <c r="C210" s="1">
        <v>1</v>
      </c>
      <c r="D210" s="1" t="s">
        <v>3744</v>
      </c>
      <c r="E210" s="21" t="s">
        <v>8657</v>
      </c>
      <c r="F210" s="20" t="s">
        <v>3744</v>
      </c>
      <c r="G210" s="20" t="s">
        <v>8780</v>
      </c>
      <c r="H210" s="20" t="s">
        <v>309</v>
      </c>
      <c r="I210" s="20" t="s">
        <v>8835</v>
      </c>
      <c r="J210" s="20" t="s">
        <v>309</v>
      </c>
      <c r="K210" s="20" t="s">
        <v>8884</v>
      </c>
      <c r="L210" s="20" t="s">
        <v>3744</v>
      </c>
      <c r="M210" s="20" t="s">
        <v>8677</v>
      </c>
      <c r="N210" s="20" t="s">
        <v>3744</v>
      </c>
      <c r="O210" s="20" t="s">
        <v>8783</v>
      </c>
      <c r="P210" s="20"/>
      <c r="Q210" s="1" t="s">
        <v>3744</v>
      </c>
    </row>
    <row r="211" spans="1:19" x14ac:dyDescent="0.25">
      <c r="A211" s="1" t="s">
        <v>9220</v>
      </c>
      <c r="B211" s="95" t="s">
        <v>9030</v>
      </c>
      <c r="C211" s="1">
        <v>1</v>
      </c>
      <c r="D211" s="1" t="s">
        <v>3744</v>
      </c>
      <c r="E211" s="21" t="s">
        <v>8595</v>
      </c>
      <c r="F211" s="20" t="s">
        <v>8781</v>
      </c>
      <c r="G211" s="20" t="s">
        <v>8618</v>
      </c>
      <c r="H211" s="20" t="s">
        <v>309</v>
      </c>
      <c r="I211" s="20" t="s">
        <v>8878</v>
      </c>
      <c r="J211" s="20" t="s">
        <v>512</v>
      </c>
      <c r="K211" s="20" t="s">
        <v>512</v>
      </c>
      <c r="L211" s="20" t="s">
        <v>512</v>
      </c>
      <c r="M211" s="20" t="s">
        <v>512</v>
      </c>
      <c r="N211" s="20" t="s">
        <v>512</v>
      </c>
      <c r="O211" s="20" t="s">
        <v>512</v>
      </c>
      <c r="P211" s="20"/>
      <c r="Q211" s="1" t="s">
        <v>3744</v>
      </c>
    </row>
    <row r="212" spans="1:19" x14ac:dyDescent="0.25">
      <c r="A212" s="1" t="s">
        <v>9221</v>
      </c>
      <c r="B212" s="95" t="s">
        <v>9036</v>
      </c>
      <c r="C212" s="1">
        <v>1</v>
      </c>
      <c r="D212" s="1" t="s">
        <v>8856</v>
      </c>
      <c r="E212" s="21" t="s">
        <v>8855</v>
      </c>
      <c r="F212" s="20" t="s">
        <v>8753</v>
      </c>
      <c r="G212" s="20" t="s">
        <v>8757</v>
      </c>
      <c r="H212" s="20" t="s">
        <v>8753</v>
      </c>
      <c r="I212" s="20" t="s">
        <v>8759</v>
      </c>
      <c r="J212" s="20" t="s">
        <v>8753</v>
      </c>
      <c r="K212" s="20" t="s">
        <v>8761</v>
      </c>
      <c r="L212" s="20" t="s">
        <v>512</v>
      </c>
      <c r="M212" s="20" t="s">
        <v>512</v>
      </c>
      <c r="N212" s="20" t="s">
        <v>512</v>
      </c>
      <c r="O212" s="20" t="s">
        <v>512</v>
      </c>
      <c r="P212" s="20"/>
      <c r="Q212" s="1" t="s">
        <v>8856</v>
      </c>
    </row>
    <row r="213" spans="1:19" x14ac:dyDescent="0.25">
      <c r="A213" s="1" t="s">
        <v>9222</v>
      </c>
      <c r="B213" s="95" t="s">
        <v>9036</v>
      </c>
      <c r="C213" s="1">
        <v>1</v>
      </c>
      <c r="D213" s="1" t="s">
        <v>8856</v>
      </c>
      <c r="E213" s="21" t="s">
        <v>8855</v>
      </c>
      <c r="F213" s="20" t="s">
        <v>8753</v>
      </c>
      <c r="G213" s="20" t="s">
        <v>8757</v>
      </c>
      <c r="H213" s="20" t="s">
        <v>8753</v>
      </c>
      <c r="I213" s="20" t="s">
        <v>8759</v>
      </c>
      <c r="J213" s="20" t="s">
        <v>8753</v>
      </c>
      <c r="K213" s="20" t="s">
        <v>8761</v>
      </c>
      <c r="L213" s="20" t="s">
        <v>512</v>
      </c>
      <c r="M213" s="20" t="s">
        <v>512</v>
      </c>
      <c r="N213" s="20" t="s">
        <v>512</v>
      </c>
      <c r="O213" s="20" t="s">
        <v>512</v>
      </c>
      <c r="P213" s="20"/>
      <c r="Q213" s="1" t="s">
        <v>8856</v>
      </c>
    </row>
    <row r="214" spans="1:19" x14ac:dyDescent="0.25">
      <c r="A214" s="1" t="s">
        <v>9223</v>
      </c>
      <c r="B214" s="95" t="s">
        <v>9139</v>
      </c>
      <c r="C214" s="1">
        <v>1</v>
      </c>
      <c r="D214" s="1" t="s">
        <v>3744</v>
      </c>
      <c r="E214" s="21" t="s">
        <v>8787</v>
      </c>
      <c r="F214" s="1" t="s">
        <v>309</v>
      </c>
      <c r="G214" s="1" t="s">
        <v>8878</v>
      </c>
      <c r="H214" s="20" t="s">
        <v>8781</v>
      </c>
      <c r="I214" s="20" t="s">
        <v>8797</v>
      </c>
      <c r="J214" s="1" t="s">
        <v>512</v>
      </c>
      <c r="K214" s="1" t="s">
        <v>512</v>
      </c>
      <c r="L214" s="1" t="s">
        <v>512</v>
      </c>
      <c r="M214" s="1" t="s">
        <v>512</v>
      </c>
      <c r="N214" s="1" t="s">
        <v>512</v>
      </c>
      <c r="O214" s="1" t="s">
        <v>512</v>
      </c>
      <c r="P214" s="20"/>
      <c r="Q214" s="1" t="s">
        <v>3744</v>
      </c>
    </row>
    <row r="215" spans="1:19" s="20" customFormat="1" x14ac:dyDescent="0.25">
      <c r="A215" s="1" t="s">
        <v>9224</v>
      </c>
      <c r="B215" s="95" t="s">
        <v>9030</v>
      </c>
      <c r="C215" s="1">
        <v>1</v>
      </c>
      <c r="D215" s="1" t="s">
        <v>3744</v>
      </c>
      <c r="E215" s="21" t="s">
        <v>8595</v>
      </c>
      <c r="F215" s="20" t="s">
        <v>8781</v>
      </c>
      <c r="G215" s="20" t="s">
        <v>8616</v>
      </c>
      <c r="H215" s="20" t="s">
        <v>309</v>
      </c>
      <c r="I215" s="20" t="s">
        <v>8878</v>
      </c>
      <c r="J215" s="20" t="s">
        <v>512</v>
      </c>
      <c r="K215" s="20" t="s">
        <v>512</v>
      </c>
      <c r="L215" s="20" t="s">
        <v>512</v>
      </c>
      <c r="M215" s="20" t="s">
        <v>512</v>
      </c>
      <c r="N215" s="20" t="s">
        <v>512</v>
      </c>
      <c r="O215" s="20" t="s">
        <v>512</v>
      </c>
      <c r="Q215" s="1" t="s">
        <v>3744</v>
      </c>
      <c r="R215" s="1"/>
      <c r="S215" s="1"/>
    </row>
    <row r="216" spans="1:19" x14ac:dyDescent="0.25">
      <c r="A216" s="1" t="s">
        <v>9225</v>
      </c>
      <c r="B216" s="95" t="s">
        <v>9139</v>
      </c>
      <c r="C216" s="1">
        <v>1</v>
      </c>
      <c r="D216" s="1" t="s">
        <v>3744</v>
      </c>
      <c r="E216" s="21" t="s">
        <v>8787</v>
      </c>
      <c r="F216" s="20" t="s">
        <v>309</v>
      </c>
      <c r="G216" s="20" t="s">
        <v>8878</v>
      </c>
      <c r="H216" s="20" t="s">
        <v>8781</v>
      </c>
      <c r="I216" s="20" t="s">
        <v>8797</v>
      </c>
      <c r="J216" s="20" t="s">
        <v>512</v>
      </c>
      <c r="K216" s="20" t="s">
        <v>512</v>
      </c>
      <c r="L216" s="20" t="s">
        <v>512</v>
      </c>
      <c r="M216" s="20" t="s">
        <v>512</v>
      </c>
      <c r="N216" s="20" t="s">
        <v>512</v>
      </c>
      <c r="O216" s="20" t="s">
        <v>512</v>
      </c>
      <c r="P216" s="20"/>
      <c r="Q216" s="1" t="s">
        <v>3744</v>
      </c>
    </row>
    <row r="217" spans="1:19" x14ac:dyDescent="0.25">
      <c r="A217" s="1" t="s">
        <v>9226</v>
      </c>
      <c r="B217" s="95" t="s">
        <v>9059</v>
      </c>
      <c r="C217" s="1">
        <v>1</v>
      </c>
      <c r="D217" s="1" t="s">
        <v>309</v>
      </c>
      <c r="E217" s="21" t="s">
        <v>8828</v>
      </c>
      <c r="F217" s="20" t="s">
        <v>309</v>
      </c>
      <c r="G217" s="20" t="s">
        <v>8971</v>
      </c>
      <c r="H217" s="20" t="s">
        <v>309</v>
      </c>
      <c r="I217" s="20" t="s">
        <v>8886</v>
      </c>
      <c r="J217" s="20" t="s">
        <v>344</v>
      </c>
      <c r="K217" s="20" t="s">
        <v>8898</v>
      </c>
      <c r="L217" s="20" t="s">
        <v>512</v>
      </c>
      <c r="M217" s="20" t="s">
        <v>512</v>
      </c>
      <c r="N217" s="20" t="s">
        <v>512</v>
      </c>
      <c r="O217" s="20" t="s">
        <v>512</v>
      </c>
      <c r="P217" s="20"/>
      <c r="Q217" s="1" t="s">
        <v>309</v>
      </c>
    </row>
    <row r="218" spans="1:19" x14ac:dyDescent="0.25">
      <c r="A218" s="1" t="s">
        <v>9227</v>
      </c>
      <c r="B218" s="95" t="s">
        <v>9036</v>
      </c>
      <c r="C218" s="1">
        <v>1</v>
      </c>
      <c r="D218" s="1" t="s">
        <v>8856</v>
      </c>
      <c r="E218" s="21" t="s">
        <v>8855</v>
      </c>
      <c r="F218" s="20" t="s">
        <v>8753</v>
      </c>
      <c r="G218" s="20" t="s">
        <v>8757</v>
      </c>
      <c r="H218" s="20" t="s">
        <v>8753</v>
      </c>
      <c r="I218" s="20" t="s">
        <v>8759</v>
      </c>
      <c r="J218" s="20" t="s">
        <v>8753</v>
      </c>
      <c r="K218" s="20" t="s">
        <v>8761</v>
      </c>
      <c r="L218" s="20" t="s">
        <v>512</v>
      </c>
      <c r="M218" s="20" t="s">
        <v>512</v>
      </c>
      <c r="N218" s="20" t="s">
        <v>512</v>
      </c>
      <c r="O218" s="20" t="s">
        <v>512</v>
      </c>
      <c r="P218" s="20"/>
      <c r="Q218" s="1" t="s">
        <v>8856</v>
      </c>
    </row>
    <row r="219" spans="1:19" x14ac:dyDescent="0.25">
      <c r="A219" s="1" t="s">
        <v>9228</v>
      </c>
      <c r="B219" s="95" t="s">
        <v>9036</v>
      </c>
      <c r="C219" s="1">
        <v>1</v>
      </c>
      <c r="D219" s="1" t="s">
        <v>8856</v>
      </c>
      <c r="E219" s="21" t="s">
        <v>8855</v>
      </c>
      <c r="F219" s="20" t="s">
        <v>8753</v>
      </c>
      <c r="G219" s="20" t="s">
        <v>8757</v>
      </c>
      <c r="H219" s="20" t="s">
        <v>8753</v>
      </c>
      <c r="I219" s="20" t="s">
        <v>8759</v>
      </c>
      <c r="J219" s="20" t="s">
        <v>8753</v>
      </c>
      <c r="K219" s="20" t="s">
        <v>8761</v>
      </c>
      <c r="L219" s="20" t="s">
        <v>512</v>
      </c>
      <c r="M219" s="20" t="s">
        <v>512</v>
      </c>
      <c r="N219" s="20" t="s">
        <v>512</v>
      </c>
      <c r="O219" s="20" t="s">
        <v>512</v>
      </c>
      <c r="P219" s="20"/>
      <c r="Q219" s="1" t="s">
        <v>8856</v>
      </c>
    </row>
    <row r="220" spans="1:19" x14ac:dyDescent="0.25">
      <c r="A220" s="1" t="s">
        <v>9229</v>
      </c>
      <c r="B220" s="95" t="s">
        <v>9046</v>
      </c>
      <c r="C220" s="1">
        <v>1</v>
      </c>
      <c r="D220" s="1" t="s">
        <v>106</v>
      </c>
      <c r="E220" s="21" t="s">
        <v>8810</v>
      </c>
      <c r="F220" s="20" t="s">
        <v>309</v>
      </c>
      <c r="G220" s="20" t="s">
        <v>8880</v>
      </c>
      <c r="H220" s="20" t="s">
        <v>309</v>
      </c>
      <c r="I220" s="20">
        <v>344376</v>
      </c>
      <c r="J220" s="20" t="s">
        <v>344</v>
      </c>
      <c r="K220" s="20" t="s">
        <v>8898</v>
      </c>
      <c r="L220" s="20" t="s">
        <v>512</v>
      </c>
      <c r="M220" s="20" t="s">
        <v>512</v>
      </c>
      <c r="N220" s="20" t="s">
        <v>512</v>
      </c>
      <c r="O220" s="20" t="s">
        <v>512</v>
      </c>
      <c r="P220" s="20"/>
      <c r="Q220" s="1" t="s">
        <v>106</v>
      </c>
    </row>
    <row r="221" spans="1:19" x14ac:dyDescent="0.25">
      <c r="A221" s="1" t="s">
        <v>9230</v>
      </c>
      <c r="B221" s="95" t="s">
        <v>9036</v>
      </c>
      <c r="C221" s="1">
        <v>1</v>
      </c>
      <c r="D221" s="1" t="s">
        <v>8856</v>
      </c>
      <c r="E221" s="21" t="s">
        <v>8855</v>
      </c>
      <c r="F221" s="20" t="s">
        <v>8753</v>
      </c>
      <c r="G221" s="20" t="s">
        <v>8757</v>
      </c>
      <c r="H221" s="20" t="s">
        <v>8753</v>
      </c>
      <c r="I221" s="20" t="s">
        <v>8759</v>
      </c>
      <c r="J221" s="20" t="s">
        <v>8753</v>
      </c>
      <c r="K221" s="20" t="s">
        <v>8761</v>
      </c>
      <c r="L221" s="20" t="s">
        <v>512</v>
      </c>
      <c r="M221" s="20" t="s">
        <v>512</v>
      </c>
      <c r="N221" s="20" t="s">
        <v>512</v>
      </c>
      <c r="O221" s="20" t="s">
        <v>512</v>
      </c>
      <c r="P221" s="20"/>
      <c r="Q221" s="1" t="s">
        <v>8856</v>
      </c>
    </row>
    <row r="222" spans="1:19" x14ac:dyDescent="0.25">
      <c r="A222" s="1" t="s">
        <v>9231</v>
      </c>
      <c r="B222" s="95" t="s">
        <v>9139</v>
      </c>
      <c r="C222" s="1">
        <v>1</v>
      </c>
      <c r="D222" s="1" t="s">
        <v>3744</v>
      </c>
      <c r="E222" s="21" t="s">
        <v>8787</v>
      </c>
      <c r="F222" s="20" t="s">
        <v>309</v>
      </c>
      <c r="G222" s="60" t="s">
        <v>8878</v>
      </c>
      <c r="H222" s="20" t="s">
        <v>8781</v>
      </c>
      <c r="I222" s="20" t="s">
        <v>8797</v>
      </c>
      <c r="J222" s="20" t="s">
        <v>512</v>
      </c>
      <c r="K222" s="20" t="s">
        <v>512</v>
      </c>
      <c r="L222" s="20" t="s">
        <v>512</v>
      </c>
      <c r="M222" s="20" t="s">
        <v>512</v>
      </c>
      <c r="N222" s="20" t="s">
        <v>512</v>
      </c>
      <c r="O222" s="20" t="s">
        <v>512</v>
      </c>
      <c r="P222" s="20"/>
      <c r="Q222" s="1" t="s">
        <v>3744</v>
      </c>
    </row>
    <row r="223" spans="1:19" x14ac:dyDescent="0.25">
      <c r="A223" s="1" t="s">
        <v>9232</v>
      </c>
      <c r="B223" s="95" t="s">
        <v>9139</v>
      </c>
      <c r="C223" s="1">
        <v>1</v>
      </c>
      <c r="D223" s="1" t="s">
        <v>3744</v>
      </c>
      <c r="E223" s="21" t="s">
        <v>8787</v>
      </c>
      <c r="F223" s="20" t="s">
        <v>309</v>
      </c>
      <c r="G223" s="60" t="s">
        <v>8878</v>
      </c>
      <c r="H223" s="20" t="s">
        <v>8781</v>
      </c>
      <c r="I223" s="20" t="s">
        <v>8797</v>
      </c>
      <c r="J223" s="20" t="s">
        <v>512</v>
      </c>
      <c r="K223" s="20" t="s">
        <v>512</v>
      </c>
      <c r="L223" s="20" t="s">
        <v>512</v>
      </c>
      <c r="M223" s="20" t="s">
        <v>512</v>
      </c>
      <c r="N223" s="20" t="s">
        <v>512</v>
      </c>
      <c r="O223" s="20" t="s">
        <v>512</v>
      </c>
      <c r="P223" s="20"/>
      <c r="Q223" s="1" t="s">
        <v>3744</v>
      </c>
    </row>
    <row r="224" spans="1:19" x14ac:dyDescent="0.25">
      <c r="A224" s="1" t="s">
        <v>9233</v>
      </c>
      <c r="B224" s="95" t="s">
        <v>9036</v>
      </c>
      <c r="C224" s="1">
        <v>1</v>
      </c>
      <c r="D224" s="1" t="s">
        <v>8856</v>
      </c>
      <c r="E224" s="21" t="s">
        <v>8855</v>
      </c>
      <c r="F224" s="20" t="s">
        <v>8753</v>
      </c>
      <c r="G224" s="20" t="s">
        <v>8757</v>
      </c>
      <c r="H224" s="20" t="s">
        <v>8753</v>
      </c>
      <c r="I224" s="20" t="s">
        <v>8759</v>
      </c>
      <c r="J224" s="20" t="s">
        <v>8753</v>
      </c>
      <c r="K224" s="20" t="s">
        <v>8761</v>
      </c>
      <c r="L224" s="20" t="s">
        <v>512</v>
      </c>
      <c r="M224" s="20" t="s">
        <v>512</v>
      </c>
      <c r="N224" s="20" t="s">
        <v>512</v>
      </c>
      <c r="O224" s="20" t="s">
        <v>512</v>
      </c>
      <c r="P224" s="20"/>
      <c r="Q224" s="1" t="s">
        <v>8856</v>
      </c>
    </row>
    <row r="225" spans="1:19" x14ac:dyDescent="0.25">
      <c r="A225" s="1" t="s">
        <v>9233</v>
      </c>
      <c r="B225" s="95" t="s">
        <v>9036</v>
      </c>
      <c r="C225" s="1">
        <v>1</v>
      </c>
      <c r="D225" s="1" t="s">
        <v>8856</v>
      </c>
      <c r="E225" s="21" t="s">
        <v>8855</v>
      </c>
      <c r="F225" s="20" t="s">
        <v>8753</v>
      </c>
      <c r="G225" s="20" t="s">
        <v>8757</v>
      </c>
      <c r="H225" s="20" t="s">
        <v>8753</v>
      </c>
      <c r="I225" s="20" t="s">
        <v>8759</v>
      </c>
      <c r="J225" s="20" t="s">
        <v>8753</v>
      </c>
      <c r="K225" s="20" t="s">
        <v>8761</v>
      </c>
      <c r="L225" s="20" t="s">
        <v>512</v>
      </c>
      <c r="M225" s="20" t="s">
        <v>512</v>
      </c>
      <c r="N225" s="20" t="s">
        <v>512</v>
      </c>
      <c r="O225" s="20" t="s">
        <v>512</v>
      </c>
      <c r="P225" s="20"/>
      <c r="Q225" s="1" t="s">
        <v>8856</v>
      </c>
    </row>
    <row r="226" spans="1:19" s="20" customFormat="1" x14ac:dyDescent="0.25">
      <c r="A226" s="1" t="s">
        <v>9234</v>
      </c>
      <c r="B226" s="95" t="s">
        <v>9139</v>
      </c>
      <c r="C226" s="1">
        <v>1</v>
      </c>
      <c r="D226" s="1" t="s">
        <v>3744</v>
      </c>
      <c r="E226" s="21" t="s">
        <v>8787</v>
      </c>
      <c r="F226" s="20" t="s">
        <v>309</v>
      </c>
      <c r="G226" s="20" t="s">
        <v>8878</v>
      </c>
      <c r="H226" s="20" t="s">
        <v>8781</v>
      </c>
      <c r="I226" s="20" t="s">
        <v>8797</v>
      </c>
      <c r="J226" s="20" t="s">
        <v>512</v>
      </c>
      <c r="K226" s="20" t="s">
        <v>512</v>
      </c>
      <c r="L226" s="20" t="s">
        <v>512</v>
      </c>
      <c r="M226" s="20" t="s">
        <v>512</v>
      </c>
      <c r="N226" s="20" t="s">
        <v>512</v>
      </c>
      <c r="O226" s="20" t="s">
        <v>512</v>
      </c>
      <c r="Q226" s="1" t="s">
        <v>3744</v>
      </c>
      <c r="R226" s="1"/>
      <c r="S226" s="1"/>
    </row>
    <row r="227" spans="1:19" x14ac:dyDescent="0.25">
      <c r="A227" s="1" t="s">
        <v>9235</v>
      </c>
      <c r="B227" s="95" t="s">
        <v>9139</v>
      </c>
      <c r="C227" s="1">
        <v>1</v>
      </c>
      <c r="D227" s="1" t="s">
        <v>3744</v>
      </c>
      <c r="E227" s="21" t="s">
        <v>8787</v>
      </c>
      <c r="F227" s="1" t="s">
        <v>309</v>
      </c>
      <c r="G227" s="1" t="s">
        <v>8878</v>
      </c>
      <c r="H227" s="20" t="s">
        <v>8781</v>
      </c>
      <c r="I227" s="20" t="s">
        <v>8797</v>
      </c>
      <c r="J227" s="1" t="s">
        <v>512</v>
      </c>
      <c r="K227" s="1" t="s">
        <v>512</v>
      </c>
      <c r="L227" s="1" t="s">
        <v>512</v>
      </c>
      <c r="M227" s="1" t="s">
        <v>512</v>
      </c>
      <c r="N227" s="1" t="s">
        <v>512</v>
      </c>
      <c r="O227" s="1" t="s">
        <v>512</v>
      </c>
      <c r="P227" s="20"/>
      <c r="Q227" s="1" t="s">
        <v>3744</v>
      </c>
    </row>
    <row r="228" spans="1:19" x14ac:dyDescent="0.25">
      <c r="A228" s="1" t="s">
        <v>9236</v>
      </c>
      <c r="B228" s="95" t="s">
        <v>9036</v>
      </c>
      <c r="C228" s="1">
        <v>1</v>
      </c>
      <c r="D228" s="1" t="s">
        <v>8856</v>
      </c>
      <c r="E228" s="21" t="s">
        <v>8855</v>
      </c>
      <c r="F228" s="20" t="s">
        <v>8753</v>
      </c>
      <c r="G228" s="20" t="s">
        <v>8757</v>
      </c>
      <c r="H228" s="20" t="s">
        <v>8753</v>
      </c>
      <c r="I228" s="20" t="s">
        <v>8759</v>
      </c>
      <c r="J228" s="20" t="s">
        <v>8753</v>
      </c>
      <c r="K228" s="20" t="s">
        <v>8761</v>
      </c>
      <c r="L228" s="20" t="s">
        <v>512</v>
      </c>
      <c r="M228" s="20" t="s">
        <v>512</v>
      </c>
      <c r="N228" s="20" t="s">
        <v>512</v>
      </c>
      <c r="O228" s="20" t="s">
        <v>512</v>
      </c>
      <c r="P228" s="20"/>
      <c r="Q228" s="1" t="s">
        <v>8856</v>
      </c>
    </row>
    <row r="229" spans="1:19" x14ac:dyDescent="0.25">
      <c r="A229" s="1" t="s">
        <v>9237</v>
      </c>
      <c r="B229" s="95" t="s">
        <v>9139</v>
      </c>
      <c r="C229" s="1">
        <v>1</v>
      </c>
      <c r="D229" s="1" t="s">
        <v>3744</v>
      </c>
      <c r="E229" s="21" t="s">
        <v>8787</v>
      </c>
      <c r="F229" s="20" t="s">
        <v>309</v>
      </c>
      <c r="G229" s="20" t="s">
        <v>8878</v>
      </c>
      <c r="H229" s="20" t="s">
        <v>8781</v>
      </c>
      <c r="I229" s="20" t="s">
        <v>8797</v>
      </c>
      <c r="J229" s="20" t="s">
        <v>512</v>
      </c>
      <c r="K229" s="20" t="s">
        <v>512</v>
      </c>
      <c r="L229" s="20" t="s">
        <v>512</v>
      </c>
      <c r="M229" s="20" t="s">
        <v>512</v>
      </c>
      <c r="N229" s="20" t="s">
        <v>512</v>
      </c>
      <c r="O229" s="20" t="s">
        <v>512</v>
      </c>
      <c r="P229" s="20"/>
      <c r="Q229" s="1" t="s">
        <v>3744</v>
      </c>
    </row>
    <row r="230" spans="1:19" x14ac:dyDescent="0.25">
      <c r="A230" s="1" t="s">
        <v>9238</v>
      </c>
      <c r="B230" s="95" t="s">
        <v>9046</v>
      </c>
      <c r="C230" s="1">
        <v>1</v>
      </c>
      <c r="D230" s="1" t="s">
        <v>106</v>
      </c>
      <c r="E230" s="21" t="s">
        <v>8810</v>
      </c>
      <c r="F230" s="20" t="s">
        <v>309</v>
      </c>
      <c r="G230" s="20" t="s">
        <v>8880</v>
      </c>
      <c r="H230" s="20" t="s">
        <v>309</v>
      </c>
      <c r="I230" s="20">
        <v>344376</v>
      </c>
      <c r="J230" s="20" t="s">
        <v>344</v>
      </c>
      <c r="K230" s="20" t="s">
        <v>8898</v>
      </c>
      <c r="L230" s="20" t="s">
        <v>512</v>
      </c>
      <c r="M230" s="20" t="s">
        <v>512</v>
      </c>
      <c r="N230" s="20" t="s">
        <v>512</v>
      </c>
      <c r="O230" s="20" t="s">
        <v>512</v>
      </c>
      <c r="P230" s="20"/>
      <c r="Q230" s="1" t="s">
        <v>106</v>
      </c>
    </row>
    <row r="231" spans="1:19" x14ac:dyDescent="0.25">
      <c r="A231" s="1" t="s">
        <v>9239</v>
      </c>
      <c r="B231" s="95" t="s">
        <v>9139</v>
      </c>
      <c r="C231" s="1">
        <v>1</v>
      </c>
      <c r="D231" s="1" t="s">
        <v>3744</v>
      </c>
      <c r="E231" s="21" t="s">
        <v>8787</v>
      </c>
      <c r="F231" s="20" t="s">
        <v>309</v>
      </c>
      <c r="G231" s="20" t="s">
        <v>8878</v>
      </c>
      <c r="H231" s="20" t="s">
        <v>8781</v>
      </c>
      <c r="I231" s="20" t="s">
        <v>8797</v>
      </c>
      <c r="J231" s="20" t="s">
        <v>512</v>
      </c>
      <c r="K231" s="20" t="s">
        <v>512</v>
      </c>
      <c r="L231" s="20" t="s">
        <v>512</v>
      </c>
      <c r="M231" s="20" t="s">
        <v>512</v>
      </c>
      <c r="N231" s="20" t="s">
        <v>512</v>
      </c>
      <c r="O231" s="20" t="s">
        <v>512</v>
      </c>
      <c r="P231" s="20"/>
      <c r="Q231" s="1" t="s">
        <v>3744</v>
      </c>
    </row>
    <row r="232" spans="1:19" x14ac:dyDescent="0.25">
      <c r="A232" s="1" t="s">
        <v>9239</v>
      </c>
      <c r="B232" s="95" t="s">
        <v>9139</v>
      </c>
      <c r="C232" s="1">
        <v>1</v>
      </c>
      <c r="D232" s="1" t="s">
        <v>3744</v>
      </c>
      <c r="E232" s="21" t="s">
        <v>8787</v>
      </c>
      <c r="F232" s="20" t="s">
        <v>309</v>
      </c>
      <c r="G232" s="20" t="s">
        <v>8878</v>
      </c>
      <c r="H232" s="20" t="s">
        <v>8781</v>
      </c>
      <c r="I232" s="20" t="s">
        <v>8797</v>
      </c>
      <c r="J232" s="20" t="s">
        <v>512</v>
      </c>
      <c r="K232" s="20" t="s">
        <v>512</v>
      </c>
      <c r="L232" s="20" t="s">
        <v>512</v>
      </c>
      <c r="M232" s="20" t="s">
        <v>512</v>
      </c>
      <c r="N232" s="20" t="s">
        <v>512</v>
      </c>
      <c r="O232" s="20" t="s">
        <v>512</v>
      </c>
      <c r="P232" s="20"/>
      <c r="Q232" s="1" t="s">
        <v>3744</v>
      </c>
    </row>
    <row r="233" spans="1:19" x14ac:dyDescent="0.25">
      <c r="A233" s="1" t="s">
        <v>9240</v>
      </c>
      <c r="B233" s="95" t="s">
        <v>9139</v>
      </c>
      <c r="C233" s="1">
        <v>1</v>
      </c>
      <c r="D233" s="1" t="s">
        <v>3744</v>
      </c>
      <c r="E233" s="21" t="s">
        <v>8787</v>
      </c>
      <c r="F233" s="20" t="s">
        <v>309</v>
      </c>
      <c r="G233" s="20" t="s">
        <v>8878</v>
      </c>
      <c r="H233" s="20" t="s">
        <v>8781</v>
      </c>
      <c r="I233" s="20" t="s">
        <v>8797</v>
      </c>
      <c r="J233" s="20" t="s">
        <v>512</v>
      </c>
      <c r="K233" s="20" t="s">
        <v>512</v>
      </c>
      <c r="L233" s="20" t="s">
        <v>512</v>
      </c>
      <c r="M233" s="20" t="s">
        <v>512</v>
      </c>
      <c r="N233" s="20" t="s">
        <v>512</v>
      </c>
      <c r="O233" s="20" t="s">
        <v>512</v>
      </c>
      <c r="P233" s="20"/>
      <c r="Q233" s="1" t="s">
        <v>3744</v>
      </c>
    </row>
    <row r="234" spans="1:19" x14ac:dyDescent="0.25">
      <c r="A234" s="1" t="s">
        <v>9241</v>
      </c>
      <c r="B234" s="95" t="s">
        <v>9139</v>
      </c>
      <c r="C234" s="1">
        <v>1</v>
      </c>
      <c r="D234" s="1" t="s">
        <v>3744</v>
      </c>
      <c r="E234" s="21" t="s">
        <v>8787</v>
      </c>
      <c r="F234" s="20" t="s">
        <v>309</v>
      </c>
      <c r="G234" s="20" t="s">
        <v>8878</v>
      </c>
      <c r="H234" s="20" t="s">
        <v>8781</v>
      </c>
      <c r="I234" s="20" t="s">
        <v>8797</v>
      </c>
      <c r="J234" s="20" t="s">
        <v>512</v>
      </c>
      <c r="K234" s="20" t="s">
        <v>512</v>
      </c>
      <c r="L234" s="20" t="s">
        <v>512</v>
      </c>
      <c r="M234" s="20" t="s">
        <v>512</v>
      </c>
      <c r="N234" s="20" t="s">
        <v>512</v>
      </c>
      <c r="O234" s="20" t="s">
        <v>512</v>
      </c>
      <c r="P234" s="20"/>
      <c r="Q234" s="1" t="s">
        <v>3744</v>
      </c>
    </row>
    <row r="235" spans="1:19" x14ac:dyDescent="0.25">
      <c r="A235" s="1" t="s">
        <v>9242</v>
      </c>
      <c r="B235" s="95" t="s">
        <v>9046</v>
      </c>
      <c r="C235" s="1">
        <v>1</v>
      </c>
      <c r="D235" s="1" t="s">
        <v>106</v>
      </c>
      <c r="E235" s="21" t="s">
        <v>8810</v>
      </c>
      <c r="F235" s="20" t="s">
        <v>309</v>
      </c>
      <c r="G235" s="20" t="s">
        <v>8880</v>
      </c>
      <c r="H235" s="20" t="s">
        <v>309</v>
      </c>
      <c r="I235" s="20">
        <v>344376</v>
      </c>
      <c r="J235" s="20" t="s">
        <v>344</v>
      </c>
      <c r="K235" s="20" t="s">
        <v>8898</v>
      </c>
      <c r="L235" s="20" t="s">
        <v>512</v>
      </c>
      <c r="M235" s="20" t="s">
        <v>512</v>
      </c>
      <c r="N235" s="20" t="s">
        <v>512</v>
      </c>
      <c r="O235" s="20" t="s">
        <v>512</v>
      </c>
      <c r="P235" s="20"/>
      <c r="Q235" s="1" t="s">
        <v>106</v>
      </c>
    </row>
    <row r="236" spans="1:19" x14ac:dyDescent="0.25">
      <c r="A236" s="1" t="s">
        <v>9243</v>
      </c>
      <c r="B236" s="95" t="s">
        <v>9048</v>
      </c>
      <c r="C236" s="1">
        <v>1</v>
      </c>
      <c r="D236" s="1" t="s">
        <v>106</v>
      </c>
      <c r="E236" s="21" t="s">
        <v>8806</v>
      </c>
      <c r="F236" s="20" t="s">
        <v>309</v>
      </c>
      <c r="G236" s="20" t="s">
        <v>8882</v>
      </c>
      <c r="H236" s="20" t="s">
        <v>309</v>
      </c>
      <c r="I236" s="20" t="s">
        <v>8973</v>
      </c>
      <c r="J236" s="20" t="s">
        <v>344</v>
      </c>
      <c r="K236" s="20" t="s">
        <v>8898</v>
      </c>
      <c r="L236" s="20" t="s">
        <v>512</v>
      </c>
      <c r="M236" s="20" t="s">
        <v>512</v>
      </c>
      <c r="N236" s="20" t="s">
        <v>512</v>
      </c>
      <c r="O236" s="20" t="s">
        <v>512</v>
      </c>
      <c r="P236" s="20"/>
      <c r="Q236" s="1" t="s">
        <v>106</v>
      </c>
    </row>
    <row r="237" spans="1:19" x14ac:dyDescent="0.25">
      <c r="A237" s="1" t="s">
        <v>9244</v>
      </c>
      <c r="B237" s="95" t="s">
        <v>9036</v>
      </c>
      <c r="C237" s="1">
        <v>1</v>
      </c>
      <c r="D237" s="1" t="s">
        <v>8856</v>
      </c>
      <c r="E237" s="21" t="s">
        <v>8855</v>
      </c>
      <c r="F237" s="20" t="s">
        <v>8753</v>
      </c>
      <c r="G237" s="20" t="s">
        <v>8757</v>
      </c>
      <c r="H237" s="20" t="s">
        <v>8753</v>
      </c>
      <c r="I237" s="20" t="s">
        <v>8759</v>
      </c>
      <c r="J237" s="20" t="s">
        <v>8753</v>
      </c>
      <c r="K237" s="20" t="s">
        <v>8761</v>
      </c>
      <c r="L237" s="20" t="s">
        <v>512</v>
      </c>
      <c r="M237" s="20" t="s">
        <v>512</v>
      </c>
      <c r="N237" s="20" t="s">
        <v>512</v>
      </c>
      <c r="O237" s="20" t="s">
        <v>512</v>
      </c>
      <c r="P237" s="20"/>
      <c r="Q237" s="1" t="s">
        <v>8856</v>
      </c>
    </row>
    <row r="238" spans="1:19" x14ac:dyDescent="0.25">
      <c r="A238" s="1" t="s">
        <v>9245</v>
      </c>
      <c r="B238" s="95" t="s">
        <v>9036</v>
      </c>
      <c r="C238" s="1">
        <v>1</v>
      </c>
      <c r="D238" s="1" t="s">
        <v>8856</v>
      </c>
      <c r="E238" s="21" t="s">
        <v>8855</v>
      </c>
      <c r="F238" s="20" t="s">
        <v>8753</v>
      </c>
      <c r="G238" s="20" t="s">
        <v>8757</v>
      </c>
      <c r="H238" s="20" t="s">
        <v>8753</v>
      </c>
      <c r="I238" s="20" t="s">
        <v>8759</v>
      </c>
      <c r="J238" s="20" t="s">
        <v>8753</v>
      </c>
      <c r="K238" s="20" t="s">
        <v>8761</v>
      </c>
      <c r="L238" s="20" t="s">
        <v>512</v>
      </c>
      <c r="M238" s="20" t="s">
        <v>512</v>
      </c>
      <c r="N238" s="20" t="s">
        <v>512</v>
      </c>
      <c r="O238" s="20" t="s">
        <v>512</v>
      </c>
      <c r="P238" s="20"/>
      <c r="Q238" s="1" t="s">
        <v>8856</v>
      </c>
    </row>
    <row r="239" spans="1:19" x14ac:dyDescent="0.25">
      <c r="A239" s="1" t="s">
        <v>9246</v>
      </c>
      <c r="B239" s="95" t="s">
        <v>9139</v>
      </c>
      <c r="C239" s="1">
        <v>1</v>
      </c>
      <c r="D239" s="1" t="s">
        <v>3744</v>
      </c>
      <c r="E239" s="21" t="s">
        <v>8787</v>
      </c>
      <c r="F239" s="20" t="s">
        <v>309</v>
      </c>
      <c r="G239" s="20" t="s">
        <v>8878</v>
      </c>
      <c r="H239" s="20" t="s">
        <v>8781</v>
      </c>
      <c r="I239" s="20" t="s">
        <v>8797</v>
      </c>
      <c r="J239" s="20" t="s">
        <v>512</v>
      </c>
      <c r="K239" s="20" t="s">
        <v>512</v>
      </c>
      <c r="L239" s="20" t="s">
        <v>512</v>
      </c>
      <c r="M239" s="20" t="s">
        <v>512</v>
      </c>
      <c r="N239" s="20" t="s">
        <v>512</v>
      </c>
      <c r="O239" s="20" t="s">
        <v>512</v>
      </c>
      <c r="P239" s="20"/>
      <c r="Q239" s="1" t="s">
        <v>3744</v>
      </c>
    </row>
    <row r="240" spans="1:19" x14ac:dyDescent="0.25">
      <c r="A240" s="1" t="s">
        <v>9247</v>
      </c>
      <c r="B240" s="95" t="s">
        <v>9139</v>
      </c>
      <c r="C240" s="1">
        <v>1</v>
      </c>
      <c r="D240" s="1" t="s">
        <v>3744</v>
      </c>
      <c r="E240" s="21" t="s">
        <v>8787</v>
      </c>
      <c r="F240" s="20" t="s">
        <v>309</v>
      </c>
      <c r="G240" s="20" t="s">
        <v>8878</v>
      </c>
      <c r="H240" s="20" t="s">
        <v>8781</v>
      </c>
      <c r="I240" s="20" t="s">
        <v>8797</v>
      </c>
      <c r="J240" s="20" t="s">
        <v>512</v>
      </c>
      <c r="K240" s="20" t="s">
        <v>512</v>
      </c>
      <c r="L240" s="20" t="s">
        <v>512</v>
      </c>
      <c r="M240" s="20" t="s">
        <v>512</v>
      </c>
      <c r="N240" s="20" t="s">
        <v>512</v>
      </c>
      <c r="O240" s="20" t="s">
        <v>512</v>
      </c>
      <c r="P240" s="20"/>
      <c r="Q240" s="1" t="s">
        <v>3744</v>
      </c>
    </row>
    <row r="241" spans="1:17" x14ac:dyDescent="0.25">
      <c r="A241" s="1" t="s">
        <v>9248</v>
      </c>
      <c r="B241" s="95" t="s">
        <v>9046</v>
      </c>
      <c r="C241" s="1">
        <v>1</v>
      </c>
      <c r="D241" s="1" t="s">
        <v>106</v>
      </c>
      <c r="E241" s="21" t="s">
        <v>8810</v>
      </c>
      <c r="F241" s="20" t="s">
        <v>309</v>
      </c>
      <c r="G241" s="20" t="s">
        <v>8880</v>
      </c>
      <c r="H241" s="20" t="s">
        <v>309</v>
      </c>
      <c r="I241" s="20">
        <v>344376</v>
      </c>
      <c r="J241" s="20" t="s">
        <v>344</v>
      </c>
      <c r="K241" s="20" t="s">
        <v>8898</v>
      </c>
      <c r="L241" s="20" t="s">
        <v>512</v>
      </c>
      <c r="M241" s="20" t="s">
        <v>512</v>
      </c>
      <c r="N241" s="20" t="s">
        <v>512</v>
      </c>
      <c r="O241" s="20" t="s">
        <v>512</v>
      </c>
      <c r="P241" s="20"/>
      <c r="Q241" s="1" t="s">
        <v>106</v>
      </c>
    </row>
    <row r="242" spans="1:17" x14ac:dyDescent="0.25">
      <c r="A242" s="1" t="s">
        <v>9249</v>
      </c>
      <c r="B242" s="95" t="s">
        <v>9036</v>
      </c>
      <c r="C242" s="1">
        <v>1</v>
      </c>
      <c r="D242" s="1" t="s">
        <v>8856</v>
      </c>
      <c r="E242" s="21" t="s">
        <v>8855</v>
      </c>
      <c r="F242" s="20" t="s">
        <v>8753</v>
      </c>
      <c r="G242" s="20" t="s">
        <v>8757</v>
      </c>
      <c r="H242" s="20" t="s">
        <v>8753</v>
      </c>
      <c r="I242" s="20" t="s">
        <v>8759</v>
      </c>
      <c r="J242" s="20" t="s">
        <v>8753</v>
      </c>
      <c r="K242" s="20" t="s">
        <v>8761</v>
      </c>
      <c r="L242" s="20" t="s">
        <v>512</v>
      </c>
      <c r="M242" s="20" t="s">
        <v>512</v>
      </c>
      <c r="N242" s="20" t="s">
        <v>512</v>
      </c>
      <c r="O242" s="20" t="s">
        <v>512</v>
      </c>
      <c r="P242" s="20"/>
      <c r="Q242" s="1" t="s">
        <v>8856</v>
      </c>
    </row>
    <row r="243" spans="1:17" x14ac:dyDescent="0.25">
      <c r="A243" s="1" t="s">
        <v>9250</v>
      </c>
      <c r="B243" s="95" t="s">
        <v>9139</v>
      </c>
      <c r="C243" s="1">
        <v>1</v>
      </c>
      <c r="D243" s="1" t="s">
        <v>3744</v>
      </c>
      <c r="E243" s="21" t="s">
        <v>8787</v>
      </c>
      <c r="F243" s="20" t="s">
        <v>309</v>
      </c>
      <c r="G243" s="20" t="s">
        <v>8878</v>
      </c>
      <c r="H243" s="20" t="s">
        <v>8781</v>
      </c>
      <c r="I243" s="20" t="s">
        <v>8797</v>
      </c>
      <c r="J243" s="20" t="s">
        <v>512</v>
      </c>
      <c r="K243" s="20" t="s">
        <v>512</v>
      </c>
      <c r="L243" s="20" t="s">
        <v>512</v>
      </c>
      <c r="M243" s="20" t="s">
        <v>512</v>
      </c>
      <c r="N243" s="20" t="s">
        <v>512</v>
      </c>
      <c r="O243" s="20" t="s">
        <v>512</v>
      </c>
      <c r="P243" s="20"/>
      <c r="Q243" s="1" t="s">
        <v>3744</v>
      </c>
    </row>
    <row r="244" spans="1:17" x14ac:dyDescent="0.25">
      <c r="A244" s="1" t="s">
        <v>9250</v>
      </c>
      <c r="B244" s="95" t="s">
        <v>9139</v>
      </c>
      <c r="C244" s="1">
        <v>1</v>
      </c>
      <c r="D244" s="1" t="s">
        <v>3744</v>
      </c>
      <c r="E244" s="21" t="s">
        <v>8787</v>
      </c>
      <c r="F244" s="20" t="s">
        <v>309</v>
      </c>
      <c r="G244" s="20" t="s">
        <v>8878</v>
      </c>
      <c r="H244" s="20" t="s">
        <v>8781</v>
      </c>
      <c r="I244" s="20" t="s">
        <v>8797</v>
      </c>
      <c r="J244" s="20" t="s">
        <v>512</v>
      </c>
      <c r="K244" s="20" t="s">
        <v>512</v>
      </c>
      <c r="L244" s="20" t="s">
        <v>512</v>
      </c>
      <c r="M244" s="20" t="s">
        <v>512</v>
      </c>
      <c r="N244" s="20" t="s">
        <v>512</v>
      </c>
      <c r="O244" s="20" t="s">
        <v>512</v>
      </c>
      <c r="P244" s="20"/>
      <c r="Q244" s="1" t="s">
        <v>3744</v>
      </c>
    </row>
    <row r="245" spans="1:17" x14ac:dyDescent="0.25">
      <c r="A245" s="1" t="s">
        <v>9251</v>
      </c>
      <c r="B245" s="95" t="s">
        <v>9036</v>
      </c>
      <c r="C245" s="1">
        <v>1</v>
      </c>
      <c r="D245" s="1" t="s">
        <v>8856</v>
      </c>
      <c r="E245" s="21" t="s">
        <v>8855</v>
      </c>
      <c r="F245" s="20" t="s">
        <v>8753</v>
      </c>
      <c r="G245" s="20" t="s">
        <v>8757</v>
      </c>
      <c r="H245" s="20" t="s">
        <v>8753</v>
      </c>
      <c r="I245" s="20" t="s">
        <v>8759</v>
      </c>
      <c r="J245" s="20" t="s">
        <v>8753</v>
      </c>
      <c r="K245" s="20" t="s">
        <v>8761</v>
      </c>
      <c r="L245" s="20" t="s">
        <v>512</v>
      </c>
      <c r="M245" s="20" t="s">
        <v>512</v>
      </c>
      <c r="N245" s="20" t="s">
        <v>512</v>
      </c>
      <c r="O245" s="20" t="s">
        <v>512</v>
      </c>
      <c r="P245" s="20"/>
      <c r="Q245" s="1" t="s">
        <v>8856</v>
      </c>
    </row>
    <row r="246" spans="1:17" x14ac:dyDescent="0.25">
      <c r="A246" s="1" t="s">
        <v>9251</v>
      </c>
      <c r="B246" s="95" t="s">
        <v>9036</v>
      </c>
      <c r="C246" s="1">
        <v>1</v>
      </c>
      <c r="D246" s="1" t="s">
        <v>8856</v>
      </c>
      <c r="E246" s="21" t="s">
        <v>8855</v>
      </c>
      <c r="F246" s="20" t="s">
        <v>8753</v>
      </c>
      <c r="G246" s="20" t="s">
        <v>8757</v>
      </c>
      <c r="H246" s="20" t="s">
        <v>8753</v>
      </c>
      <c r="I246" s="20" t="s">
        <v>8759</v>
      </c>
      <c r="J246" s="20" t="s">
        <v>8753</v>
      </c>
      <c r="K246" s="20" t="s">
        <v>8761</v>
      </c>
      <c r="L246" s="20" t="s">
        <v>512</v>
      </c>
      <c r="M246" s="20" t="s">
        <v>512</v>
      </c>
      <c r="N246" s="20" t="s">
        <v>512</v>
      </c>
      <c r="O246" s="20" t="s">
        <v>512</v>
      </c>
      <c r="P246" s="20"/>
      <c r="Q246" s="1" t="s">
        <v>8856</v>
      </c>
    </row>
    <row r="247" spans="1:17" x14ac:dyDescent="0.25">
      <c r="A247" s="1" t="s">
        <v>9252</v>
      </c>
      <c r="B247" s="95" t="s">
        <v>9139</v>
      </c>
      <c r="C247" s="1">
        <v>1</v>
      </c>
      <c r="D247" s="1" t="s">
        <v>3744</v>
      </c>
      <c r="E247" s="21" t="s">
        <v>8787</v>
      </c>
      <c r="F247" s="20" t="s">
        <v>309</v>
      </c>
      <c r="G247" s="20" t="s">
        <v>8878</v>
      </c>
      <c r="H247" s="20" t="s">
        <v>8781</v>
      </c>
      <c r="I247" s="20" t="s">
        <v>8797</v>
      </c>
      <c r="J247" s="20" t="s">
        <v>512</v>
      </c>
      <c r="K247" s="20" t="s">
        <v>512</v>
      </c>
      <c r="L247" s="20" t="s">
        <v>512</v>
      </c>
      <c r="M247" s="20" t="s">
        <v>512</v>
      </c>
      <c r="N247" s="20" t="s">
        <v>512</v>
      </c>
      <c r="O247" s="20" t="s">
        <v>512</v>
      </c>
      <c r="P247" s="20"/>
      <c r="Q247" s="1" t="s">
        <v>3744</v>
      </c>
    </row>
    <row r="248" spans="1:17" x14ac:dyDescent="0.25">
      <c r="A248" s="1" t="s">
        <v>9253</v>
      </c>
      <c r="B248" s="95" t="s">
        <v>9036</v>
      </c>
      <c r="C248" s="1">
        <v>1</v>
      </c>
      <c r="D248" s="1" t="s">
        <v>8856</v>
      </c>
      <c r="E248" s="21" t="s">
        <v>8855</v>
      </c>
      <c r="F248" s="20" t="s">
        <v>8753</v>
      </c>
      <c r="G248" s="20" t="s">
        <v>8757</v>
      </c>
      <c r="H248" s="20" t="s">
        <v>8753</v>
      </c>
      <c r="I248" s="20" t="s">
        <v>8759</v>
      </c>
      <c r="J248" s="20" t="s">
        <v>8753</v>
      </c>
      <c r="K248" s="20" t="s">
        <v>8761</v>
      </c>
      <c r="L248" s="20" t="s">
        <v>512</v>
      </c>
      <c r="M248" s="20" t="s">
        <v>512</v>
      </c>
      <c r="N248" s="20" t="s">
        <v>512</v>
      </c>
      <c r="O248" s="20" t="s">
        <v>512</v>
      </c>
      <c r="P248" s="20"/>
      <c r="Q248" s="1" t="s">
        <v>8856</v>
      </c>
    </row>
    <row r="249" spans="1:17" x14ac:dyDescent="0.25">
      <c r="A249" s="1" t="s">
        <v>9254</v>
      </c>
      <c r="B249" s="95" t="s">
        <v>9139</v>
      </c>
      <c r="C249" s="1">
        <v>1</v>
      </c>
      <c r="D249" s="1" t="s">
        <v>3744</v>
      </c>
      <c r="E249" s="21" t="s">
        <v>8787</v>
      </c>
      <c r="F249" s="20" t="s">
        <v>309</v>
      </c>
      <c r="G249" s="20" t="s">
        <v>8878</v>
      </c>
      <c r="H249" s="20" t="s">
        <v>8781</v>
      </c>
      <c r="I249" s="20" t="s">
        <v>8797</v>
      </c>
      <c r="J249" s="20" t="s">
        <v>512</v>
      </c>
      <c r="K249" s="20" t="s">
        <v>512</v>
      </c>
      <c r="L249" s="20" t="s">
        <v>512</v>
      </c>
      <c r="M249" s="20" t="s">
        <v>512</v>
      </c>
      <c r="N249" s="20" t="s">
        <v>512</v>
      </c>
      <c r="O249" s="20" t="s">
        <v>512</v>
      </c>
      <c r="P249" s="20"/>
      <c r="Q249" s="1" t="s">
        <v>3744</v>
      </c>
    </row>
    <row r="250" spans="1:17" x14ac:dyDescent="0.25">
      <c r="A250" s="1" t="s">
        <v>9255</v>
      </c>
      <c r="B250" s="95" t="s">
        <v>9036</v>
      </c>
      <c r="C250" s="1">
        <v>1</v>
      </c>
      <c r="D250" s="1" t="s">
        <v>8856</v>
      </c>
      <c r="E250" s="21" t="s">
        <v>8855</v>
      </c>
      <c r="F250" s="20" t="s">
        <v>8753</v>
      </c>
      <c r="G250" s="20" t="s">
        <v>8757</v>
      </c>
      <c r="H250" s="20" t="s">
        <v>8753</v>
      </c>
      <c r="I250" s="20" t="s">
        <v>8759</v>
      </c>
      <c r="J250" s="20" t="s">
        <v>8753</v>
      </c>
      <c r="K250" s="20" t="s">
        <v>8761</v>
      </c>
      <c r="L250" s="20" t="s">
        <v>512</v>
      </c>
      <c r="M250" s="20" t="s">
        <v>512</v>
      </c>
      <c r="N250" s="20" t="s">
        <v>512</v>
      </c>
      <c r="O250" s="20" t="s">
        <v>512</v>
      </c>
      <c r="P250" s="20"/>
      <c r="Q250" s="1" t="s">
        <v>8856</v>
      </c>
    </row>
    <row r="251" spans="1:17" x14ac:dyDescent="0.25">
      <c r="A251" s="1" t="s">
        <v>9256</v>
      </c>
      <c r="B251" s="95" t="s">
        <v>9046</v>
      </c>
      <c r="C251" s="1">
        <v>1</v>
      </c>
      <c r="D251" s="1" t="s">
        <v>106</v>
      </c>
      <c r="E251" s="21" t="s">
        <v>8810</v>
      </c>
      <c r="F251" s="20" t="s">
        <v>309</v>
      </c>
      <c r="G251" s="20" t="s">
        <v>8880</v>
      </c>
      <c r="H251" s="20" t="s">
        <v>309</v>
      </c>
      <c r="I251" s="20">
        <v>344376</v>
      </c>
      <c r="J251" s="20" t="s">
        <v>344</v>
      </c>
      <c r="K251" s="20" t="s">
        <v>8898</v>
      </c>
      <c r="L251" s="20" t="s">
        <v>512</v>
      </c>
      <c r="M251" s="20" t="s">
        <v>512</v>
      </c>
      <c r="N251" s="20" t="s">
        <v>512</v>
      </c>
      <c r="O251" s="20" t="s">
        <v>512</v>
      </c>
      <c r="P251" s="20"/>
      <c r="Q251" s="1" t="s">
        <v>106</v>
      </c>
    </row>
    <row r="252" spans="1:17" x14ac:dyDescent="0.25">
      <c r="A252" s="1" t="s">
        <v>9257</v>
      </c>
      <c r="B252" s="95" t="s">
        <v>9048</v>
      </c>
      <c r="C252" s="1">
        <v>1</v>
      </c>
      <c r="D252" s="1" t="s">
        <v>106</v>
      </c>
      <c r="E252" s="21" t="s">
        <v>8806</v>
      </c>
      <c r="F252" s="20" t="s">
        <v>309</v>
      </c>
      <c r="G252" s="20" t="s">
        <v>8882</v>
      </c>
      <c r="H252" s="20" t="s">
        <v>309</v>
      </c>
      <c r="I252" s="20" t="s">
        <v>8973</v>
      </c>
      <c r="J252" s="20" t="s">
        <v>344</v>
      </c>
      <c r="K252" s="20" t="s">
        <v>8898</v>
      </c>
      <c r="L252" s="20" t="s">
        <v>512</v>
      </c>
      <c r="M252" s="20" t="s">
        <v>512</v>
      </c>
      <c r="N252" s="20" t="s">
        <v>512</v>
      </c>
      <c r="O252" s="20" t="s">
        <v>512</v>
      </c>
      <c r="P252" s="20"/>
      <c r="Q252" s="1" t="s">
        <v>106</v>
      </c>
    </row>
    <row r="253" spans="1:17" x14ac:dyDescent="0.25">
      <c r="A253" s="1" t="s">
        <v>9258</v>
      </c>
      <c r="B253" s="95" t="s">
        <v>9036</v>
      </c>
      <c r="C253" s="1">
        <v>1</v>
      </c>
      <c r="D253" s="1" t="s">
        <v>8856</v>
      </c>
      <c r="E253" s="21" t="s">
        <v>8855</v>
      </c>
      <c r="F253" s="20" t="s">
        <v>8753</v>
      </c>
      <c r="G253" s="20" t="s">
        <v>8757</v>
      </c>
      <c r="H253" s="20" t="s">
        <v>8753</v>
      </c>
      <c r="I253" s="20" t="s">
        <v>8759</v>
      </c>
      <c r="J253" s="20" t="s">
        <v>8753</v>
      </c>
      <c r="K253" s="20" t="s">
        <v>8761</v>
      </c>
      <c r="L253" s="20" t="s">
        <v>512</v>
      </c>
      <c r="M253" s="20" t="s">
        <v>512</v>
      </c>
      <c r="N253" s="20" t="s">
        <v>512</v>
      </c>
      <c r="O253" s="20" t="s">
        <v>512</v>
      </c>
      <c r="P253" s="20"/>
      <c r="Q253" s="1" t="s">
        <v>8856</v>
      </c>
    </row>
    <row r="254" spans="1:17" x14ac:dyDescent="0.25">
      <c r="A254" s="1" t="s">
        <v>9259</v>
      </c>
      <c r="B254" s="95" t="s">
        <v>9139</v>
      </c>
      <c r="C254" s="1">
        <v>1</v>
      </c>
      <c r="D254" s="1" t="s">
        <v>3744</v>
      </c>
      <c r="E254" s="21" t="s">
        <v>8787</v>
      </c>
      <c r="F254" s="20" t="s">
        <v>309</v>
      </c>
      <c r="G254" s="20" t="s">
        <v>8878</v>
      </c>
      <c r="H254" s="20" t="s">
        <v>8781</v>
      </c>
      <c r="I254" s="20" t="s">
        <v>8797</v>
      </c>
      <c r="J254" s="20" t="s">
        <v>512</v>
      </c>
      <c r="K254" s="20" t="s">
        <v>512</v>
      </c>
      <c r="L254" s="20" t="s">
        <v>512</v>
      </c>
      <c r="M254" s="20" t="s">
        <v>512</v>
      </c>
      <c r="N254" s="20" t="s">
        <v>512</v>
      </c>
      <c r="O254" s="20" t="s">
        <v>512</v>
      </c>
      <c r="P254" s="20"/>
      <c r="Q254" s="1" t="s">
        <v>3744</v>
      </c>
    </row>
    <row r="255" spans="1:17" x14ac:dyDescent="0.25">
      <c r="A255" s="1" t="s">
        <v>9259</v>
      </c>
      <c r="B255" s="95" t="s">
        <v>9139</v>
      </c>
      <c r="C255" s="1">
        <v>1</v>
      </c>
      <c r="D255" s="1" t="s">
        <v>3744</v>
      </c>
      <c r="E255" s="21" t="s">
        <v>8787</v>
      </c>
      <c r="F255" s="20" t="s">
        <v>309</v>
      </c>
      <c r="G255" s="20" t="s">
        <v>8878</v>
      </c>
      <c r="H255" s="20" t="s">
        <v>8781</v>
      </c>
      <c r="I255" s="20" t="s">
        <v>8797</v>
      </c>
      <c r="J255" s="20" t="s">
        <v>512</v>
      </c>
      <c r="K255" s="20" t="s">
        <v>512</v>
      </c>
      <c r="L255" s="20" t="s">
        <v>512</v>
      </c>
      <c r="M255" s="20" t="s">
        <v>512</v>
      </c>
      <c r="N255" s="20" t="s">
        <v>512</v>
      </c>
      <c r="O255" s="20" t="s">
        <v>512</v>
      </c>
      <c r="P255" s="20"/>
      <c r="Q255" s="1" t="s">
        <v>3744</v>
      </c>
    </row>
    <row r="256" spans="1:17" x14ac:dyDescent="0.25">
      <c r="A256" s="1" t="s">
        <v>9260</v>
      </c>
      <c r="B256" s="95" t="s">
        <v>9044</v>
      </c>
      <c r="C256" s="1">
        <v>1</v>
      </c>
      <c r="D256" s="1" t="s">
        <v>3744</v>
      </c>
      <c r="E256" s="21" t="s">
        <v>8657</v>
      </c>
      <c r="F256" s="20" t="s">
        <v>3744</v>
      </c>
      <c r="G256" s="20" t="s">
        <v>8780</v>
      </c>
      <c r="H256" s="20" t="s">
        <v>309</v>
      </c>
      <c r="I256" s="20" t="s">
        <v>8835</v>
      </c>
      <c r="J256" s="20" t="s">
        <v>309</v>
      </c>
      <c r="K256" s="20" t="s">
        <v>8884</v>
      </c>
      <c r="L256" s="20" t="s">
        <v>3744</v>
      </c>
      <c r="M256" s="20" t="s">
        <v>8677</v>
      </c>
      <c r="N256" s="20" t="s">
        <v>3744</v>
      </c>
      <c r="O256" s="20" t="s">
        <v>8783</v>
      </c>
      <c r="P256" s="20"/>
      <c r="Q256" s="1" t="s">
        <v>3744</v>
      </c>
    </row>
    <row r="257" spans="1:19" x14ac:dyDescent="0.25">
      <c r="A257" s="1" t="s">
        <v>9261</v>
      </c>
      <c r="B257" s="95" t="s">
        <v>9046</v>
      </c>
      <c r="C257" s="1">
        <v>1</v>
      </c>
      <c r="D257" s="1" t="s">
        <v>106</v>
      </c>
      <c r="E257" s="21" t="s">
        <v>8810</v>
      </c>
      <c r="F257" s="20" t="s">
        <v>309</v>
      </c>
      <c r="G257" s="20" t="s">
        <v>8880</v>
      </c>
      <c r="H257" s="20" t="s">
        <v>309</v>
      </c>
      <c r="I257" s="20">
        <v>344376</v>
      </c>
      <c r="J257" s="20" t="s">
        <v>344</v>
      </c>
      <c r="K257" s="20" t="s">
        <v>8898</v>
      </c>
      <c r="L257" s="20" t="s">
        <v>512</v>
      </c>
      <c r="M257" s="20" t="s">
        <v>512</v>
      </c>
      <c r="N257" s="20" t="s">
        <v>512</v>
      </c>
      <c r="O257" s="20" t="s">
        <v>512</v>
      </c>
      <c r="P257" s="20"/>
      <c r="Q257" s="1" t="s">
        <v>106</v>
      </c>
    </row>
    <row r="258" spans="1:19" x14ac:dyDescent="0.25">
      <c r="A258" s="1" t="s">
        <v>9261</v>
      </c>
      <c r="B258" s="95" t="s">
        <v>9046</v>
      </c>
      <c r="C258" s="1">
        <v>1</v>
      </c>
      <c r="D258" s="1" t="s">
        <v>106</v>
      </c>
      <c r="E258" s="21" t="s">
        <v>8810</v>
      </c>
      <c r="F258" s="20" t="s">
        <v>309</v>
      </c>
      <c r="G258" s="20" t="s">
        <v>8880</v>
      </c>
      <c r="H258" s="20" t="s">
        <v>309</v>
      </c>
      <c r="I258" s="20">
        <v>344376</v>
      </c>
      <c r="J258" s="20" t="s">
        <v>344</v>
      </c>
      <c r="K258" s="20" t="s">
        <v>8898</v>
      </c>
      <c r="L258" s="20" t="s">
        <v>512</v>
      </c>
      <c r="M258" s="20" t="s">
        <v>512</v>
      </c>
      <c r="N258" s="20" t="s">
        <v>512</v>
      </c>
      <c r="O258" s="20" t="s">
        <v>512</v>
      </c>
      <c r="P258" s="20"/>
      <c r="Q258" s="1" t="s">
        <v>106</v>
      </c>
    </row>
    <row r="259" spans="1:19" x14ac:dyDescent="0.25">
      <c r="A259" s="1" t="s">
        <v>9261</v>
      </c>
      <c r="B259" s="95" t="s">
        <v>9046</v>
      </c>
      <c r="C259" s="1">
        <v>1</v>
      </c>
      <c r="D259" s="1" t="s">
        <v>106</v>
      </c>
      <c r="E259" s="21" t="s">
        <v>8810</v>
      </c>
      <c r="F259" s="20" t="s">
        <v>309</v>
      </c>
      <c r="G259" s="20" t="s">
        <v>8880</v>
      </c>
      <c r="H259" s="20" t="s">
        <v>309</v>
      </c>
      <c r="I259" s="20">
        <v>344376</v>
      </c>
      <c r="J259" s="20" t="s">
        <v>344</v>
      </c>
      <c r="K259" s="20" t="s">
        <v>8898</v>
      </c>
      <c r="L259" s="20" t="s">
        <v>512</v>
      </c>
      <c r="M259" s="20" t="s">
        <v>512</v>
      </c>
      <c r="N259" s="20" t="s">
        <v>512</v>
      </c>
      <c r="O259" s="20" t="s">
        <v>512</v>
      </c>
      <c r="P259" s="20"/>
      <c r="Q259" s="1" t="s">
        <v>106</v>
      </c>
    </row>
    <row r="260" spans="1:19" x14ac:dyDescent="0.25">
      <c r="A260" s="1" t="s">
        <v>9262</v>
      </c>
      <c r="B260" s="95" t="s">
        <v>9048</v>
      </c>
      <c r="C260" s="1">
        <v>1</v>
      </c>
      <c r="D260" s="1" t="s">
        <v>106</v>
      </c>
      <c r="E260" s="21" t="s">
        <v>8806</v>
      </c>
      <c r="F260" s="20" t="s">
        <v>309</v>
      </c>
      <c r="G260" s="20" t="s">
        <v>8882</v>
      </c>
      <c r="H260" s="20" t="s">
        <v>309</v>
      </c>
      <c r="I260" s="20" t="s">
        <v>8973</v>
      </c>
      <c r="J260" s="20" t="s">
        <v>344</v>
      </c>
      <c r="K260" s="20" t="s">
        <v>8898</v>
      </c>
      <c r="L260" s="20" t="s">
        <v>512</v>
      </c>
      <c r="M260" s="20" t="s">
        <v>512</v>
      </c>
      <c r="N260" s="20" t="s">
        <v>512</v>
      </c>
      <c r="O260" s="20" t="s">
        <v>512</v>
      </c>
      <c r="P260" s="20"/>
      <c r="Q260" s="1" t="s">
        <v>106</v>
      </c>
    </row>
    <row r="261" spans="1:19" x14ac:dyDescent="0.25">
      <c r="A261" s="1" t="s">
        <v>9262</v>
      </c>
      <c r="B261" s="95" t="s">
        <v>9048</v>
      </c>
      <c r="C261" s="1">
        <v>1</v>
      </c>
      <c r="D261" s="1" t="s">
        <v>106</v>
      </c>
      <c r="E261" s="21" t="s">
        <v>8806</v>
      </c>
      <c r="F261" s="20" t="s">
        <v>309</v>
      </c>
      <c r="G261" s="20" t="s">
        <v>8882</v>
      </c>
      <c r="H261" s="20" t="s">
        <v>309</v>
      </c>
      <c r="I261" s="20" t="s">
        <v>8973</v>
      </c>
      <c r="J261" s="20" t="s">
        <v>344</v>
      </c>
      <c r="K261" s="20" t="s">
        <v>8898</v>
      </c>
      <c r="L261" s="20" t="s">
        <v>512</v>
      </c>
      <c r="M261" s="20" t="s">
        <v>512</v>
      </c>
      <c r="N261" s="20" t="s">
        <v>512</v>
      </c>
      <c r="O261" s="20" t="s">
        <v>512</v>
      </c>
      <c r="P261" s="20"/>
      <c r="Q261" s="1" t="s">
        <v>106</v>
      </c>
    </row>
    <row r="262" spans="1:19" s="20" customFormat="1" x14ac:dyDescent="0.25">
      <c r="A262" s="1" t="s">
        <v>9263</v>
      </c>
      <c r="B262" s="95" t="s">
        <v>9030</v>
      </c>
      <c r="C262" s="1">
        <v>1</v>
      </c>
      <c r="D262" s="1" t="s">
        <v>3744</v>
      </c>
      <c r="E262" s="21" t="s">
        <v>8595</v>
      </c>
      <c r="F262" s="20" t="s">
        <v>8781</v>
      </c>
      <c r="G262" s="20" t="s">
        <v>8618</v>
      </c>
      <c r="H262" s="20" t="s">
        <v>309</v>
      </c>
      <c r="I262" s="20" t="s">
        <v>8878</v>
      </c>
      <c r="J262" s="20" t="s">
        <v>512</v>
      </c>
      <c r="K262" s="20" t="s">
        <v>512</v>
      </c>
      <c r="L262" s="20" t="s">
        <v>512</v>
      </c>
      <c r="M262" s="20" t="s">
        <v>512</v>
      </c>
      <c r="N262" s="20" t="s">
        <v>512</v>
      </c>
      <c r="O262" s="20" t="s">
        <v>512</v>
      </c>
      <c r="Q262" s="1" t="s">
        <v>3744</v>
      </c>
      <c r="R262" s="1"/>
      <c r="S262" s="1"/>
    </row>
    <row r="263" spans="1:19" x14ac:dyDescent="0.25">
      <c r="A263" s="1" t="s">
        <v>9264</v>
      </c>
      <c r="B263" s="95" t="s">
        <v>9036</v>
      </c>
      <c r="C263" s="1">
        <v>1</v>
      </c>
      <c r="D263" s="1" t="s">
        <v>8856</v>
      </c>
      <c r="E263" s="21" t="s">
        <v>8855</v>
      </c>
      <c r="F263" s="20" t="s">
        <v>8753</v>
      </c>
      <c r="G263" s="20" t="s">
        <v>8757</v>
      </c>
      <c r="H263" s="20" t="s">
        <v>8753</v>
      </c>
      <c r="I263" s="20" t="s">
        <v>8759</v>
      </c>
      <c r="J263" s="20" t="s">
        <v>8753</v>
      </c>
      <c r="K263" s="20" t="s">
        <v>8761</v>
      </c>
      <c r="L263" s="20" t="s">
        <v>512</v>
      </c>
      <c r="M263" s="20" t="s">
        <v>512</v>
      </c>
      <c r="N263" s="20" t="s">
        <v>512</v>
      </c>
      <c r="O263" s="20" t="s">
        <v>512</v>
      </c>
      <c r="P263" s="20"/>
      <c r="Q263" s="1" t="s">
        <v>8856</v>
      </c>
    </row>
    <row r="264" spans="1:19" x14ac:dyDescent="0.25">
      <c r="A264" s="1" t="s">
        <v>9265</v>
      </c>
      <c r="B264" s="95" t="s">
        <v>9039</v>
      </c>
      <c r="C264" s="1">
        <v>1</v>
      </c>
      <c r="D264" s="1" t="s">
        <v>3744</v>
      </c>
      <c r="E264" s="21" t="s">
        <v>8804</v>
      </c>
      <c r="F264" s="20" t="s">
        <v>8781</v>
      </c>
      <c r="G264" s="20" t="s">
        <v>8616</v>
      </c>
      <c r="H264" s="20" t="s">
        <v>309</v>
      </c>
      <c r="I264" s="20" t="s">
        <v>8878</v>
      </c>
      <c r="J264" s="20" t="s">
        <v>512</v>
      </c>
      <c r="K264" s="20" t="s">
        <v>512</v>
      </c>
      <c r="L264" s="20" t="s">
        <v>512</v>
      </c>
      <c r="M264" s="20" t="s">
        <v>512</v>
      </c>
      <c r="N264" s="20" t="s">
        <v>512</v>
      </c>
      <c r="O264" s="20" t="s">
        <v>512</v>
      </c>
      <c r="P264" s="20"/>
      <c r="Q264" s="1" t="s">
        <v>3744</v>
      </c>
    </row>
    <row r="265" spans="1:19" x14ac:dyDescent="0.25">
      <c r="A265" s="1" t="s">
        <v>9265</v>
      </c>
      <c r="B265" s="95" t="s">
        <v>9039</v>
      </c>
      <c r="C265" s="1">
        <v>1</v>
      </c>
      <c r="D265" s="1" t="s">
        <v>3744</v>
      </c>
      <c r="E265" s="21" t="s">
        <v>8804</v>
      </c>
      <c r="F265" s="20" t="s">
        <v>8781</v>
      </c>
      <c r="G265" s="20" t="s">
        <v>8616</v>
      </c>
      <c r="H265" s="20" t="s">
        <v>309</v>
      </c>
      <c r="I265" s="20" t="s">
        <v>8878</v>
      </c>
      <c r="J265" s="20" t="s">
        <v>512</v>
      </c>
      <c r="K265" s="20" t="s">
        <v>512</v>
      </c>
      <c r="L265" s="20" t="s">
        <v>512</v>
      </c>
      <c r="M265" s="20" t="s">
        <v>512</v>
      </c>
      <c r="N265" s="20" t="s">
        <v>512</v>
      </c>
      <c r="O265" s="20" t="s">
        <v>512</v>
      </c>
      <c r="P265" s="20"/>
      <c r="Q265" s="1" t="s">
        <v>3744</v>
      </c>
    </row>
    <row r="266" spans="1:19" x14ac:dyDescent="0.25">
      <c r="A266" s="1" t="s">
        <v>9266</v>
      </c>
      <c r="B266" s="95" t="s">
        <v>9036</v>
      </c>
      <c r="C266" s="1">
        <v>1</v>
      </c>
      <c r="D266" s="1" t="s">
        <v>8856</v>
      </c>
      <c r="E266" s="21" t="s">
        <v>8855</v>
      </c>
      <c r="F266" s="20" t="s">
        <v>8753</v>
      </c>
      <c r="G266" s="20" t="s">
        <v>8757</v>
      </c>
      <c r="H266" s="20" t="s">
        <v>8753</v>
      </c>
      <c r="I266" s="20" t="s">
        <v>8759</v>
      </c>
      <c r="J266" s="20" t="s">
        <v>8753</v>
      </c>
      <c r="K266" s="20" t="s">
        <v>8761</v>
      </c>
      <c r="L266" s="20" t="s">
        <v>512</v>
      </c>
      <c r="M266" s="20" t="s">
        <v>512</v>
      </c>
      <c r="N266" s="20" t="s">
        <v>512</v>
      </c>
      <c r="O266" s="20" t="s">
        <v>512</v>
      </c>
      <c r="P266" s="20"/>
      <c r="Q266" s="1" t="s">
        <v>8856</v>
      </c>
    </row>
    <row r="267" spans="1:19" s="20" customFormat="1" x14ac:dyDescent="0.25">
      <c r="A267" s="1" t="s">
        <v>9267</v>
      </c>
      <c r="B267" s="95" t="s">
        <v>9036</v>
      </c>
      <c r="C267" s="1">
        <v>1</v>
      </c>
      <c r="D267" s="1" t="s">
        <v>8856</v>
      </c>
      <c r="E267" s="21" t="s">
        <v>8855</v>
      </c>
      <c r="F267" s="20" t="s">
        <v>8753</v>
      </c>
      <c r="G267" s="20" t="s">
        <v>8757</v>
      </c>
      <c r="H267" s="20" t="s">
        <v>8753</v>
      </c>
      <c r="I267" s="20" t="s">
        <v>8759</v>
      </c>
      <c r="J267" s="20" t="s">
        <v>8753</v>
      </c>
      <c r="K267" s="20" t="s">
        <v>8761</v>
      </c>
      <c r="L267" s="20" t="s">
        <v>512</v>
      </c>
      <c r="M267" s="20" t="s">
        <v>512</v>
      </c>
      <c r="N267" s="20" t="s">
        <v>512</v>
      </c>
      <c r="O267" s="20" t="s">
        <v>512</v>
      </c>
      <c r="Q267" s="1" t="s">
        <v>8856</v>
      </c>
      <c r="R267" s="1"/>
      <c r="S267" s="1"/>
    </row>
    <row r="268" spans="1:19" x14ac:dyDescent="0.25">
      <c r="A268" s="1" t="s">
        <v>9268</v>
      </c>
      <c r="B268" s="96" t="s">
        <v>9033</v>
      </c>
      <c r="C268" s="1">
        <v>1</v>
      </c>
      <c r="D268" s="1" t="s">
        <v>3744</v>
      </c>
      <c r="E268" s="21" t="s">
        <v>8791</v>
      </c>
      <c r="F268" s="20" t="s">
        <v>309</v>
      </c>
      <c r="G268" s="20" t="s">
        <v>8835</v>
      </c>
      <c r="H268" s="20" t="s">
        <v>512</v>
      </c>
      <c r="I268" s="20" t="s">
        <v>512</v>
      </c>
      <c r="J268" s="20" t="s">
        <v>512</v>
      </c>
      <c r="K268" s="20" t="s">
        <v>512</v>
      </c>
      <c r="L268" s="20" t="s">
        <v>512</v>
      </c>
      <c r="M268" s="20" t="s">
        <v>512</v>
      </c>
      <c r="N268" s="20" t="s">
        <v>512</v>
      </c>
      <c r="O268" s="20" t="s">
        <v>512</v>
      </c>
      <c r="P268" s="20"/>
      <c r="Q268" s="1" t="s">
        <v>3744</v>
      </c>
    </row>
    <row r="269" spans="1:19" x14ac:dyDescent="0.25">
      <c r="A269" s="1" t="s">
        <v>9269</v>
      </c>
      <c r="B269" s="95" t="s">
        <v>9046</v>
      </c>
      <c r="C269" s="1">
        <v>1</v>
      </c>
      <c r="D269" s="1" t="s">
        <v>106</v>
      </c>
      <c r="E269" s="21" t="s">
        <v>8810</v>
      </c>
      <c r="F269" s="20" t="s">
        <v>309</v>
      </c>
      <c r="G269" s="20" t="s">
        <v>8880</v>
      </c>
      <c r="H269" s="20" t="s">
        <v>309</v>
      </c>
      <c r="I269" s="20">
        <v>344376</v>
      </c>
      <c r="J269" s="20" t="s">
        <v>344</v>
      </c>
      <c r="K269" s="20" t="s">
        <v>8898</v>
      </c>
      <c r="L269" s="20" t="s">
        <v>512</v>
      </c>
      <c r="M269" s="20" t="s">
        <v>512</v>
      </c>
      <c r="N269" s="20" t="s">
        <v>512</v>
      </c>
      <c r="O269" s="20" t="s">
        <v>512</v>
      </c>
      <c r="P269" s="20"/>
      <c r="Q269" s="1" t="s">
        <v>106</v>
      </c>
    </row>
    <row r="270" spans="1:19" x14ac:dyDescent="0.25">
      <c r="A270" s="1" t="s">
        <v>9270</v>
      </c>
      <c r="B270" s="95" t="s">
        <v>9048</v>
      </c>
      <c r="C270" s="1">
        <v>1</v>
      </c>
      <c r="D270" s="1" t="s">
        <v>106</v>
      </c>
      <c r="E270" s="21" t="s">
        <v>8806</v>
      </c>
      <c r="F270" s="20" t="s">
        <v>309</v>
      </c>
      <c r="G270" s="20" t="s">
        <v>8882</v>
      </c>
      <c r="H270" s="20" t="s">
        <v>309</v>
      </c>
      <c r="I270" s="20" t="s">
        <v>8973</v>
      </c>
      <c r="J270" s="20" t="s">
        <v>344</v>
      </c>
      <c r="K270" s="20" t="s">
        <v>8898</v>
      </c>
      <c r="L270" s="20" t="s">
        <v>512</v>
      </c>
      <c r="M270" s="20" t="s">
        <v>512</v>
      </c>
      <c r="N270" s="20" t="s">
        <v>512</v>
      </c>
      <c r="O270" s="20" t="s">
        <v>512</v>
      </c>
      <c r="P270" s="20"/>
      <c r="Q270" s="1" t="s">
        <v>106</v>
      </c>
    </row>
    <row r="271" spans="1:19" x14ac:dyDescent="0.25">
      <c r="A271" s="1" t="s">
        <v>9271</v>
      </c>
      <c r="B271" s="95" t="s">
        <v>9030</v>
      </c>
      <c r="C271" s="1">
        <v>1</v>
      </c>
      <c r="D271" s="1" t="s">
        <v>3744</v>
      </c>
      <c r="E271" s="21" t="s">
        <v>8595</v>
      </c>
      <c r="F271" s="20" t="s">
        <v>8781</v>
      </c>
      <c r="G271" s="20" t="s">
        <v>8618</v>
      </c>
      <c r="H271" s="20" t="s">
        <v>309</v>
      </c>
      <c r="I271" s="20" t="s">
        <v>8878</v>
      </c>
      <c r="J271" s="20" t="s">
        <v>512</v>
      </c>
      <c r="K271" s="20" t="s">
        <v>512</v>
      </c>
      <c r="L271" s="20" t="s">
        <v>512</v>
      </c>
      <c r="M271" s="20" t="s">
        <v>512</v>
      </c>
      <c r="N271" s="20" t="s">
        <v>512</v>
      </c>
      <c r="O271" s="20" t="s">
        <v>512</v>
      </c>
      <c r="P271" s="20"/>
      <c r="Q271" s="1" t="s">
        <v>3744</v>
      </c>
    </row>
    <row r="272" spans="1:19" x14ac:dyDescent="0.25">
      <c r="A272" s="1" t="s">
        <v>9272</v>
      </c>
      <c r="B272" s="95" t="s">
        <v>9036</v>
      </c>
      <c r="C272" s="1">
        <v>1</v>
      </c>
      <c r="D272" s="1" t="s">
        <v>8856</v>
      </c>
      <c r="E272" s="21" t="s">
        <v>8855</v>
      </c>
      <c r="F272" s="20" t="s">
        <v>8753</v>
      </c>
      <c r="G272" s="20" t="s">
        <v>8757</v>
      </c>
      <c r="H272" s="20" t="s">
        <v>8753</v>
      </c>
      <c r="I272" s="20" t="s">
        <v>8759</v>
      </c>
      <c r="J272" s="20" t="s">
        <v>8753</v>
      </c>
      <c r="K272" s="20" t="s">
        <v>8761</v>
      </c>
      <c r="L272" s="20" t="s">
        <v>512</v>
      </c>
      <c r="M272" s="20" t="s">
        <v>512</v>
      </c>
      <c r="N272" s="20" t="s">
        <v>512</v>
      </c>
      <c r="O272" s="20" t="s">
        <v>512</v>
      </c>
      <c r="P272" s="20"/>
      <c r="Q272" s="1" t="s">
        <v>8856</v>
      </c>
    </row>
    <row r="273" spans="1:17" x14ac:dyDescent="0.25">
      <c r="A273" s="1" t="s">
        <v>9272</v>
      </c>
      <c r="B273" s="95" t="s">
        <v>9036</v>
      </c>
      <c r="C273" s="1">
        <v>1</v>
      </c>
      <c r="D273" s="1" t="s">
        <v>8856</v>
      </c>
      <c r="E273" s="21" t="s">
        <v>8855</v>
      </c>
      <c r="F273" s="20" t="s">
        <v>8753</v>
      </c>
      <c r="G273" s="20" t="s">
        <v>8757</v>
      </c>
      <c r="H273" s="20" t="s">
        <v>8753</v>
      </c>
      <c r="I273" s="20" t="s">
        <v>8759</v>
      </c>
      <c r="J273" s="20" t="s">
        <v>8753</v>
      </c>
      <c r="K273" s="20" t="s">
        <v>8761</v>
      </c>
      <c r="L273" s="20" t="s">
        <v>512</v>
      </c>
      <c r="M273" s="20" t="s">
        <v>512</v>
      </c>
      <c r="N273" s="20" t="s">
        <v>512</v>
      </c>
      <c r="O273" s="20" t="s">
        <v>512</v>
      </c>
      <c r="P273" s="20"/>
      <c r="Q273" s="1" t="s">
        <v>8856</v>
      </c>
    </row>
    <row r="274" spans="1:17" x14ac:dyDescent="0.25">
      <c r="A274" s="1" t="s">
        <v>9273</v>
      </c>
      <c r="B274" s="95" t="s">
        <v>9020</v>
      </c>
      <c r="C274" s="1">
        <v>1</v>
      </c>
      <c r="D274" s="1" t="s">
        <v>3744</v>
      </c>
      <c r="E274" s="21" t="s">
        <v>8789</v>
      </c>
      <c r="F274" s="20" t="s">
        <v>309</v>
      </c>
      <c r="G274" s="20" t="s">
        <v>8837</v>
      </c>
      <c r="H274" s="20" t="s">
        <v>8781</v>
      </c>
      <c r="I274" s="20" t="s">
        <v>8797</v>
      </c>
      <c r="J274" s="20" t="s">
        <v>3744</v>
      </c>
      <c r="K274" s="20" t="s">
        <v>8613</v>
      </c>
      <c r="L274" s="20" t="s">
        <v>512</v>
      </c>
      <c r="M274" s="20" t="s">
        <v>512</v>
      </c>
      <c r="N274" s="20" t="s">
        <v>512</v>
      </c>
      <c r="O274" s="20" t="s">
        <v>512</v>
      </c>
      <c r="P274" s="20"/>
      <c r="Q274" s="1" t="s">
        <v>3744</v>
      </c>
    </row>
    <row r="275" spans="1:17" x14ac:dyDescent="0.25">
      <c r="A275" s="1" t="s">
        <v>9273</v>
      </c>
      <c r="B275" s="95" t="s">
        <v>9020</v>
      </c>
      <c r="C275" s="1">
        <v>1</v>
      </c>
      <c r="D275" s="1" t="s">
        <v>3744</v>
      </c>
      <c r="E275" s="21" t="s">
        <v>8789</v>
      </c>
      <c r="F275" s="20" t="s">
        <v>309</v>
      </c>
      <c r="G275" s="60" t="s">
        <v>8837</v>
      </c>
      <c r="H275" s="20" t="s">
        <v>8781</v>
      </c>
      <c r="I275" s="20" t="s">
        <v>8797</v>
      </c>
      <c r="J275" s="20" t="s">
        <v>3744</v>
      </c>
      <c r="K275" s="20" t="s">
        <v>8613</v>
      </c>
      <c r="L275" s="20" t="s">
        <v>512</v>
      </c>
      <c r="M275" s="20" t="s">
        <v>512</v>
      </c>
      <c r="N275" s="20" t="s">
        <v>512</v>
      </c>
      <c r="O275" s="20" t="s">
        <v>512</v>
      </c>
      <c r="P275" s="20"/>
      <c r="Q275" s="1" t="s">
        <v>3744</v>
      </c>
    </row>
    <row r="276" spans="1:17" ht="30" x14ac:dyDescent="0.25">
      <c r="A276" s="1" t="s">
        <v>9274</v>
      </c>
      <c r="B276" s="95" t="s">
        <v>9023</v>
      </c>
      <c r="C276" s="1">
        <v>1</v>
      </c>
      <c r="D276" s="1" t="s">
        <v>405</v>
      </c>
      <c r="E276" s="21" t="s">
        <v>8985</v>
      </c>
      <c r="F276" s="20" t="s">
        <v>405</v>
      </c>
      <c r="G276" s="60" t="s">
        <v>8989</v>
      </c>
      <c r="H276" s="20" t="s">
        <v>8753</v>
      </c>
      <c r="I276" s="20" t="s">
        <v>8757</v>
      </c>
      <c r="J276" s="20" t="s">
        <v>8753</v>
      </c>
      <c r="K276" s="20" t="s">
        <v>8759</v>
      </c>
      <c r="L276" s="20" t="s">
        <v>309</v>
      </c>
      <c r="M276" s="20" t="s">
        <v>8876</v>
      </c>
      <c r="N276" s="20" t="s">
        <v>8753</v>
      </c>
      <c r="O276" s="20" t="s">
        <v>8761</v>
      </c>
      <c r="P276" s="20"/>
      <c r="Q276" s="1" t="s">
        <v>405</v>
      </c>
    </row>
    <row r="277" spans="1:17" x14ac:dyDescent="0.25">
      <c r="A277" s="64" t="s">
        <v>9274</v>
      </c>
      <c r="B277" s="97" t="s">
        <v>9024</v>
      </c>
      <c r="C277" s="20">
        <v>1</v>
      </c>
      <c r="D277" s="20" t="s">
        <v>405</v>
      </c>
      <c r="E277" s="20">
        <v>1830600</v>
      </c>
      <c r="F277" s="20" t="s">
        <v>512</v>
      </c>
      <c r="G277" s="20" t="s">
        <v>512</v>
      </c>
      <c r="H277" s="20" t="s">
        <v>512</v>
      </c>
      <c r="I277" s="20" t="s">
        <v>512</v>
      </c>
      <c r="J277" s="20" t="s">
        <v>512</v>
      </c>
      <c r="K277" s="20" t="s">
        <v>512</v>
      </c>
      <c r="L277" s="20" t="s">
        <v>512</v>
      </c>
      <c r="M277" s="20" t="s">
        <v>512</v>
      </c>
      <c r="N277" s="20" t="s">
        <v>512</v>
      </c>
      <c r="O277" s="20" t="s">
        <v>512</v>
      </c>
      <c r="P277" s="20"/>
      <c r="Q277" s="1" t="s">
        <v>512</v>
      </c>
    </row>
    <row r="278" spans="1:17" x14ac:dyDescent="0.25">
      <c r="A278" s="64" t="s">
        <v>9274</v>
      </c>
      <c r="B278" s="97" t="s">
        <v>9024</v>
      </c>
      <c r="C278" s="20">
        <v>1</v>
      </c>
      <c r="D278" s="20" t="s">
        <v>405</v>
      </c>
      <c r="E278" s="20">
        <v>28231449</v>
      </c>
      <c r="F278" s="20" t="s">
        <v>512</v>
      </c>
      <c r="G278" s="20" t="s">
        <v>512</v>
      </c>
      <c r="H278" s="20" t="s">
        <v>512</v>
      </c>
      <c r="I278" s="20" t="s">
        <v>512</v>
      </c>
      <c r="J278" s="20" t="s">
        <v>512</v>
      </c>
      <c r="K278" s="20" t="s">
        <v>512</v>
      </c>
      <c r="L278" s="20" t="s">
        <v>512</v>
      </c>
      <c r="M278" s="20" t="s">
        <v>512</v>
      </c>
      <c r="N278" s="20" t="s">
        <v>512</v>
      </c>
      <c r="O278" s="20" t="s">
        <v>512</v>
      </c>
      <c r="P278" s="20"/>
      <c r="Q278" s="1" t="s">
        <v>512</v>
      </c>
    </row>
    <row r="279" spans="1:17" x14ac:dyDescent="0.25">
      <c r="A279" s="64" t="s">
        <v>9274</v>
      </c>
      <c r="B279" s="97" t="s">
        <v>9024</v>
      </c>
      <c r="C279" s="20">
        <v>1</v>
      </c>
      <c r="D279" s="20" t="s">
        <v>405</v>
      </c>
      <c r="E279" s="20">
        <v>18123864</v>
      </c>
      <c r="F279" s="20" t="s">
        <v>512</v>
      </c>
      <c r="G279" s="20" t="s">
        <v>512</v>
      </c>
      <c r="H279" s="20" t="s">
        <v>512</v>
      </c>
      <c r="I279" s="20" t="s">
        <v>512</v>
      </c>
      <c r="J279" s="20" t="s">
        <v>512</v>
      </c>
      <c r="K279" s="20" t="s">
        <v>512</v>
      </c>
      <c r="L279" s="1" t="s">
        <v>512</v>
      </c>
      <c r="M279" s="1" t="s">
        <v>512</v>
      </c>
      <c r="N279" s="1" t="s">
        <v>512</v>
      </c>
      <c r="O279" s="1" t="s">
        <v>512</v>
      </c>
      <c r="Q279" s="1" t="s">
        <v>512</v>
      </c>
    </row>
    <row r="280" spans="1:17" x14ac:dyDescent="0.25">
      <c r="A280" s="64" t="s">
        <v>9274</v>
      </c>
      <c r="B280" s="97" t="s">
        <v>9024</v>
      </c>
      <c r="C280" s="20">
        <v>1</v>
      </c>
      <c r="D280" s="20" t="s">
        <v>405</v>
      </c>
      <c r="E280" s="20">
        <v>25643517</v>
      </c>
      <c r="F280" s="20" t="s">
        <v>512</v>
      </c>
      <c r="G280" s="20" t="s">
        <v>512</v>
      </c>
      <c r="H280" s="20" t="s">
        <v>512</v>
      </c>
      <c r="I280" s="20" t="s">
        <v>512</v>
      </c>
      <c r="J280" s="20" t="s">
        <v>512</v>
      </c>
      <c r="K280" s="20" t="s">
        <v>512</v>
      </c>
      <c r="L280" s="1" t="s">
        <v>512</v>
      </c>
      <c r="M280" s="1" t="s">
        <v>512</v>
      </c>
      <c r="N280" s="1" t="s">
        <v>512</v>
      </c>
      <c r="O280" s="1" t="s">
        <v>512</v>
      </c>
      <c r="Q280" s="1" t="s">
        <v>512</v>
      </c>
    </row>
    <row r="281" spans="1:17" x14ac:dyDescent="0.25">
      <c r="A281" s="64" t="s">
        <v>9274</v>
      </c>
      <c r="B281" s="97" t="s">
        <v>9024</v>
      </c>
      <c r="C281" s="20">
        <v>1</v>
      </c>
      <c r="D281" s="20" t="s">
        <v>405</v>
      </c>
      <c r="E281" s="20">
        <v>28135350</v>
      </c>
      <c r="F281" s="20" t="s">
        <v>512</v>
      </c>
      <c r="G281" s="20" t="s">
        <v>512</v>
      </c>
      <c r="H281" s="20" t="s">
        <v>512</v>
      </c>
      <c r="I281" s="20" t="s">
        <v>512</v>
      </c>
      <c r="J281" s="20" t="s">
        <v>512</v>
      </c>
      <c r="K281" s="20" t="s">
        <v>512</v>
      </c>
      <c r="L281" s="1" t="s">
        <v>512</v>
      </c>
      <c r="M281" s="1" t="s">
        <v>512</v>
      </c>
      <c r="N281" s="1" t="s">
        <v>512</v>
      </c>
      <c r="O281" s="1" t="s">
        <v>512</v>
      </c>
      <c r="Q281" s="1" t="s">
        <v>512</v>
      </c>
    </row>
    <row r="282" spans="1:17" x14ac:dyDescent="0.25">
      <c r="A282" s="64" t="s">
        <v>9274</v>
      </c>
      <c r="B282" s="97" t="s">
        <v>9024</v>
      </c>
      <c r="C282" s="20">
        <v>1</v>
      </c>
      <c r="D282" s="20" t="s">
        <v>405</v>
      </c>
      <c r="E282" s="20">
        <v>18153283</v>
      </c>
      <c r="F282" s="20" t="s">
        <v>512</v>
      </c>
      <c r="G282" s="20" t="s">
        <v>512</v>
      </c>
      <c r="H282" s="20" t="s">
        <v>512</v>
      </c>
      <c r="I282" s="20" t="s">
        <v>512</v>
      </c>
      <c r="J282" s="20" t="s">
        <v>512</v>
      </c>
      <c r="K282" s="20" t="s">
        <v>512</v>
      </c>
      <c r="L282" s="1" t="s">
        <v>512</v>
      </c>
      <c r="M282" s="1" t="s">
        <v>512</v>
      </c>
      <c r="N282" s="1" t="s">
        <v>512</v>
      </c>
      <c r="O282" s="1" t="s">
        <v>512</v>
      </c>
      <c r="Q282" s="1" t="s">
        <v>512</v>
      </c>
    </row>
    <row r="283" spans="1:17" x14ac:dyDescent="0.25">
      <c r="A283" s="1" t="s">
        <v>9275</v>
      </c>
      <c r="B283" s="95" t="s">
        <v>9026</v>
      </c>
      <c r="C283" s="1">
        <v>1</v>
      </c>
      <c r="D283" s="1" t="s">
        <v>9027</v>
      </c>
      <c r="E283" s="21">
        <v>160520</v>
      </c>
      <c r="F283" s="20" t="s">
        <v>9027</v>
      </c>
      <c r="G283" s="20" t="s">
        <v>8896</v>
      </c>
      <c r="H283" s="20" t="s">
        <v>512</v>
      </c>
      <c r="I283" s="20" t="s">
        <v>512</v>
      </c>
      <c r="J283" s="20" t="s">
        <v>512</v>
      </c>
      <c r="K283" s="20" t="s">
        <v>512</v>
      </c>
      <c r="L283" s="20" t="s">
        <v>512</v>
      </c>
      <c r="M283" s="20" t="s">
        <v>512</v>
      </c>
      <c r="N283" s="20" t="s">
        <v>512</v>
      </c>
      <c r="O283" s="20" t="s">
        <v>512</v>
      </c>
      <c r="P283" s="20"/>
      <c r="Q283" s="1" t="s">
        <v>9027</v>
      </c>
    </row>
    <row r="284" spans="1:17" x14ac:dyDescent="0.25">
      <c r="A284" s="1" t="s">
        <v>9276</v>
      </c>
      <c r="B284" s="95" t="s">
        <v>9026</v>
      </c>
      <c r="C284" s="1">
        <v>1</v>
      </c>
      <c r="D284" s="1" t="s">
        <v>9027</v>
      </c>
      <c r="E284" s="21">
        <v>160520</v>
      </c>
      <c r="F284" s="20" t="s">
        <v>9027</v>
      </c>
      <c r="G284" s="20" t="s">
        <v>8896</v>
      </c>
      <c r="H284" s="20" t="s">
        <v>512</v>
      </c>
      <c r="I284" s="20" t="s">
        <v>512</v>
      </c>
      <c r="J284" s="20" t="s">
        <v>512</v>
      </c>
      <c r="K284" s="20" t="s">
        <v>512</v>
      </c>
      <c r="L284" s="20" t="s">
        <v>512</v>
      </c>
      <c r="M284" s="20" t="s">
        <v>512</v>
      </c>
      <c r="N284" s="20" t="s">
        <v>512</v>
      </c>
      <c r="O284" s="20" t="s">
        <v>512</v>
      </c>
      <c r="P284" s="20"/>
      <c r="Q284" s="1" t="s">
        <v>9027</v>
      </c>
    </row>
    <row r="285" spans="1:17" x14ac:dyDescent="0.25">
      <c r="A285" s="1" t="s">
        <v>9277</v>
      </c>
      <c r="B285" s="95" t="s">
        <v>9030</v>
      </c>
      <c r="C285" s="1">
        <v>1</v>
      </c>
      <c r="D285" s="1" t="s">
        <v>3744</v>
      </c>
      <c r="E285" s="21" t="s">
        <v>8595</v>
      </c>
      <c r="F285" s="20" t="s">
        <v>8781</v>
      </c>
      <c r="G285" s="20" t="s">
        <v>8616</v>
      </c>
      <c r="H285" s="20" t="s">
        <v>309</v>
      </c>
      <c r="I285" s="20" t="s">
        <v>8878</v>
      </c>
      <c r="J285" s="20" t="s">
        <v>512</v>
      </c>
      <c r="K285" s="20" t="s">
        <v>512</v>
      </c>
      <c r="L285" s="20" t="s">
        <v>512</v>
      </c>
      <c r="M285" s="20" t="s">
        <v>512</v>
      </c>
      <c r="N285" s="20" t="s">
        <v>512</v>
      </c>
      <c r="O285" s="20" t="s">
        <v>512</v>
      </c>
      <c r="P285" s="20"/>
      <c r="Q285" s="1" t="s">
        <v>3744</v>
      </c>
    </row>
    <row r="286" spans="1:17" x14ac:dyDescent="0.25">
      <c r="A286" s="1" t="s">
        <v>9277</v>
      </c>
      <c r="B286" s="95" t="s">
        <v>9030</v>
      </c>
      <c r="C286" s="1">
        <v>1</v>
      </c>
      <c r="D286" s="1" t="s">
        <v>3744</v>
      </c>
      <c r="E286" s="21" t="s">
        <v>8595</v>
      </c>
      <c r="F286" s="20" t="s">
        <v>8781</v>
      </c>
      <c r="G286" s="20" t="s">
        <v>8616</v>
      </c>
      <c r="H286" s="20" t="s">
        <v>309</v>
      </c>
      <c r="I286" s="20" t="s">
        <v>8878</v>
      </c>
      <c r="J286" s="20" t="s">
        <v>512</v>
      </c>
      <c r="K286" s="20" t="s">
        <v>512</v>
      </c>
      <c r="L286" s="20" t="s">
        <v>512</v>
      </c>
      <c r="M286" s="20" t="s">
        <v>512</v>
      </c>
      <c r="N286" s="20" t="s">
        <v>512</v>
      </c>
      <c r="O286" s="20" t="s">
        <v>512</v>
      </c>
      <c r="P286" s="20"/>
      <c r="Q286" s="1" t="s">
        <v>3744</v>
      </c>
    </row>
    <row r="287" spans="1:17" ht="30" x14ac:dyDescent="0.25">
      <c r="A287" s="1" t="s">
        <v>9278</v>
      </c>
      <c r="B287" s="95" t="s">
        <v>9030</v>
      </c>
      <c r="C287" s="1">
        <v>1</v>
      </c>
      <c r="D287" s="1" t="s">
        <v>3744</v>
      </c>
      <c r="E287" s="21" t="s">
        <v>8595</v>
      </c>
      <c r="F287" s="20" t="s">
        <v>8781</v>
      </c>
      <c r="G287" s="20" t="s">
        <v>8618</v>
      </c>
      <c r="H287" s="21" t="s">
        <v>309</v>
      </c>
      <c r="I287" s="21" t="s">
        <v>8878</v>
      </c>
      <c r="J287" s="21" t="s">
        <v>512</v>
      </c>
      <c r="K287" s="21" t="s">
        <v>512</v>
      </c>
      <c r="L287" s="21" t="s">
        <v>512</v>
      </c>
      <c r="M287" s="21" t="s">
        <v>512</v>
      </c>
      <c r="N287" s="21" t="s">
        <v>512</v>
      </c>
      <c r="O287" s="21" t="s">
        <v>512</v>
      </c>
      <c r="P287" s="20"/>
      <c r="Q287" s="1" t="s">
        <v>3744</v>
      </c>
    </row>
    <row r="288" spans="1:17" x14ac:dyDescent="0.25">
      <c r="A288" s="1" t="s">
        <v>9279</v>
      </c>
      <c r="B288" s="96" t="s">
        <v>9033</v>
      </c>
      <c r="C288" s="1">
        <v>1</v>
      </c>
      <c r="D288" s="1" t="s">
        <v>3744</v>
      </c>
      <c r="E288" s="21" t="s">
        <v>8791</v>
      </c>
      <c r="F288" s="20" t="s">
        <v>309</v>
      </c>
      <c r="G288" s="20" t="s">
        <v>8835</v>
      </c>
      <c r="H288" s="21" t="s">
        <v>512</v>
      </c>
      <c r="I288" s="21" t="s">
        <v>512</v>
      </c>
      <c r="J288" s="21" t="s">
        <v>512</v>
      </c>
      <c r="K288" s="21" t="s">
        <v>512</v>
      </c>
      <c r="L288" s="21" t="s">
        <v>512</v>
      </c>
      <c r="M288" s="21" t="s">
        <v>512</v>
      </c>
      <c r="N288" s="21" t="s">
        <v>512</v>
      </c>
      <c r="O288" s="21" t="s">
        <v>512</v>
      </c>
      <c r="P288" s="20"/>
      <c r="Q288" s="1" t="s">
        <v>3744</v>
      </c>
    </row>
    <row r="289" spans="1:17" x14ac:dyDescent="0.25">
      <c r="A289" s="1" t="s">
        <v>9280</v>
      </c>
      <c r="B289" s="95" t="s">
        <v>9046</v>
      </c>
      <c r="C289" s="1">
        <v>1</v>
      </c>
      <c r="D289" s="1" t="s">
        <v>106</v>
      </c>
      <c r="E289" s="21" t="s">
        <v>8810</v>
      </c>
      <c r="F289" s="20" t="s">
        <v>309</v>
      </c>
      <c r="G289" s="20" t="s">
        <v>8880</v>
      </c>
      <c r="H289" s="21" t="s">
        <v>309</v>
      </c>
      <c r="I289" s="21">
        <v>344376</v>
      </c>
      <c r="J289" s="21" t="s">
        <v>344</v>
      </c>
      <c r="K289" s="21" t="s">
        <v>8898</v>
      </c>
      <c r="L289" s="21" t="s">
        <v>512</v>
      </c>
      <c r="M289" s="21" t="s">
        <v>512</v>
      </c>
      <c r="N289" s="21" t="s">
        <v>512</v>
      </c>
      <c r="O289" s="21" t="s">
        <v>512</v>
      </c>
      <c r="P289" s="20"/>
      <c r="Q289" s="1" t="s">
        <v>106</v>
      </c>
    </row>
    <row r="290" spans="1:17" ht="30" x14ac:dyDescent="0.25">
      <c r="A290" s="1" t="s">
        <v>9281</v>
      </c>
      <c r="B290" s="95" t="s">
        <v>9048</v>
      </c>
      <c r="C290" s="1">
        <v>1</v>
      </c>
      <c r="D290" s="1" t="s">
        <v>106</v>
      </c>
      <c r="E290" s="21" t="s">
        <v>8806</v>
      </c>
      <c r="F290" s="20" t="s">
        <v>309</v>
      </c>
      <c r="G290" s="20" t="s">
        <v>8882</v>
      </c>
      <c r="H290" s="21" t="s">
        <v>309</v>
      </c>
      <c r="I290" s="21" t="s">
        <v>8973</v>
      </c>
      <c r="J290" s="21" t="s">
        <v>344</v>
      </c>
      <c r="K290" s="21" t="s">
        <v>8898</v>
      </c>
      <c r="L290" s="21" t="s">
        <v>512</v>
      </c>
      <c r="M290" s="21" t="s">
        <v>512</v>
      </c>
      <c r="N290" s="21" t="s">
        <v>512</v>
      </c>
      <c r="O290" s="21" t="s">
        <v>512</v>
      </c>
      <c r="P290" s="20"/>
      <c r="Q290" s="1" t="s">
        <v>106</v>
      </c>
    </row>
    <row r="291" spans="1:17" ht="30" x14ac:dyDescent="0.25">
      <c r="A291" s="1" t="s">
        <v>9282</v>
      </c>
      <c r="B291" s="95" t="s">
        <v>9030</v>
      </c>
      <c r="C291" s="1">
        <v>1</v>
      </c>
      <c r="D291" s="1" t="s">
        <v>3744</v>
      </c>
      <c r="E291" s="21" t="s">
        <v>8595</v>
      </c>
      <c r="F291" s="1" t="s">
        <v>8781</v>
      </c>
      <c r="G291" s="1" t="s">
        <v>8616</v>
      </c>
      <c r="H291" s="21" t="s">
        <v>309</v>
      </c>
      <c r="I291" s="21" t="s">
        <v>8878</v>
      </c>
      <c r="J291" s="21" t="s">
        <v>512</v>
      </c>
      <c r="K291" s="21" t="s">
        <v>512</v>
      </c>
      <c r="L291" s="21" t="s">
        <v>512</v>
      </c>
      <c r="M291" s="21" t="s">
        <v>512</v>
      </c>
      <c r="N291" s="21" t="s">
        <v>512</v>
      </c>
      <c r="O291" s="21" t="s">
        <v>512</v>
      </c>
      <c r="P291" s="20"/>
      <c r="Q291" s="1" t="s">
        <v>3744</v>
      </c>
    </row>
    <row r="292" spans="1:17" x14ac:dyDescent="0.25">
      <c r="A292" s="1" t="s">
        <v>9283</v>
      </c>
      <c r="B292" s="95" t="s">
        <v>9030</v>
      </c>
      <c r="C292" s="1">
        <v>1</v>
      </c>
      <c r="D292" s="1" t="s">
        <v>3744</v>
      </c>
      <c r="E292" s="21" t="s">
        <v>8595</v>
      </c>
      <c r="F292" s="20" t="s">
        <v>8781</v>
      </c>
      <c r="G292" s="20" t="s">
        <v>8618</v>
      </c>
      <c r="H292" s="20" t="s">
        <v>309</v>
      </c>
      <c r="I292" s="20" t="s">
        <v>8878</v>
      </c>
      <c r="J292" s="20" t="s">
        <v>512</v>
      </c>
      <c r="K292" s="20" t="s">
        <v>512</v>
      </c>
      <c r="L292" s="20" t="s">
        <v>512</v>
      </c>
      <c r="M292" s="20" t="s">
        <v>512</v>
      </c>
      <c r="N292" s="20" t="s">
        <v>512</v>
      </c>
      <c r="O292" s="20" t="s">
        <v>512</v>
      </c>
      <c r="P292" s="20"/>
      <c r="Q292" s="1" t="s">
        <v>3744</v>
      </c>
    </row>
    <row r="293" spans="1:17" x14ac:dyDescent="0.25">
      <c r="A293" s="1" t="s">
        <v>9284</v>
      </c>
      <c r="B293" s="95" t="s">
        <v>9059</v>
      </c>
      <c r="C293" s="1">
        <v>1</v>
      </c>
      <c r="D293" s="1" t="s">
        <v>309</v>
      </c>
      <c r="E293" s="21" t="s">
        <v>8828</v>
      </c>
      <c r="F293" s="20" t="s">
        <v>309</v>
      </c>
      <c r="G293" s="20" t="s">
        <v>8971</v>
      </c>
      <c r="H293" s="20" t="s">
        <v>309</v>
      </c>
      <c r="I293" s="20" t="s">
        <v>8886</v>
      </c>
      <c r="J293" s="20" t="s">
        <v>344</v>
      </c>
      <c r="K293" s="20" t="s">
        <v>8898</v>
      </c>
      <c r="L293" s="20" t="s">
        <v>512</v>
      </c>
      <c r="M293" s="20" t="s">
        <v>512</v>
      </c>
      <c r="N293" s="20" t="s">
        <v>512</v>
      </c>
      <c r="O293" s="20" t="s">
        <v>512</v>
      </c>
      <c r="P293" s="20"/>
      <c r="Q293" s="1" t="s">
        <v>309</v>
      </c>
    </row>
    <row r="294" spans="1:17" x14ac:dyDescent="0.25">
      <c r="A294" s="1" t="s">
        <v>9285</v>
      </c>
      <c r="B294" s="95" t="s">
        <v>9036</v>
      </c>
      <c r="C294" s="1">
        <v>1</v>
      </c>
      <c r="D294" s="1" t="s">
        <v>8856</v>
      </c>
      <c r="E294" s="21" t="s">
        <v>8855</v>
      </c>
      <c r="F294" s="20" t="s">
        <v>8753</v>
      </c>
      <c r="G294" s="20" t="s">
        <v>8757</v>
      </c>
      <c r="H294" s="20" t="s">
        <v>8753</v>
      </c>
      <c r="I294" s="20" t="s">
        <v>8759</v>
      </c>
      <c r="J294" s="20" t="s">
        <v>8753</v>
      </c>
      <c r="K294" s="20" t="s">
        <v>8761</v>
      </c>
      <c r="L294" s="20" t="s">
        <v>512</v>
      </c>
      <c r="M294" s="20" t="s">
        <v>512</v>
      </c>
      <c r="N294" s="20" t="s">
        <v>512</v>
      </c>
      <c r="O294" s="20" t="s">
        <v>512</v>
      </c>
      <c r="P294" s="20"/>
      <c r="Q294" s="1" t="s">
        <v>8856</v>
      </c>
    </row>
    <row r="295" spans="1:17" x14ac:dyDescent="0.25">
      <c r="A295" s="1" t="s">
        <v>9286</v>
      </c>
      <c r="B295" s="95" t="s">
        <v>9036</v>
      </c>
      <c r="C295" s="1">
        <v>1</v>
      </c>
      <c r="D295" s="1" t="s">
        <v>8856</v>
      </c>
      <c r="E295" s="21" t="s">
        <v>8855</v>
      </c>
      <c r="F295" s="20" t="s">
        <v>8753</v>
      </c>
      <c r="G295" s="20" t="s">
        <v>8757</v>
      </c>
      <c r="H295" s="20" t="s">
        <v>8753</v>
      </c>
      <c r="I295" s="20" t="s">
        <v>8759</v>
      </c>
      <c r="J295" s="20" t="s">
        <v>8753</v>
      </c>
      <c r="K295" s="20" t="s">
        <v>8761</v>
      </c>
      <c r="L295" s="20" t="s">
        <v>512</v>
      </c>
      <c r="M295" s="20" t="s">
        <v>512</v>
      </c>
      <c r="N295" s="20" t="s">
        <v>512</v>
      </c>
      <c r="O295" s="20" t="s">
        <v>512</v>
      </c>
      <c r="P295" s="20"/>
      <c r="Q295" s="1" t="s">
        <v>8856</v>
      </c>
    </row>
    <row r="296" spans="1:17" x14ac:dyDescent="0.25">
      <c r="A296" s="1" t="s">
        <v>9287</v>
      </c>
      <c r="B296" s="95" t="s">
        <v>9139</v>
      </c>
      <c r="C296" s="1">
        <v>1</v>
      </c>
      <c r="D296" s="1" t="s">
        <v>3744</v>
      </c>
      <c r="E296" s="21" t="s">
        <v>8787</v>
      </c>
      <c r="F296" s="20" t="s">
        <v>309</v>
      </c>
      <c r="G296" s="20" t="s">
        <v>8878</v>
      </c>
      <c r="H296" s="20" t="s">
        <v>8781</v>
      </c>
      <c r="I296" s="20" t="s">
        <v>8797</v>
      </c>
      <c r="J296" s="20" t="s">
        <v>512</v>
      </c>
      <c r="K296" s="20" t="s">
        <v>512</v>
      </c>
      <c r="L296" s="20" t="s">
        <v>512</v>
      </c>
      <c r="M296" s="20" t="s">
        <v>512</v>
      </c>
      <c r="N296" s="20" t="s">
        <v>512</v>
      </c>
      <c r="O296" s="20" t="s">
        <v>512</v>
      </c>
      <c r="P296" s="20"/>
      <c r="Q296" s="1" t="s">
        <v>3744</v>
      </c>
    </row>
    <row r="297" spans="1:17" x14ac:dyDescent="0.25">
      <c r="A297" s="1" t="s">
        <v>9288</v>
      </c>
      <c r="B297" s="95" t="s">
        <v>9030</v>
      </c>
      <c r="C297" s="1">
        <v>1</v>
      </c>
      <c r="D297" s="1" t="s">
        <v>3744</v>
      </c>
      <c r="E297" s="21" t="s">
        <v>8595</v>
      </c>
      <c r="F297" s="20" t="s">
        <v>8781</v>
      </c>
      <c r="G297" s="20" t="s">
        <v>8618</v>
      </c>
      <c r="H297" s="20" t="s">
        <v>309</v>
      </c>
      <c r="I297" s="20" t="s">
        <v>8878</v>
      </c>
      <c r="J297" s="20" t="s">
        <v>512</v>
      </c>
      <c r="K297" s="20" t="s">
        <v>512</v>
      </c>
      <c r="L297" s="20" t="s">
        <v>512</v>
      </c>
      <c r="M297" s="20" t="s">
        <v>512</v>
      </c>
      <c r="N297" s="20" t="s">
        <v>512</v>
      </c>
      <c r="O297" s="20" t="s">
        <v>512</v>
      </c>
      <c r="P297" s="20"/>
      <c r="Q297" s="1" t="s">
        <v>3744</v>
      </c>
    </row>
    <row r="298" spans="1:17" x14ac:dyDescent="0.25">
      <c r="A298" s="1" t="s">
        <v>9289</v>
      </c>
      <c r="B298" s="95" t="s">
        <v>9139</v>
      </c>
      <c r="C298" s="1">
        <v>1</v>
      </c>
      <c r="D298" s="1" t="s">
        <v>3744</v>
      </c>
      <c r="E298" s="21" t="s">
        <v>8787</v>
      </c>
      <c r="F298" s="20" t="s">
        <v>309</v>
      </c>
      <c r="G298" s="20" t="s">
        <v>8878</v>
      </c>
      <c r="H298" s="20" t="s">
        <v>8781</v>
      </c>
      <c r="I298" s="20" t="s">
        <v>8797</v>
      </c>
      <c r="J298" s="20" t="s">
        <v>512</v>
      </c>
      <c r="K298" s="20" t="s">
        <v>512</v>
      </c>
      <c r="L298" s="20" t="s">
        <v>512</v>
      </c>
      <c r="M298" s="20" t="s">
        <v>512</v>
      </c>
      <c r="N298" s="20" t="s">
        <v>512</v>
      </c>
      <c r="O298" s="20" t="s">
        <v>512</v>
      </c>
      <c r="P298" s="20"/>
      <c r="Q298" s="1" t="s">
        <v>3744</v>
      </c>
    </row>
    <row r="299" spans="1:17" x14ac:dyDescent="0.25">
      <c r="A299" s="1" t="s">
        <v>9290</v>
      </c>
      <c r="B299" s="95" t="s">
        <v>9046</v>
      </c>
      <c r="C299" s="1">
        <v>1</v>
      </c>
      <c r="D299" s="1" t="s">
        <v>106</v>
      </c>
      <c r="E299" s="21" t="s">
        <v>8810</v>
      </c>
      <c r="F299" s="20" t="s">
        <v>309</v>
      </c>
      <c r="G299" s="20" t="s">
        <v>8880</v>
      </c>
      <c r="H299" s="20" t="s">
        <v>309</v>
      </c>
      <c r="I299" s="20">
        <v>344376</v>
      </c>
      <c r="J299" s="20" t="s">
        <v>344</v>
      </c>
      <c r="K299" s="20" t="s">
        <v>8898</v>
      </c>
      <c r="L299" s="20" t="s">
        <v>512</v>
      </c>
      <c r="M299" s="20" t="s">
        <v>512</v>
      </c>
      <c r="N299" s="20" t="s">
        <v>512</v>
      </c>
      <c r="O299" s="20" t="s">
        <v>512</v>
      </c>
      <c r="P299" s="20"/>
      <c r="Q299" s="1" t="s">
        <v>106</v>
      </c>
    </row>
    <row r="300" spans="1:17" x14ac:dyDescent="0.25">
      <c r="A300" s="1" t="s">
        <v>9291</v>
      </c>
      <c r="B300" s="95" t="s">
        <v>9139</v>
      </c>
      <c r="C300" s="1">
        <v>1</v>
      </c>
      <c r="D300" s="1" t="s">
        <v>3744</v>
      </c>
      <c r="E300" s="21" t="s">
        <v>8787</v>
      </c>
      <c r="F300" s="20" t="s">
        <v>309</v>
      </c>
      <c r="G300" s="20" t="s">
        <v>8878</v>
      </c>
      <c r="H300" s="20" t="s">
        <v>8781</v>
      </c>
      <c r="I300" s="20" t="s">
        <v>8797</v>
      </c>
      <c r="J300" s="20" t="s">
        <v>512</v>
      </c>
      <c r="K300" s="20" t="s">
        <v>512</v>
      </c>
      <c r="L300" s="20" t="s">
        <v>512</v>
      </c>
      <c r="M300" s="20" t="s">
        <v>512</v>
      </c>
      <c r="N300" s="20" t="s">
        <v>512</v>
      </c>
      <c r="O300" s="20" t="s">
        <v>512</v>
      </c>
      <c r="P300" s="20"/>
      <c r="Q300" s="1" t="s">
        <v>3744</v>
      </c>
    </row>
    <row r="301" spans="1:17" x14ac:dyDescent="0.25">
      <c r="A301" s="1" t="s">
        <v>9292</v>
      </c>
      <c r="B301" s="95" t="s">
        <v>9059</v>
      </c>
      <c r="C301" s="1">
        <v>1</v>
      </c>
      <c r="D301" s="1" t="s">
        <v>309</v>
      </c>
      <c r="E301" s="21" t="s">
        <v>8828</v>
      </c>
      <c r="F301" s="20" t="s">
        <v>309</v>
      </c>
      <c r="G301" s="20" t="s">
        <v>8971</v>
      </c>
      <c r="H301" s="20" t="s">
        <v>309</v>
      </c>
      <c r="I301" s="20" t="s">
        <v>8886</v>
      </c>
      <c r="J301" s="20" t="s">
        <v>344</v>
      </c>
      <c r="K301" s="20" t="s">
        <v>8898</v>
      </c>
      <c r="L301" s="20" t="s">
        <v>512</v>
      </c>
      <c r="M301" s="20" t="s">
        <v>512</v>
      </c>
      <c r="N301" s="20" t="s">
        <v>512</v>
      </c>
      <c r="O301" s="20" t="s">
        <v>512</v>
      </c>
      <c r="P301" s="20"/>
      <c r="Q301" s="1" t="s">
        <v>309</v>
      </c>
    </row>
    <row r="302" spans="1:17" x14ac:dyDescent="0.25">
      <c r="A302" s="1" t="s">
        <v>9293</v>
      </c>
      <c r="B302" s="95" t="s">
        <v>9139</v>
      </c>
      <c r="C302" s="1">
        <v>1</v>
      </c>
      <c r="D302" s="1" t="s">
        <v>3744</v>
      </c>
      <c r="E302" s="21" t="s">
        <v>8787</v>
      </c>
      <c r="F302" s="20" t="s">
        <v>309</v>
      </c>
      <c r="G302" s="20" t="s">
        <v>8878</v>
      </c>
      <c r="H302" s="20" t="s">
        <v>8781</v>
      </c>
      <c r="I302" s="20" t="s">
        <v>8797</v>
      </c>
      <c r="J302" s="20" t="s">
        <v>512</v>
      </c>
      <c r="K302" s="20" t="s">
        <v>512</v>
      </c>
      <c r="L302" s="20" t="s">
        <v>512</v>
      </c>
      <c r="M302" s="20" t="s">
        <v>512</v>
      </c>
      <c r="N302" s="20" t="s">
        <v>512</v>
      </c>
      <c r="O302" s="20" t="s">
        <v>512</v>
      </c>
      <c r="P302" s="20"/>
      <c r="Q302" s="1" t="s">
        <v>3744</v>
      </c>
    </row>
    <row r="303" spans="1:17" x14ac:dyDescent="0.25">
      <c r="A303" s="1" t="s">
        <v>9294</v>
      </c>
      <c r="B303" s="95" t="s">
        <v>9139</v>
      </c>
      <c r="C303" s="1">
        <v>1</v>
      </c>
      <c r="D303" s="1" t="s">
        <v>3744</v>
      </c>
      <c r="E303" s="21" t="s">
        <v>8787</v>
      </c>
      <c r="F303" s="20" t="s">
        <v>309</v>
      </c>
      <c r="G303" s="20" t="s">
        <v>8878</v>
      </c>
      <c r="H303" s="20" t="s">
        <v>8781</v>
      </c>
      <c r="I303" s="20" t="s">
        <v>8797</v>
      </c>
      <c r="J303" s="20" t="s">
        <v>512</v>
      </c>
      <c r="K303" s="20" t="s">
        <v>512</v>
      </c>
      <c r="L303" s="20" t="s">
        <v>512</v>
      </c>
      <c r="M303" s="20" t="s">
        <v>512</v>
      </c>
      <c r="N303" s="20" t="s">
        <v>512</v>
      </c>
      <c r="O303" s="20" t="s">
        <v>512</v>
      </c>
      <c r="P303" s="20"/>
      <c r="Q303" s="1" t="s">
        <v>3744</v>
      </c>
    </row>
    <row r="304" spans="1:17" x14ac:dyDescent="0.25">
      <c r="A304" s="1" t="s">
        <v>9295</v>
      </c>
      <c r="B304" s="95" t="s">
        <v>9036</v>
      </c>
      <c r="C304" s="1">
        <v>1</v>
      </c>
      <c r="D304" s="1" t="s">
        <v>8856</v>
      </c>
      <c r="E304" s="21" t="s">
        <v>8855</v>
      </c>
      <c r="F304" s="1" t="s">
        <v>8753</v>
      </c>
      <c r="G304" s="1" t="s">
        <v>8757</v>
      </c>
      <c r="H304" s="20" t="s">
        <v>8753</v>
      </c>
      <c r="I304" s="20" t="s">
        <v>8759</v>
      </c>
      <c r="J304" s="1" t="s">
        <v>8753</v>
      </c>
      <c r="K304" s="1" t="s">
        <v>8761</v>
      </c>
      <c r="L304" s="1" t="s">
        <v>512</v>
      </c>
      <c r="M304" s="1" t="s">
        <v>512</v>
      </c>
      <c r="N304" s="1" t="s">
        <v>512</v>
      </c>
      <c r="O304" s="1" t="s">
        <v>512</v>
      </c>
      <c r="P304" s="20"/>
      <c r="Q304" s="1" t="s">
        <v>8856</v>
      </c>
    </row>
    <row r="305" spans="1:17" x14ac:dyDescent="0.25">
      <c r="A305" s="1" t="s">
        <v>9296</v>
      </c>
      <c r="B305" s="95" t="s">
        <v>9036</v>
      </c>
      <c r="C305" s="1">
        <v>1</v>
      </c>
      <c r="D305" s="1" t="s">
        <v>8856</v>
      </c>
      <c r="E305" s="21" t="s">
        <v>8855</v>
      </c>
      <c r="F305" s="20" t="s">
        <v>8753</v>
      </c>
      <c r="G305" s="20" t="s">
        <v>8757</v>
      </c>
      <c r="H305" s="20" t="s">
        <v>8753</v>
      </c>
      <c r="I305" s="20" t="s">
        <v>8759</v>
      </c>
      <c r="J305" s="20" t="s">
        <v>8753</v>
      </c>
      <c r="K305" s="20" t="s">
        <v>8761</v>
      </c>
      <c r="L305" s="20" t="s">
        <v>512</v>
      </c>
      <c r="M305" s="20" t="s">
        <v>512</v>
      </c>
      <c r="N305" s="20" t="s">
        <v>512</v>
      </c>
      <c r="O305" s="20" t="s">
        <v>512</v>
      </c>
      <c r="P305" s="20"/>
      <c r="Q305" s="1" t="s">
        <v>8856</v>
      </c>
    </row>
    <row r="306" spans="1:17" x14ac:dyDescent="0.25">
      <c r="A306" s="1" t="s">
        <v>9297</v>
      </c>
      <c r="B306" s="95" t="s">
        <v>9139</v>
      </c>
      <c r="C306" s="1">
        <v>1</v>
      </c>
      <c r="D306" s="1" t="s">
        <v>3744</v>
      </c>
      <c r="E306" s="21" t="s">
        <v>8787</v>
      </c>
      <c r="F306" s="20" t="s">
        <v>309</v>
      </c>
      <c r="G306" s="20" t="s">
        <v>8878</v>
      </c>
      <c r="H306" s="20" t="s">
        <v>8781</v>
      </c>
      <c r="I306" s="20" t="s">
        <v>8797</v>
      </c>
      <c r="J306" s="20" t="s">
        <v>512</v>
      </c>
      <c r="K306" s="20" t="s">
        <v>512</v>
      </c>
      <c r="L306" s="20" t="s">
        <v>512</v>
      </c>
      <c r="M306" s="20" t="s">
        <v>512</v>
      </c>
      <c r="N306" s="20" t="s">
        <v>512</v>
      </c>
      <c r="O306" s="20" t="s">
        <v>512</v>
      </c>
      <c r="P306" s="20"/>
      <c r="Q306" s="1" t="s">
        <v>3744</v>
      </c>
    </row>
    <row r="307" spans="1:17" x14ac:dyDescent="0.25">
      <c r="A307" s="1" t="s">
        <v>9298</v>
      </c>
      <c r="B307" s="95" t="s">
        <v>9139</v>
      </c>
      <c r="C307" s="1">
        <v>1</v>
      </c>
      <c r="D307" s="1" t="s">
        <v>3744</v>
      </c>
      <c r="E307" s="21" t="s">
        <v>8787</v>
      </c>
      <c r="F307" s="20" t="s">
        <v>309</v>
      </c>
      <c r="G307" s="20" t="s">
        <v>8878</v>
      </c>
      <c r="H307" s="20" t="s">
        <v>8781</v>
      </c>
      <c r="I307" s="20" t="s">
        <v>8797</v>
      </c>
      <c r="J307" s="20" t="s">
        <v>512</v>
      </c>
      <c r="K307" s="20" t="s">
        <v>512</v>
      </c>
      <c r="L307" s="20" t="s">
        <v>512</v>
      </c>
      <c r="M307" s="20" t="s">
        <v>512</v>
      </c>
      <c r="N307" s="20" t="s">
        <v>512</v>
      </c>
      <c r="O307" s="20" t="s">
        <v>512</v>
      </c>
      <c r="P307" s="20"/>
      <c r="Q307" s="1" t="s">
        <v>3744</v>
      </c>
    </row>
    <row r="308" spans="1:17" x14ac:dyDescent="0.25">
      <c r="A308" s="1" t="s">
        <v>9299</v>
      </c>
      <c r="B308" s="95" t="s">
        <v>9046</v>
      </c>
      <c r="C308" s="1">
        <v>1</v>
      </c>
      <c r="D308" s="1" t="s">
        <v>106</v>
      </c>
      <c r="E308" s="21" t="s">
        <v>8810</v>
      </c>
      <c r="F308" s="20" t="s">
        <v>309</v>
      </c>
      <c r="G308" s="20" t="s">
        <v>8880</v>
      </c>
      <c r="H308" s="20" t="s">
        <v>309</v>
      </c>
      <c r="I308" s="20">
        <v>344376</v>
      </c>
      <c r="J308" s="20" t="s">
        <v>344</v>
      </c>
      <c r="K308" s="20" t="s">
        <v>8898</v>
      </c>
      <c r="L308" s="20" t="s">
        <v>512</v>
      </c>
      <c r="M308" s="20" t="s">
        <v>512</v>
      </c>
      <c r="N308" s="20" t="s">
        <v>512</v>
      </c>
      <c r="O308" s="20" t="s">
        <v>512</v>
      </c>
      <c r="P308" s="20"/>
      <c r="Q308" s="1" t="s">
        <v>106</v>
      </c>
    </row>
    <row r="309" spans="1:17" x14ac:dyDescent="0.25">
      <c r="A309" s="1" t="s">
        <v>9300</v>
      </c>
      <c r="B309" s="95" t="s">
        <v>9036</v>
      </c>
      <c r="C309" s="1">
        <v>1</v>
      </c>
      <c r="D309" s="1" t="s">
        <v>8856</v>
      </c>
      <c r="E309" s="21" t="s">
        <v>8855</v>
      </c>
      <c r="F309" s="20" t="s">
        <v>8753</v>
      </c>
      <c r="G309" s="20" t="s">
        <v>8757</v>
      </c>
      <c r="H309" s="20" t="s">
        <v>8753</v>
      </c>
      <c r="I309" s="20" t="s">
        <v>8759</v>
      </c>
      <c r="J309" s="20" t="s">
        <v>8753</v>
      </c>
      <c r="K309" s="20" t="s">
        <v>8761</v>
      </c>
      <c r="L309" s="20" t="s">
        <v>512</v>
      </c>
      <c r="M309" s="20" t="s">
        <v>512</v>
      </c>
      <c r="N309" s="20" t="s">
        <v>512</v>
      </c>
      <c r="O309" s="20" t="s">
        <v>512</v>
      </c>
      <c r="P309" s="20"/>
      <c r="Q309" s="1" t="s">
        <v>8856</v>
      </c>
    </row>
    <row r="310" spans="1:17" x14ac:dyDescent="0.25">
      <c r="A310" s="1" t="s">
        <v>9301</v>
      </c>
      <c r="B310" s="95" t="s">
        <v>9036</v>
      </c>
      <c r="C310" s="1">
        <v>1</v>
      </c>
      <c r="D310" s="1" t="s">
        <v>8856</v>
      </c>
      <c r="E310" s="21" t="s">
        <v>8855</v>
      </c>
      <c r="F310" s="20" t="s">
        <v>8753</v>
      </c>
      <c r="G310" s="20" t="s">
        <v>8757</v>
      </c>
      <c r="H310" s="20" t="s">
        <v>8753</v>
      </c>
      <c r="I310" s="20" t="s">
        <v>8759</v>
      </c>
      <c r="J310" s="20" t="s">
        <v>8753</v>
      </c>
      <c r="K310" s="20" t="s">
        <v>8761</v>
      </c>
      <c r="L310" s="20" t="s">
        <v>512</v>
      </c>
      <c r="M310" s="20" t="s">
        <v>512</v>
      </c>
      <c r="N310" s="20" t="s">
        <v>512</v>
      </c>
      <c r="O310" s="20" t="s">
        <v>512</v>
      </c>
      <c r="P310" s="20"/>
      <c r="Q310" s="1" t="s">
        <v>8856</v>
      </c>
    </row>
    <row r="311" spans="1:17" x14ac:dyDescent="0.25">
      <c r="A311" s="1" t="s">
        <v>9302</v>
      </c>
      <c r="B311" s="95" t="s">
        <v>9036</v>
      </c>
      <c r="C311" s="1">
        <v>1</v>
      </c>
      <c r="D311" s="1" t="s">
        <v>8856</v>
      </c>
      <c r="E311" s="21" t="s">
        <v>8855</v>
      </c>
      <c r="F311" s="20" t="s">
        <v>8753</v>
      </c>
      <c r="G311" s="20" t="s">
        <v>8757</v>
      </c>
      <c r="H311" s="20" t="s">
        <v>8753</v>
      </c>
      <c r="I311" s="20" t="s">
        <v>8759</v>
      </c>
      <c r="J311" s="20" t="s">
        <v>8753</v>
      </c>
      <c r="K311" s="20" t="s">
        <v>8761</v>
      </c>
      <c r="L311" s="20" t="s">
        <v>512</v>
      </c>
      <c r="M311" s="20" t="s">
        <v>512</v>
      </c>
      <c r="N311" s="20" t="s">
        <v>512</v>
      </c>
      <c r="O311" s="20" t="s">
        <v>512</v>
      </c>
      <c r="P311" s="20"/>
      <c r="Q311" s="1" t="s">
        <v>8856</v>
      </c>
    </row>
    <row r="312" spans="1:17" x14ac:dyDescent="0.25">
      <c r="A312" s="1" t="s">
        <v>9303</v>
      </c>
      <c r="B312" s="95" t="s">
        <v>9139</v>
      </c>
      <c r="C312" s="1">
        <v>1</v>
      </c>
      <c r="D312" s="1" t="s">
        <v>3744</v>
      </c>
      <c r="E312" s="21" t="s">
        <v>8787</v>
      </c>
      <c r="F312" s="1" t="s">
        <v>309</v>
      </c>
      <c r="G312" s="1" t="s">
        <v>8878</v>
      </c>
      <c r="H312" s="20" t="s">
        <v>8781</v>
      </c>
      <c r="I312" s="20" t="s">
        <v>8797</v>
      </c>
      <c r="J312" s="1" t="s">
        <v>512</v>
      </c>
      <c r="K312" s="1" t="s">
        <v>512</v>
      </c>
      <c r="L312" s="1" t="s">
        <v>512</v>
      </c>
      <c r="M312" s="1" t="s">
        <v>512</v>
      </c>
      <c r="N312" s="1" t="s">
        <v>512</v>
      </c>
      <c r="O312" s="1" t="s">
        <v>512</v>
      </c>
      <c r="P312" s="20"/>
      <c r="Q312" s="1" t="s">
        <v>3744</v>
      </c>
    </row>
    <row r="313" spans="1:17" x14ac:dyDescent="0.25">
      <c r="A313" s="1" t="s">
        <v>9304</v>
      </c>
      <c r="B313" s="95" t="s">
        <v>9139</v>
      </c>
      <c r="C313" s="1">
        <v>1</v>
      </c>
      <c r="D313" s="1" t="s">
        <v>3744</v>
      </c>
      <c r="E313" s="21" t="s">
        <v>8787</v>
      </c>
      <c r="F313" s="20" t="s">
        <v>309</v>
      </c>
      <c r="G313" s="20" t="s">
        <v>8878</v>
      </c>
      <c r="H313" s="20" t="s">
        <v>8781</v>
      </c>
      <c r="I313" s="20" t="s">
        <v>8797</v>
      </c>
      <c r="J313" s="20" t="s">
        <v>512</v>
      </c>
      <c r="K313" s="20" t="s">
        <v>512</v>
      </c>
      <c r="L313" s="20" t="s">
        <v>512</v>
      </c>
      <c r="M313" s="20" t="s">
        <v>512</v>
      </c>
      <c r="N313" s="20" t="s">
        <v>512</v>
      </c>
      <c r="O313" s="20" t="s">
        <v>512</v>
      </c>
      <c r="P313" s="20"/>
      <c r="Q313" s="1" t="s">
        <v>3744</v>
      </c>
    </row>
    <row r="314" spans="1:17" x14ac:dyDescent="0.25">
      <c r="A314" s="1" t="s">
        <v>9305</v>
      </c>
      <c r="B314" s="95" t="s">
        <v>9036</v>
      </c>
      <c r="C314" s="1">
        <v>1</v>
      </c>
      <c r="D314" s="1" t="s">
        <v>8856</v>
      </c>
      <c r="E314" s="21" t="s">
        <v>8855</v>
      </c>
      <c r="F314" s="20" t="s">
        <v>8753</v>
      </c>
      <c r="G314" s="20" t="s">
        <v>8757</v>
      </c>
      <c r="H314" s="20" t="s">
        <v>8753</v>
      </c>
      <c r="I314" s="20" t="s">
        <v>8759</v>
      </c>
      <c r="J314" s="20" t="s">
        <v>8753</v>
      </c>
      <c r="K314" s="20" t="s">
        <v>8761</v>
      </c>
      <c r="L314" s="20" t="s">
        <v>512</v>
      </c>
      <c r="M314" s="20" t="s">
        <v>512</v>
      </c>
      <c r="N314" s="20" t="s">
        <v>512</v>
      </c>
      <c r="O314" s="20" t="s">
        <v>512</v>
      </c>
      <c r="P314" s="20"/>
      <c r="Q314" s="1" t="s">
        <v>8856</v>
      </c>
    </row>
    <row r="315" spans="1:17" x14ac:dyDescent="0.25">
      <c r="A315" s="1" t="s">
        <v>9306</v>
      </c>
      <c r="B315" s="95" t="s">
        <v>9139</v>
      </c>
      <c r="C315" s="1">
        <v>1</v>
      </c>
      <c r="D315" s="1" t="s">
        <v>3744</v>
      </c>
      <c r="E315" s="21" t="s">
        <v>8787</v>
      </c>
      <c r="F315" s="20" t="s">
        <v>309</v>
      </c>
      <c r="G315" s="20" t="s">
        <v>8878</v>
      </c>
      <c r="H315" s="20" t="s">
        <v>8781</v>
      </c>
      <c r="I315" s="20" t="s">
        <v>8797</v>
      </c>
      <c r="J315" s="20" t="s">
        <v>512</v>
      </c>
      <c r="K315" s="20" t="s">
        <v>512</v>
      </c>
      <c r="L315" s="20" t="s">
        <v>512</v>
      </c>
      <c r="M315" s="20" t="s">
        <v>512</v>
      </c>
      <c r="N315" s="20" t="s">
        <v>512</v>
      </c>
      <c r="O315" s="20" t="s">
        <v>512</v>
      </c>
      <c r="P315" s="20"/>
      <c r="Q315" s="1" t="s">
        <v>3744</v>
      </c>
    </row>
    <row r="316" spans="1:17" x14ac:dyDescent="0.25">
      <c r="A316" s="1" t="s">
        <v>9307</v>
      </c>
      <c r="B316" s="95" t="s">
        <v>9046</v>
      </c>
      <c r="C316" s="1">
        <v>1</v>
      </c>
      <c r="D316" s="1" t="s">
        <v>106</v>
      </c>
      <c r="E316" s="21" t="s">
        <v>8810</v>
      </c>
      <c r="F316" s="20" t="s">
        <v>309</v>
      </c>
      <c r="G316" s="20" t="s">
        <v>8880</v>
      </c>
      <c r="H316" s="20" t="s">
        <v>309</v>
      </c>
      <c r="I316" s="20">
        <v>344376</v>
      </c>
      <c r="J316" s="20" t="s">
        <v>344</v>
      </c>
      <c r="K316" s="20" t="s">
        <v>8898</v>
      </c>
      <c r="L316" s="20" t="s">
        <v>512</v>
      </c>
      <c r="M316" s="20" t="s">
        <v>512</v>
      </c>
      <c r="N316" s="20" t="s">
        <v>512</v>
      </c>
      <c r="O316" s="20" t="s">
        <v>512</v>
      </c>
      <c r="P316" s="20"/>
      <c r="Q316" s="1" t="s">
        <v>106</v>
      </c>
    </row>
    <row r="317" spans="1:17" x14ac:dyDescent="0.25">
      <c r="A317" s="1" t="s">
        <v>9308</v>
      </c>
      <c r="B317" s="95" t="s">
        <v>9036</v>
      </c>
      <c r="C317" s="1">
        <v>1</v>
      </c>
      <c r="D317" s="1" t="s">
        <v>8856</v>
      </c>
      <c r="E317" s="21" t="s">
        <v>8855</v>
      </c>
      <c r="F317" s="20" t="s">
        <v>8753</v>
      </c>
      <c r="G317" s="20" t="s">
        <v>8757</v>
      </c>
      <c r="H317" s="20" t="s">
        <v>8753</v>
      </c>
      <c r="I317" s="20" t="s">
        <v>8759</v>
      </c>
      <c r="J317" s="20" t="s">
        <v>8753</v>
      </c>
      <c r="K317" s="20" t="s">
        <v>8761</v>
      </c>
      <c r="L317" s="20" t="s">
        <v>512</v>
      </c>
      <c r="M317" s="20" t="s">
        <v>512</v>
      </c>
      <c r="N317" s="20" t="s">
        <v>512</v>
      </c>
      <c r="O317" s="20" t="s">
        <v>512</v>
      </c>
      <c r="P317" s="20"/>
      <c r="Q317" s="1" t="s">
        <v>8856</v>
      </c>
    </row>
    <row r="318" spans="1:17" x14ac:dyDescent="0.25">
      <c r="A318" s="1" t="s">
        <v>9309</v>
      </c>
      <c r="B318" s="95" t="s">
        <v>9036</v>
      </c>
      <c r="C318" s="1">
        <v>1</v>
      </c>
      <c r="D318" s="1" t="s">
        <v>8856</v>
      </c>
      <c r="E318" s="21" t="s">
        <v>8855</v>
      </c>
      <c r="F318" s="20" t="s">
        <v>8753</v>
      </c>
      <c r="G318" s="20" t="s">
        <v>8757</v>
      </c>
      <c r="H318" s="20" t="s">
        <v>8753</v>
      </c>
      <c r="I318" s="20" t="s">
        <v>8759</v>
      </c>
      <c r="J318" s="20" t="s">
        <v>8753</v>
      </c>
      <c r="K318" s="20" t="s">
        <v>8761</v>
      </c>
      <c r="L318" s="20" t="s">
        <v>512</v>
      </c>
      <c r="M318" s="20" t="s">
        <v>512</v>
      </c>
      <c r="N318" s="20" t="s">
        <v>512</v>
      </c>
      <c r="O318" s="20" t="s">
        <v>512</v>
      </c>
      <c r="P318" s="20"/>
      <c r="Q318" s="1" t="s">
        <v>8856</v>
      </c>
    </row>
    <row r="319" spans="1:17" x14ac:dyDescent="0.25">
      <c r="A319" s="1" t="s">
        <v>9310</v>
      </c>
      <c r="B319" s="95" t="s">
        <v>9139</v>
      </c>
      <c r="C319" s="1">
        <v>1</v>
      </c>
      <c r="D319" s="1" t="s">
        <v>3744</v>
      </c>
      <c r="E319" s="21" t="s">
        <v>8787</v>
      </c>
      <c r="F319" s="20" t="s">
        <v>309</v>
      </c>
      <c r="G319" s="20" t="s">
        <v>8878</v>
      </c>
      <c r="H319" s="20" t="s">
        <v>8781</v>
      </c>
      <c r="I319" s="20" t="s">
        <v>8797</v>
      </c>
      <c r="J319" s="20" t="s">
        <v>512</v>
      </c>
      <c r="K319" s="20" t="s">
        <v>512</v>
      </c>
      <c r="L319" s="20" t="s">
        <v>512</v>
      </c>
      <c r="M319" s="20" t="s">
        <v>512</v>
      </c>
      <c r="N319" s="20" t="s">
        <v>512</v>
      </c>
      <c r="O319" s="20" t="s">
        <v>512</v>
      </c>
      <c r="P319" s="20"/>
      <c r="Q319" s="1" t="s">
        <v>3744</v>
      </c>
    </row>
    <row r="320" spans="1:17" x14ac:dyDescent="0.25">
      <c r="A320" s="1" t="s">
        <v>9311</v>
      </c>
      <c r="B320" s="95" t="s">
        <v>9036</v>
      </c>
      <c r="C320" s="1">
        <v>1</v>
      </c>
      <c r="D320" s="1" t="s">
        <v>8856</v>
      </c>
      <c r="E320" s="21" t="s">
        <v>8855</v>
      </c>
      <c r="F320" s="20" t="s">
        <v>8753</v>
      </c>
      <c r="G320" s="20" t="s">
        <v>8757</v>
      </c>
      <c r="H320" s="20" t="s">
        <v>8753</v>
      </c>
      <c r="I320" s="20" t="s">
        <v>8759</v>
      </c>
      <c r="J320" s="20" t="s">
        <v>8753</v>
      </c>
      <c r="K320" s="20" t="s">
        <v>8761</v>
      </c>
      <c r="L320" s="20" t="s">
        <v>512</v>
      </c>
      <c r="M320" s="20" t="s">
        <v>512</v>
      </c>
      <c r="N320" s="20" t="s">
        <v>512</v>
      </c>
      <c r="O320" s="20" t="s">
        <v>512</v>
      </c>
      <c r="P320" s="20"/>
      <c r="Q320" s="1" t="s">
        <v>8856</v>
      </c>
    </row>
    <row r="321" spans="1:17" x14ac:dyDescent="0.25">
      <c r="A321" s="1" t="s">
        <v>9312</v>
      </c>
      <c r="B321" s="95" t="s">
        <v>9139</v>
      </c>
      <c r="C321" s="1">
        <v>1</v>
      </c>
      <c r="D321" s="1" t="s">
        <v>3744</v>
      </c>
      <c r="E321" s="21" t="s">
        <v>8787</v>
      </c>
      <c r="F321" s="20" t="s">
        <v>309</v>
      </c>
      <c r="G321" s="20" t="s">
        <v>8878</v>
      </c>
      <c r="H321" s="20" t="s">
        <v>8781</v>
      </c>
      <c r="I321" s="20" t="s">
        <v>8797</v>
      </c>
      <c r="J321" s="20" t="s">
        <v>512</v>
      </c>
      <c r="K321" s="20" t="s">
        <v>512</v>
      </c>
      <c r="L321" s="20" t="s">
        <v>512</v>
      </c>
      <c r="M321" s="20" t="s">
        <v>512</v>
      </c>
      <c r="N321" s="20" t="s">
        <v>512</v>
      </c>
      <c r="O321" s="20" t="s">
        <v>512</v>
      </c>
      <c r="P321" s="20"/>
      <c r="Q321" s="1" t="s">
        <v>3744</v>
      </c>
    </row>
    <row r="322" spans="1:17" x14ac:dyDescent="0.25">
      <c r="A322" s="1" t="s">
        <v>9313</v>
      </c>
      <c r="B322" s="95" t="s">
        <v>9314</v>
      </c>
      <c r="C322" s="1">
        <v>1</v>
      </c>
      <c r="D322" s="1" t="s">
        <v>3744</v>
      </c>
      <c r="E322" s="21" t="s">
        <v>8787</v>
      </c>
      <c r="F322" s="20" t="s">
        <v>309</v>
      </c>
      <c r="G322" s="20" t="s">
        <v>8878</v>
      </c>
      <c r="H322" s="20" t="s">
        <v>8781</v>
      </c>
      <c r="I322" s="20" t="s">
        <v>8797</v>
      </c>
      <c r="J322" s="20" t="s">
        <v>512</v>
      </c>
      <c r="K322" s="20" t="s">
        <v>512</v>
      </c>
      <c r="L322" s="20" t="s">
        <v>512</v>
      </c>
      <c r="M322" s="20" t="s">
        <v>512</v>
      </c>
      <c r="N322" s="20" t="s">
        <v>512</v>
      </c>
      <c r="O322" s="20" t="s">
        <v>512</v>
      </c>
      <c r="P322" s="20"/>
      <c r="Q322" s="1" t="s">
        <v>3744</v>
      </c>
    </row>
    <row r="323" spans="1:17" x14ac:dyDescent="0.25">
      <c r="A323" s="1" t="s">
        <v>9313</v>
      </c>
      <c r="B323" s="95" t="s">
        <v>9314</v>
      </c>
      <c r="C323" s="1">
        <v>1</v>
      </c>
      <c r="D323" s="1" t="s">
        <v>3744</v>
      </c>
      <c r="E323" s="21" t="s">
        <v>8787</v>
      </c>
      <c r="F323" s="20" t="s">
        <v>309</v>
      </c>
      <c r="G323" s="20" t="s">
        <v>8878</v>
      </c>
      <c r="H323" s="20" t="s">
        <v>8781</v>
      </c>
      <c r="I323" s="20" t="s">
        <v>8797</v>
      </c>
      <c r="J323" s="20" t="s">
        <v>512</v>
      </c>
      <c r="K323" s="20" t="s">
        <v>512</v>
      </c>
      <c r="L323" s="20" t="s">
        <v>512</v>
      </c>
      <c r="M323" s="20" t="s">
        <v>512</v>
      </c>
      <c r="N323" s="20" t="s">
        <v>512</v>
      </c>
      <c r="O323" s="20" t="s">
        <v>512</v>
      </c>
      <c r="P323" s="20"/>
      <c r="Q323" s="1" t="s">
        <v>3744</v>
      </c>
    </row>
    <row r="324" spans="1:17" x14ac:dyDescent="0.25">
      <c r="A324" s="1" t="s">
        <v>9315</v>
      </c>
      <c r="B324" s="95" t="s">
        <v>9046</v>
      </c>
      <c r="C324" s="1">
        <v>1</v>
      </c>
      <c r="D324" s="1" t="s">
        <v>106</v>
      </c>
      <c r="E324" s="21" t="s">
        <v>8810</v>
      </c>
      <c r="F324" s="20" t="s">
        <v>309</v>
      </c>
      <c r="G324" s="20" t="s">
        <v>8880</v>
      </c>
      <c r="H324" s="20" t="s">
        <v>309</v>
      </c>
      <c r="I324" s="20">
        <v>344376</v>
      </c>
      <c r="J324" s="20" t="s">
        <v>344</v>
      </c>
      <c r="K324" s="20" t="s">
        <v>8898</v>
      </c>
      <c r="L324" s="20" t="s">
        <v>512</v>
      </c>
      <c r="M324" s="20" t="s">
        <v>512</v>
      </c>
      <c r="N324" s="20" t="s">
        <v>512</v>
      </c>
      <c r="O324" s="20" t="s">
        <v>512</v>
      </c>
      <c r="P324" s="20"/>
      <c r="Q324" s="1" t="s">
        <v>106</v>
      </c>
    </row>
    <row r="325" spans="1:17" x14ac:dyDescent="0.25">
      <c r="A325" s="1" t="s">
        <v>9315</v>
      </c>
      <c r="B325" s="95" t="s">
        <v>9046</v>
      </c>
      <c r="C325" s="1">
        <v>1</v>
      </c>
      <c r="D325" s="1" t="s">
        <v>106</v>
      </c>
      <c r="E325" s="21" t="s">
        <v>8810</v>
      </c>
      <c r="F325" s="20" t="s">
        <v>309</v>
      </c>
      <c r="G325" s="20" t="s">
        <v>8880</v>
      </c>
      <c r="H325" s="20" t="s">
        <v>309</v>
      </c>
      <c r="I325" s="20">
        <v>344376</v>
      </c>
      <c r="J325" s="20" t="s">
        <v>344</v>
      </c>
      <c r="K325" s="20" t="s">
        <v>8898</v>
      </c>
      <c r="L325" s="20" t="s">
        <v>512</v>
      </c>
      <c r="M325" s="20" t="s">
        <v>512</v>
      </c>
      <c r="N325" s="20" t="s">
        <v>512</v>
      </c>
      <c r="O325" s="20" t="s">
        <v>512</v>
      </c>
      <c r="P325" s="20"/>
      <c r="Q325" s="1" t="s">
        <v>106</v>
      </c>
    </row>
    <row r="326" spans="1:17" x14ac:dyDescent="0.25">
      <c r="A326" s="1" t="s">
        <v>9316</v>
      </c>
      <c r="B326" s="95" t="s">
        <v>9036</v>
      </c>
      <c r="C326" s="1">
        <v>1</v>
      </c>
      <c r="D326" s="1" t="s">
        <v>8856</v>
      </c>
      <c r="E326" s="21" t="s">
        <v>8855</v>
      </c>
      <c r="F326" s="20" t="s">
        <v>8753</v>
      </c>
      <c r="G326" s="20" t="s">
        <v>8757</v>
      </c>
      <c r="H326" s="20" t="s">
        <v>8753</v>
      </c>
      <c r="I326" s="20" t="s">
        <v>8759</v>
      </c>
      <c r="J326" s="20" t="s">
        <v>8753</v>
      </c>
      <c r="K326" s="20" t="s">
        <v>8761</v>
      </c>
      <c r="L326" s="20" t="s">
        <v>512</v>
      </c>
      <c r="M326" s="20" t="s">
        <v>512</v>
      </c>
      <c r="N326" s="20" t="s">
        <v>512</v>
      </c>
      <c r="O326" s="20" t="s">
        <v>512</v>
      </c>
      <c r="P326" s="20"/>
      <c r="Q326" s="1" t="s">
        <v>8856</v>
      </c>
    </row>
    <row r="327" spans="1:17" x14ac:dyDescent="0.25">
      <c r="A327" s="1" t="s">
        <v>9317</v>
      </c>
      <c r="B327" s="95" t="s">
        <v>9030</v>
      </c>
      <c r="C327" s="1">
        <v>1</v>
      </c>
      <c r="D327" s="1" t="s">
        <v>3744</v>
      </c>
      <c r="E327" s="21" t="s">
        <v>8595</v>
      </c>
      <c r="F327" s="20" t="s">
        <v>8781</v>
      </c>
      <c r="G327" s="20" t="s">
        <v>8618</v>
      </c>
      <c r="H327" s="20" t="s">
        <v>309</v>
      </c>
      <c r="I327" s="20" t="s">
        <v>8878</v>
      </c>
      <c r="J327" s="20" t="s">
        <v>512</v>
      </c>
      <c r="K327" s="20" t="s">
        <v>512</v>
      </c>
      <c r="L327" s="20" t="s">
        <v>512</v>
      </c>
      <c r="M327" s="20" t="s">
        <v>512</v>
      </c>
      <c r="N327" s="20" t="s">
        <v>512</v>
      </c>
      <c r="O327" s="20" t="s">
        <v>512</v>
      </c>
      <c r="P327" s="20"/>
      <c r="Q327" s="1" t="s">
        <v>3744</v>
      </c>
    </row>
    <row r="328" spans="1:17" x14ac:dyDescent="0.25">
      <c r="A328" s="1" t="s">
        <v>9318</v>
      </c>
      <c r="B328" s="95" t="s">
        <v>9139</v>
      </c>
      <c r="C328" s="1">
        <v>1</v>
      </c>
      <c r="D328" s="1" t="s">
        <v>3744</v>
      </c>
      <c r="E328" s="21" t="s">
        <v>8787</v>
      </c>
      <c r="F328" s="20" t="s">
        <v>309</v>
      </c>
      <c r="G328" s="20" t="s">
        <v>8878</v>
      </c>
      <c r="H328" s="20" t="s">
        <v>8781</v>
      </c>
      <c r="I328" s="20" t="s">
        <v>8797</v>
      </c>
      <c r="J328" s="20" t="s">
        <v>512</v>
      </c>
      <c r="K328" s="20" t="s">
        <v>512</v>
      </c>
      <c r="L328" s="20" t="s">
        <v>512</v>
      </c>
      <c r="M328" s="20" t="s">
        <v>512</v>
      </c>
      <c r="N328" s="20" t="s">
        <v>512</v>
      </c>
      <c r="O328" s="20" t="s">
        <v>512</v>
      </c>
      <c r="P328" s="20"/>
      <c r="Q328" s="1" t="s">
        <v>3744</v>
      </c>
    </row>
    <row r="329" spans="1:17" x14ac:dyDescent="0.25">
      <c r="A329" s="1" t="s">
        <v>9319</v>
      </c>
      <c r="B329" s="95" t="s">
        <v>9139</v>
      </c>
      <c r="C329" s="1">
        <v>1</v>
      </c>
      <c r="D329" s="1" t="s">
        <v>3744</v>
      </c>
      <c r="E329" s="21" t="s">
        <v>8787</v>
      </c>
      <c r="F329" s="20" t="s">
        <v>309</v>
      </c>
      <c r="G329" s="20" t="s">
        <v>8878</v>
      </c>
      <c r="H329" s="20" t="s">
        <v>8781</v>
      </c>
      <c r="I329" s="20" t="s">
        <v>8797</v>
      </c>
      <c r="J329" s="20" t="s">
        <v>512</v>
      </c>
      <c r="K329" s="20" t="s">
        <v>512</v>
      </c>
      <c r="L329" s="20" t="s">
        <v>512</v>
      </c>
      <c r="M329" s="20" t="s">
        <v>512</v>
      </c>
      <c r="N329" s="20" t="s">
        <v>512</v>
      </c>
      <c r="O329" s="20" t="s">
        <v>512</v>
      </c>
      <c r="P329" s="20"/>
      <c r="Q329" s="1" t="s">
        <v>3744</v>
      </c>
    </row>
    <row r="330" spans="1:17" x14ac:dyDescent="0.25">
      <c r="A330" s="1" t="s">
        <v>9320</v>
      </c>
      <c r="B330" s="95" t="s">
        <v>9139</v>
      </c>
      <c r="C330" s="1">
        <v>1</v>
      </c>
      <c r="D330" s="1" t="s">
        <v>3744</v>
      </c>
      <c r="E330" s="21" t="s">
        <v>8787</v>
      </c>
      <c r="F330" s="20" t="s">
        <v>309</v>
      </c>
      <c r="G330" s="20" t="s">
        <v>8878</v>
      </c>
      <c r="H330" s="20" t="s">
        <v>8781</v>
      </c>
      <c r="I330" s="20" t="s">
        <v>8797</v>
      </c>
      <c r="J330" s="20" t="s">
        <v>512</v>
      </c>
      <c r="K330" s="20" t="s">
        <v>512</v>
      </c>
      <c r="L330" s="20" t="s">
        <v>512</v>
      </c>
      <c r="M330" s="20" t="s">
        <v>512</v>
      </c>
      <c r="N330" s="20" t="s">
        <v>512</v>
      </c>
      <c r="O330" s="20" t="s">
        <v>512</v>
      </c>
      <c r="P330" s="20"/>
      <c r="Q330" s="1" t="s">
        <v>3744</v>
      </c>
    </row>
    <row r="331" spans="1:17" x14ac:dyDescent="0.25">
      <c r="A331" s="1" t="s">
        <v>9321</v>
      </c>
      <c r="B331" s="95" t="s">
        <v>9139</v>
      </c>
      <c r="C331" s="1">
        <v>1</v>
      </c>
      <c r="D331" s="1" t="s">
        <v>3744</v>
      </c>
      <c r="E331" s="21" t="s">
        <v>8787</v>
      </c>
      <c r="F331" s="20" t="s">
        <v>309</v>
      </c>
      <c r="G331" s="20" t="s">
        <v>8878</v>
      </c>
      <c r="H331" s="20" t="s">
        <v>8781</v>
      </c>
      <c r="I331" s="20" t="s">
        <v>8797</v>
      </c>
      <c r="J331" s="20" t="s">
        <v>512</v>
      </c>
      <c r="K331" s="20" t="s">
        <v>512</v>
      </c>
      <c r="L331" s="20" t="s">
        <v>512</v>
      </c>
      <c r="M331" s="20" t="s">
        <v>512</v>
      </c>
      <c r="N331" s="20" t="s">
        <v>512</v>
      </c>
      <c r="O331" s="20" t="s">
        <v>512</v>
      </c>
      <c r="P331" s="20"/>
      <c r="Q331" s="1" t="s">
        <v>3744</v>
      </c>
    </row>
    <row r="332" spans="1:17" x14ac:dyDescent="0.25">
      <c r="A332" s="1" t="s">
        <v>9322</v>
      </c>
      <c r="B332" s="95" t="s">
        <v>9036</v>
      </c>
      <c r="C332" s="1">
        <v>1</v>
      </c>
      <c r="D332" s="1" t="s">
        <v>8856</v>
      </c>
      <c r="E332" s="21" t="s">
        <v>8855</v>
      </c>
      <c r="F332" s="20" t="s">
        <v>8753</v>
      </c>
      <c r="G332" s="20" t="s">
        <v>8757</v>
      </c>
      <c r="H332" s="20" t="s">
        <v>8753</v>
      </c>
      <c r="I332" s="20" t="s">
        <v>8759</v>
      </c>
      <c r="J332" s="20" t="s">
        <v>8753</v>
      </c>
      <c r="K332" s="20" t="s">
        <v>8761</v>
      </c>
      <c r="L332" s="20" t="s">
        <v>512</v>
      </c>
      <c r="M332" s="20" t="s">
        <v>512</v>
      </c>
      <c r="N332" s="20" t="s">
        <v>512</v>
      </c>
      <c r="O332" s="20" t="s">
        <v>512</v>
      </c>
      <c r="P332" s="20"/>
      <c r="Q332" s="1" t="s">
        <v>8856</v>
      </c>
    </row>
    <row r="333" spans="1:17" x14ac:dyDescent="0.25">
      <c r="A333" s="1" t="s">
        <v>9323</v>
      </c>
      <c r="B333" s="95" t="s">
        <v>9036</v>
      </c>
      <c r="C333" s="1">
        <v>1</v>
      </c>
      <c r="D333" s="1" t="s">
        <v>8856</v>
      </c>
      <c r="E333" s="21" t="s">
        <v>8855</v>
      </c>
      <c r="F333" s="20" t="s">
        <v>8753</v>
      </c>
      <c r="G333" s="20" t="s">
        <v>8757</v>
      </c>
      <c r="H333" s="20" t="s">
        <v>8753</v>
      </c>
      <c r="I333" s="20" t="s">
        <v>8759</v>
      </c>
      <c r="J333" s="20" t="s">
        <v>8753</v>
      </c>
      <c r="K333" s="20" t="s">
        <v>8761</v>
      </c>
      <c r="L333" s="20" t="s">
        <v>512</v>
      </c>
      <c r="M333" s="20" t="s">
        <v>512</v>
      </c>
      <c r="N333" s="20" t="s">
        <v>512</v>
      </c>
      <c r="O333" s="20" t="s">
        <v>512</v>
      </c>
      <c r="P333" s="20"/>
      <c r="Q333" s="1" t="s">
        <v>8856</v>
      </c>
    </row>
    <row r="334" spans="1:17" x14ac:dyDescent="0.25">
      <c r="A334" s="1" t="s">
        <v>9324</v>
      </c>
      <c r="B334" s="95" t="s">
        <v>9139</v>
      </c>
      <c r="C334" s="1">
        <v>1</v>
      </c>
      <c r="D334" s="1" t="s">
        <v>3744</v>
      </c>
      <c r="E334" s="21" t="s">
        <v>8787</v>
      </c>
      <c r="F334" s="20" t="s">
        <v>309</v>
      </c>
      <c r="G334" s="20" t="s">
        <v>8878</v>
      </c>
      <c r="H334" s="20" t="s">
        <v>8781</v>
      </c>
      <c r="I334" s="20" t="s">
        <v>8797</v>
      </c>
      <c r="J334" s="20" t="s">
        <v>512</v>
      </c>
      <c r="K334" s="20" t="s">
        <v>512</v>
      </c>
      <c r="L334" s="20" t="s">
        <v>512</v>
      </c>
      <c r="M334" s="20" t="s">
        <v>512</v>
      </c>
      <c r="N334" s="20" t="s">
        <v>512</v>
      </c>
      <c r="O334" s="20" t="s">
        <v>512</v>
      </c>
      <c r="P334" s="20"/>
      <c r="Q334" s="1" t="s">
        <v>3744</v>
      </c>
    </row>
    <row r="335" spans="1:17" x14ac:dyDescent="0.25">
      <c r="A335" s="1" t="s">
        <v>9325</v>
      </c>
      <c r="B335" s="95" t="s">
        <v>9036</v>
      </c>
      <c r="C335" s="1">
        <v>1</v>
      </c>
      <c r="D335" s="1" t="s">
        <v>8856</v>
      </c>
      <c r="E335" s="21" t="s">
        <v>8855</v>
      </c>
      <c r="F335" s="20" t="s">
        <v>8753</v>
      </c>
      <c r="G335" s="20" t="s">
        <v>8757</v>
      </c>
      <c r="H335" s="20" t="s">
        <v>8753</v>
      </c>
      <c r="I335" s="20" t="s">
        <v>8759</v>
      </c>
      <c r="J335" s="20" t="s">
        <v>8753</v>
      </c>
      <c r="K335" s="20" t="s">
        <v>8761</v>
      </c>
      <c r="L335" s="20" t="s">
        <v>512</v>
      </c>
      <c r="M335" s="20" t="s">
        <v>512</v>
      </c>
      <c r="N335" s="20" t="s">
        <v>512</v>
      </c>
      <c r="O335" s="20" t="s">
        <v>512</v>
      </c>
      <c r="P335" s="20"/>
      <c r="Q335" s="1" t="s">
        <v>8856</v>
      </c>
    </row>
    <row r="336" spans="1:17" x14ac:dyDescent="0.25">
      <c r="A336" s="1" t="s">
        <v>9326</v>
      </c>
      <c r="B336" s="95" t="s">
        <v>9036</v>
      </c>
      <c r="C336" s="1">
        <v>1</v>
      </c>
      <c r="D336" s="1" t="s">
        <v>8856</v>
      </c>
      <c r="E336" s="21" t="s">
        <v>8855</v>
      </c>
      <c r="F336" s="20" t="s">
        <v>8753</v>
      </c>
      <c r="G336" s="20" t="s">
        <v>8757</v>
      </c>
      <c r="H336" s="20" t="s">
        <v>8753</v>
      </c>
      <c r="I336" s="20" t="s">
        <v>8759</v>
      </c>
      <c r="J336" s="20" t="s">
        <v>8753</v>
      </c>
      <c r="K336" s="20" t="s">
        <v>8761</v>
      </c>
      <c r="L336" s="20" t="s">
        <v>512</v>
      </c>
      <c r="M336" s="20" t="s">
        <v>512</v>
      </c>
      <c r="N336" s="20" t="s">
        <v>512</v>
      </c>
      <c r="O336" s="20" t="s">
        <v>512</v>
      </c>
      <c r="P336" s="20"/>
      <c r="Q336" s="1" t="s">
        <v>8856</v>
      </c>
    </row>
    <row r="337" spans="1:17" x14ac:dyDescent="0.25">
      <c r="A337" s="1" t="s">
        <v>9327</v>
      </c>
      <c r="B337" s="95" t="s">
        <v>9139</v>
      </c>
      <c r="C337" s="1">
        <v>1</v>
      </c>
      <c r="D337" s="1" t="s">
        <v>3744</v>
      </c>
      <c r="E337" s="21" t="s">
        <v>8787</v>
      </c>
      <c r="F337" s="20" t="s">
        <v>309</v>
      </c>
      <c r="G337" s="20" t="s">
        <v>8878</v>
      </c>
      <c r="H337" s="20" t="s">
        <v>8781</v>
      </c>
      <c r="I337" s="20" t="s">
        <v>8797</v>
      </c>
      <c r="J337" s="20" t="s">
        <v>512</v>
      </c>
      <c r="K337" s="20" t="s">
        <v>512</v>
      </c>
      <c r="L337" s="20" t="s">
        <v>512</v>
      </c>
      <c r="M337" s="20" t="s">
        <v>512</v>
      </c>
      <c r="N337" s="20" t="s">
        <v>512</v>
      </c>
      <c r="O337" s="20" t="s">
        <v>512</v>
      </c>
      <c r="P337" s="20"/>
      <c r="Q337" s="1" t="s">
        <v>3744</v>
      </c>
    </row>
    <row r="338" spans="1:17" x14ac:dyDescent="0.25">
      <c r="A338" s="1" t="s">
        <v>9328</v>
      </c>
      <c r="B338" s="95" t="s">
        <v>9044</v>
      </c>
      <c r="C338" s="1">
        <v>1</v>
      </c>
      <c r="D338" s="1" t="s">
        <v>3744</v>
      </c>
      <c r="E338" s="21" t="s">
        <v>8657</v>
      </c>
      <c r="F338" s="20" t="s">
        <v>3744</v>
      </c>
      <c r="G338" s="20" t="s">
        <v>8780</v>
      </c>
      <c r="H338" s="20" t="s">
        <v>309</v>
      </c>
      <c r="I338" s="20" t="s">
        <v>8835</v>
      </c>
      <c r="J338" s="20" t="s">
        <v>309</v>
      </c>
      <c r="K338" s="20" t="s">
        <v>8884</v>
      </c>
      <c r="L338" s="20" t="s">
        <v>3744</v>
      </c>
      <c r="M338" s="20" t="s">
        <v>8677</v>
      </c>
      <c r="N338" s="20" t="s">
        <v>3744</v>
      </c>
      <c r="O338" s="20" t="s">
        <v>8783</v>
      </c>
      <c r="P338" s="20"/>
      <c r="Q338" s="1" t="s">
        <v>3744</v>
      </c>
    </row>
    <row r="339" spans="1:17" x14ac:dyDescent="0.25">
      <c r="A339" s="1" t="s">
        <v>9329</v>
      </c>
      <c r="B339" s="95" t="s">
        <v>9046</v>
      </c>
      <c r="C339" s="1">
        <v>1</v>
      </c>
      <c r="D339" s="1" t="s">
        <v>106</v>
      </c>
      <c r="E339" s="21" t="s">
        <v>8810</v>
      </c>
      <c r="F339" s="20" t="s">
        <v>309</v>
      </c>
      <c r="G339" s="20" t="s">
        <v>8880</v>
      </c>
      <c r="H339" s="20" t="s">
        <v>309</v>
      </c>
      <c r="I339" s="20">
        <v>344376</v>
      </c>
      <c r="J339" s="20" t="s">
        <v>344</v>
      </c>
      <c r="K339" s="20" t="s">
        <v>8898</v>
      </c>
      <c r="L339" s="20" t="s">
        <v>512</v>
      </c>
      <c r="M339" s="20" t="s">
        <v>512</v>
      </c>
      <c r="N339" s="20" t="s">
        <v>512</v>
      </c>
      <c r="O339" s="20" t="s">
        <v>512</v>
      </c>
      <c r="P339" s="20"/>
      <c r="Q339" s="1" t="s">
        <v>106</v>
      </c>
    </row>
    <row r="340" spans="1:17" x14ac:dyDescent="0.25">
      <c r="A340" s="1" t="s">
        <v>9330</v>
      </c>
      <c r="B340" s="95" t="s">
        <v>9048</v>
      </c>
      <c r="C340" s="1">
        <v>1</v>
      </c>
      <c r="D340" s="1" t="s">
        <v>106</v>
      </c>
      <c r="E340" s="21" t="s">
        <v>8806</v>
      </c>
      <c r="F340" s="20" t="s">
        <v>309</v>
      </c>
      <c r="G340" s="20" t="s">
        <v>8882</v>
      </c>
      <c r="H340" s="20" t="s">
        <v>309</v>
      </c>
      <c r="I340" s="20" t="s">
        <v>8973</v>
      </c>
      <c r="J340" s="20" t="s">
        <v>344</v>
      </c>
      <c r="K340" s="20" t="s">
        <v>8898</v>
      </c>
      <c r="L340" s="20" t="s">
        <v>512</v>
      </c>
      <c r="M340" s="20" t="s">
        <v>512</v>
      </c>
      <c r="N340" s="20" t="s">
        <v>512</v>
      </c>
      <c r="O340" s="20" t="s">
        <v>512</v>
      </c>
      <c r="P340" s="20"/>
      <c r="Q340" s="1" t="s">
        <v>106</v>
      </c>
    </row>
    <row r="341" spans="1:17" x14ac:dyDescent="0.25">
      <c r="A341" s="1" t="s">
        <v>9331</v>
      </c>
      <c r="B341" s="95" t="s">
        <v>9030</v>
      </c>
      <c r="C341" s="1">
        <v>1</v>
      </c>
      <c r="D341" s="1" t="s">
        <v>3744</v>
      </c>
      <c r="E341" s="21" t="s">
        <v>8595</v>
      </c>
      <c r="F341" s="20" t="s">
        <v>8781</v>
      </c>
      <c r="G341" s="20" t="s">
        <v>8618</v>
      </c>
      <c r="H341" s="20" t="s">
        <v>309</v>
      </c>
      <c r="I341" s="20" t="s">
        <v>8878</v>
      </c>
      <c r="J341" s="20" t="s">
        <v>512</v>
      </c>
      <c r="K341" s="20" t="s">
        <v>512</v>
      </c>
      <c r="L341" s="20" t="s">
        <v>512</v>
      </c>
      <c r="M341" s="20" t="s">
        <v>512</v>
      </c>
      <c r="N341" s="20" t="s">
        <v>512</v>
      </c>
      <c r="O341" s="20" t="s">
        <v>512</v>
      </c>
      <c r="P341" s="20"/>
      <c r="Q341" s="1" t="s">
        <v>3744</v>
      </c>
    </row>
    <row r="342" spans="1:17" x14ac:dyDescent="0.25">
      <c r="A342" s="1" t="s">
        <v>9332</v>
      </c>
      <c r="B342" s="95" t="s">
        <v>9036</v>
      </c>
      <c r="C342" s="1">
        <v>1</v>
      </c>
      <c r="D342" s="1" t="s">
        <v>8856</v>
      </c>
      <c r="E342" s="21" t="s">
        <v>8855</v>
      </c>
      <c r="F342" s="20" t="s">
        <v>8753</v>
      </c>
      <c r="G342" s="20" t="s">
        <v>8757</v>
      </c>
      <c r="H342" s="20" t="s">
        <v>8753</v>
      </c>
      <c r="I342" s="20" t="s">
        <v>8759</v>
      </c>
      <c r="J342" s="20" t="s">
        <v>8753</v>
      </c>
      <c r="K342" s="20" t="s">
        <v>8761</v>
      </c>
      <c r="L342" s="20" t="s">
        <v>512</v>
      </c>
      <c r="M342" s="20" t="s">
        <v>512</v>
      </c>
      <c r="N342" s="20" t="s">
        <v>512</v>
      </c>
      <c r="O342" s="20" t="s">
        <v>512</v>
      </c>
      <c r="P342" s="20"/>
      <c r="Q342" s="1" t="s">
        <v>8856</v>
      </c>
    </row>
    <row r="343" spans="1:17" x14ac:dyDescent="0.25">
      <c r="A343" s="1" t="s">
        <v>9333</v>
      </c>
      <c r="B343" s="95" t="s">
        <v>9039</v>
      </c>
      <c r="C343" s="1">
        <v>1</v>
      </c>
      <c r="D343" s="1" t="s">
        <v>3744</v>
      </c>
      <c r="E343" s="21" t="s">
        <v>8804</v>
      </c>
      <c r="F343" s="20" t="s">
        <v>8781</v>
      </c>
      <c r="G343" s="20" t="s">
        <v>8616</v>
      </c>
      <c r="H343" s="20" t="s">
        <v>309</v>
      </c>
      <c r="I343" s="20" t="s">
        <v>8878</v>
      </c>
      <c r="J343" s="20" t="s">
        <v>512</v>
      </c>
      <c r="K343" s="20" t="s">
        <v>512</v>
      </c>
      <c r="L343" s="20" t="s">
        <v>512</v>
      </c>
      <c r="M343" s="20" t="s">
        <v>512</v>
      </c>
      <c r="N343" s="20" t="s">
        <v>512</v>
      </c>
      <c r="O343" s="20" t="s">
        <v>512</v>
      </c>
      <c r="P343" s="20"/>
      <c r="Q343" s="1" t="s">
        <v>3744</v>
      </c>
    </row>
    <row r="344" spans="1:17" x14ac:dyDescent="0.25">
      <c r="A344" s="1" t="s">
        <v>9333</v>
      </c>
      <c r="B344" s="95" t="s">
        <v>9039</v>
      </c>
      <c r="C344" s="1">
        <v>1</v>
      </c>
      <c r="D344" s="1" t="s">
        <v>3744</v>
      </c>
      <c r="E344" s="21" t="s">
        <v>8804</v>
      </c>
      <c r="F344" s="20" t="s">
        <v>8781</v>
      </c>
      <c r="G344" s="20" t="s">
        <v>8616</v>
      </c>
      <c r="H344" s="20" t="s">
        <v>309</v>
      </c>
      <c r="I344" s="20" t="s">
        <v>8878</v>
      </c>
      <c r="J344" s="20" t="s">
        <v>512</v>
      </c>
      <c r="K344" s="20" t="s">
        <v>512</v>
      </c>
      <c r="L344" s="20" t="s">
        <v>512</v>
      </c>
      <c r="M344" s="20" t="s">
        <v>512</v>
      </c>
      <c r="N344" s="20" t="s">
        <v>512</v>
      </c>
      <c r="O344" s="20" t="s">
        <v>512</v>
      </c>
      <c r="P344" s="20"/>
      <c r="Q344" s="1" t="s">
        <v>3744</v>
      </c>
    </row>
    <row r="345" spans="1:17" x14ac:dyDescent="0.25">
      <c r="A345" s="1" t="s">
        <v>9334</v>
      </c>
      <c r="B345" s="95" t="s">
        <v>9036</v>
      </c>
      <c r="C345" s="1">
        <v>1</v>
      </c>
      <c r="D345" s="1" t="s">
        <v>8856</v>
      </c>
      <c r="E345" s="21" t="s">
        <v>8855</v>
      </c>
      <c r="F345" s="20" t="s">
        <v>8753</v>
      </c>
      <c r="G345" s="20" t="s">
        <v>8757</v>
      </c>
      <c r="H345" s="20" t="s">
        <v>8753</v>
      </c>
      <c r="I345" s="20" t="s">
        <v>8759</v>
      </c>
      <c r="J345" s="20" t="s">
        <v>8753</v>
      </c>
      <c r="K345" s="20" t="s">
        <v>8761</v>
      </c>
      <c r="L345" s="20" t="s">
        <v>512</v>
      </c>
      <c r="M345" s="20" t="s">
        <v>512</v>
      </c>
      <c r="N345" s="20" t="s">
        <v>512</v>
      </c>
      <c r="O345" s="20" t="s">
        <v>512</v>
      </c>
      <c r="P345" s="20"/>
      <c r="Q345" s="1" t="s">
        <v>8856</v>
      </c>
    </row>
    <row r="346" spans="1:17" x14ac:dyDescent="0.25">
      <c r="A346" s="1" t="s">
        <v>9335</v>
      </c>
      <c r="B346" s="96" t="s">
        <v>9033</v>
      </c>
      <c r="C346" s="1">
        <v>1</v>
      </c>
      <c r="D346" s="1" t="s">
        <v>3744</v>
      </c>
      <c r="E346" s="21" t="s">
        <v>8791</v>
      </c>
      <c r="F346" s="20" t="s">
        <v>309</v>
      </c>
      <c r="G346" s="20" t="s">
        <v>8835</v>
      </c>
      <c r="H346" s="20" t="s">
        <v>512</v>
      </c>
      <c r="I346" s="20" t="s">
        <v>512</v>
      </c>
      <c r="J346" s="20" t="s">
        <v>512</v>
      </c>
      <c r="K346" s="20" t="s">
        <v>512</v>
      </c>
      <c r="L346" s="20" t="s">
        <v>512</v>
      </c>
      <c r="M346" s="20" t="s">
        <v>512</v>
      </c>
      <c r="N346" s="20" t="s">
        <v>512</v>
      </c>
      <c r="O346" s="20" t="s">
        <v>512</v>
      </c>
      <c r="P346" s="20"/>
      <c r="Q346" s="1" t="s">
        <v>3744</v>
      </c>
    </row>
    <row r="347" spans="1:17" x14ac:dyDescent="0.25">
      <c r="A347" s="1" t="s">
        <v>9336</v>
      </c>
      <c r="B347" s="95" t="s">
        <v>9046</v>
      </c>
      <c r="C347" s="1">
        <v>1</v>
      </c>
      <c r="D347" s="1" t="s">
        <v>106</v>
      </c>
      <c r="E347" s="21" t="s">
        <v>8810</v>
      </c>
      <c r="F347" s="20" t="s">
        <v>309</v>
      </c>
      <c r="G347" s="20" t="s">
        <v>8880</v>
      </c>
      <c r="H347" s="20" t="s">
        <v>309</v>
      </c>
      <c r="I347" s="20">
        <v>344376</v>
      </c>
      <c r="J347" s="20" t="s">
        <v>344</v>
      </c>
      <c r="K347" s="20" t="s">
        <v>8898</v>
      </c>
      <c r="L347" s="20" t="s">
        <v>512</v>
      </c>
      <c r="M347" s="20" t="s">
        <v>512</v>
      </c>
      <c r="N347" s="20" t="s">
        <v>512</v>
      </c>
      <c r="O347" s="20" t="s">
        <v>512</v>
      </c>
      <c r="P347" s="20"/>
      <c r="Q347" s="1" t="s">
        <v>106</v>
      </c>
    </row>
    <row r="348" spans="1:17" x14ac:dyDescent="0.25">
      <c r="A348" s="1" t="s">
        <v>9337</v>
      </c>
      <c r="B348" s="95" t="s">
        <v>9048</v>
      </c>
      <c r="C348" s="1">
        <v>1</v>
      </c>
      <c r="D348" s="1" t="s">
        <v>106</v>
      </c>
      <c r="E348" s="21" t="s">
        <v>8806</v>
      </c>
      <c r="F348" s="20" t="s">
        <v>309</v>
      </c>
      <c r="G348" s="60" t="s">
        <v>8882</v>
      </c>
      <c r="H348" s="20" t="s">
        <v>309</v>
      </c>
      <c r="I348" s="20" t="s">
        <v>8973</v>
      </c>
      <c r="J348" s="20" t="s">
        <v>344</v>
      </c>
      <c r="K348" s="20" t="s">
        <v>8898</v>
      </c>
      <c r="L348" s="20" t="s">
        <v>512</v>
      </c>
      <c r="M348" s="20" t="s">
        <v>512</v>
      </c>
      <c r="N348" s="20" t="s">
        <v>512</v>
      </c>
      <c r="O348" s="20" t="s">
        <v>512</v>
      </c>
      <c r="P348" s="20"/>
      <c r="Q348" s="1" t="s">
        <v>106</v>
      </c>
    </row>
    <row r="349" spans="1:17" x14ac:dyDescent="0.25">
      <c r="A349" s="1" t="s">
        <v>9338</v>
      </c>
      <c r="B349" s="95" t="s">
        <v>9030</v>
      </c>
      <c r="C349" s="1">
        <v>1</v>
      </c>
      <c r="D349" s="1" t="s">
        <v>3744</v>
      </c>
      <c r="E349" s="21" t="s">
        <v>8595</v>
      </c>
      <c r="F349" s="20" t="s">
        <v>8781</v>
      </c>
      <c r="G349" s="20" t="s">
        <v>8618</v>
      </c>
      <c r="H349" s="20" t="s">
        <v>309</v>
      </c>
      <c r="I349" s="20" t="s">
        <v>8878</v>
      </c>
      <c r="J349" s="20" t="s">
        <v>512</v>
      </c>
      <c r="K349" s="20" t="s">
        <v>512</v>
      </c>
      <c r="L349" s="20" t="s">
        <v>512</v>
      </c>
      <c r="M349" s="20" t="s">
        <v>512</v>
      </c>
      <c r="N349" s="20" t="s">
        <v>512</v>
      </c>
      <c r="O349" s="20" t="s">
        <v>512</v>
      </c>
      <c r="P349" s="20"/>
      <c r="Q349" s="1" t="s">
        <v>3744</v>
      </c>
    </row>
    <row r="350" spans="1:17" x14ac:dyDescent="0.25">
      <c r="A350" s="1" t="s">
        <v>9339</v>
      </c>
      <c r="B350" s="95" t="s">
        <v>9036</v>
      </c>
      <c r="C350" s="1">
        <v>1</v>
      </c>
      <c r="D350" s="1" t="s">
        <v>8856</v>
      </c>
      <c r="E350" s="21" t="s">
        <v>8855</v>
      </c>
      <c r="F350" s="20" t="s">
        <v>8753</v>
      </c>
      <c r="G350" s="20" t="s">
        <v>8757</v>
      </c>
      <c r="H350" s="20" t="s">
        <v>8753</v>
      </c>
      <c r="I350" s="20" t="s">
        <v>8759</v>
      </c>
      <c r="J350" s="20" t="s">
        <v>8753</v>
      </c>
      <c r="K350" s="20" t="s">
        <v>8761</v>
      </c>
      <c r="L350" s="20" t="s">
        <v>512</v>
      </c>
      <c r="M350" s="20" t="s">
        <v>512</v>
      </c>
      <c r="N350" s="20" t="s">
        <v>512</v>
      </c>
      <c r="O350" s="20" t="s">
        <v>512</v>
      </c>
      <c r="P350" s="20"/>
      <c r="Q350" s="1" t="s">
        <v>8856</v>
      </c>
    </row>
    <row r="351" spans="1:17" x14ac:dyDescent="0.25">
      <c r="A351" s="1" t="s">
        <v>9340</v>
      </c>
      <c r="B351" s="95" t="s">
        <v>9036</v>
      </c>
      <c r="C351" s="1">
        <v>1</v>
      </c>
      <c r="D351" s="1" t="s">
        <v>8856</v>
      </c>
      <c r="E351" s="21" t="s">
        <v>8855</v>
      </c>
      <c r="F351" s="20" t="s">
        <v>8753</v>
      </c>
      <c r="G351" s="20" t="s">
        <v>8757</v>
      </c>
      <c r="H351" s="20" t="s">
        <v>8753</v>
      </c>
      <c r="I351" s="20" t="s">
        <v>8759</v>
      </c>
      <c r="J351" s="20" t="s">
        <v>8753</v>
      </c>
      <c r="K351" s="20" t="s">
        <v>8761</v>
      </c>
      <c r="L351" s="20" t="s">
        <v>512</v>
      </c>
      <c r="M351" s="20" t="s">
        <v>512</v>
      </c>
      <c r="N351" s="20" t="s">
        <v>512</v>
      </c>
      <c r="O351" s="20" t="s">
        <v>512</v>
      </c>
      <c r="P351" s="20"/>
      <c r="Q351" s="1" t="s">
        <v>8856</v>
      </c>
    </row>
    <row r="352" spans="1:17" x14ac:dyDescent="0.25">
      <c r="A352" s="1" t="s">
        <v>9341</v>
      </c>
      <c r="B352" s="95" t="s">
        <v>9020</v>
      </c>
      <c r="C352" s="1">
        <v>1</v>
      </c>
      <c r="D352" s="1" t="s">
        <v>3744</v>
      </c>
      <c r="E352" s="21" t="s">
        <v>8789</v>
      </c>
      <c r="F352" s="20" t="s">
        <v>309</v>
      </c>
      <c r="G352" s="20" t="s">
        <v>8837</v>
      </c>
      <c r="H352" s="20" t="s">
        <v>8781</v>
      </c>
      <c r="I352" s="20" t="s">
        <v>8797</v>
      </c>
      <c r="J352" s="20" t="s">
        <v>3744</v>
      </c>
      <c r="K352" s="20" t="s">
        <v>8613</v>
      </c>
      <c r="L352" s="20" t="s">
        <v>512</v>
      </c>
      <c r="M352" s="20" t="s">
        <v>512</v>
      </c>
      <c r="N352" s="20" t="s">
        <v>512</v>
      </c>
      <c r="O352" s="20" t="s">
        <v>512</v>
      </c>
      <c r="P352" s="20"/>
      <c r="Q352" s="1" t="s">
        <v>3744</v>
      </c>
    </row>
    <row r="353" spans="1:17" x14ac:dyDescent="0.25">
      <c r="A353" s="1" t="s">
        <v>9342</v>
      </c>
      <c r="B353" s="95" t="s">
        <v>9020</v>
      </c>
      <c r="C353" s="1">
        <v>1</v>
      </c>
      <c r="D353" s="1" t="s">
        <v>3744</v>
      </c>
      <c r="E353" s="21" t="s">
        <v>8789</v>
      </c>
      <c r="F353" s="20" t="s">
        <v>309</v>
      </c>
      <c r="G353" s="20" t="s">
        <v>8837</v>
      </c>
      <c r="H353" s="20" t="s">
        <v>8781</v>
      </c>
      <c r="I353" s="20" t="s">
        <v>8797</v>
      </c>
      <c r="J353" s="20" t="s">
        <v>3744</v>
      </c>
      <c r="K353" s="20" t="s">
        <v>8613</v>
      </c>
      <c r="L353" s="20" t="s">
        <v>512</v>
      </c>
      <c r="M353" s="20" t="s">
        <v>512</v>
      </c>
      <c r="N353" s="20" t="s">
        <v>512</v>
      </c>
      <c r="O353" s="20" t="s">
        <v>512</v>
      </c>
      <c r="P353" s="20"/>
      <c r="Q353" s="1" t="s">
        <v>3744</v>
      </c>
    </row>
    <row r="354" spans="1:17" ht="30" x14ac:dyDescent="0.25">
      <c r="A354" s="1" t="s">
        <v>9343</v>
      </c>
      <c r="B354" s="95" t="s">
        <v>9023</v>
      </c>
      <c r="C354" s="1">
        <v>1</v>
      </c>
      <c r="D354" s="1" t="s">
        <v>405</v>
      </c>
      <c r="E354" s="21" t="s">
        <v>8985</v>
      </c>
      <c r="F354" s="20" t="s">
        <v>405</v>
      </c>
      <c r="G354" s="20" t="s">
        <v>8989</v>
      </c>
      <c r="H354" s="20" t="s">
        <v>8753</v>
      </c>
      <c r="I354" s="20" t="s">
        <v>8757</v>
      </c>
      <c r="J354" s="20" t="s">
        <v>8753</v>
      </c>
      <c r="K354" s="20" t="s">
        <v>8759</v>
      </c>
      <c r="L354" s="20" t="s">
        <v>309</v>
      </c>
      <c r="M354" s="20" t="s">
        <v>8876</v>
      </c>
      <c r="N354" s="20" t="s">
        <v>8753</v>
      </c>
      <c r="O354" s="20" t="s">
        <v>8761</v>
      </c>
      <c r="P354" s="20"/>
      <c r="Q354" s="1" t="s">
        <v>405</v>
      </c>
    </row>
    <row r="355" spans="1:17" x14ac:dyDescent="0.25">
      <c r="A355" s="64" t="s">
        <v>9343</v>
      </c>
      <c r="B355" s="97" t="s">
        <v>9024</v>
      </c>
      <c r="C355" s="20">
        <v>1</v>
      </c>
      <c r="D355" s="20" t="s">
        <v>405</v>
      </c>
      <c r="E355" s="20">
        <v>1830600</v>
      </c>
      <c r="F355" s="20" t="s">
        <v>512</v>
      </c>
      <c r="G355" s="20" t="s">
        <v>512</v>
      </c>
      <c r="H355" s="20" t="s">
        <v>512</v>
      </c>
      <c r="I355" s="20" t="s">
        <v>512</v>
      </c>
      <c r="J355" s="20" t="s">
        <v>512</v>
      </c>
      <c r="K355" s="20" t="s">
        <v>512</v>
      </c>
      <c r="L355" s="20" t="s">
        <v>512</v>
      </c>
      <c r="M355" s="20" t="s">
        <v>512</v>
      </c>
      <c r="N355" s="20" t="s">
        <v>512</v>
      </c>
      <c r="O355" s="20" t="s">
        <v>512</v>
      </c>
      <c r="P355" s="20"/>
      <c r="Q355" s="1" t="s">
        <v>512</v>
      </c>
    </row>
    <row r="356" spans="1:17" x14ac:dyDescent="0.25">
      <c r="A356" s="64" t="s">
        <v>9343</v>
      </c>
      <c r="B356" s="97" t="s">
        <v>9024</v>
      </c>
      <c r="C356" s="20">
        <v>1</v>
      </c>
      <c r="D356" s="20" t="s">
        <v>405</v>
      </c>
      <c r="E356" s="20">
        <v>28231449</v>
      </c>
      <c r="F356" s="20" t="s">
        <v>512</v>
      </c>
      <c r="G356" s="20" t="s">
        <v>512</v>
      </c>
      <c r="H356" s="20" t="s">
        <v>512</v>
      </c>
      <c r="I356" s="20" t="s">
        <v>512</v>
      </c>
      <c r="J356" s="20" t="s">
        <v>512</v>
      </c>
      <c r="K356" s="20" t="s">
        <v>512</v>
      </c>
      <c r="L356" s="20" t="s">
        <v>512</v>
      </c>
      <c r="M356" s="20" t="s">
        <v>512</v>
      </c>
      <c r="N356" s="20" t="s">
        <v>512</v>
      </c>
      <c r="O356" s="20" t="s">
        <v>512</v>
      </c>
      <c r="P356" s="20"/>
      <c r="Q356" s="1" t="s">
        <v>512</v>
      </c>
    </row>
    <row r="357" spans="1:17" x14ac:dyDescent="0.25">
      <c r="A357" s="64" t="s">
        <v>9343</v>
      </c>
      <c r="B357" s="97" t="s">
        <v>9024</v>
      </c>
      <c r="C357" s="20">
        <v>1</v>
      </c>
      <c r="D357" s="20" t="s">
        <v>405</v>
      </c>
      <c r="E357" s="20">
        <v>18123864</v>
      </c>
      <c r="F357" s="20" t="s">
        <v>512</v>
      </c>
      <c r="G357" s="20" t="s">
        <v>512</v>
      </c>
      <c r="H357" s="20" t="s">
        <v>512</v>
      </c>
      <c r="I357" s="20" t="s">
        <v>512</v>
      </c>
      <c r="J357" s="20" t="s">
        <v>512</v>
      </c>
      <c r="K357" s="20" t="s">
        <v>512</v>
      </c>
      <c r="L357" s="20" t="s">
        <v>512</v>
      </c>
      <c r="M357" s="20" t="s">
        <v>512</v>
      </c>
      <c r="N357" s="20" t="s">
        <v>512</v>
      </c>
      <c r="O357" s="20" t="s">
        <v>512</v>
      </c>
      <c r="P357" s="20"/>
      <c r="Q357" s="1" t="s">
        <v>512</v>
      </c>
    </row>
    <row r="358" spans="1:17" x14ac:dyDescent="0.25">
      <c r="A358" s="64" t="s">
        <v>9343</v>
      </c>
      <c r="B358" s="97" t="s">
        <v>9024</v>
      </c>
      <c r="C358" s="20">
        <v>1</v>
      </c>
      <c r="D358" s="20" t="s">
        <v>405</v>
      </c>
      <c r="E358" s="20">
        <v>25643517</v>
      </c>
      <c r="F358" s="20" t="s">
        <v>512</v>
      </c>
      <c r="G358" s="20" t="s">
        <v>512</v>
      </c>
      <c r="H358" s="20" t="s">
        <v>512</v>
      </c>
      <c r="I358" s="20" t="s">
        <v>512</v>
      </c>
      <c r="J358" s="20" t="s">
        <v>512</v>
      </c>
      <c r="K358" s="20" t="s">
        <v>512</v>
      </c>
      <c r="L358" s="20" t="s">
        <v>512</v>
      </c>
      <c r="M358" s="20" t="s">
        <v>512</v>
      </c>
      <c r="N358" s="20" t="s">
        <v>512</v>
      </c>
      <c r="O358" s="20" t="s">
        <v>512</v>
      </c>
      <c r="P358" s="20"/>
      <c r="Q358" s="1" t="s">
        <v>512</v>
      </c>
    </row>
    <row r="359" spans="1:17" x14ac:dyDescent="0.25">
      <c r="A359" s="64" t="s">
        <v>9343</v>
      </c>
      <c r="B359" s="97" t="s">
        <v>9024</v>
      </c>
      <c r="C359" s="20">
        <v>1</v>
      </c>
      <c r="D359" s="20" t="s">
        <v>405</v>
      </c>
      <c r="E359" s="20">
        <v>28135350</v>
      </c>
      <c r="F359" s="20" t="s">
        <v>512</v>
      </c>
      <c r="G359" s="20" t="s">
        <v>512</v>
      </c>
      <c r="H359" s="20" t="s">
        <v>512</v>
      </c>
      <c r="I359" s="20" t="s">
        <v>512</v>
      </c>
      <c r="J359" s="20" t="s">
        <v>512</v>
      </c>
      <c r="K359" s="20" t="s">
        <v>512</v>
      </c>
      <c r="L359" s="20" t="s">
        <v>512</v>
      </c>
      <c r="M359" s="20" t="s">
        <v>512</v>
      </c>
      <c r="N359" s="20" t="s">
        <v>512</v>
      </c>
      <c r="O359" s="20" t="s">
        <v>512</v>
      </c>
      <c r="P359" s="20"/>
      <c r="Q359" s="1" t="s">
        <v>512</v>
      </c>
    </row>
    <row r="360" spans="1:17" x14ac:dyDescent="0.25">
      <c r="A360" s="64" t="s">
        <v>9343</v>
      </c>
      <c r="B360" s="97" t="s">
        <v>9024</v>
      </c>
      <c r="C360" s="20">
        <v>1</v>
      </c>
      <c r="D360" s="20" t="s">
        <v>405</v>
      </c>
      <c r="E360" s="20">
        <v>18153283</v>
      </c>
      <c r="F360" s="20" t="s">
        <v>512</v>
      </c>
      <c r="G360" s="20" t="s">
        <v>512</v>
      </c>
      <c r="H360" s="20" t="s">
        <v>512</v>
      </c>
      <c r="I360" s="20" t="s">
        <v>512</v>
      </c>
      <c r="J360" s="20" t="s">
        <v>512</v>
      </c>
      <c r="K360" s="20" t="s">
        <v>512</v>
      </c>
      <c r="L360" s="20" t="s">
        <v>512</v>
      </c>
      <c r="M360" s="20" t="s">
        <v>512</v>
      </c>
      <c r="N360" s="20" t="s">
        <v>512</v>
      </c>
      <c r="O360" s="20" t="s">
        <v>512</v>
      </c>
      <c r="P360" s="20"/>
      <c r="Q360" s="1" t="s">
        <v>512</v>
      </c>
    </row>
    <row r="361" spans="1:17" x14ac:dyDescent="0.25">
      <c r="A361" s="1" t="s">
        <v>9344</v>
      </c>
      <c r="B361" s="95" t="s">
        <v>9026</v>
      </c>
      <c r="C361" s="1">
        <v>1</v>
      </c>
      <c r="D361" s="1" t="s">
        <v>9027</v>
      </c>
      <c r="E361" s="21">
        <v>160520</v>
      </c>
      <c r="F361" s="20" t="s">
        <v>9027</v>
      </c>
      <c r="G361" s="20" t="s">
        <v>8896</v>
      </c>
      <c r="H361" s="20" t="s">
        <v>512</v>
      </c>
      <c r="I361" s="20" t="s">
        <v>512</v>
      </c>
      <c r="J361" s="20" t="s">
        <v>512</v>
      </c>
      <c r="K361" s="20" t="s">
        <v>512</v>
      </c>
      <c r="L361" s="20" t="s">
        <v>512</v>
      </c>
      <c r="M361" s="20" t="s">
        <v>512</v>
      </c>
      <c r="N361" s="20" t="s">
        <v>512</v>
      </c>
      <c r="O361" s="20" t="s">
        <v>512</v>
      </c>
      <c r="P361" s="20"/>
      <c r="Q361" s="1" t="s">
        <v>9027</v>
      </c>
    </row>
    <row r="362" spans="1:17" x14ac:dyDescent="0.25">
      <c r="A362" s="1" t="s">
        <v>9345</v>
      </c>
      <c r="B362" s="95" t="s">
        <v>9026</v>
      </c>
      <c r="C362" s="1">
        <v>1</v>
      </c>
      <c r="D362" s="1" t="s">
        <v>9027</v>
      </c>
      <c r="E362" s="21">
        <v>160520</v>
      </c>
      <c r="F362" s="20" t="s">
        <v>9027</v>
      </c>
      <c r="G362" s="20" t="s">
        <v>8896</v>
      </c>
      <c r="H362" s="20" t="s">
        <v>512</v>
      </c>
      <c r="I362" s="20" t="s">
        <v>512</v>
      </c>
      <c r="J362" s="21" t="s">
        <v>512</v>
      </c>
      <c r="K362" s="21" t="s">
        <v>512</v>
      </c>
      <c r="L362" s="21" t="s">
        <v>512</v>
      </c>
      <c r="M362" s="21" t="s">
        <v>512</v>
      </c>
      <c r="N362" s="21" t="s">
        <v>512</v>
      </c>
      <c r="O362" s="21" t="s">
        <v>512</v>
      </c>
      <c r="P362" s="20"/>
      <c r="Q362" s="1" t="s">
        <v>9027</v>
      </c>
    </row>
    <row r="363" spans="1:17" x14ac:dyDescent="0.25">
      <c r="A363" s="1" t="s">
        <v>9346</v>
      </c>
      <c r="B363" s="95" t="s">
        <v>9030</v>
      </c>
      <c r="C363" s="1">
        <v>1</v>
      </c>
      <c r="D363" s="1" t="s">
        <v>3744</v>
      </c>
      <c r="E363" s="21" t="s">
        <v>8595</v>
      </c>
      <c r="F363" s="20" t="s">
        <v>8781</v>
      </c>
      <c r="G363" s="20" t="s">
        <v>8616</v>
      </c>
      <c r="H363" s="20" t="s">
        <v>309</v>
      </c>
      <c r="I363" s="20" t="s">
        <v>8878</v>
      </c>
      <c r="J363" s="21" t="s">
        <v>512</v>
      </c>
      <c r="K363" s="21" t="s">
        <v>512</v>
      </c>
      <c r="L363" s="21" t="s">
        <v>512</v>
      </c>
      <c r="M363" s="21" t="s">
        <v>512</v>
      </c>
      <c r="N363" s="21" t="s">
        <v>512</v>
      </c>
      <c r="O363" s="21" t="s">
        <v>512</v>
      </c>
      <c r="P363" s="20"/>
      <c r="Q363" s="1" t="s">
        <v>8843</v>
      </c>
    </row>
    <row r="364" spans="1:17" x14ac:dyDescent="0.25">
      <c r="A364" s="1" t="s">
        <v>9347</v>
      </c>
      <c r="B364" s="95" t="s">
        <v>9030</v>
      </c>
      <c r="C364" s="1">
        <v>1</v>
      </c>
      <c r="D364" s="1" t="s">
        <v>3744</v>
      </c>
      <c r="E364" s="21" t="s">
        <v>8595</v>
      </c>
      <c r="F364" s="20" t="s">
        <v>8781</v>
      </c>
      <c r="G364" s="20" t="s">
        <v>8616</v>
      </c>
      <c r="H364" s="20" t="s">
        <v>309</v>
      </c>
      <c r="I364" s="20" t="s">
        <v>8878</v>
      </c>
      <c r="J364" s="21" t="s">
        <v>512</v>
      </c>
      <c r="K364" s="21" t="s">
        <v>512</v>
      </c>
      <c r="L364" s="21" t="s">
        <v>512</v>
      </c>
      <c r="M364" s="21" t="s">
        <v>512</v>
      </c>
      <c r="N364" s="21" t="s">
        <v>512</v>
      </c>
      <c r="O364" s="21" t="s">
        <v>512</v>
      </c>
      <c r="P364" s="20"/>
      <c r="Q364" s="1" t="s">
        <v>8843</v>
      </c>
    </row>
    <row r="365" spans="1:17" x14ac:dyDescent="0.25">
      <c r="A365" s="1" t="s">
        <v>9348</v>
      </c>
      <c r="B365" s="95" t="s">
        <v>9046</v>
      </c>
      <c r="C365" s="1">
        <v>1</v>
      </c>
      <c r="D365" s="1" t="s">
        <v>106</v>
      </c>
      <c r="E365" s="21" t="s">
        <v>8810</v>
      </c>
      <c r="F365" s="20" t="s">
        <v>309</v>
      </c>
      <c r="G365" s="20" t="s">
        <v>8880</v>
      </c>
      <c r="H365" s="20" t="s">
        <v>309</v>
      </c>
      <c r="I365" s="20">
        <v>344376</v>
      </c>
      <c r="J365" s="21" t="s">
        <v>344</v>
      </c>
      <c r="K365" s="21" t="s">
        <v>8898</v>
      </c>
      <c r="L365" s="21" t="s">
        <v>512</v>
      </c>
      <c r="M365" s="21" t="s">
        <v>512</v>
      </c>
      <c r="N365" s="21" t="s">
        <v>512</v>
      </c>
      <c r="O365" s="21" t="s">
        <v>512</v>
      </c>
      <c r="P365" s="20"/>
      <c r="Q365" s="1" t="s">
        <v>106</v>
      </c>
    </row>
    <row r="366" spans="1:17" x14ac:dyDescent="0.25">
      <c r="A366" s="1" t="s">
        <v>9349</v>
      </c>
      <c r="B366" s="95" t="s">
        <v>9048</v>
      </c>
      <c r="C366" s="1">
        <v>1</v>
      </c>
      <c r="D366" s="1" t="s">
        <v>106</v>
      </c>
      <c r="E366" s="21" t="s">
        <v>8806</v>
      </c>
      <c r="F366" s="20" t="s">
        <v>309</v>
      </c>
      <c r="G366" s="20" t="s">
        <v>8882</v>
      </c>
      <c r="H366" s="20" t="s">
        <v>309</v>
      </c>
      <c r="I366" s="20" t="s">
        <v>8973</v>
      </c>
      <c r="J366" s="20" t="s">
        <v>344</v>
      </c>
      <c r="K366" s="20" t="s">
        <v>8898</v>
      </c>
      <c r="L366" s="20" t="s">
        <v>512</v>
      </c>
      <c r="M366" s="20" t="s">
        <v>512</v>
      </c>
      <c r="N366" s="20" t="s">
        <v>512</v>
      </c>
      <c r="O366" s="20" t="s">
        <v>512</v>
      </c>
      <c r="P366" s="20"/>
      <c r="Q366" s="1" t="s">
        <v>106</v>
      </c>
    </row>
    <row r="367" spans="1:17" x14ac:dyDescent="0.25">
      <c r="A367" s="1" t="s">
        <v>9350</v>
      </c>
      <c r="B367" s="95" t="s">
        <v>9030</v>
      </c>
      <c r="C367" s="1">
        <v>1</v>
      </c>
      <c r="D367" s="1" t="s">
        <v>3744</v>
      </c>
      <c r="E367" s="21" t="s">
        <v>8595</v>
      </c>
      <c r="F367" s="20" t="s">
        <v>8781</v>
      </c>
      <c r="G367" s="20" t="s">
        <v>8618</v>
      </c>
      <c r="H367" s="20" t="s">
        <v>309</v>
      </c>
      <c r="I367" s="20" t="s">
        <v>8878</v>
      </c>
      <c r="J367" s="20" t="s">
        <v>512</v>
      </c>
      <c r="K367" s="20" t="s">
        <v>512</v>
      </c>
      <c r="L367" s="20" t="s">
        <v>512</v>
      </c>
      <c r="M367" s="20" t="s">
        <v>512</v>
      </c>
      <c r="N367" s="20" t="s">
        <v>512</v>
      </c>
      <c r="O367" s="20" t="s">
        <v>512</v>
      </c>
      <c r="P367" s="20"/>
      <c r="Q367" s="1" t="s">
        <v>3744</v>
      </c>
    </row>
    <row r="368" spans="1:17" x14ac:dyDescent="0.25">
      <c r="A368" s="1" t="s">
        <v>9351</v>
      </c>
      <c r="B368" s="95" t="s">
        <v>9036</v>
      </c>
      <c r="C368" s="1">
        <v>1</v>
      </c>
      <c r="D368" s="1" t="s">
        <v>8856</v>
      </c>
      <c r="E368" s="21" t="s">
        <v>8855</v>
      </c>
      <c r="F368" s="20" t="s">
        <v>8753</v>
      </c>
      <c r="G368" s="20" t="s">
        <v>8757</v>
      </c>
      <c r="H368" s="20" t="s">
        <v>8753</v>
      </c>
      <c r="I368" s="20" t="s">
        <v>8759</v>
      </c>
      <c r="J368" s="20" t="s">
        <v>8753</v>
      </c>
      <c r="K368" s="20" t="s">
        <v>8761</v>
      </c>
      <c r="L368" s="20" t="s">
        <v>512</v>
      </c>
      <c r="M368" s="20" t="s">
        <v>512</v>
      </c>
      <c r="N368" s="20" t="s">
        <v>512</v>
      </c>
      <c r="O368" s="20" t="s">
        <v>512</v>
      </c>
      <c r="P368" s="20"/>
      <c r="Q368" s="1" t="s">
        <v>8856</v>
      </c>
    </row>
    <row r="369" spans="1:17" x14ac:dyDescent="0.25">
      <c r="A369" s="1" t="s">
        <v>9352</v>
      </c>
      <c r="B369" s="95" t="s">
        <v>9059</v>
      </c>
      <c r="C369" s="1">
        <v>1</v>
      </c>
      <c r="D369" s="1" t="s">
        <v>309</v>
      </c>
      <c r="E369" s="21" t="s">
        <v>8828</v>
      </c>
      <c r="F369" s="20" t="s">
        <v>309</v>
      </c>
      <c r="G369" s="20" t="s">
        <v>8971</v>
      </c>
      <c r="H369" s="20" t="s">
        <v>309</v>
      </c>
      <c r="I369" s="20" t="s">
        <v>8886</v>
      </c>
      <c r="J369" s="20" t="s">
        <v>344</v>
      </c>
      <c r="K369" s="20" t="s">
        <v>8898</v>
      </c>
      <c r="L369" s="20" t="s">
        <v>512</v>
      </c>
      <c r="M369" s="20" t="s">
        <v>512</v>
      </c>
      <c r="N369" s="20" t="s">
        <v>512</v>
      </c>
      <c r="O369" s="20" t="s">
        <v>512</v>
      </c>
      <c r="P369" s="20"/>
      <c r="Q369" s="1" t="s">
        <v>309</v>
      </c>
    </row>
    <row r="370" spans="1:17" x14ac:dyDescent="0.25">
      <c r="A370" s="1" t="s">
        <v>9353</v>
      </c>
      <c r="B370" s="95" t="s">
        <v>9139</v>
      </c>
      <c r="C370" s="1">
        <v>1</v>
      </c>
      <c r="D370" s="1" t="s">
        <v>3744</v>
      </c>
      <c r="E370" s="21" t="s">
        <v>8787</v>
      </c>
      <c r="F370" s="20" t="s">
        <v>309</v>
      </c>
      <c r="G370" s="20" t="s">
        <v>8878</v>
      </c>
      <c r="H370" s="20" t="s">
        <v>8781</v>
      </c>
      <c r="I370" s="20" t="s">
        <v>8797</v>
      </c>
      <c r="J370" s="20" t="s">
        <v>512</v>
      </c>
      <c r="K370" s="20" t="s">
        <v>512</v>
      </c>
      <c r="L370" s="20" t="s">
        <v>512</v>
      </c>
      <c r="M370" s="20" t="s">
        <v>512</v>
      </c>
      <c r="N370" s="20" t="s">
        <v>512</v>
      </c>
      <c r="O370" s="20" t="s">
        <v>512</v>
      </c>
      <c r="P370" s="20"/>
      <c r="Q370" s="1" t="s">
        <v>3744</v>
      </c>
    </row>
    <row r="371" spans="1:17" x14ac:dyDescent="0.25">
      <c r="A371" s="1" t="s">
        <v>9354</v>
      </c>
      <c r="B371" s="95" t="s">
        <v>9030</v>
      </c>
      <c r="C371" s="1">
        <v>1</v>
      </c>
      <c r="D371" s="1" t="s">
        <v>3744</v>
      </c>
      <c r="E371" s="21" t="s">
        <v>8595</v>
      </c>
      <c r="F371" s="20" t="s">
        <v>8781</v>
      </c>
      <c r="G371" s="20" t="s">
        <v>8618</v>
      </c>
      <c r="H371" s="20" t="s">
        <v>309</v>
      </c>
      <c r="I371" s="20" t="s">
        <v>8878</v>
      </c>
      <c r="J371" s="20" t="s">
        <v>512</v>
      </c>
      <c r="K371" s="20" t="s">
        <v>512</v>
      </c>
      <c r="L371" s="20" t="s">
        <v>512</v>
      </c>
      <c r="M371" s="20" t="s">
        <v>512</v>
      </c>
      <c r="N371" s="20" t="s">
        <v>512</v>
      </c>
      <c r="O371" s="20" t="s">
        <v>512</v>
      </c>
      <c r="P371" s="20"/>
      <c r="Q371" s="1" t="s">
        <v>3744</v>
      </c>
    </row>
    <row r="372" spans="1:17" x14ac:dyDescent="0.25">
      <c r="A372" s="1" t="s">
        <v>9355</v>
      </c>
      <c r="B372" s="95" t="s">
        <v>9036</v>
      </c>
      <c r="C372" s="1">
        <v>1</v>
      </c>
      <c r="D372" s="1" t="s">
        <v>8856</v>
      </c>
      <c r="E372" s="21" t="s">
        <v>8855</v>
      </c>
      <c r="F372" s="1" t="s">
        <v>8753</v>
      </c>
      <c r="G372" s="1" t="s">
        <v>8757</v>
      </c>
      <c r="H372" s="20" t="s">
        <v>8753</v>
      </c>
      <c r="I372" s="20" t="s">
        <v>8759</v>
      </c>
      <c r="J372" s="1" t="s">
        <v>8753</v>
      </c>
      <c r="K372" s="1" t="s">
        <v>8761</v>
      </c>
      <c r="L372" s="1" t="s">
        <v>512</v>
      </c>
      <c r="M372" s="1" t="s">
        <v>512</v>
      </c>
      <c r="N372" s="1" t="s">
        <v>512</v>
      </c>
      <c r="O372" s="1" t="s">
        <v>512</v>
      </c>
      <c r="P372" s="20"/>
      <c r="Q372" s="1" t="s">
        <v>8856</v>
      </c>
    </row>
    <row r="373" spans="1:17" x14ac:dyDescent="0.25">
      <c r="A373" s="1" t="s">
        <v>9356</v>
      </c>
      <c r="B373" s="95" t="s">
        <v>9139</v>
      </c>
      <c r="C373" s="1">
        <v>1</v>
      </c>
      <c r="D373" s="1" t="s">
        <v>3744</v>
      </c>
      <c r="E373" s="21" t="s">
        <v>8787</v>
      </c>
      <c r="F373" s="20" t="s">
        <v>309</v>
      </c>
      <c r="G373" s="20" t="s">
        <v>8878</v>
      </c>
      <c r="H373" s="20" t="s">
        <v>8781</v>
      </c>
      <c r="I373" s="20" t="s">
        <v>8797</v>
      </c>
      <c r="J373" s="20" t="s">
        <v>512</v>
      </c>
      <c r="K373" s="20" t="s">
        <v>512</v>
      </c>
      <c r="L373" s="20" t="s">
        <v>512</v>
      </c>
      <c r="M373" s="20" t="s">
        <v>512</v>
      </c>
      <c r="N373" s="20" t="s">
        <v>512</v>
      </c>
      <c r="O373" s="20" t="s">
        <v>512</v>
      </c>
      <c r="P373" s="20"/>
      <c r="Q373" s="1" t="s">
        <v>3744</v>
      </c>
    </row>
    <row r="374" spans="1:17" x14ac:dyDescent="0.25">
      <c r="A374" s="1" t="s">
        <v>9357</v>
      </c>
      <c r="B374" s="95" t="s">
        <v>9044</v>
      </c>
      <c r="C374" s="1">
        <v>1</v>
      </c>
      <c r="D374" s="1" t="s">
        <v>3744</v>
      </c>
      <c r="E374" s="21" t="s">
        <v>8657</v>
      </c>
      <c r="F374" s="20" t="s">
        <v>3744</v>
      </c>
      <c r="G374" s="20" t="s">
        <v>8780</v>
      </c>
      <c r="H374" s="20" t="s">
        <v>309</v>
      </c>
      <c r="I374" s="20" t="s">
        <v>8835</v>
      </c>
      <c r="J374" s="20" t="s">
        <v>309</v>
      </c>
      <c r="K374" s="20" t="s">
        <v>8884</v>
      </c>
      <c r="L374" s="20" t="s">
        <v>3744</v>
      </c>
      <c r="M374" s="20" t="s">
        <v>8677</v>
      </c>
      <c r="N374" s="20" t="s">
        <v>3744</v>
      </c>
      <c r="O374" s="20" t="s">
        <v>8783</v>
      </c>
      <c r="P374" s="20"/>
      <c r="Q374" s="1" t="s">
        <v>3744</v>
      </c>
    </row>
    <row r="375" spans="1:17" x14ac:dyDescent="0.25">
      <c r="A375" s="1" t="s">
        <v>9358</v>
      </c>
      <c r="B375" s="95" t="s">
        <v>9030</v>
      </c>
      <c r="C375" s="1">
        <v>1</v>
      </c>
      <c r="D375" s="1" t="s">
        <v>3744</v>
      </c>
      <c r="E375" s="21" t="s">
        <v>8595</v>
      </c>
      <c r="F375" s="20" t="s">
        <v>8781</v>
      </c>
      <c r="G375" s="20" t="s">
        <v>8618</v>
      </c>
      <c r="H375" s="20" t="s">
        <v>309</v>
      </c>
      <c r="I375" s="20" t="s">
        <v>8878</v>
      </c>
      <c r="J375" s="20" t="s">
        <v>512</v>
      </c>
      <c r="K375" s="20" t="s">
        <v>512</v>
      </c>
      <c r="L375" s="20" t="s">
        <v>512</v>
      </c>
      <c r="M375" s="20" t="s">
        <v>512</v>
      </c>
      <c r="N375" s="20" t="s">
        <v>512</v>
      </c>
      <c r="O375" s="20" t="s">
        <v>512</v>
      </c>
      <c r="P375" s="20"/>
      <c r="Q375" s="1" t="s">
        <v>3744</v>
      </c>
    </row>
    <row r="376" spans="1:17" x14ac:dyDescent="0.25">
      <c r="A376" s="1" t="s">
        <v>9359</v>
      </c>
      <c r="B376" s="95" t="s">
        <v>9030</v>
      </c>
      <c r="C376" s="1">
        <v>1</v>
      </c>
      <c r="D376" s="1" t="s">
        <v>3744</v>
      </c>
      <c r="E376" s="21" t="s">
        <v>8595</v>
      </c>
      <c r="F376" s="20" t="s">
        <v>8781</v>
      </c>
      <c r="G376" s="20" t="s">
        <v>8618</v>
      </c>
      <c r="H376" s="20" t="s">
        <v>309</v>
      </c>
      <c r="I376" s="20" t="s">
        <v>8878</v>
      </c>
      <c r="J376" s="20" t="s">
        <v>512</v>
      </c>
      <c r="K376" s="20" t="s">
        <v>512</v>
      </c>
      <c r="L376" s="20" t="s">
        <v>512</v>
      </c>
      <c r="M376" s="20" t="s">
        <v>512</v>
      </c>
      <c r="N376" s="20" t="s">
        <v>512</v>
      </c>
      <c r="O376" s="20" t="s">
        <v>512</v>
      </c>
      <c r="P376" s="20"/>
      <c r="Q376" s="1" t="s">
        <v>3744</v>
      </c>
    </row>
    <row r="377" spans="1:17" x14ac:dyDescent="0.25">
      <c r="A377" s="1" t="s">
        <v>9360</v>
      </c>
      <c r="B377" s="95" t="s">
        <v>9046</v>
      </c>
      <c r="C377" s="1">
        <v>1</v>
      </c>
      <c r="D377" s="1" t="s">
        <v>106</v>
      </c>
      <c r="E377" s="21" t="s">
        <v>8810</v>
      </c>
      <c r="F377" s="20" t="s">
        <v>309</v>
      </c>
      <c r="G377" s="20" t="s">
        <v>8880</v>
      </c>
      <c r="H377" s="20" t="s">
        <v>309</v>
      </c>
      <c r="I377" s="20">
        <v>344376</v>
      </c>
      <c r="J377" s="20" t="s">
        <v>344</v>
      </c>
      <c r="K377" s="20" t="s">
        <v>8898</v>
      </c>
      <c r="L377" s="20" t="s">
        <v>512</v>
      </c>
      <c r="M377" s="20" t="s">
        <v>512</v>
      </c>
      <c r="N377" s="20" t="s">
        <v>512</v>
      </c>
      <c r="O377" s="20" t="s">
        <v>512</v>
      </c>
      <c r="P377" s="20"/>
      <c r="Q377" s="1" t="s">
        <v>106</v>
      </c>
    </row>
    <row r="378" spans="1:17" x14ac:dyDescent="0.25">
      <c r="A378" s="1" t="s">
        <v>9361</v>
      </c>
      <c r="B378" s="95" t="s">
        <v>9048</v>
      </c>
      <c r="C378" s="1">
        <v>1</v>
      </c>
      <c r="D378" s="1" t="s">
        <v>106</v>
      </c>
      <c r="E378" s="21" t="s">
        <v>8806</v>
      </c>
      <c r="F378" s="20" t="s">
        <v>309</v>
      </c>
      <c r="G378" s="20" t="s">
        <v>8882</v>
      </c>
      <c r="H378" s="20" t="s">
        <v>309</v>
      </c>
      <c r="I378" s="20" t="s">
        <v>8973</v>
      </c>
      <c r="J378" s="20" t="s">
        <v>344</v>
      </c>
      <c r="K378" s="20" t="s">
        <v>8898</v>
      </c>
      <c r="L378" s="20" t="s">
        <v>512</v>
      </c>
      <c r="M378" s="20" t="s">
        <v>512</v>
      </c>
      <c r="N378" s="20" t="s">
        <v>512</v>
      </c>
      <c r="O378" s="20" t="s">
        <v>512</v>
      </c>
      <c r="P378" s="20"/>
      <c r="Q378" s="1" t="s">
        <v>106</v>
      </c>
    </row>
    <row r="379" spans="1:17" x14ac:dyDescent="0.25">
      <c r="A379" s="1" t="s">
        <v>9362</v>
      </c>
      <c r="B379" s="95" t="s">
        <v>9139</v>
      </c>
      <c r="C379" s="1">
        <v>1</v>
      </c>
      <c r="D379" s="1" t="s">
        <v>3744</v>
      </c>
      <c r="E379" s="21" t="s">
        <v>8787</v>
      </c>
      <c r="F379" s="20" t="s">
        <v>309</v>
      </c>
      <c r="G379" s="20" t="s">
        <v>8878</v>
      </c>
      <c r="H379" s="20" t="s">
        <v>8781</v>
      </c>
      <c r="I379" s="20" t="s">
        <v>8797</v>
      </c>
      <c r="J379" s="20" t="s">
        <v>512</v>
      </c>
      <c r="K379" s="20" t="s">
        <v>512</v>
      </c>
      <c r="L379" s="20" t="s">
        <v>512</v>
      </c>
      <c r="M379" s="20" t="s">
        <v>512</v>
      </c>
      <c r="N379" s="20" t="s">
        <v>512</v>
      </c>
      <c r="O379" s="20" t="s">
        <v>512</v>
      </c>
      <c r="P379" s="20"/>
      <c r="Q379" s="1" t="s">
        <v>3744</v>
      </c>
    </row>
    <row r="380" spans="1:17" x14ac:dyDescent="0.25">
      <c r="A380" s="1" t="s">
        <v>9363</v>
      </c>
      <c r="B380" s="95" t="s">
        <v>9030</v>
      </c>
      <c r="C380" s="1">
        <v>1</v>
      </c>
      <c r="D380" s="1" t="s">
        <v>3744</v>
      </c>
      <c r="E380" s="21" t="s">
        <v>8595</v>
      </c>
      <c r="F380" s="20" t="s">
        <v>8781</v>
      </c>
      <c r="G380" s="20" t="s">
        <v>8618</v>
      </c>
      <c r="H380" s="20" t="s">
        <v>309</v>
      </c>
      <c r="I380" s="20" t="s">
        <v>8878</v>
      </c>
      <c r="J380" s="20" t="s">
        <v>512</v>
      </c>
      <c r="K380" s="20" t="s">
        <v>512</v>
      </c>
      <c r="L380" s="20" t="s">
        <v>512</v>
      </c>
      <c r="M380" s="20" t="s">
        <v>512</v>
      </c>
      <c r="N380" s="20" t="s">
        <v>512</v>
      </c>
      <c r="O380" s="20" t="s">
        <v>512</v>
      </c>
      <c r="P380" s="20"/>
      <c r="Q380" s="1" t="s">
        <v>3744</v>
      </c>
    </row>
    <row r="381" spans="1:17" x14ac:dyDescent="0.25">
      <c r="A381" s="1" t="s">
        <v>9364</v>
      </c>
      <c r="B381" s="95" t="s">
        <v>9139</v>
      </c>
      <c r="C381" s="1">
        <v>1</v>
      </c>
      <c r="D381" s="1" t="s">
        <v>3744</v>
      </c>
      <c r="E381" s="21" t="s">
        <v>8787</v>
      </c>
      <c r="F381" s="20" t="s">
        <v>309</v>
      </c>
      <c r="G381" s="20" t="s">
        <v>8878</v>
      </c>
      <c r="H381" s="20" t="s">
        <v>8781</v>
      </c>
      <c r="I381" s="20" t="s">
        <v>8797</v>
      </c>
      <c r="J381" s="20" t="s">
        <v>512</v>
      </c>
      <c r="K381" s="20" t="s">
        <v>512</v>
      </c>
      <c r="L381" s="20" t="s">
        <v>512</v>
      </c>
      <c r="M381" s="20" t="s">
        <v>512</v>
      </c>
      <c r="N381" s="20" t="s">
        <v>512</v>
      </c>
      <c r="O381" s="20" t="s">
        <v>512</v>
      </c>
      <c r="P381" s="20"/>
      <c r="Q381" s="1" t="s">
        <v>3744</v>
      </c>
    </row>
    <row r="382" spans="1:17" x14ac:dyDescent="0.25">
      <c r="A382" s="1" t="s">
        <v>9365</v>
      </c>
      <c r="B382" s="95" t="s">
        <v>9366</v>
      </c>
      <c r="C382" s="1">
        <v>1</v>
      </c>
      <c r="D382" s="1" t="s">
        <v>3744</v>
      </c>
      <c r="E382" s="21" t="s">
        <v>8787</v>
      </c>
      <c r="F382" s="20" t="s">
        <v>309</v>
      </c>
      <c r="G382" s="20" t="s">
        <v>8878</v>
      </c>
      <c r="H382" s="20" t="s">
        <v>8781</v>
      </c>
      <c r="I382" s="20" t="s">
        <v>8797</v>
      </c>
      <c r="J382" s="20" t="s">
        <v>512</v>
      </c>
      <c r="K382" s="20" t="s">
        <v>512</v>
      </c>
      <c r="L382" s="20" t="s">
        <v>512</v>
      </c>
      <c r="M382" s="20" t="s">
        <v>512</v>
      </c>
      <c r="N382" s="20" t="s">
        <v>512</v>
      </c>
      <c r="O382" s="20" t="s">
        <v>512</v>
      </c>
      <c r="P382" s="20"/>
      <c r="Q382" s="1" t="s">
        <v>3744</v>
      </c>
    </row>
    <row r="383" spans="1:17" x14ac:dyDescent="0.25">
      <c r="A383" s="1" t="s">
        <v>9367</v>
      </c>
      <c r="B383" s="95" t="s">
        <v>9030</v>
      </c>
      <c r="C383" s="1">
        <v>1</v>
      </c>
      <c r="D383" s="1" t="s">
        <v>3744</v>
      </c>
      <c r="E383" s="21" t="s">
        <v>8595</v>
      </c>
      <c r="F383" s="20" t="s">
        <v>8781</v>
      </c>
      <c r="G383" s="20" t="s">
        <v>8618</v>
      </c>
      <c r="H383" s="20" t="s">
        <v>309</v>
      </c>
      <c r="I383" s="20" t="s">
        <v>8878</v>
      </c>
      <c r="J383" s="20" t="s">
        <v>512</v>
      </c>
      <c r="K383" s="20" t="s">
        <v>512</v>
      </c>
      <c r="L383" s="20" t="s">
        <v>512</v>
      </c>
      <c r="M383" s="20" t="s">
        <v>512</v>
      </c>
      <c r="N383" s="20" t="s">
        <v>512</v>
      </c>
      <c r="O383" s="20" t="s">
        <v>512</v>
      </c>
      <c r="P383" s="20"/>
      <c r="Q383" s="1" t="s">
        <v>3744</v>
      </c>
    </row>
    <row r="384" spans="1:17" x14ac:dyDescent="0.25">
      <c r="A384" s="1" t="s">
        <v>9368</v>
      </c>
      <c r="B384" s="95" t="s">
        <v>9059</v>
      </c>
      <c r="C384" s="1">
        <v>1</v>
      </c>
      <c r="D384" s="1" t="s">
        <v>309</v>
      </c>
      <c r="E384" s="21" t="s">
        <v>8828</v>
      </c>
      <c r="F384" s="20" t="s">
        <v>309</v>
      </c>
      <c r="G384" s="20" t="s">
        <v>8971</v>
      </c>
      <c r="H384" s="20" t="s">
        <v>309</v>
      </c>
      <c r="I384" s="20" t="s">
        <v>8886</v>
      </c>
      <c r="J384" s="20" t="s">
        <v>344</v>
      </c>
      <c r="K384" s="20" t="s">
        <v>8898</v>
      </c>
      <c r="L384" s="20" t="s">
        <v>512</v>
      </c>
      <c r="M384" s="20" t="s">
        <v>512</v>
      </c>
      <c r="N384" s="20" t="s">
        <v>512</v>
      </c>
      <c r="O384" s="20" t="s">
        <v>512</v>
      </c>
      <c r="P384" s="20"/>
      <c r="Q384" s="1" t="s">
        <v>309</v>
      </c>
    </row>
    <row r="385" spans="1:17" x14ac:dyDescent="0.25">
      <c r="A385" s="1" t="s">
        <v>9369</v>
      </c>
      <c r="B385" s="95" t="s">
        <v>9139</v>
      </c>
      <c r="C385" s="1">
        <v>1</v>
      </c>
      <c r="D385" s="1" t="s">
        <v>3744</v>
      </c>
      <c r="E385" s="21" t="s">
        <v>8787</v>
      </c>
      <c r="F385" s="20" t="s">
        <v>309</v>
      </c>
      <c r="G385" s="20" t="s">
        <v>8878</v>
      </c>
      <c r="H385" s="20" t="s">
        <v>8781</v>
      </c>
      <c r="I385" s="20" t="s">
        <v>8797</v>
      </c>
      <c r="J385" s="20" t="s">
        <v>512</v>
      </c>
      <c r="K385" s="20" t="s">
        <v>512</v>
      </c>
      <c r="L385" s="20" t="s">
        <v>512</v>
      </c>
      <c r="M385" s="20" t="s">
        <v>512</v>
      </c>
      <c r="N385" s="20" t="s">
        <v>512</v>
      </c>
      <c r="O385" s="20" t="s">
        <v>512</v>
      </c>
      <c r="P385" s="20"/>
      <c r="Q385" s="1" t="s">
        <v>3744</v>
      </c>
    </row>
    <row r="386" spans="1:17" x14ac:dyDescent="0.25">
      <c r="A386" s="1" t="s">
        <v>9370</v>
      </c>
      <c r="B386" s="95" t="s">
        <v>9030</v>
      </c>
      <c r="C386" s="1">
        <v>1</v>
      </c>
      <c r="D386" s="1" t="s">
        <v>3744</v>
      </c>
      <c r="E386" s="21" t="s">
        <v>8595</v>
      </c>
      <c r="F386" s="1" t="s">
        <v>8781</v>
      </c>
      <c r="G386" s="1" t="s">
        <v>8618</v>
      </c>
      <c r="H386" s="20" t="s">
        <v>309</v>
      </c>
      <c r="I386" s="20" t="s">
        <v>8878</v>
      </c>
      <c r="J386" s="1" t="s">
        <v>512</v>
      </c>
      <c r="K386" s="1" t="s">
        <v>512</v>
      </c>
      <c r="L386" s="1" t="s">
        <v>512</v>
      </c>
      <c r="M386" s="1" t="s">
        <v>512</v>
      </c>
      <c r="N386" s="1" t="s">
        <v>512</v>
      </c>
      <c r="O386" s="1" t="s">
        <v>512</v>
      </c>
      <c r="P386" s="20"/>
      <c r="Q386" s="1" t="s">
        <v>3744</v>
      </c>
    </row>
    <row r="387" spans="1:17" x14ac:dyDescent="0.25">
      <c r="A387" s="1" t="s">
        <v>9371</v>
      </c>
      <c r="B387" s="95" t="s">
        <v>9036</v>
      </c>
      <c r="C387" s="1">
        <v>1</v>
      </c>
      <c r="D387" s="1" t="s">
        <v>8856</v>
      </c>
      <c r="E387" s="21" t="s">
        <v>8855</v>
      </c>
      <c r="F387" s="20" t="s">
        <v>8753</v>
      </c>
      <c r="G387" s="20" t="s">
        <v>8757</v>
      </c>
      <c r="H387" s="20" t="s">
        <v>8753</v>
      </c>
      <c r="I387" s="20" t="s">
        <v>8759</v>
      </c>
      <c r="J387" s="20" t="s">
        <v>8753</v>
      </c>
      <c r="K387" s="20" t="s">
        <v>8761</v>
      </c>
      <c r="L387" s="20" t="s">
        <v>512</v>
      </c>
      <c r="M387" s="20" t="s">
        <v>512</v>
      </c>
      <c r="N387" s="20" t="s">
        <v>512</v>
      </c>
      <c r="O387" s="20" t="s">
        <v>512</v>
      </c>
      <c r="P387" s="20"/>
      <c r="Q387" s="1" t="s">
        <v>8856</v>
      </c>
    </row>
    <row r="388" spans="1:17" x14ac:dyDescent="0.25">
      <c r="A388" s="1" t="s">
        <v>9372</v>
      </c>
      <c r="B388" s="95" t="s">
        <v>9046</v>
      </c>
      <c r="C388" s="1">
        <v>1</v>
      </c>
      <c r="D388" s="1" t="s">
        <v>106</v>
      </c>
      <c r="E388" s="21" t="s">
        <v>8810</v>
      </c>
      <c r="F388" s="20" t="s">
        <v>309</v>
      </c>
      <c r="G388" s="20" t="s">
        <v>8880</v>
      </c>
      <c r="H388" s="20" t="s">
        <v>309</v>
      </c>
      <c r="I388" s="20">
        <v>344376</v>
      </c>
      <c r="J388" s="20" t="s">
        <v>344</v>
      </c>
      <c r="K388" s="20" t="s">
        <v>8898</v>
      </c>
      <c r="L388" s="20" t="s">
        <v>512</v>
      </c>
      <c r="M388" s="20" t="s">
        <v>512</v>
      </c>
      <c r="N388" s="20" t="s">
        <v>512</v>
      </c>
      <c r="O388" s="20" t="s">
        <v>512</v>
      </c>
      <c r="P388" s="20"/>
      <c r="Q388" s="1" t="s">
        <v>106</v>
      </c>
    </row>
    <row r="389" spans="1:17" x14ac:dyDescent="0.25">
      <c r="A389" s="1" t="s">
        <v>9373</v>
      </c>
      <c r="B389" s="95" t="s">
        <v>9048</v>
      </c>
      <c r="C389" s="1">
        <v>1</v>
      </c>
      <c r="D389" s="1" t="s">
        <v>106</v>
      </c>
      <c r="E389" s="21" t="s">
        <v>8806</v>
      </c>
      <c r="F389" s="20" t="s">
        <v>309</v>
      </c>
      <c r="G389" s="20" t="s">
        <v>8882</v>
      </c>
      <c r="H389" s="20" t="s">
        <v>309</v>
      </c>
      <c r="I389" s="20" t="s">
        <v>8973</v>
      </c>
      <c r="J389" s="20" t="s">
        <v>344</v>
      </c>
      <c r="K389" s="20" t="s">
        <v>8898</v>
      </c>
      <c r="L389" s="20" t="s">
        <v>512</v>
      </c>
      <c r="M389" s="20" t="s">
        <v>512</v>
      </c>
      <c r="N389" s="20" t="s">
        <v>512</v>
      </c>
      <c r="O389" s="20" t="s">
        <v>512</v>
      </c>
      <c r="P389" s="20"/>
      <c r="Q389" s="1" t="s">
        <v>106</v>
      </c>
    </row>
    <row r="390" spans="1:17" x14ac:dyDescent="0.25">
      <c r="A390" s="1" t="s">
        <v>9374</v>
      </c>
      <c r="B390" s="95" t="s">
        <v>9139</v>
      </c>
      <c r="C390" s="1">
        <v>1</v>
      </c>
      <c r="D390" s="1" t="s">
        <v>3744</v>
      </c>
      <c r="E390" s="21" t="s">
        <v>8787</v>
      </c>
      <c r="F390" s="20" t="s">
        <v>309</v>
      </c>
      <c r="G390" s="20" t="s">
        <v>8878</v>
      </c>
      <c r="H390" s="20" t="s">
        <v>8781</v>
      </c>
      <c r="I390" s="20" t="s">
        <v>8797</v>
      </c>
      <c r="J390" s="20" t="s">
        <v>512</v>
      </c>
      <c r="K390" s="20" t="s">
        <v>512</v>
      </c>
      <c r="L390" s="20" t="s">
        <v>512</v>
      </c>
      <c r="M390" s="20" t="s">
        <v>512</v>
      </c>
      <c r="N390" s="20" t="s">
        <v>512</v>
      </c>
      <c r="O390" s="20" t="s">
        <v>512</v>
      </c>
      <c r="P390" s="20"/>
      <c r="Q390" s="1" t="s">
        <v>3744</v>
      </c>
    </row>
    <row r="391" spans="1:17" x14ac:dyDescent="0.25">
      <c r="A391" s="1" t="s">
        <v>9375</v>
      </c>
      <c r="B391" s="95" t="s">
        <v>9030</v>
      </c>
      <c r="C391" s="1">
        <v>1</v>
      </c>
      <c r="D391" s="1" t="s">
        <v>3744</v>
      </c>
      <c r="E391" s="21" t="s">
        <v>8595</v>
      </c>
      <c r="F391" s="20" t="s">
        <v>8781</v>
      </c>
      <c r="G391" s="20" t="s">
        <v>8618</v>
      </c>
      <c r="H391" s="20" t="s">
        <v>309</v>
      </c>
      <c r="I391" s="20" t="s">
        <v>8878</v>
      </c>
      <c r="J391" s="20" t="s">
        <v>512</v>
      </c>
      <c r="K391" s="20" t="s">
        <v>512</v>
      </c>
      <c r="L391" s="20" t="s">
        <v>512</v>
      </c>
      <c r="M391" s="20" t="s">
        <v>512</v>
      </c>
      <c r="N391" s="20" t="s">
        <v>512</v>
      </c>
      <c r="O391" s="20" t="s">
        <v>512</v>
      </c>
      <c r="P391" s="20"/>
      <c r="Q391" s="1" t="s">
        <v>3744</v>
      </c>
    </row>
    <row r="392" spans="1:17" x14ac:dyDescent="0.25">
      <c r="A392" s="1" t="s">
        <v>9376</v>
      </c>
      <c r="B392" s="95" t="s">
        <v>9046</v>
      </c>
      <c r="C392" s="1">
        <v>1</v>
      </c>
      <c r="D392" s="1" t="s">
        <v>106</v>
      </c>
      <c r="E392" s="21" t="s">
        <v>8810</v>
      </c>
      <c r="F392" s="20" t="s">
        <v>309</v>
      </c>
      <c r="G392" s="20" t="s">
        <v>8880</v>
      </c>
      <c r="H392" s="20" t="s">
        <v>309</v>
      </c>
      <c r="I392" s="20">
        <v>344376</v>
      </c>
      <c r="J392" s="20" t="s">
        <v>344</v>
      </c>
      <c r="K392" s="20" t="s">
        <v>8898</v>
      </c>
      <c r="L392" s="20" t="s">
        <v>512</v>
      </c>
      <c r="M392" s="20" t="s">
        <v>512</v>
      </c>
      <c r="N392" s="20" t="s">
        <v>512</v>
      </c>
      <c r="O392" s="20" t="s">
        <v>512</v>
      </c>
      <c r="P392" s="20"/>
      <c r="Q392" s="1" t="s">
        <v>106</v>
      </c>
    </row>
    <row r="393" spans="1:17" x14ac:dyDescent="0.25">
      <c r="A393" s="1" t="s">
        <v>9377</v>
      </c>
      <c r="B393" s="95" t="s">
        <v>9048</v>
      </c>
      <c r="C393" s="1">
        <v>1</v>
      </c>
      <c r="D393" s="1" t="s">
        <v>106</v>
      </c>
      <c r="E393" s="21" t="s">
        <v>8806</v>
      </c>
      <c r="F393" s="20" t="s">
        <v>309</v>
      </c>
      <c r="G393" s="60" t="s">
        <v>8882</v>
      </c>
      <c r="H393" s="20" t="s">
        <v>309</v>
      </c>
      <c r="I393" s="20" t="s">
        <v>8973</v>
      </c>
      <c r="J393" s="20" t="s">
        <v>344</v>
      </c>
      <c r="K393" s="20" t="s">
        <v>8898</v>
      </c>
      <c r="L393" s="20" t="s">
        <v>512</v>
      </c>
      <c r="M393" s="20" t="s">
        <v>512</v>
      </c>
      <c r="N393" s="20" t="s">
        <v>512</v>
      </c>
      <c r="O393" s="20" t="s">
        <v>512</v>
      </c>
      <c r="P393" s="20"/>
      <c r="Q393" s="1" t="s">
        <v>106</v>
      </c>
    </row>
    <row r="394" spans="1:17" x14ac:dyDescent="0.25">
      <c r="A394" s="1" t="s">
        <v>9378</v>
      </c>
      <c r="B394" s="95" t="s">
        <v>9036</v>
      </c>
      <c r="C394" s="1">
        <v>1</v>
      </c>
      <c r="D394" s="1" t="s">
        <v>8856</v>
      </c>
      <c r="E394" s="21" t="s">
        <v>8855</v>
      </c>
      <c r="F394" s="20" t="s">
        <v>8753</v>
      </c>
      <c r="G394" s="20" t="s">
        <v>8757</v>
      </c>
      <c r="H394" s="20" t="s">
        <v>8753</v>
      </c>
      <c r="I394" s="20" t="s">
        <v>8759</v>
      </c>
      <c r="J394" s="20" t="s">
        <v>8753</v>
      </c>
      <c r="K394" s="20" t="s">
        <v>8761</v>
      </c>
      <c r="L394" s="20" t="s">
        <v>512</v>
      </c>
      <c r="M394" s="20" t="s">
        <v>512</v>
      </c>
      <c r="N394" s="20" t="s">
        <v>512</v>
      </c>
      <c r="O394" s="20" t="s">
        <v>512</v>
      </c>
      <c r="P394" s="20"/>
      <c r="Q394" s="1" t="s">
        <v>8856</v>
      </c>
    </row>
    <row r="395" spans="1:17" x14ac:dyDescent="0.25">
      <c r="A395" s="1" t="s">
        <v>9379</v>
      </c>
      <c r="B395" s="95" t="s">
        <v>9036</v>
      </c>
      <c r="C395" s="1">
        <v>1</v>
      </c>
      <c r="D395" s="1" t="s">
        <v>8856</v>
      </c>
      <c r="E395" s="21" t="s">
        <v>8855</v>
      </c>
      <c r="F395" s="20" t="s">
        <v>8753</v>
      </c>
      <c r="G395" s="20" t="s">
        <v>8757</v>
      </c>
      <c r="H395" s="20" t="s">
        <v>8753</v>
      </c>
      <c r="I395" s="20" t="s">
        <v>8759</v>
      </c>
      <c r="J395" s="20" t="s">
        <v>8753</v>
      </c>
      <c r="K395" s="20" t="s">
        <v>8761</v>
      </c>
      <c r="L395" s="20" t="s">
        <v>512</v>
      </c>
      <c r="M395" s="20" t="s">
        <v>512</v>
      </c>
      <c r="N395" s="20" t="s">
        <v>512</v>
      </c>
      <c r="O395" s="20" t="s">
        <v>512</v>
      </c>
      <c r="P395" s="20"/>
      <c r="Q395" s="1" t="s">
        <v>8856</v>
      </c>
    </row>
    <row r="396" spans="1:17" x14ac:dyDescent="0.25">
      <c r="A396" s="1" t="s">
        <v>9380</v>
      </c>
      <c r="B396" s="95" t="s">
        <v>9036</v>
      </c>
      <c r="C396" s="1">
        <v>1</v>
      </c>
      <c r="D396" s="1" t="s">
        <v>8856</v>
      </c>
      <c r="E396" s="21" t="s">
        <v>8855</v>
      </c>
      <c r="F396" s="20" t="s">
        <v>8753</v>
      </c>
      <c r="G396" s="20" t="s">
        <v>8757</v>
      </c>
      <c r="H396" s="20" t="s">
        <v>8753</v>
      </c>
      <c r="I396" s="20" t="s">
        <v>8759</v>
      </c>
      <c r="J396" s="20" t="s">
        <v>8753</v>
      </c>
      <c r="K396" s="20" t="s">
        <v>8761</v>
      </c>
      <c r="L396" s="20" t="s">
        <v>512</v>
      </c>
      <c r="M396" s="20" t="s">
        <v>512</v>
      </c>
      <c r="N396" s="20" t="s">
        <v>512</v>
      </c>
      <c r="O396" s="20" t="s">
        <v>512</v>
      </c>
      <c r="P396" s="20"/>
      <c r="Q396" s="1" t="s">
        <v>8856</v>
      </c>
    </row>
    <row r="397" spans="1:17" x14ac:dyDescent="0.25">
      <c r="A397" s="1" t="s">
        <v>9381</v>
      </c>
      <c r="B397" s="95" t="s">
        <v>9382</v>
      </c>
      <c r="C397" s="1">
        <v>1</v>
      </c>
      <c r="D397" s="1" t="s">
        <v>3744</v>
      </c>
      <c r="E397" s="21" t="s">
        <v>8785</v>
      </c>
      <c r="F397" s="20" t="s">
        <v>309</v>
      </c>
      <c r="G397" s="20" t="s">
        <v>8878</v>
      </c>
      <c r="H397" s="20" t="s">
        <v>8781</v>
      </c>
      <c r="I397" s="20" t="s">
        <v>8797</v>
      </c>
      <c r="J397" s="20" t="s">
        <v>512</v>
      </c>
      <c r="K397" s="20" t="s">
        <v>512</v>
      </c>
      <c r="L397" s="20" t="s">
        <v>512</v>
      </c>
      <c r="M397" s="20" t="s">
        <v>512</v>
      </c>
      <c r="N397" s="20" t="s">
        <v>512</v>
      </c>
      <c r="O397" s="20" t="s">
        <v>512</v>
      </c>
      <c r="P397" s="20"/>
      <c r="Q397" s="1" t="s">
        <v>3744</v>
      </c>
    </row>
    <row r="398" spans="1:17" x14ac:dyDescent="0.25">
      <c r="A398" s="1" t="s">
        <v>9383</v>
      </c>
      <c r="B398" s="95" t="s">
        <v>9030</v>
      </c>
      <c r="C398" s="1">
        <v>1</v>
      </c>
      <c r="D398" s="1" t="s">
        <v>3744</v>
      </c>
      <c r="E398" s="21" t="s">
        <v>8595</v>
      </c>
      <c r="F398" s="20" t="s">
        <v>8781</v>
      </c>
      <c r="G398" s="20" t="s">
        <v>8618</v>
      </c>
      <c r="H398" s="20" t="s">
        <v>309</v>
      </c>
      <c r="I398" s="20" t="s">
        <v>8878</v>
      </c>
      <c r="J398" s="20" t="s">
        <v>512</v>
      </c>
      <c r="K398" s="20" t="s">
        <v>512</v>
      </c>
      <c r="L398" s="20" t="s">
        <v>512</v>
      </c>
      <c r="M398" s="20" t="s">
        <v>512</v>
      </c>
      <c r="N398" s="20" t="s">
        <v>512</v>
      </c>
      <c r="O398" s="20" t="s">
        <v>512</v>
      </c>
      <c r="P398" s="20"/>
      <c r="Q398" s="1" t="s">
        <v>3744</v>
      </c>
    </row>
    <row r="399" spans="1:17" x14ac:dyDescent="0.25">
      <c r="A399" s="1" t="s">
        <v>9384</v>
      </c>
      <c r="B399" s="95" t="s">
        <v>9046</v>
      </c>
      <c r="C399" s="1">
        <v>1</v>
      </c>
      <c r="D399" s="1" t="s">
        <v>106</v>
      </c>
      <c r="E399" s="21" t="s">
        <v>8810</v>
      </c>
      <c r="F399" s="20" t="s">
        <v>309</v>
      </c>
      <c r="G399" s="20" t="s">
        <v>8880</v>
      </c>
      <c r="H399" s="20" t="s">
        <v>309</v>
      </c>
      <c r="I399" s="20">
        <v>344376</v>
      </c>
      <c r="J399" s="20" t="s">
        <v>344</v>
      </c>
      <c r="K399" s="20" t="s">
        <v>8898</v>
      </c>
      <c r="L399" s="20" t="s">
        <v>512</v>
      </c>
      <c r="M399" s="20" t="s">
        <v>512</v>
      </c>
      <c r="N399" s="20" t="s">
        <v>512</v>
      </c>
      <c r="O399" s="20" t="s">
        <v>512</v>
      </c>
      <c r="P399" s="20"/>
      <c r="Q399" s="1" t="s">
        <v>106</v>
      </c>
    </row>
    <row r="400" spans="1:17" x14ac:dyDescent="0.25">
      <c r="A400" s="1" t="s">
        <v>9385</v>
      </c>
      <c r="B400" s="95" t="s">
        <v>9036</v>
      </c>
      <c r="C400" s="1">
        <v>1</v>
      </c>
      <c r="D400" s="1" t="s">
        <v>8856</v>
      </c>
      <c r="E400" s="21" t="s">
        <v>8855</v>
      </c>
      <c r="F400" s="20" t="s">
        <v>8753</v>
      </c>
      <c r="G400" s="20" t="s">
        <v>8757</v>
      </c>
      <c r="H400" s="20" t="s">
        <v>8753</v>
      </c>
      <c r="I400" s="20" t="s">
        <v>8759</v>
      </c>
      <c r="J400" s="20" t="s">
        <v>8753</v>
      </c>
      <c r="K400" s="20" t="s">
        <v>8761</v>
      </c>
      <c r="L400" s="20" t="s">
        <v>512</v>
      </c>
      <c r="M400" s="20" t="s">
        <v>512</v>
      </c>
      <c r="N400" s="20" t="s">
        <v>512</v>
      </c>
      <c r="O400" s="20" t="s">
        <v>512</v>
      </c>
      <c r="P400" s="20"/>
      <c r="Q400" s="1" t="s">
        <v>8856</v>
      </c>
    </row>
    <row r="401" spans="1:17" x14ac:dyDescent="0.25">
      <c r="A401" s="1" t="s">
        <v>9386</v>
      </c>
      <c r="B401" s="95" t="s">
        <v>9039</v>
      </c>
      <c r="C401" s="1">
        <v>1</v>
      </c>
      <c r="D401" s="1" t="s">
        <v>3744</v>
      </c>
      <c r="E401" s="21" t="s">
        <v>8804</v>
      </c>
      <c r="F401" s="20" t="s">
        <v>8781</v>
      </c>
      <c r="G401" s="20" t="s">
        <v>8616</v>
      </c>
      <c r="H401" s="20" t="s">
        <v>309</v>
      </c>
      <c r="I401" s="20" t="s">
        <v>8878</v>
      </c>
      <c r="J401" s="20" t="s">
        <v>512</v>
      </c>
      <c r="K401" s="20" t="s">
        <v>512</v>
      </c>
      <c r="L401" s="20" t="s">
        <v>512</v>
      </c>
      <c r="M401" s="20" t="s">
        <v>512</v>
      </c>
      <c r="N401" s="20" t="s">
        <v>512</v>
      </c>
      <c r="O401" s="20" t="s">
        <v>512</v>
      </c>
      <c r="P401" s="20"/>
      <c r="Q401" s="1" t="s">
        <v>3744</v>
      </c>
    </row>
    <row r="402" spans="1:17" x14ac:dyDescent="0.25">
      <c r="A402" s="1" t="s">
        <v>9386</v>
      </c>
      <c r="B402" s="95" t="s">
        <v>9039</v>
      </c>
      <c r="C402" s="1">
        <v>1</v>
      </c>
      <c r="D402" s="1" t="s">
        <v>3744</v>
      </c>
      <c r="E402" s="21" t="s">
        <v>8804</v>
      </c>
      <c r="F402" s="20" t="s">
        <v>8781</v>
      </c>
      <c r="G402" s="20" t="s">
        <v>8616</v>
      </c>
      <c r="H402" s="20" t="s">
        <v>309</v>
      </c>
      <c r="I402" s="20" t="s">
        <v>8878</v>
      </c>
      <c r="J402" s="20" t="s">
        <v>512</v>
      </c>
      <c r="K402" s="20" t="s">
        <v>512</v>
      </c>
      <c r="L402" s="20" t="s">
        <v>512</v>
      </c>
      <c r="M402" s="20" t="s">
        <v>512</v>
      </c>
      <c r="N402" s="20" t="s">
        <v>512</v>
      </c>
      <c r="O402" s="20" t="s">
        <v>512</v>
      </c>
      <c r="P402" s="20"/>
      <c r="Q402" s="1" t="s">
        <v>3744</v>
      </c>
    </row>
    <row r="403" spans="1:17" x14ac:dyDescent="0.25">
      <c r="A403" s="1" t="s">
        <v>9387</v>
      </c>
      <c r="B403" s="95" t="s">
        <v>9036</v>
      </c>
      <c r="C403" s="1">
        <v>1</v>
      </c>
      <c r="D403" s="1" t="s">
        <v>8856</v>
      </c>
      <c r="E403" s="21" t="s">
        <v>8855</v>
      </c>
      <c r="F403" s="20" t="s">
        <v>8753</v>
      </c>
      <c r="G403" s="20" t="s">
        <v>8757</v>
      </c>
      <c r="H403" s="20" t="s">
        <v>8753</v>
      </c>
      <c r="I403" s="20" t="s">
        <v>8759</v>
      </c>
      <c r="J403" s="20" t="s">
        <v>8753</v>
      </c>
      <c r="K403" s="20" t="s">
        <v>8761</v>
      </c>
      <c r="L403" s="20" t="s">
        <v>512</v>
      </c>
      <c r="M403" s="20" t="s">
        <v>512</v>
      </c>
      <c r="N403" s="20" t="s">
        <v>512</v>
      </c>
      <c r="O403" s="20" t="s">
        <v>512</v>
      </c>
      <c r="P403" s="20"/>
      <c r="Q403" s="1" t="s">
        <v>8856</v>
      </c>
    </row>
    <row r="404" spans="1:17" x14ac:dyDescent="0.25">
      <c r="A404" s="1" t="s">
        <v>9388</v>
      </c>
      <c r="B404" s="95" t="s">
        <v>9036</v>
      </c>
      <c r="C404" s="1">
        <v>1</v>
      </c>
      <c r="D404" s="1" t="s">
        <v>8856</v>
      </c>
      <c r="E404" s="21" t="s">
        <v>8855</v>
      </c>
      <c r="F404" s="20" t="s">
        <v>8753</v>
      </c>
      <c r="G404" s="20" t="s">
        <v>8757</v>
      </c>
      <c r="H404" s="20" t="s">
        <v>8753</v>
      </c>
      <c r="I404" s="20" t="s">
        <v>8759</v>
      </c>
      <c r="J404" s="20" t="s">
        <v>8753</v>
      </c>
      <c r="K404" s="20" t="s">
        <v>8761</v>
      </c>
      <c r="L404" s="20" t="s">
        <v>512</v>
      </c>
      <c r="M404" s="20" t="s">
        <v>512</v>
      </c>
      <c r="N404" s="20" t="s">
        <v>512</v>
      </c>
      <c r="O404" s="20" t="s">
        <v>512</v>
      </c>
      <c r="P404" s="20"/>
      <c r="Q404" s="1" t="s">
        <v>8856</v>
      </c>
    </row>
    <row r="405" spans="1:17" x14ac:dyDescent="0.25">
      <c r="A405" s="1" t="s">
        <v>9389</v>
      </c>
      <c r="B405" s="95" t="s">
        <v>9036</v>
      </c>
      <c r="C405" s="1">
        <v>1</v>
      </c>
      <c r="D405" s="1" t="s">
        <v>8856</v>
      </c>
      <c r="E405" s="21" t="s">
        <v>8855</v>
      </c>
      <c r="F405" s="20" t="s">
        <v>8753</v>
      </c>
      <c r="G405" s="20" t="s">
        <v>8757</v>
      </c>
      <c r="H405" s="20" t="s">
        <v>8753</v>
      </c>
      <c r="I405" s="20" t="s">
        <v>8759</v>
      </c>
      <c r="J405" s="20" t="s">
        <v>8753</v>
      </c>
      <c r="K405" s="20" t="s">
        <v>8761</v>
      </c>
      <c r="L405" s="20" t="s">
        <v>512</v>
      </c>
      <c r="M405" s="20" t="s">
        <v>512</v>
      </c>
      <c r="N405" s="20" t="s">
        <v>512</v>
      </c>
      <c r="O405" s="20" t="s">
        <v>512</v>
      </c>
      <c r="P405" s="20"/>
      <c r="Q405" s="1" t="s">
        <v>8856</v>
      </c>
    </row>
    <row r="406" spans="1:17" x14ac:dyDescent="0.25">
      <c r="A406" s="1" t="s">
        <v>9390</v>
      </c>
      <c r="B406" s="95" t="s">
        <v>9044</v>
      </c>
      <c r="C406" s="1">
        <v>1</v>
      </c>
      <c r="D406" s="1" t="s">
        <v>3744</v>
      </c>
      <c r="E406" s="21" t="s">
        <v>8657</v>
      </c>
      <c r="F406" s="20" t="s">
        <v>3744</v>
      </c>
      <c r="G406" s="20" t="s">
        <v>8780</v>
      </c>
      <c r="H406" s="20" t="s">
        <v>309</v>
      </c>
      <c r="I406" s="20" t="s">
        <v>8835</v>
      </c>
      <c r="J406" s="20" t="s">
        <v>309</v>
      </c>
      <c r="K406" s="20" t="s">
        <v>8884</v>
      </c>
      <c r="L406" s="20" t="s">
        <v>3744</v>
      </c>
      <c r="M406" s="20" t="s">
        <v>8677</v>
      </c>
      <c r="N406" s="20" t="s">
        <v>3744</v>
      </c>
      <c r="O406" s="20" t="s">
        <v>8783</v>
      </c>
      <c r="P406" s="20"/>
      <c r="Q406" s="1" t="s">
        <v>3744</v>
      </c>
    </row>
    <row r="407" spans="1:17" x14ac:dyDescent="0.25">
      <c r="A407" s="1" t="s">
        <v>9391</v>
      </c>
      <c r="B407" s="95" t="s">
        <v>9030</v>
      </c>
      <c r="C407" s="1">
        <v>1</v>
      </c>
      <c r="D407" s="1" t="s">
        <v>3744</v>
      </c>
      <c r="E407" s="21" t="s">
        <v>8595</v>
      </c>
      <c r="F407" s="20" t="s">
        <v>8781</v>
      </c>
      <c r="G407" s="20" t="s">
        <v>8618</v>
      </c>
      <c r="H407" s="20" t="s">
        <v>309</v>
      </c>
      <c r="I407" s="20" t="s">
        <v>8878</v>
      </c>
      <c r="J407" s="20" t="s">
        <v>512</v>
      </c>
      <c r="K407" s="20" t="s">
        <v>512</v>
      </c>
      <c r="L407" s="20" t="s">
        <v>512</v>
      </c>
      <c r="M407" s="20" t="s">
        <v>512</v>
      </c>
      <c r="N407" s="20" t="s">
        <v>512</v>
      </c>
      <c r="O407" s="20" t="s">
        <v>512</v>
      </c>
      <c r="P407" s="20"/>
      <c r="Q407" s="1" t="s">
        <v>3744</v>
      </c>
    </row>
    <row r="408" spans="1:17" x14ac:dyDescent="0.25">
      <c r="A408" s="1" t="s">
        <v>9392</v>
      </c>
      <c r="B408" s="95" t="s">
        <v>9036</v>
      </c>
      <c r="C408" s="1">
        <v>1</v>
      </c>
      <c r="D408" s="1" t="s">
        <v>8856</v>
      </c>
      <c r="E408" s="21" t="s">
        <v>8855</v>
      </c>
      <c r="F408" s="20" t="s">
        <v>8753</v>
      </c>
      <c r="G408" s="20" t="s">
        <v>8757</v>
      </c>
      <c r="H408" s="20" t="s">
        <v>8753</v>
      </c>
      <c r="I408" s="20" t="s">
        <v>8759</v>
      </c>
      <c r="J408" s="20" t="s">
        <v>8753</v>
      </c>
      <c r="K408" s="20" t="s">
        <v>8761</v>
      </c>
      <c r="L408" s="20" t="s">
        <v>512</v>
      </c>
      <c r="M408" s="20" t="s">
        <v>512</v>
      </c>
      <c r="N408" s="20" t="s">
        <v>512</v>
      </c>
      <c r="O408" s="20" t="s">
        <v>512</v>
      </c>
      <c r="P408" s="20"/>
      <c r="Q408" s="1" t="s">
        <v>8856</v>
      </c>
    </row>
    <row r="409" spans="1:17" x14ac:dyDescent="0.25">
      <c r="A409" s="1" t="s">
        <v>9393</v>
      </c>
      <c r="B409" s="95" t="s">
        <v>9046</v>
      </c>
      <c r="C409" s="1">
        <v>1</v>
      </c>
      <c r="D409" s="1" t="s">
        <v>106</v>
      </c>
      <c r="E409" s="21" t="s">
        <v>8810</v>
      </c>
      <c r="F409" s="20" t="s">
        <v>309</v>
      </c>
      <c r="G409" s="20" t="s">
        <v>8880</v>
      </c>
      <c r="H409" s="20" t="s">
        <v>309</v>
      </c>
      <c r="I409" s="20">
        <v>344376</v>
      </c>
      <c r="J409" s="20" t="s">
        <v>344</v>
      </c>
      <c r="K409" s="20" t="s">
        <v>8898</v>
      </c>
      <c r="L409" s="20" t="s">
        <v>512</v>
      </c>
      <c r="M409" s="20" t="s">
        <v>512</v>
      </c>
      <c r="N409" s="20" t="s">
        <v>512</v>
      </c>
      <c r="O409" s="20" t="s">
        <v>512</v>
      </c>
      <c r="P409" s="20"/>
      <c r="Q409" s="1" t="s">
        <v>106</v>
      </c>
    </row>
    <row r="410" spans="1:17" x14ac:dyDescent="0.25">
      <c r="A410" s="1" t="s">
        <v>9394</v>
      </c>
      <c r="B410" s="95" t="s">
        <v>9048</v>
      </c>
      <c r="C410" s="1">
        <v>1</v>
      </c>
      <c r="D410" s="1" t="s">
        <v>106</v>
      </c>
      <c r="E410" s="21" t="s">
        <v>8806</v>
      </c>
      <c r="F410" s="20" t="s">
        <v>309</v>
      </c>
      <c r="G410" s="20" t="s">
        <v>8882</v>
      </c>
      <c r="H410" s="20" t="s">
        <v>309</v>
      </c>
      <c r="I410" s="20" t="s">
        <v>8973</v>
      </c>
      <c r="J410" s="20" t="s">
        <v>344</v>
      </c>
      <c r="K410" s="20" t="s">
        <v>8898</v>
      </c>
      <c r="L410" s="20" t="s">
        <v>512</v>
      </c>
      <c r="M410" s="20" t="s">
        <v>512</v>
      </c>
      <c r="N410" s="20" t="s">
        <v>512</v>
      </c>
      <c r="O410" s="20" t="s">
        <v>512</v>
      </c>
      <c r="P410" s="20"/>
      <c r="Q410" s="1" t="s">
        <v>106</v>
      </c>
    </row>
    <row r="411" spans="1:17" x14ac:dyDescent="0.25">
      <c r="A411" s="1" t="s">
        <v>9395</v>
      </c>
      <c r="B411" s="95" t="s">
        <v>9044</v>
      </c>
      <c r="C411" s="1">
        <v>1</v>
      </c>
      <c r="D411" s="1" t="s">
        <v>3744</v>
      </c>
      <c r="E411" s="21" t="s">
        <v>8657</v>
      </c>
      <c r="F411" s="20" t="s">
        <v>3744</v>
      </c>
      <c r="G411" s="20" t="s">
        <v>8780</v>
      </c>
      <c r="H411" s="20" t="s">
        <v>309</v>
      </c>
      <c r="I411" s="20" t="s">
        <v>8835</v>
      </c>
      <c r="J411" s="20" t="s">
        <v>309</v>
      </c>
      <c r="K411" s="20" t="s">
        <v>8884</v>
      </c>
      <c r="L411" s="20" t="s">
        <v>3744</v>
      </c>
      <c r="M411" s="20" t="s">
        <v>8677</v>
      </c>
      <c r="N411" s="20" t="s">
        <v>3744</v>
      </c>
      <c r="O411" s="20" t="s">
        <v>8783</v>
      </c>
      <c r="P411" s="20"/>
      <c r="Q411" s="1" t="s">
        <v>3744</v>
      </c>
    </row>
    <row r="412" spans="1:17" x14ac:dyDescent="0.25">
      <c r="A412" s="1" t="s">
        <v>9396</v>
      </c>
      <c r="B412" s="95" t="s">
        <v>9030</v>
      </c>
      <c r="C412" s="1">
        <v>1</v>
      </c>
      <c r="D412" s="1" t="s">
        <v>3744</v>
      </c>
      <c r="E412" s="21" t="s">
        <v>8595</v>
      </c>
      <c r="F412" s="20" t="s">
        <v>8781</v>
      </c>
      <c r="G412" s="20" t="s">
        <v>8618</v>
      </c>
      <c r="H412" s="20" t="s">
        <v>309</v>
      </c>
      <c r="I412" s="20" t="s">
        <v>8878</v>
      </c>
      <c r="J412" s="20" t="s">
        <v>512</v>
      </c>
      <c r="K412" s="20" t="s">
        <v>512</v>
      </c>
      <c r="L412" s="20" t="s">
        <v>512</v>
      </c>
      <c r="M412" s="20" t="s">
        <v>512</v>
      </c>
      <c r="N412" s="20" t="s">
        <v>512</v>
      </c>
      <c r="O412" s="20" t="s">
        <v>512</v>
      </c>
      <c r="P412" s="20"/>
      <c r="Q412" s="1" t="s">
        <v>3744</v>
      </c>
    </row>
    <row r="413" spans="1:17" x14ac:dyDescent="0.25">
      <c r="A413" s="1" t="s">
        <v>9397</v>
      </c>
      <c r="B413" s="95" t="s">
        <v>9036</v>
      </c>
      <c r="C413" s="1">
        <v>1</v>
      </c>
      <c r="D413" s="1" t="s">
        <v>8856</v>
      </c>
      <c r="E413" s="21" t="s">
        <v>8855</v>
      </c>
      <c r="F413" s="20" t="s">
        <v>512</v>
      </c>
      <c r="G413" s="20" t="s">
        <v>512</v>
      </c>
      <c r="H413" s="20" t="s">
        <v>512</v>
      </c>
      <c r="I413" s="20" t="s">
        <v>512</v>
      </c>
      <c r="J413" s="20" t="s">
        <v>512</v>
      </c>
      <c r="K413" s="20" t="s">
        <v>512</v>
      </c>
      <c r="L413" s="20" t="s">
        <v>512</v>
      </c>
      <c r="M413" s="20" t="s">
        <v>512</v>
      </c>
      <c r="N413" s="20" t="s">
        <v>512</v>
      </c>
      <c r="O413" s="20" t="s">
        <v>512</v>
      </c>
      <c r="P413" s="20"/>
      <c r="Q413" s="1" t="s">
        <v>8856</v>
      </c>
    </row>
    <row r="414" spans="1:17" x14ac:dyDescent="0.25">
      <c r="A414" s="1" t="s">
        <v>9398</v>
      </c>
      <c r="B414" s="95" t="s">
        <v>9036</v>
      </c>
      <c r="C414" s="1">
        <v>1</v>
      </c>
      <c r="D414" s="1" t="s">
        <v>8856</v>
      </c>
      <c r="E414" s="21" t="s">
        <v>8855</v>
      </c>
      <c r="F414" s="20" t="s">
        <v>8753</v>
      </c>
      <c r="G414" s="20" t="s">
        <v>8757</v>
      </c>
      <c r="H414" s="20" t="s">
        <v>8753</v>
      </c>
      <c r="I414" s="20" t="s">
        <v>8759</v>
      </c>
      <c r="J414" s="20" t="s">
        <v>8753</v>
      </c>
      <c r="K414" s="20" t="s">
        <v>8761</v>
      </c>
      <c r="L414" s="20" t="s">
        <v>512</v>
      </c>
      <c r="M414" s="20" t="s">
        <v>512</v>
      </c>
      <c r="N414" s="20" t="s">
        <v>512</v>
      </c>
      <c r="O414" s="20" t="s">
        <v>512</v>
      </c>
      <c r="P414" s="20"/>
      <c r="Q414" s="1" t="s">
        <v>8856</v>
      </c>
    </row>
    <row r="415" spans="1:17" x14ac:dyDescent="0.25">
      <c r="A415" s="1" t="s">
        <v>9399</v>
      </c>
      <c r="B415" s="95" t="s">
        <v>9036</v>
      </c>
      <c r="C415" s="1">
        <v>1</v>
      </c>
      <c r="D415" s="1" t="s">
        <v>8856</v>
      </c>
      <c r="E415" s="21" t="s">
        <v>8855</v>
      </c>
      <c r="F415" s="20" t="s">
        <v>8753</v>
      </c>
      <c r="G415" s="20" t="s">
        <v>8757</v>
      </c>
      <c r="H415" s="20" t="s">
        <v>8753</v>
      </c>
      <c r="I415" s="20" t="s">
        <v>8759</v>
      </c>
      <c r="J415" s="20" t="s">
        <v>8753</v>
      </c>
      <c r="K415" s="20" t="s">
        <v>8761</v>
      </c>
      <c r="L415" s="20" t="s">
        <v>512</v>
      </c>
      <c r="M415" s="20" t="s">
        <v>512</v>
      </c>
      <c r="N415" s="20" t="s">
        <v>512</v>
      </c>
      <c r="O415" s="20" t="s">
        <v>512</v>
      </c>
      <c r="P415" s="20"/>
      <c r="Q415" s="1" t="s">
        <v>8856</v>
      </c>
    </row>
    <row r="416" spans="1:17" x14ac:dyDescent="0.25">
      <c r="A416" s="1" t="s">
        <v>9400</v>
      </c>
      <c r="B416" s="95" t="s">
        <v>9044</v>
      </c>
      <c r="C416" s="1">
        <v>1</v>
      </c>
      <c r="D416" s="1" t="s">
        <v>3744</v>
      </c>
      <c r="E416" s="21" t="s">
        <v>8657</v>
      </c>
      <c r="F416" s="20" t="s">
        <v>3744</v>
      </c>
      <c r="G416" s="20" t="s">
        <v>8780</v>
      </c>
      <c r="H416" s="20" t="s">
        <v>309</v>
      </c>
      <c r="I416" s="20" t="s">
        <v>8835</v>
      </c>
      <c r="J416" s="20" t="s">
        <v>309</v>
      </c>
      <c r="K416" s="20" t="s">
        <v>8884</v>
      </c>
      <c r="L416" s="20" t="s">
        <v>3744</v>
      </c>
      <c r="M416" s="20" t="s">
        <v>8677</v>
      </c>
      <c r="N416" s="20" t="s">
        <v>3744</v>
      </c>
      <c r="O416" s="20" t="s">
        <v>8783</v>
      </c>
      <c r="P416" s="20"/>
      <c r="Q416" s="1" t="s">
        <v>3744</v>
      </c>
    </row>
    <row r="417" spans="1:17" x14ac:dyDescent="0.25">
      <c r="A417" s="1" t="s">
        <v>9401</v>
      </c>
      <c r="B417" s="95" t="s">
        <v>9044</v>
      </c>
      <c r="C417" s="1">
        <v>1</v>
      </c>
      <c r="D417" s="1" t="s">
        <v>3744</v>
      </c>
      <c r="E417" s="21" t="s">
        <v>8657</v>
      </c>
      <c r="F417" s="20" t="s">
        <v>3744</v>
      </c>
      <c r="G417" s="20" t="s">
        <v>8780</v>
      </c>
      <c r="H417" s="20" t="s">
        <v>309</v>
      </c>
      <c r="I417" s="20" t="s">
        <v>8835</v>
      </c>
      <c r="J417" s="20" t="s">
        <v>309</v>
      </c>
      <c r="K417" s="20" t="s">
        <v>8884</v>
      </c>
      <c r="L417" s="20" t="s">
        <v>3744</v>
      </c>
      <c r="M417" s="20" t="s">
        <v>8677</v>
      </c>
      <c r="N417" s="20" t="s">
        <v>3744</v>
      </c>
      <c r="O417" s="20" t="s">
        <v>8783</v>
      </c>
      <c r="P417" s="20"/>
      <c r="Q417" s="1" t="s">
        <v>3744</v>
      </c>
    </row>
    <row r="418" spans="1:17" x14ac:dyDescent="0.25">
      <c r="A418" s="1" t="s">
        <v>9402</v>
      </c>
      <c r="B418" s="95" t="s">
        <v>9046</v>
      </c>
      <c r="C418" s="1">
        <v>1</v>
      </c>
      <c r="D418" s="1" t="s">
        <v>106</v>
      </c>
      <c r="E418" s="21" t="s">
        <v>8810</v>
      </c>
      <c r="F418" s="20" t="s">
        <v>309</v>
      </c>
      <c r="G418" s="20" t="s">
        <v>8880</v>
      </c>
      <c r="H418" s="20" t="s">
        <v>309</v>
      </c>
      <c r="I418" s="20">
        <v>344376</v>
      </c>
      <c r="J418" s="20" t="s">
        <v>344</v>
      </c>
      <c r="K418" s="20" t="s">
        <v>8898</v>
      </c>
      <c r="L418" s="20" t="s">
        <v>512</v>
      </c>
      <c r="M418" s="20" t="s">
        <v>512</v>
      </c>
      <c r="N418" s="20" t="s">
        <v>512</v>
      </c>
      <c r="O418" s="20" t="s">
        <v>512</v>
      </c>
      <c r="P418" s="20"/>
      <c r="Q418" s="1" t="s">
        <v>106</v>
      </c>
    </row>
    <row r="419" spans="1:17" x14ac:dyDescent="0.25">
      <c r="A419" s="1" t="s">
        <v>9403</v>
      </c>
      <c r="B419" s="95" t="s">
        <v>9048</v>
      </c>
      <c r="C419" s="1">
        <v>1</v>
      </c>
      <c r="D419" s="1" t="s">
        <v>106</v>
      </c>
      <c r="E419" s="21" t="s">
        <v>8806</v>
      </c>
      <c r="F419" s="20" t="s">
        <v>309</v>
      </c>
      <c r="G419" s="20" t="s">
        <v>8882</v>
      </c>
      <c r="H419" s="20" t="s">
        <v>309</v>
      </c>
      <c r="I419" s="20" t="s">
        <v>8973</v>
      </c>
      <c r="J419" s="20" t="s">
        <v>344</v>
      </c>
      <c r="K419" s="20" t="s">
        <v>8898</v>
      </c>
      <c r="L419" s="20" t="s">
        <v>512</v>
      </c>
      <c r="M419" s="20" t="s">
        <v>512</v>
      </c>
      <c r="N419" s="20" t="s">
        <v>512</v>
      </c>
      <c r="O419" s="20" t="s">
        <v>512</v>
      </c>
      <c r="P419" s="20"/>
      <c r="Q419" s="1" t="s">
        <v>106</v>
      </c>
    </row>
    <row r="420" spans="1:17" x14ac:dyDescent="0.25">
      <c r="A420" s="1" t="s">
        <v>9404</v>
      </c>
      <c r="B420" s="95" t="s">
        <v>9030</v>
      </c>
      <c r="C420" s="1">
        <v>1</v>
      </c>
      <c r="D420" s="1" t="s">
        <v>3744</v>
      </c>
      <c r="E420" s="21" t="s">
        <v>8595</v>
      </c>
      <c r="F420" s="20" t="s">
        <v>8781</v>
      </c>
      <c r="G420" s="20" t="s">
        <v>8618</v>
      </c>
      <c r="H420" s="20" t="s">
        <v>309</v>
      </c>
      <c r="I420" s="20" t="s">
        <v>8878</v>
      </c>
      <c r="J420" s="20" t="s">
        <v>512</v>
      </c>
      <c r="K420" s="20" t="s">
        <v>512</v>
      </c>
      <c r="L420" s="20" t="s">
        <v>512</v>
      </c>
      <c r="M420" s="20" t="s">
        <v>512</v>
      </c>
      <c r="N420" s="20" t="s">
        <v>512</v>
      </c>
      <c r="O420" s="20" t="s">
        <v>512</v>
      </c>
      <c r="P420" s="20"/>
      <c r="Q420" s="1" t="s">
        <v>3744</v>
      </c>
    </row>
    <row r="421" spans="1:17" x14ac:dyDescent="0.25">
      <c r="A421" s="1" t="s">
        <v>9404</v>
      </c>
      <c r="B421" s="95" t="s">
        <v>9030</v>
      </c>
      <c r="C421" s="1">
        <v>1</v>
      </c>
      <c r="D421" s="1" t="s">
        <v>3744</v>
      </c>
      <c r="E421" s="21" t="s">
        <v>8595</v>
      </c>
      <c r="F421" s="20" t="s">
        <v>8781</v>
      </c>
      <c r="G421" s="20" t="s">
        <v>8618</v>
      </c>
      <c r="H421" s="20" t="s">
        <v>309</v>
      </c>
      <c r="I421" s="20" t="s">
        <v>8878</v>
      </c>
      <c r="J421" s="20" t="s">
        <v>512</v>
      </c>
      <c r="K421" s="20" t="s">
        <v>512</v>
      </c>
      <c r="L421" s="20" t="s">
        <v>512</v>
      </c>
      <c r="M421" s="20" t="s">
        <v>512</v>
      </c>
      <c r="N421" s="20" t="s">
        <v>512</v>
      </c>
      <c r="O421" s="20" t="s">
        <v>512</v>
      </c>
      <c r="P421" s="20"/>
      <c r="Q421" s="1" t="s">
        <v>3744</v>
      </c>
    </row>
    <row r="422" spans="1:17" x14ac:dyDescent="0.25">
      <c r="A422" s="1" t="s">
        <v>9405</v>
      </c>
      <c r="B422" s="95" t="s">
        <v>9406</v>
      </c>
      <c r="C422" s="1">
        <v>1</v>
      </c>
      <c r="D422" s="1" t="s">
        <v>8856</v>
      </c>
      <c r="E422" s="21" t="s">
        <v>8855</v>
      </c>
      <c r="F422" s="20" t="s">
        <v>8753</v>
      </c>
      <c r="G422" s="20" t="s">
        <v>8757</v>
      </c>
      <c r="H422" s="20" t="s">
        <v>8753</v>
      </c>
      <c r="I422" s="20" t="s">
        <v>8759</v>
      </c>
      <c r="J422" s="20" t="s">
        <v>8753</v>
      </c>
      <c r="K422" s="20" t="s">
        <v>8761</v>
      </c>
      <c r="L422" s="20" t="s">
        <v>512</v>
      </c>
      <c r="M422" s="20" t="s">
        <v>512</v>
      </c>
      <c r="N422" s="20" t="s">
        <v>512</v>
      </c>
      <c r="O422" s="20" t="s">
        <v>512</v>
      </c>
      <c r="P422" s="20"/>
      <c r="Q422" s="1" t="s">
        <v>8856</v>
      </c>
    </row>
    <row r="423" spans="1:17" x14ac:dyDescent="0.25">
      <c r="A423" s="1" t="s">
        <v>9407</v>
      </c>
      <c r="B423" s="95" t="s">
        <v>9406</v>
      </c>
      <c r="C423" s="1">
        <v>1</v>
      </c>
      <c r="D423" s="1" t="s">
        <v>8856</v>
      </c>
      <c r="E423" s="21" t="s">
        <v>8855</v>
      </c>
      <c r="F423" s="20" t="s">
        <v>8753</v>
      </c>
      <c r="G423" s="20" t="s">
        <v>8757</v>
      </c>
      <c r="H423" s="20" t="s">
        <v>8753</v>
      </c>
      <c r="I423" s="20" t="s">
        <v>8759</v>
      </c>
      <c r="J423" s="20" t="s">
        <v>8753</v>
      </c>
      <c r="K423" s="20" t="s">
        <v>8761</v>
      </c>
      <c r="L423" s="20" t="s">
        <v>512</v>
      </c>
      <c r="M423" s="20" t="s">
        <v>512</v>
      </c>
      <c r="N423" s="20" t="s">
        <v>512</v>
      </c>
      <c r="O423" s="20" t="s">
        <v>512</v>
      </c>
      <c r="P423" s="20"/>
      <c r="Q423" s="1" t="s">
        <v>8856</v>
      </c>
    </row>
    <row r="424" spans="1:17" x14ac:dyDescent="0.25">
      <c r="A424" s="1" t="s">
        <v>9408</v>
      </c>
      <c r="B424" s="95" t="s">
        <v>9406</v>
      </c>
      <c r="C424" s="1">
        <v>1</v>
      </c>
      <c r="D424" s="1" t="s">
        <v>8856</v>
      </c>
      <c r="E424" s="21" t="s">
        <v>8855</v>
      </c>
      <c r="F424" s="20" t="s">
        <v>8753</v>
      </c>
      <c r="G424" s="20" t="s">
        <v>8757</v>
      </c>
      <c r="H424" s="20" t="s">
        <v>8753</v>
      </c>
      <c r="I424" s="20" t="s">
        <v>8759</v>
      </c>
      <c r="J424" s="20" t="s">
        <v>8753</v>
      </c>
      <c r="K424" s="20" t="s">
        <v>8761</v>
      </c>
      <c r="L424" s="20" t="s">
        <v>512</v>
      </c>
      <c r="M424" s="20" t="s">
        <v>512</v>
      </c>
      <c r="N424" s="20" t="s">
        <v>512</v>
      </c>
      <c r="O424" s="20" t="s">
        <v>512</v>
      </c>
      <c r="P424" s="20"/>
      <c r="Q424" s="1" t="s">
        <v>8856</v>
      </c>
    </row>
    <row r="425" spans="1:17" x14ac:dyDescent="0.25">
      <c r="A425" s="1" t="s">
        <v>9409</v>
      </c>
      <c r="B425" s="95" t="s">
        <v>9044</v>
      </c>
      <c r="C425" s="1">
        <v>1</v>
      </c>
      <c r="D425" s="1" t="s">
        <v>3744</v>
      </c>
      <c r="E425" s="21" t="s">
        <v>8657</v>
      </c>
      <c r="F425" s="20" t="s">
        <v>3744</v>
      </c>
      <c r="G425" s="20" t="s">
        <v>8780</v>
      </c>
      <c r="H425" s="20" t="s">
        <v>309</v>
      </c>
      <c r="I425" s="20" t="s">
        <v>8835</v>
      </c>
      <c r="J425" s="20" t="s">
        <v>309</v>
      </c>
      <c r="K425" s="20" t="s">
        <v>8884</v>
      </c>
      <c r="L425" s="20" t="s">
        <v>3744</v>
      </c>
      <c r="M425" s="20" t="s">
        <v>8677</v>
      </c>
      <c r="N425" s="20" t="s">
        <v>3744</v>
      </c>
      <c r="O425" s="20" t="s">
        <v>8783</v>
      </c>
      <c r="P425" s="20"/>
      <c r="Q425" s="1" t="s">
        <v>3744</v>
      </c>
    </row>
    <row r="426" spans="1:17" x14ac:dyDescent="0.25">
      <c r="A426" s="1" t="s">
        <v>9410</v>
      </c>
      <c r="B426" s="95" t="s">
        <v>9044</v>
      </c>
      <c r="C426" s="1">
        <v>1</v>
      </c>
      <c r="D426" s="1" t="s">
        <v>3744</v>
      </c>
      <c r="E426" s="21" t="s">
        <v>8657</v>
      </c>
      <c r="F426" s="20" t="s">
        <v>3744</v>
      </c>
      <c r="G426" s="20" t="s">
        <v>8780</v>
      </c>
      <c r="H426" s="20" t="s">
        <v>309</v>
      </c>
      <c r="I426" s="20" t="s">
        <v>8835</v>
      </c>
      <c r="J426" s="20" t="s">
        <v>309</v>
      </c>
      <c r="K426" s="20" t="s">
        <v>8884</v>
      </c>
      <c r="L426" s="20" t="s">
        <v>3744</v>
      </c>
      <c r="M426" s="20" t="s">
        <v>8677</v>
      </c>
      <c r="N426" s="20" t="s">
        <v>3744</v>
      </c>
      <c r="O426" s="20" t="s">
        <v>8783</v>
      </c>
      <c r="P426" s="20"/>
      <c r="Q426" s="1" t="s">
        <v>3744</v>
      </c>
    </row>
    <row r="427" spans="1:17" x14ac:dyDescent="0.25">
      <c r="A427" s="1" t="s">
        <v>9411</v>
      </c>
      <c r="B427" s="95" t="s">
        <v>9030</v>
      </c>
      <c r="C427" s="1">
        <v>1</v>
      </c>
      <c r="D427" s="1" t="s">
        <v>3744</v>
      </c>
      <c r="E427" s="21" t="s">
        <v>8595</v>
      </c>
      <c r="F427" s="20" t="s">
        <v>8781</v>
      </c>
      <c r="G427" s="20" t="s">
        <v>8618</v>
      </c>
      <c r="H427" s="20" t="s">
        <v>309</v>
      </c>
      <c r="I427" s="20" t="s">
        <v>8878</v>
      </c>
      <c r="J427" s="20" t="s">
        <v>512</v>
      </c>
      <c r="K427" s="20" t="s">
        <v>512</v>
      </c>
      <c r="L427" s="20" t="s">
        <v>512</v>
      </c>
      <c r="M427" s="20" t="s">
        <v>512</v>
      </c>
      <c r="N427" s="20" t="s">
        <v>512</v>
      </c>
      <c r="O427" s="20" t="s">
        <v>512</v>
      </c>
      <c r="P427" s="20"/>
      <c r="Q427" s="1" t="s">
        <v>3744</v>
      </c>
    </row>
    <row r="428" spans="1:17" x14ac:dyDescent="0.25">
      <c r="A428" s="1" t="s">
        <v>9412</v>
      </c>
      <c r="B428" s="95" t="s">
        <v>9030</v>
      </c>
      <c r="C428" s="1">
        <v>1</v>
      </c>
      <c r="D428" s="1" t="s">
        <v>3744</v>
      </c>
      <c r="E428" s="21" t="s">
        <v>8595</v>
      </c>
      <c r="F428" s="20" t="s">
        <v>8781</v>
      </c>
      <c r="G428" s="20" t="s">
        <v>8618</v>
      </c>
      <c r="H428" s="20" t="s">
        <v>309</v>
      </c>
      <c r="I428" s="20" t="s">
        <v>8878</v>
      </c>
      <c r="J428" s="20" t="s">
        <v>512</v>
      </c>
      <c r="K428" s="20" t="s">
        <v>512</v>
      </c>
      <c r="L428" s="20" t="s">
        <v>512</v>
      </c>
      <c r="M428" s="20" t="s">
        <v>512</v>
      </c>
      <c r="N428" s="20" t="s">
        <v>512</v>
      </c>
      <c r="O428" s="20" t="s">
        <v>512</v>
      </c>
      <c r="P428" s="20"/>
      <c r="Q428" s="1" t="s">
        <v>3744</v>
      </c>
    </row>
    <row r="429" spans="1:17" x14ac:dyDescent="0.25">
      <c r="A429" s="1" t="s">
        <v>9413</v>
      </c>
      <c r="B429" s="95" t="s">
        <v>9406</v>
      </c>
      <c r="C429" s="1">
        <v>1</v>
      </c>
      <c r="D429" s="1" t="s">
        <v>8856</v>
      </c>
      <c r="E429" s="21" t="s">
        <v>8855</v>
      </c>
      <c r="F429" s="20" t="s">
        <v>8753</v>
      </c>
      <c r="G429" s="20" t="s">
        <v>8757</v>
      </c>
      <c r="H429" s="20" t="s">
        <v>8753</v>
      </c>
      <c r="I429" s="20" t="s">
        <v>8759</v>
      </c>
      <c r="J429" s="20" t="s">
        <v>8753</v>
      </c>
      <c r="K429" s="20" t="s">
        <v>8761</v>
      </c>
      <c r="L429" s="20" t="s">
        <v>512</v>
      </c>
      <c r="M429" s="20" t="s">
        <v>512</v>
      </c>
      <c r="N429" s="20" t="s">
        <v>512</v>
      </c>
      <c r="O429" s="20" t="s">
        <v>512</v>
      </c>
      <c r="P429" s="20"/>
      <c r="Q429" s="1" t="s">
        <v>8856</v>
      </c>
    </row>
    <row r="430" spans="1:17" x14ac:dyDescent="0.25">
      <c r="A430" s="1" t="s">
        <v>9414</v>
      </c>
      <c r="B430" s="95" t="s">
        <v>9406</v>
      </c>
      <c r="C430" s="1">
        <v>1</v>
      </c>
      <c r="D430" s="1" t="s">
        <v>8856</v>
      </c>
      <c r="E430" s="21" t="s">
        <v>8855</v>
      </c>
      <c r="F430" s="20" t="s">
        <v>8753</v>
      </c>
      <c r="G430" s="20" t="s">
        <v>8757</v>
      </c>
      <c r="H430" s="20" t="s">
        <v>8753</v>
      </c>
      <c r="I430" s="20" t="s">
        <v>8759</v>
      </c>
      <c r="J430" s="20" t="s">
        <v>8753</v>
      </c>
      <c r="K430" s="20" t="s">
        <v>8761</v>
      </c>
      <c r="L430" s="20" t="s">
        <v>512</v>
      </c>
      <c r="M430" s="20" t="s">
        <v>512</v>
      </c>
      <c r="N430" s="20" t="s">
        <v>512</v>
      </c>
      <c r="O430" s="20" t="s">
        <v>512</v>
      </c>
      <c r="P430" s="20"/>
      <c r="Q430" s="1" t="s">
        <v>8856</v>
      </c>
    </row>
    <row r="431" spans="1:17" x14ac:dyDescent="0.25">
      <c r="A431" s="1" t="s">
        <v>9415</v>
      </c>
      <c r="B431" s="95" t="s">
        <v>9406</v>
      </c>
      <c r="C431" s="1">
        <v>1</v>
      </c>
      <c r="D431" s="1" t="s">
        <v>8856</v>
      </c>
      <c r="E431" s="21" t="s">
        <v>8855</v>
      </c>
      <c r="F431" s="20" t="s">
        <v>8753</v>
      </c>
      <c r="G431" s="20" t="s">
        <v>8757</v>
      </c>
      <c r="H431" s="20" t="s">
        <v>8753</v>
      </c>
      <c r="I431" s="20" t="s">
        <v>8759</v>
      </c>
      <c r="J431" s="20" t="s">
        <v>8753</v>
      </c>
      <c r="K431" s="20" t="s">
        <v>8761</v>
      </c>
      <c r="L431" s="20" t="s">
        <v>512</v>
      </c>
      <c r="M431" s="20" t="s">
        <v>512</v>
      </c>
      <c r="N431" s="20" t="s">
        <v>512</v>
      </c>
      <c r="O431" s="20" t="s">
        <v>512</v>
      </c>
      <c r="P431" s="20"/>
      <c r="Q431" s="1" t="s">
        <v>8856</v>
      </c>
    </row>
    <row r="432" spans="1:17" x14ac:dyDescent="0.25">
      <c r="A432" s="1" t="s">
        <v>9416</v>
      </c>
      <c r="B432" s="95" t="s">
        <v>9073</v>
      </c>
      <c r="C432" s="1">
        <v>1</v>
      </c>
      <c r="D432" s="1" t="s">
        <v>8817</v>
      </c>
      <c r="E432" s="21">
        <v>226900</v>
      </c>
      <c r="F432" s="20" t="s">
        <v>512</v>
      </c>
      <c r="G432" s="20" t="s">
        <v>512</v>
      </c>
      <c r="H432" s="20" t="s">
        <v>512</v>
      </c>
      <c r="I432" s="20" t="s">
        <v>512</v>
      </c>
      <c r="J432" s="20" t="s">
        <v>512</v>
      </c>
      <c r="K432" s="20" t="s">
        <v>512</v>
      </c>
      <c r="L432" s="20" t="s">
        <v>512</v>
      </c>
      <c r="M432" s="20" t="s">
        <v>512</v>
      </c>
      <c r="N432" s="20" t="s">
        <v>512</v>
      </c>
      <c r="O432" s="20" t="s">
        <v>512</v>
      </c>
      <c r="P432" s="20"/>
      <c r="Q432" s="1" t="s">
        <v>8817</v>
      </c>
    </row>
    <row r="433" spans="1:17" x14ac:dyDescent="0.25">
      <c r="A433" s="1" t="s">
        <v>9417</v>
      </c>
      <c r="B433" s="95" t="s">
        <v>9073</v>
      </c>
      <c r="C433" s="1">
        <v>1</v>
      </c>
      <c r="D433" s="1" t="s">
        <v>8817</v>
      </c>
      <c r="E433" s="21">
        <v>226900</v>
      </c>
      <c r="F433" s="20" t="s">
        <v>512</v>
      </c>
      <c r="G433" s="20" t="s">
        <v>512</v>
      </c>
      <c r="H433" s="20" t="s">
        <v>512</v>
      </c>
      <c r="I433" s="20" t="s">
        <v>512</v>
      </c>
      <c r="J433" s="20" t="s">
        <v>512</v>
      </c>
      <c r="K433" s="20" t="s">
        <v>512</v>
      </c>
      <c r="L433" s="20" t="s">
        <v>512</v>
      </c>
      <c r="M433" s="20" t="s">
        <v>512</v>
      </c>
      <c r="N433" s="20" t="s">
        <v>512</v>
      </c>
      <c r="O433" s="20" t="s">
        <v>512</v>
      </c>
      <c r="P433" s="20"/>
      <c r="Q433" s="1" t="s">
        <v>8817</v>
      </c>
    </row>
    <row r="434" spans="1:17" x14ac:dyDescent="0.25">
      <c r="A434" s="1" t="s">
        <v>9418</v>
      </c>
      <c r="B434" s="95" t="s">
        <v>9046</v>
      </c>
      <c r="C434" s="1">
        <v>1</v>
      </c>
      <c r="D434" s="1" t="s">
        <v>106</v>
      </c>
      <c r="E434" s="21" t="s">
        <v>8810</v>
      </c>
      <c r="F434" s="20" t="s">
        <v>309</v>
      </c>
      <c r="G434" s="20" t="s">
        <v>8880</v>
      </c>
      <c r="H434" s="20" t="s">
        <v>309</v>
      </c>
      <c r="I434" s="20">
        <v>344376</v>
      </c>
      <c r="J434" s="20" t="s">
        <v>344</v>
      </c>
      <c r="K434" s="20" t="s">
        <v>8898</v>
      </c>
      <c r="L434" s="20" t="s">
        <v>512</v>
      </c>
      <c r="M434" s="20" t="s">
        <v>512</v>
      </c>
      <c r="N434" s="20" t="s">
        <v>512</v>
      </c>
      <c r="O434" s="20" t="s">
        <v>512</v>
      </c>
      <c r="P434" s="20"/>
      <c r="Q434" s="1" t="s">
        <v>106</v>
      </c>
    </row>
    <row r="435" spans="1:17" x14ac:dyDescent="0.25">
      <c r="A435" s="1" t="s">
        <v>9419</v>
      </c>
      <c r="B435" s="95" t="s">
        <v>9048</v>
      </c>
      <c r="C435" s="1">
        <v>1</v>
      </c>
      <c r="D435" s="1" t="s">
        <v>106</v>
      </c>
      <c r="E435" s="21" t="s">
        <v>8806</v>
      </c>
      <c r="F435" s="20" t="s">
        <v>309</v>
      </c>
      <c r="G435" s="20" t="s">
        <v>8882</v>
      </c>
      <c r="H435" s="20" t="s">
        <v>309</v>
      </c>
      <c r="I435" s="20" t="s">
        <v>8973</v>
      </c>
      <c r="J435" s="20" t="s">
        <v>344</v>
      </c>
      <c r="K435" s="20" t="s">
        <v>8898</v>
      </c>
      <c r="L435" s="20" t="s">
        <v>512</v>
      </c>
      <c r="M435" s="20" t="s">
        <v>512</v>
      </c>
      <c r="N435" s="20" t="s">
        <v>512</v>
      </c>
      <c r="O435" s="20" t="s">
        <v>512</v>
      </c>
      <c r="P435" s="20"/>
      <c r="Q435" s="35" t="s">
        <v>106</v>
      </c>
    </row>
    <row r="436" spans="1:17" x14ac:dyDescent="0.25">
      <c r="A436" s="1" t="s">
        <v>9420</v>
      </c>
      <c r="B436" s="95" t="s">
        <v>9026</v>
      </c>
      <c r="C436" s="1">
        <v>1</v>
      </c>
      <c r="D436" s="1" t="s">
        <v>9027</v>
      </c>
      <c r="E436" s="21">
        <v>160520</v>
      </c>
      <c r="F436" s="20" t="s">
        <v>9027</v>
      </c>
      <c r="G436" s="20" t="s">
        <v>8896</v>
      </c>
      <c r="H436" s="20" t="s">
        <v>512</v>
      </c>
      <c r="I436" s="20" t="s">
        <v>512</v>
      </c>
      <c r="J436" s="20" t="s">
        <v>512</v>
      </c>
      <c r="K436" s="20" t="s">
        <v>512</v>
      </c>
      <c r="L436" s="20" t="s">
        <v>512</v>
      </c>
      <c r="M436" s="20" t="s">
        <v>512</v>
      </c>
      <c r="N436" s="20" t="s">
        <v>512</v>
      </c>
      <c r="O436" s="20" t="s">
        <v>512</v>
      </c>
      <c r="P436" s="20"/>
      <c r="Q436" s="1" t="s">
        <v>9027</v>
      </c>
    </row>
    <row r="437" spans="1:17" x14ac:dyDescent="0.25">
      <c r="A437" s="1" t="s">
        <v>9421</v>
      </c>
      <c r="B437" s="95" t="s">
        <v>9030</v>
      </c>
      <c r="C437" s="1">
        <v>1</v>
      </c>
      <c r="D437" s="1" t="s">
        <v>3744</v>
      </c>
      <c r="E437" s="21" t="s">
        <v>8595</v>
      </c>
      <c r="F437" s="1" t="s">
        <v>8781</v>
      </c>
      <c r="G437" s="1" t="s">
        <v>8618</v>
      </c>
      <c r="H437" s="20" t="s">
        <v>309</v>
      </c>
      <c r="I437" s="20" t="s">
        <v>8878</v>
      </c>
      <c r="J437" s="1" t="s">
        <v>512</v>
      </c>
      <c r="K437" s="1" t="s">
        <v>512</v>
      </c>
      <c r="L437" s="1" t="s">
        <v>512</v>
      </c>
      <c r="M437" s="1" t="s">
        <v>512</v>
      </c>
      <c r="N437" s="1" t="s">
        <v>512</v>
      </c>
      <c r="O437" s="1" t="s">
        <v>512</v>
      </c>
      <c r="P437" s="20"/>
      <c r="Q437" s="1" t="s">
        <v>3744</v>
      </c>
    </row>
    <row r="438" spans="1:17" x14ac:dyDescent="0.25">
      <c r="A438" s="1" t="s">
        <v>9422</v>
      </c>
      <c r="B438" s="95" t="s">
        <v>9059</v>
      </c>
      <c r="C438" s="1">
        <v>1</v>
      </c>
      <c r="D438" s="1" t="s">
        <v>309</v>
      </c>
      <c r="E438" s="21" t="s">
        <v>8828</v>
      </c>
      <c r="F438" s="20" t="s">
        <v>309</v>
      </c>
      <c r="G438" s="20" t="s">
        <v>8971</v>
      </c>
      <c r="H438" s="20" t="s">
        <v>309</v>
      </c>
      <c r="I438" s="20" t="s">
        <v>8886</v>
      </c>
      <c r="J438" s="20" t="s">
        <v>344</v>
      </c>
      <c r="K438" s="20" t="s">
        <v>8898</v>
      </c>
      <c r="L438" s="20" t="s">
        <v>512</v>
      </c>
      <c r="M438" s="20" t="s">
        <v>512</v>
      </c>
      <c r="N438" s="20" t="s">
        <v>512</v>
      </c>
      <c r="O438" s="20" t="s">
        <v>512</v>
      </c>
      <c r="P438" s="20"/>
      <c r="Q438" s="1" t="s">
        <v>309</v>
      </c>
    </row>
    <row r="439" spans="1:17" x14ac:dyDescent="0.25">
      <c r="A439" s="1" t="s">
        <v>9423</v>
      </c>
      <c r="B439" s="95" t="s">
        <v>9406</v>
      </c>
      <c r="C439" s="1">
        <v>1</v>
      </c>
      <c r="D439" s="1" t="s">
        <v>8856</v>
      </c>
      <c r="E439" s="21" t="s">
        <v>8855</v>
      </c>
      <c r="F439" s="20" t="s">
        <v>8753</v>
      </c>
      <c r="G439" s="20" t="s">
        <v>8757</v>
      </c>
      <c r="H439" s="20" t="s">
        <v>8753</v>
      </c>
      <c r="I439" s="20" t="s">
        <v>8759</v>
      </c>
      <c r="J439" s="20" t="s">
        <v>8753</v>
      </c>
      <c r="K439" s="20" t="s">
        <v>8761</v>
      </c>
      <c r="L439" s="20" t="s">
        <v>512</v>
      </c>
      <c r="M439" s="20" t="s">
        <v>512</v>
      </c>
      <c r="N439" s="20" t="s">
        <v>512</v>
      </c>
      <c r="O439" s="20" t="s">
        <v>512</v>
      </c>
      <c r="P439" s="20"/>
      <c r="Q439" s="1" t="s">
        <v>8856</v>
      </c>
    </row>
    <row r="440" spans="1:17" x14ac:dyDescent="0.25">
      <c r="A440" s="1" t="s">
        <v>9424</v>
      </c>
      <c r="B440" s="96" t="s">
        <v>9033</v>
      </c>
      <c r="C440" s="1">
        <v>1</v>
      </c>
      <c r="D440" s="1" t="s">
        <v>3744</v>
      </c>
      <c r="E440" s="21" t="s">
        <v>8791</v>
      </c>
      <c r="F440" s="20" t="s">
        <v>309</v>
      </c>
      <c r="G440" s="20" t="s">
        <v>8835</v>
      </c>
      <c r="H440" s="20" t="s">
        <v>512</v>
      </c>
      <c r="I440" s="20" t="s">
        <v>512</v>
      </c>
      <c r="J440" s="20" t="s">
        <v>512</v>
      </c>
      <c r="K440" s="20" t="s">
        <v>512</v>
      </c>
      <c r="L440" s="20" t="s">
        <v>512</v>
      </c>
      <c r="M440" s="20" t="s">
        <v>512</v>
      </c>
      <c r="N440" s="20" t="s">
        <v>512</v>
      </c>
      <c r="O440" s="20" t="s">
        <v>512</v>
      </c>
      <c r="P440" s="20"/>
      <c r="Q440" s="1" t="s">
        <v>3744</v>
      </c>
    </row>
    <row r="441" spans="1:17" x14ac:dyDescent="0.25">
      <c r="A441" s="1" t="s">
        <v>9425</v>
      </c>
      <c r="B441" s="95" t="s">
        <v>9046</v>
      </c>
      <c r="C441" s="1">
        <v>1</v>
      </c>
      <c r="D441" s="1" t="s">
        <v>106</v>
      </c>
      <c r="E441" s="21" t="s">
        <v>8810</v>
      </c>
      <c r="F441" s="20" t="s">
        <v>309</v>
      </c>
      <c r="G441" s="20" t="s">
        <v>8880</v>
      </c>
      <c r="H441" s="20" t="s">
        <v>309</v>
      </c>
      <c r="I441" s="20">
        <v>344376</v>
      </c>
      <c r="J441" s="20" t="s">
        <v>344</v>
      </c>
      <c r="K441" s="20" t="s">
        <v>8898</v>
      </c>
      <c r="L441" s="20" t="s">
        <v>512</v>
      </c>
      <c r="M441" s="20" t="s">
        <v>512</v>
      </c>
      <c r="N441" s="20" t="s">
        <v>512</v>
      </c>
      <c r="O441" s="20" t="s">
        <v>512</v>
      </c>
      <c r="P441" s="20"/>
      <c r="Q441" s="1" t="s">
        <v>106</v>
      </c>
    </row>
    <row r="442" spans="1:17" x14ac:dyDescent="0.25">
      <c r="A442" s="1" t="s">
        <v>9426</v>
      </c>
      <c r="B442" s="95" t="s">
        <v>9048</v>
      </c>
      <c r="C442" s="1">
        <v>1</v>
      </c>
      <c r="D442" s="1" t="s">
        <v>106</v>
      </c>
      <c r="E442" s="21" t="s">
        <v>8806</v>
      </c>
      <c r="F442" s="20" t="s">
        <v>309</v>
      </c>
      <c r="G442" s="20" t="s">
        <v>8882</v>
      </c>
      <c r="H442" s="20" t="s">
        <v>309</v>
      </c>
      <c r="I442" s="20" t="s">
        <v>8973</v>
      </c>
      <c r="J442" s="20" t="s">
        <v>344</v>
      </c>
      <c r="K442" s="20" t="s">
        <v>8898</v>
      </c>
      <c r="L442" s="20" t="s">
        <v>512</v>
      </c>
      <c r="M442" s="20" t="s">
        <v>512</v>
      </c>
      <c r="N442" s="20" t="s">
        <v>512</v>
      </c>
      <c r="O442" s="20" t="s">
        <v>512</v>
      </c>
      <c r="P442" s="20"/>
      <c r="Q442" s="1" t="s">
        <v>106</v>
      </c>
    </row>
    <row r="443" spans="1:17" x14ac:dyDescent="0.25">
      <c r="A443" s="1" t="s">
        <v>9427</v>
      </c>
      <c r="B443" s="95" t="s">
        <v>9030</v>
      </c>
      <c r="C443" s="1">
        <v>1</v>
      </c>
      <c r="D443" s="1" t="s">
        <v>3744</v>
      </c>
      <c r="E443" s="21" t="s">
        <v>8595</v>
      </c>
      <c r="F443" s="20" t="s">
        <v>8781</v>
      </c>
      <c r="G443" s="20" t="s">
        <v>8616</v>
      </c>
      <c r="H443" s="20" t="s">
        <v>309</v>
      </c>
      <c r="I443" s="20" t="s">
        <v>8878</v>
      </c>
      <c r="J443" s="20" t="s">
        <v>512</v>
      </c>
      <c r="K443" s="20" t="s">
        <v>512</v>
      </c>
      <c r="L443" s="20" t="s">
        <v>512</v>
      </c>
      <c r="M443" s="20" t="s">
        <v>512</v>
      </c>
      <c r="N443" s="20" t="s">
        <v>512</v>
      </c>
      <c r="O443" s="20" t="s">
        <v>512</v>
      </c>
      <c r="P443" s="20"/>
      <c r="Q443" s="1" t="s">
        <v>3744</v>
      </c>
    </row>
    <row r="444" spans="1:17" x14ac:dyDescent="0.25">
      <c r="A444" s="1" t="s">
        <v>9428</v>
      </c>
      <c r="B444" s="95" t="s">
        <v>9406</v>
      </c>
      <c r="C444" s="1">
        <v>1</v>
      </c>
      <c r="D444" s="1" t="s">
        <v>8856</v>
      </c>
      <c r="E444" s="21" t="s">
        <v>8855</v>
      </c>
      <c r="F444" s="20" t="s">
        <v>8753</v>
      </c>
      <c r="G444" s="20" t="s">
        <v>8757</v>
      </c>
      <c r="H444" s="20" t="s">
        <v>8753</v>
      </c>
      <c r="I444" s="20" t="s">
        <v>8759</v>
      </c>
      <c r="J444" s="20" t="s">
        <v>8753</v>
      </c>
      <c r="K444" s="20" t="s">
        <v>8761</v>
      </c>
      <c r="L444" s="20" t="s">
        <v>512</v>
      </c>
      <c r="M444" s="20" t="s">
        <v>512</v>
      </c>
      <c r="N444" s="20" t="s">
        <v>512</v>
      </c>
      <c r="O444" s="20" t="s">
        <v>512</v>
      </c>
      <c r="P444" s="20"/>
      <c r="Q444" s="1" t="s">
        <v>8856</v>
      </c>
    </row>
    <row r="445" spans="1:17" x14ac:dyDescent="0.25">
      <c r="A445" s="1" t="s">
        <v>9429</v>
      </c>
      <c r="B445" s="95" t="s">
        <v>9039</v>
      </c>
      <c r="C445" s="1">
        <v>1</v>
      </c>
      <c r="D445" s="1" t="s">
        <v>3744</v>
      </c>
      <c r="E445" s="21" t="s">
        <v>8804</v>
      </c>
      <c r="F445" s="20" t="s">
        <v>8781</v>
      </c>
      <c r="G445" s="20" t="s">
        <v>8799</v>
      </c>
      <c r="H445" s="20" t="s">
        <v>309</v>
      </c>
      <c r="I445" s="20" t="s">
        <v>8878</v>
      </c>
      <c r="J445" s="20" t="s">
        <v>512</v>
      </c>
      <c r="K445" s="20" t="s">
        <v>512</v>
      </c>
      <c r="L445" s="20" t="s">
        <v>512</v>
      </c>
      <c r="M445" s="20" t="s">
        <v>512</v>
      </c>
      <c r="N445" s="20" t="s">
        <v>512</v>
      </c>
      <c r="O445" s="20" t="s">
        <v>512</v>
      </c>
      <c r="P445" s="20"/>
      <c r="Q445" s="1" t="s">
        <v>3744</v>
      </c>
    </row>
    <row r="446" spans="1:17" x14ac:dyDescent="0.25">
      <c r="A446" s="1" t="s">
        <v>9430</v>
      </c>
      <c r="B446" s="95" t="s">
        <v>9139</v>
      </c>
      <c r="C446" s="1">
        <v>1</v>
      </c>
      <c r="D446" s="1" t="s">
        <v>3744</v>
      </c>
      <c r="E446" s="21" t="s">
        <v>8787</v>
      </c>
      <c r="F446" s="20" t="s">
        <v>309</v>
      </c>
      <c r="G446" s="20" t="s">
        <v>8878</v>
      </c>
      <c r="H446" s="20" t="s">
        <v>8781</v>
      </c>
      <c r="I446" s="20" t="s">
        <v>8797</v>
      </c>
      <c r="J446" s="20" t="s">
        <v>512</v>
      </c>
      <c r="K446" s="20" t="s">
        <v>512</v>
      </c>
      <c r="L446" s="20" t="s">
        <v>512</v>
      </c>
      <c r="M446" s="20" t="s">
        <v>512</v>
      </c>
      <c r="N446" s="20" t="s">
        <v>512</v>
      </c>
      <c r="O446" s="20" t="s">
        <v>512</v>
      </c>
      <c r="P446" s="20"/>
      <c r="Q446" s="1" t="s">
        <v>3744</v>
      </c>
    </row>
    <row r="447" spans="1:17" x14ac:dyDescent="0.25">
      <c r="A447" s="1" t="s">
        <v>9431</v>
      </c>
      <c r="B447" s="95" t="s">
        <v>9046</v>
      </c>
      <c r="C447" s="1">
        <v>1</v>
      </c>
      <c r="D447" s="1" t="s">
        <v>106</v>
      </c>
      <c r="E447" s="21" t="s">
        <v>8810</v>
      </c>
      <c r="F447" s="20" t="s">
        <v>309</v>
      </c>
      <c r="G447" s="20" t="s">
        <v>8880</v>
      </c>
      <c r="H447" s="20" t="s">
        <v>309</v>
      </c>
      <c r="I447" s="20">
        <v>344376</v>
      </c>
      <c r="J447" s="20" t="s">
        <v>344</v>
      </c>
      <c r="K447" s="20" t="s">
        <v>8898</v>
      </c>
      <c r="L447" s="20" t="s">
        <v>512</v>
      </c>
      <c r="M447" s="20" t="s">
        <v>512</v>
      </c>
      <c r="N447" s="20" t="s">
        <v>512</v>
      </c>
      <c r="O447" s="20" t="s">
        <v>512</v>
      </c>
      <c r="P447" s="20"/>
      <c r="Q447" s="1" t="s">
        <v>106</v>
      </c>
    </row>
    <row r="448" spans="1:17" x14ac:dyDescent="0.25">
      <c r="A448" s="1" t="s">
        <v>9432</v>
      </c>
      <c r="B448" s="95" t="s">
        <v>9030</v>
      </c>
      <c r="C448" s="1">
        <v>1</v>
      </c>
      <c r="D448" s="1" t="s">
        <v>3744</v>
      </c>
      <c r="E448" s="21" t="s">
        <v>8595</v>
      </c>
      <c r="F448" s="20" t="s">
        <v>8781</v>
      </c>
      <c r="G448" s="20" t="s">
        <v>8616</v>
      </c>
      <c r="H448" s="20" t="s">
        <v>309</v>
      </c>
      <c r="I448" s="20" t="s">
        <v>8878</v>
      </c>
      <c r="J448" s="20" t="s">
        <v>512</v>
      </c>
      <c r="K448" s="20" t="s">
        <v>512</v>
      </c>
      <c r="L448" s="20" t="s">
        <v>512</v>
      </c>
      <c r="M448" s="20" t="s">
        <v>512</v>
      </c>
      <c r="N448" s="20" t="s">
        <v>512</v>
      </c>
      <c r="O448" s="20" t="s">
        <v>512</v>
      </c>
      <c r="P448" s="20"/>
      <c r="Q448" s="1" t="s">
        <v>3744</v>
      </c>
    </row>
    <row r="449" spans="1:17" x14ac:dyDescent="0.25">
      <c r="A449" s="1" t="s">
        <v>9433</v>
      </c>
      <c r="B449" s="95" t="s">
        <v>9406</v>
      </c>
      <c r="C449" s="1">
        <v>1</v>
      </c>
      <c r="D449" s="1" t="s">
        <v>8856</v>
      </c>
      <c r="E449" s="21" t="s">
        <v>8855</v>
      </c>
      <c r="F449" s="20" t="s">
        <v>8753</v>
      </c>
      <c r="G449" s="20" t="s">
        <v>8757</v>
      </c>
      <c r="H449" s="20" t="s">
        <v>8753</v>
      </c>
      <c r="I449" s="20" t="s">
        <v>8759</v>
      </c>
      <c r="J449" s="20" t="s">
        <v>8753</v>
      </c>
      <c r="K449" s="20" t="s">
        <v>8761</v>
      </c>
      <c r="L449" s="20" t="s">
        <v>512</v>
      </c>
      <c r="M449" s="20" t="s">
        <v>512</v>
      </c>
      <c r="N449" s="20" t="s">
        <v>512</v>
      </c>
      <c r="O449" s="20" t="s">
        <v>512</v>
      </c>
      <c r="P449" s="20"/>
      <c r="Q449" s="1" t="s">
        <v>8856</v>
      </c>
    </row>
    <row r="450" spans="1:17" x14ac:dyDescent="0.25">
      <c r="A450" s="1" t="s">
        <v>9433</v>
      </c>
      <c r="B450" s="95" t="s">
        <v>9406</v>
      </c>
      <c r="C450" s="1">
        <v>1</v>
      </c>
      <c r="D450" s="1" t="s">
        <v>8856</v>
      </c>
      <c r="E450" s="21" t="s">
        <v>8855</v>
      </c>
      <c r="F450" s="20" t="s">
        <v>8753</v>
      </c>
      <c r="G450" s="20" t="s">
        <v>8757</v>
      </c>
      <c r="H450" s="20" t="s">
        <v>8753</v>
      </c>
      <c r="I450" s="20" t="s">
        <v>8759</v>
      </c>
      <c r="J450" s="20" t="s">
        <v>8753</v>
      </c>
      <c r="K450" s="20" t="s">
        <v>8761</v>
      </c>
      <c r="L450" s="20" t="s">
        <v>512</v>
      </c>
      <c r="M450" s="20" t="s">
        <v>512</v>
      </c>
      <c r="N450" s="20" t="s">
        <v>512</v>
      </c>
      <c r="O450" s="20" t="s">
        <v>512</v>
      </c>
      <c r="P450" s="20"/>
      <c r="Q450" s="1" t="s">
        <v>8856</v>
      </c>
    </row>
    <row r="451" spans="1:17" x14ac:dyDescent="0.25">
      <c r="A451" s="1" t="s">
        <v>9434</v>
      </c>
      <c r="B451" s="95" t="s">
        <v>9406</v>
      </c>
      <c r="C451" s="1">
        <v>1</v>
      </c>
      <c r="D451" s="1" t="s">
        <v>8856</v>
      </c>
      <c r="E451" s="21" t="s">
        <v>8855</v>
      </c>
      <c r="F451" s="20" t="s">
        <v>8753</v>
      </c>
      <c r="G451" s="20" t="s">
        <v>8757</v>
      </c>
      <c r="H451" s="20" t="s">
        <v>8753</v>
      </c>
      <c r="I451" s="20" t="s">
        <v>8759</v>
      </c>
      <c r="J451" s="20" t="s">
        <v>8753</v>
      </c>
      <c r="K451" s="20" t="s">
        <v>8761</v>
      </c>
      <c r="L451" s="20" t="s">
        <v>512</v>
      </c>
      <c r="M451" s="20" t="s">
        <v>512</v>
      </c>
      <c r="N451" s="20" t="s">
        <v>512</v>
      </c>
      <c r="O451" s="20" t="s">
        <v>512</v>
      </c>
      <c r="P451" s="20"/>
      <c r="Q451" s="1" t="s">
        <v>8856</v>
      </c>
    </row>
    <row r="452" spans="1:17" x14ac:dyDescent="0.25">
      <c r="A452" s="1" t="s">
        <v>9434</v>
      </c>
      <c r="B452" s="95" t="s">
        <v>9406</v>
      </c>
      <c r="C452" s="1">
        <v>1</v>
      </c>
      <c r="D452" s="1" t="s">
        <v>8856</v>
      </c>
      <c r="E452" s="21" t="s">
        <v>8855</v>
      </c>
      <c r="F452" s="20" t="s">
        <v>8753</v>
      </c>
      <c r="G452" s="20" t="s">
        <v>8757</v>
      </c>
      <c r="H452" s="20" t="s">
        <v>8753</v>
      </c>
      <c r="I452" s="20" t="s">
        <v>8759</v>
      </c>
      <c r="J452" s="20" t="s">
        <v>8753</v>
      </c>
      <c r="K452" s="20" t="s">
        <v>8761</v>
      </c>
      <c r="L452" s="20" t="s">
        <v>512</v>
      </c>
      <c r="M452" s="20" t="s">
        <v>512</v>
      </c>
      <c r="N452" s="20" t="s">
        <v>512</v>
      </c>
      <c r="O452" s="20" t="s">
        <v>512</v>
      </c>
      <c r="P452" s="20"/>
      <c r="Q452" s="1" t="s">
        <v>8856</v>
      </c>
    </row>
    <row r="453" spans="1:17" x14ac:dyDescent="0.25">
      <c r="A453" s="1" t="s">
        <v>9435</v>
      </c>
      <c r="B453" s="95" t="s">
        <v>9039</v>
      </c>
      <c r="C453" s="1">
        <v>1</v>
      </c>
      <c r="D453" s="1" t="s">
        <v>3744</v>
      </c>
      <c r="E453" s="21" t="s">
        <v>8804</v>
      </c>
      <c r="F453" s="20" t="s">
        <v>8781</v>
      </c>
      <c r="G453" s="20" t="s">
        <v>8618</v>
      </c>
      <c r="H453" s="20" t="s">
        <v>309</v>
      </c>
      <c r="I453" s="20" t="s">
        <v>8878</v>
      </c>
      <c r="J453" s="20" t="s">
        <v>512</v>
      </c>
      <c r="K453" s="20" t="s">
        <v>512</v>
      </c>
      <c r="L453" s="20" t="s">
        <v>512</v>
      </c>
      <c r="M453" s="20" t="s">
        <v>512</v>
      </c>
      <c r="N453" s="20" t="s">
        <v>512</v>
      </c>
      <c r="O453" s="20" t="s">
        <v>512</v>
      </c>
      <c r="P453" s="20"/>
      <c r="Q453" s="1" t="s">
        <v>3744</v>
      </c>
    </row>
    <row r="454" spans="1:17" x14ac:dyDescent="0.25">
      <c r="A454" s="1" t="s">
        <v>9435</v>
      </c>
      <c r="B454" s="95" t="s">
        <v>9039</v>
      </c>
      <c r="C454" s="1">
        <v>1</v>
      </c>
      <c r="D454" s="1" t="s">
        <v>3744</v>
      </c>
      <c r="E454" s="21" t="s">
        <v>8804</v>
      </c>
      <c r="F454" s="20" t="s">
        <v>8781</v>
      </c>
      <c r="G454" s="20" t="s">
        <v>8618</v>
      </c>
      <c r="H454" s="20" t="s">
        <v>309</v>
      </c>
      <c r="I454" s="20" t="s">
        <v>8878</v>
      </c>
      <c r="J454" s="20" t="s">
        <v>512</v>
      </c>
      <c r="K454" s="20" t="s">
        <v>512</v>
      </c>
      <c r="L454" s="20" t="s">
        <v>512</v>
      </c>
      <c r="M454" s="20" t="s">
        <v>512</v>
      </c>
      <c r="N454" s="20" t="s">
        <v>512</v>
      </c>
      <c r="O454" s="20" t="s">
        <v>512</v>
      </c>
      <c r="P454" s="20"/>
      <c r="Q454" s="1" t="s">
        <v>3744</v>
      </c>
    </row>
    <row r="455" spans="1:17" x14ac:dyDescent="0.25">
      <c r="A455" s="1" t="s">
        <v>9436</v>
      </c>
      <c r="B455" s="95" t="s">
        <v>9044</v>
      </c>
      <c r="C455" s="1">
        <v>1</v>
      </c>
      <c r="D455" s="1" t="s">
        <v>3744</v>
      </c>
      <c r="E455" s="21" t="s">
        <v>8657</v>
      </c>
      <c r="F455" s="20" t="s">
        <v>3744</v>
      </c>
      <c r="G455" s="20" t="s">
        <v>8780</v>
      </c>
      <c r="H455" s="20" t="s">
        <v>309</v>
      </c>
      <c r="I455" s="20" t="s">
        <v>8835</v>
      </c>
      <c r="J455" s="20" t="s">
        <v>309</v>
      </c>
      <c r="K455" s="20" t="s">
        <v>8884</v>
      </c>
      <c r="L455" s="20" t="s">
        <v>3744</v>
      </c>
      <c r="M455" s="20" t="s">
        <v>8677</v>
      </c>
      <c r="N455" s="20" t="s">
        <v>3744</v>
      </c>
      <c r="O455" s="20" t="s">
        <v>8783</v>
      </c>
      <c r="P455" s="20"/>
      <c r="Q455" s="1" t="s">
        <v>3744</v>
      </c>
    </row>
    <row r="456" spans="1:17" x14ac:dyDescent="0.25">
      <c r="A456" s="1" t="s">
        <v>9437</v>
      </c>
      <c r="B456" s="95" t="s">
        <v>9044</v>
      </c>
      <c r="C456" s="1">
        <v>1</v>
      </c>
      <c r="D456" s="1" t="s">
        <v>3744</v>
      </c>
      <c r="E456" s="21" t="s">
        <v>8657</v>
      </c>
      <c r="F456" s="20" t="s">
        <v>3744</v>
      </c>
      <c r="G456" s="20" t="s">
        <v>8780</v>
      </c>
      <c r="H456" s="20" t="s">
        <v>309</v>
      </c>
      <c r="I456" s="20" t="s">
        <v>8835</v>
      </c>
      <c r="J456" s="20" t="s">
        <v>309</v>
      </c>
      <c r="K456" s="20" t="s">
        <v>8884</v>
      </c>
      <c r="L456" s="20" t="s">
        <v>3744</v>
      </c>
      <c r="M456" s="20" t="s">
        <v>8677</v>
      </c>
      <c r="N456" s="20" t="s">
        <v>3744</v>
      </c>
      <c r="O456" s="20" t="s">
        <v>8783</v>
      </c>
      <c r="P456" s="20"/>
      <c r="Q456" s="1" t="s">
        <v>3744</v>
      </c>
    </row>
    <row r="457" spans="1:17" x14ac:dyDescent="0.25">
      <c r="A457" s="1" t="s">
        <v>9438</v>
      </c>
      <c r="B457" s="95" t="s">
        <v>9046</v>
      </c>
      <c r="C457" s="1">
        <v>1</v>
      </c>
      <c r="D457" s="1" t="s">
        <v>106</v>
      </c>
      <c r="E457" s="21" t="s">
        <v>8810</v>
      </c>
      <c r="F457" s="20" t="s">
        <v>309</v>
      </c>
      <c r="G457" s="20" t="s">
        <v>8880</v>
      </c>
      <c r="H457" s="20" t="s">
        <v>309</v>
      </c>
      <c r="I457" s="20">
        <v>344376</v>
      </c>
      <c r="J457" s="20" t="s">
        <v>344</v>
      </c>
      <c r="K457" s="20" t="s">
        <v>8898</v>
      </c>
      <c r="L457" s="20" t="s">
        <v>512</v>
      </c>
      <c r="M457" s="20" t="s">
        <v>512</v>
      </c>
      <c r="N457" s="20" t="s">
        <v>512</v>
      </c>
      <c r="O457" s="20" t="s">
        <v>512</v>
      </c>
      <c r="P457" s="20"/>
      <c r="Q457" s="1" t="s">
        <v>106</v>
      </c>
    </row>
    <row r="458" spans="1:17" x14ac:dyDescent="0.25">
      <c r="A458" s="1" t="s">
        <v>9439</v>
      </c>
      <c r="B458" s="95" t="s">
        <v>9048</v>
      </c>
      <c r="C458" s="1">
        <v>1</v>
      </c>
      <c r="D458" s="1" t="s">
        <v>106</v>
      </c>
      <c r="E458" s="21" t="s">
        <v>8806</v>
      </c>
      <c r="F458" s="20" t="s">
        <v>309</v>
      </c>
      <c r="G458" s="20" t="s">
        <v>8882</v>
      </c>
      <c r="H458" s="20" t="s">
        <v>309</v>
      </c>
      <c r="I458" s="20" t="s">
        <v>8973</v>
      </c>
      <c r="J458" s="20" t="s">
        <v>344</v>
      </c>
      <c r="K458" s="20" t="s">
        <v>8898</v>
      </c>
      <c r="L458" s="20" t="s">
        <v>512</v>
      </c>
      <c r="M458" s="20" t="s">
        <v>512</v>
      </c>
      <c r="N458" s="20" t="s">
        <v>512</v>
      </c>
      <c r="O458" s="20" t="s">
        <v>512</v>
      </c>
      <c r="P458" s="20"/>
      <c r="Q458" s="1" t="s">
        <v>106</v>
      </c>
    </row>
    <row r="459" spans="1:17" x14ac:dyDescent="0.25">
      <c r="A459" s="1" t="s">
        <v>9440</v>
      </c>
      <c r="B459" s="95" t="s">
        <v>9030</v>
      </c>
      <c r="C459" s="1">
        <v>1</v>
      </c>
      <c r="D459" s="1" t="s">
        <v>3744</v>
      </c>
      <c r="E459" s="21" t="s">
        <v>8595</v>
      </c>
      <c r="F459" s="20" t="s">
        <v>8781</v>
      </c>
      <c r="G459" s="20" t="s">
        <v>8618</v>
      </c>
      <c r="H459" s="20" t="s">
        <v>309</v>
      </c>
      <c r="I459" s="20" t="s">
        <v>8878</v>
      </c>
      <c r="J459" s="20" t="s">
        <v>512</v>
      </c>
      <c r="K459" s="20" t="s">
        <v>512</v>
      </c>
      <c r="L459" s="20" t="s">
        <v>512</v>
      </c>
      <c r="M459" s="20" t="s">
        <v>512</v>
      </c>
      <c r="N459" s="20" t="s">
        <v>512</v>
      </c>
      <c r="O459" s="20" t="s">
        <v>512</v>
      </c>
      <c r="P459" s="20"/>
      <c r="Q459" s="1" t="s">
        <v>3744</v>
      </c>
    </row>
    <row r="460" spans="1:17" x14ac:dyDescent="0.25">
      <c r="A460" s="1" t="s">
        <v>9441</v>
      </c>
      <c r="B460" s="95" t="s">
        <v>9030</v>
      </c>
      <c r="C460" s="1">
        <v>1</v>
      </c>
      <c r="D460" s="1" t="s">
        <v>3744</v>
      </c>
      <c r="E460" s="21" t="s">
        <v>8595</v>
      </c>
      <c r="F460" s="20" t="s">
        <v>8781</v>
      </c>
      <c r="G460" s="20" t="s">
        <v>8618</v>
      </c>
      <c r="H460" s="20" t="s">
        <v>309</v>
      </c>
      <c r="I460" s="20" t="s">
        <v>8878</v>
      </c>
      <c r="J460" s="20" t="s">
        <v>512</v>
      </c>
      <c r="K460" s="20" t="s">
        <v>512</v>
      </c>
      <c r="L460" s="20" t="s">
        <v>512</v>
      </c>
      <c r="M460" s="20" t="s">
        <v>512</v>
      </c>
      <c r="N460" s="20" t="s">
        <v>512</v>
      </c>
      <c r="O460" s="20" t="s">
        <v>512</v>
      </c>
      <c r="P460" s="20"/>
      <c r="Q460" s="1" t="s">
        <v>3744</v>
      </c>
    </row>
    <row r="461" spans="1:17" x14ac:dyDescent="0.25">
      <c r="A461" s="1" t="s">
        <v>9442</v>
      </c>
      <c r="B461" s="95" t="s">
        <v>9406</v>
      </c>
      <c r="C461" s="1">
        <v>1</v>
      </c>
      <c r="D461" s="1" t="s">
        <v>8856</v>
      </c>
      <c r="E461" s="21" t="s">
        <v>8855</v>
      </c>
      <c r="F461" s="20" t="s">
        <v>8753</v>
      </c>
      <c r="G461" s="20" t="s">
        <v>8757</v>
      </c>
      <c r="H461" s="20" t="s">
        <v>8753</v>
      </c>
      <c r="I461" s="20" t="s">
        <v>8759</v>
      </c>
      <c r="J461" s="20" t="s">
        <v>8753</v>
      </c>
      <c r="K461" s="20" t="s">
        <v>8761</v>
      </c>
      <c r="L461" s="20" t="s">
        <v>512</v>
      </c>
      <c r="M461" s="20" t="s">
        <v>512</v>
      </c>
      <c r="N461" s="20" t="s">
        <v>512</v>
      </c>
      <c r="O461" s="20" t="s">
        <v>512</v>
      </c>
      <c r="P461" s="20"/>
      <c r="Q461" s="1" t="s">
        <v>8856</v>
      </c>
    </row>
    <row r="462" spans="1:17" x14ac:dyDescent="0.25">
      <c r="A462" s="1" t="s">
        <v>9443</v>
      </c>
      <c r="B462" s="95" t="s">
        <v>9406</v>
      </c>
      <c r="C462" s="1">
        <v>1</v>
      </c>
      <c r="D462" s="1" t="s">
        <v>8856</v>
      </c>
      <c r="E462" s="21" t="s">
        <v>8855</v>
      </c>
      <c r="F462" s="20" t="s">
        <v>8753</v>
      </c>
      <c r="G462" s="20" t="s">
        <v>8757</v>
      </c>
      <c r="H462" s="20" t="s">
        <v>8753</v>
      </c>
      <c r="I462" s="20" t="s">
        <v>8759</v>
      </c>
      <c r="J462" s="20" t="s">
        <v>8753</v>
      </c>
      <c r="K462" s="20" t="s">
        <v>8761</v>
      </c>
      <c r="L462" s="20" t="s">
        <v>512</v>
      </c>
      <c r="M462" s="20" t="s">
        <v>512</v>
      </c>
      <c r="N462" s="20" t="s">
        <v>512</v>
      </c>
      <c r="O462" s="20" t="s">
        <v>512</v>
      </c>
      <c r="P462" s="20"/>
      <c r="Q462" s="1" t="s">
        <v>8856</v>
      </c>
    </row>
    <row r="463" spans="1:17" x14ac:dyDescent="0.25">
      <c r="A463" s="1" t="s">
        <v>9444</v>
      </c>
      <c r="B463" s="95" t="s">
        <v>9406</v>
      </c>
      <c r="C463" s="1">
        <v>1</v>
      </c>
      <c r="D463" s="1" t="s">
        <v>8856</v>
      </c>
      <c r="E463" s="21" t="s">
        <v>8855</v>
      </c>
      <c r="F463" s="20" t="s">
        <v>8753</v>
      </c>
      <c r="G463" s="20" t="s">
        <v>8757</v>
      </c>
      <c r="H463" s="20" t="s">
        <v>8753</v>
      </c>
      <c r="I463" s="20" t="s">
        <v>8759</v>
      </c>
      <c r="J463" s="20" t="s">
        <v>8753</v>
      </c>
      <c r="K463" s="20" t="s">
        <v>8761</v>
      </c>
      <c r="L463" s="20" t="s">
        <v>512</v>
      </c>
      <c r="M463" s="20" t="s">
        <v>512</v>
      </c>
      <c r="N463" s="20" t="s">
        <v>512</v>
      </c>
      <c r="O463" s="20" t="s">
        <v>512</v>
      </c>
      <c r="P463" s="20"/>
      <c r="Q463" s="1" t="s">
        <v>8856</v>
      </c>
    </row>
    <row r="464" spans="1:17" x14ac:dyDescent="0.25">
      <c r="A464" s="1" t="s">
        <v>9445</v>
      </c>
      <c r="B464" s="95" t="s">
        <v>9406</v>
      </c>
      <c r="C464" s="1">
        <v>1</v>
      </c>
      <c r="D464" s="1" t="s">
        <v>8856</v>
      </c>
      <c r="E464" s="21" t="s">
        <v>8855</v>
      </c>
      <c r="F464" s="20" t="s">
        <v>8753</v>
      </c>
      <c r="G464" s="20" t="s">
        <v>8757</v>
      </c>
      <c r="H464" s="20" t="s">
        <v>8753</v>
      </c>
      <c r="I464" s="20" t="s">
        <v>8759</v>
      </c>
      <c r="J464" s="20" t="s">
        <v>8753</v>
      </c>
      <c r="K464" s="20" t="s">
        <v>8761</v>
      </c>
      <c r="L464" s="20" t="s">
        <v>512</v>
      </c>
      <c r="M464" s="20" t="s">
        <v>512</v>
      </c>
      <c r="N464" s="20" t="s">
        <v>512</v>
      </c>
      <c r="O464" s="20" t="s">
        <v>512</v>
      </c>
      <c r="P464" s="20"/>
      <c r="Q464" s="1" t="s">
        <v>8856</v>
      </c>
    </row>
    <row r="465" spans="1:17" x14ac:dyDescent="0.25">
      <c r="A465" s="1" t="s">
        <v>9446</v>
      </c>
      <c r="B465" s="95" t="s">
        <v>9073</v>
      </c>
      <c r="C465" s="1">
        <v>1</v>
      </c>
      <c r="D465" s="1" t="s">
        <v>8817</v>
      </c>
      <c r="E465" s="21">
        <v>226900</v>
      </c>
      <c r="F465" s="20" t="s">
        <v>512</v>
      </c>
      <c r="G465" s="20" t="s">
        <v>512</v>
      </c>
      <c r="H465" s="20" t="s">
        <v>512</v>
      </c>
      <c r="I465" s="20" t="s">
        <v>512</v>
      </c>
      <c r="J465" s="20" t="s">
        <v>512</v>
      </c>
      <c r="K465" s="20" t="s">
        <v>512</v>
      </c>
      <c r="L465" s="20" t="s">
        <v>512</v>
      </c>
      <c r="M465" s="20" t="s">
        <v>512</v>
      </c>
      <c r="N465" s="20" t="s">
        <v>512</v>
      </c>
      <c r="O465" s="20" t="s">
        <v>512</v>
      </c>
      <c r="P465" s="20"/>
      <c r="Q465" s="1" t="s">
        <v>8817</v>
      </c>
    </row>
    <row r="466" spans="1:17" x14ac:dyDescent="0.25">
      <c r="A466" s="1" t="s">
        <v>9447</v>
      </c>
      <c r="B466" s="95" t="s">
        <v>9073</v>
      </c>
      <c r="C466" s="1">
        <v>1</v>
      </c>
      <c r="D466" s="1" t="s">
        <v>8817</v>
      </c>
      <c r="E466" s="21">
        <v>226900</v>
      </c>
      <c r="F466" s="20" t="s">
        <v>512</v>
      </c>
      <c r="G466" s="20" t="s">
        <v>512</v>
      </c>
      <c r="H466" s="20" t="s">
        <v>512</v>
      </c>
      <c r="I466" s="20" t="s">
        <v>512</v>
      </c>
      <c r="J466" s="20" t="s">
        <v>512</v>
      </c>
      <c r="K466" s="20" t="s">
        <v>512</v>
      </c>
      <c r="L466" s="20" t="s">
        <v>512</v>
      </c>
      <c r="M466" s="20" t="s">
        <v>512</v>
      </c>
      <c r="N466" s="20" t="s">
        <v>512</v>
      </c>
      <c r="O466" s="20" t="s">
        <v>512</v>
      </c>
      <c r="P466" s="20"/>
      <c r="Q466" s="1" t="s">
        <v>8817</v>
      </c>
    </row>
    <row r="467" spans="1:17" x14ac:dyDescent="0.25">
      <c r="A467" s="1" t="s">
        <v>9448</v>
      </c>
      <c r="B467" s="95" t="s">
        <v>9046</v>
      </c>
      <c r="C467" s="1">
        <v>1</v>
      </c>
      <c r="D467" s="1" t="s">
        <v>106</v>
      </c>
      <c r="E467" s="21" t="s">
        <v>8810</v>
      </c>
      <c r="F467" s="20" t="s">
        <v>309</v>
      </c>
      <c r="G467" s="20" t="s">
        <v>8880</v>
      </c>
      <c r="H467" s="20" t="s">
        <v>309</v>
      </c>
      <c r="I467" s="20">
        <v>344376</v>
      </c>
      <c r="J467" s="20" t="s">
        <v>344</v>
      </c>
      <c r="K467" s="20" t="s">
        <v>8898</v>
      </c>
      <c r="L467" s="20" t="s">
        <v>512</v>
      </c>
      <c r="M467" s="20" t="s">
        <v>512</v>
      </c>
      <c r="N467" s="20" t="s">
        <v>512</v>
      </c>
      <c r="O467" s="20" t="s">
        <v>512</v>
      </c>
      <c r="P467" s="20"/>
      <c r="Q467" s="1" t="s">
        <v>106</v>
      </c>
    </row>
    <row r="468" spans="1:17" x14ac:dyDescent="0.25">
      <c r="A468" s="1" t="s">
        <v>9449</v>
      </c>
      <c r="B468" s="95" t="s">
        <v>9048</v>
      </c>
      <c r="C468" s="1">
        <v>1</v>
      </c>
      <c r="D468" s="1" t="s">
        <v>106</v>
      </c>
      <c r="E468" s="21" t="s">
        <v>8806</v>
      </c>
      <c r="F468" s="20" t="s">
        <v>309</v>
      </c>
      <c r="G468" s="20" t="s">
        <v>8882</v>
      </c>
      <c r="H468" s="20" t="s">
        <v>309</v>
      </c>
      <c r="I468" s="20" t="s">
        <v>8973</v>
      </c>
      <c r="J468" s="20" t="s">
        <v>344</v>
      </c>
      <c r="K468" s="20" t="s">
        <v>8898</v>
      </c>
      <c r="L468" s="20" t="s">
        <v>512</v>
      </c>
      <c r="M468" s="20" t="s">
        <v>512</v>
      </c>
      <c r="N468" s="20" t="s">
        <v>512</v>
      </c>
      <c r="O468" s="20" t="s">
        <v>512</v>
      </c>
      <c r="P468" s="20"/>
      <c r="Q468" s="1" t="s">
        <v>106</v>
      </c>
    </row>
    <row r="469" spans="1:17" x14ac:dyDescent="0.25">
      <c r="A469" s="1" t="s">
        <v>9450</v>
      </c>
      <c r="B469" s="95" t="s">
        <v>9026</v>
      </c>
      <c r="C469" s="1">
        <v>1</v>
      </c>
      <c r="D469" s="1" t="s">
        <v>9027</v>
      </c>
      <c r="E469" s="21">
        <v>160520</v>
      </c>
      <c r="F469" s="20" t="s">
        <v>9027</v>
      </c>
      <c r="G469" s="20" t="s">
        <v>8896</v>
      </c>
      <c r="H469" s="20" t="s">
        <v>512</v>
      </c>
      <c r="I469" s="20" t="s">
        <v>512</v>
      </c>
      <c r="J469" s="20" t="s">
        <v>512</v>
      </c>
      <c r="K469" s="20" t="s">
        <v>512</v>
      </c>
      <c r="L469" s="20" t="s">
        <v>512</v>
      </c>
      <c r="M469" s="20" t="s">
        <v>512</v>
      </c>
      <c r="N469" s="20" t="s">
        <v>512</v>
      </c>
      <c r="O469" s="20" t="s">
        <v>512</v>
      </c>
      <c r="P469" s="20"/>
      <c r="Q469" s="1" t="s">
        <v>9027</v>
      </c>
    </row>
    <row r="470" spans="1:17" x14ac:dyDescent="0.25">
      <c r="A470" s="1" t="s">
        <v>9451</v>
      </c>
      <c r="B470" s="95" t="s">
        <v>9030</v>
      </c>
      <c r="C470" s="1">
        <v>1</v>
      </c>
      <c r="D470" s="1" t="s">
        <v>3744</v>
      </c>
      <c r="E470" s="21" t="s">
        <v>8595</v>
      </c>
      <c r="F470" s="1" t="s">
        <v>8781</v>
      </c>
      <c r="G470" s="20" t="s">
        <v>8618</v>
      </c>
      <c r="H470" s="20" t="s">
        <v>309</v>
      </c>
      <c r="I470" s="20" t="s">
        <v>8878</v>
      </c>
      <c r="J470" s="1" t="s">
        <v>512</v>
      </c>
      <c r="K470" s="1" t="s">
        <v>512</v>
      </c>
      <c r="L470" s="1" t="s">
        <v>512</v>
      </c>
      <c r="M470" s="1" t="s">
        <v>512</v>
      </c>
      <c r="N470" s="1" t="s">
        <v>512</v>
      </c>
      <c r="O470" s="1" t="s">
        <v>512</v>
      </c>
      <c r="P470" s="20"/>
      <c r="Q470" s="1" t="s">
        <v>3744</v>
      </c>
    </row>
    <row r="471" spans="1:17" x14ac:dyDescent="0.25">
      <c r="A471" s="1" t="s">
        <v>9452</v>
      </c>
      <c r="B471" s="95" t="s">
        <v>9059</v>
      </c>
      <c r="C471" s="1">
        <v>1</v>
      </c>
      <c r="D471" s="1" t="s">
        <v>309</v>
      </c>
      <c r="E471" s="21" t="s">
        <v>8828</v>
      </c>
      <c r="F471" s="20" t="s">
        <v>309</v>
      </c>
      <c r="G471" s="20" t="s">
        <v>8971</v>
      </c>
      <c r="H471" s="20" t="s">
        <v>309</v>
      </c>
      <c r="I471" s="20" t="s">
        <v>8886</v>
      </c>
      <c r="J471" s="20" t="s">
        <v>344</v>
      </c>
      <c r="K471" s="20" t="s">
        <v>8898</v>
      </c>
      <c r="L471" s="20" t="s">
        <v>512</v>
      </c>
      <c r="M471" s="20" t="s">
        <v>512</v>
      </c>
      <c r="N471" s="20" t="s">
        <v>512</v>
      </c>
      <c r="O471" s="20" t="s">
        <v>512</v>
      </c>
      <c r="P471" s="20"/>
      <c r="Q471" s="1" t="s">
        <v>309</v>
      </c>
    </row>
    <row r="472" spans="1:17" x14ac:dyDescent="0.25">
      <c r="A472" s="1" t="s">
        <v>9453</v>
      </c>
      <c r="B472" s="95" t="s">
        <v>9406</v>
      </c>
      <c r="C472" s="1">
        <v>1</v>
      </c>
      <c r="D472" s="1" t="s">
        <v>8856</v>
      </c>
      <c r="E472" s="21" t="s">
        <v>8855</v>
      </c>
      <c r="F472" s="20" t="s">
        <v>8753</v>
      </c>
      <c r="G472" s="20" t="s">
        <v>8757</v>
      </c>
      <c r="H472" s="20" t="s">
        <v>8753</v>
      </c>
      <c r="I472" s="20" t="s">
        <v>8759</v>
      </c>
      <c r="J472" s="20" t="s">
        <v>8753</v>
      </c>
      <c r="K472" s="20" t="s">
        <v>8761</v>
      </c>
      <c r="L472" s="20" t="s">
        <v>512</v>
      </c>
      <c r="M472" s="20" t="s">
        <v>512</v>
      </c>
      <c r="N472" s="20" t="s">
        <v>512</v>
      </c>
      <c r="O472" s="20" t="s">
        <v>512</v>
      </c>
      <c r="P472" s="20"/>
      <c r="Q472" s="1" t="s">
        <v>8856</v>
      </c>
    </row>
    <row r="473" spans="1:17" x14ac:dyDescent="0.25">
      <c r="A473" s="1" t="s">
        <v>9454</v>
      </c>
      <c r="B473" s="95" t="s">
        <v>9406</v>
      </c>
      <c r="C473" s="1">
        <v>1</v>
      </c>
      <c r="D473" s="1" t="s">
        <v>8856</v>
      </c>
      <c r="E473" s="21" t="s">
        <v>8855</v>
      </c>
      <c r="F473" s="20" t="s">
        <v>8753</v>
      </c>
      <c r="G473" s="20" t="s">
        <v>8757</v>
      </c>
      <c r="H473" s="20" t="s">
        <v>8753</v>
      </c>
      <c r="I473" s="20" t="s">
        <v>8759</v>
      </c>
      <c r="J473" s="20" t="s">
        <v>8753</v>
      </c>
      <c r="K473" s="20" t="s">
        <v>8761</v>
      </c>
      <c r="L473" s="20" t="s">
        <v>512</v>
      </c>
      <c r="M473" s="20" t="s">
        <v>512</v>
      </c>
      <c r="N473" s="20" t="s">
        <v>512</v>
      </c>
      <c r="O473" s="20" t="s">
        <v>512</v>
      </c>
      <c r="P473" s="20"/>
      <c r="Q473" s="1" t="s">
        <v>8856</v>
      </c>
    </row>
    <row r="474" spans="1:17" x14ac:dyDescent="0.25">
      <c r="A474" s="1" t="s">
        <v>9455</v>
      </c>
      <c r="B474" s="96" t="s">
        <v>9033</v>
      </c>
      <c r="C474" s="1">
        <v>1</v>
      </c>
      <c r="D474" s="1" t="s">
        <v>3744</v>
      </c>
      <c r="E474" s="21" t="s">
        <v>8791</v>
      </c>
      <c r="F474" s="20" t="s">
        <v>309</v>
      </c>
      <c r="G474" s="20" t="s">
        <v>8835</v>
      </c>
      <c r="H474" s="20" t="s">
        <v>3744</v>
      </c>
      <c r="I474" s="20" t="s">
        <v>8616</v>
      </c>
      <c r="J474" s="20" t="s">
        <v>512</v>
      </c>
      <c r="K474" s="20" t="s">
        <v>512</v>
      </c>
      <c r="L474" s="20" t="s">
        <v>512</v>
      </c>
      <c r="M474" s="20" t="s">
        <v>512</v>
      </c>
      <c r="N474" s="20" t="s">
        <v>512</v>
      </c>
      <c r="O474" s="20" t="s">
        <v>512</v>
      </c>
      <c r="P474" s="20"/>
      <c r="Q474" s="1" t="s">
        <v>3744</v>
      </c>
    </row>
    <row r="475" spans="1:17" x14ac:dyDescent="0.25">
      <c r="A475" s="1" t="s">
        <v>9456</v>
      </c>
      <c r="B475" s="95" t="s">
        <v>9046</v>
      </c>
      <c r="C475" s="1">
        <v>1</v>
      </c>
      <c r="D475" s="1" t="s">
        <v>106</v>
      </c>
      <c r="E475" s="21" t="s">
        <v>8810</v>
      </c>
      <c r="F475" s="20" t="s">
        <v>309</v>
      </c>
      <c r="G475" s="20" t="s">
        <v>8880</v>
      </c>
      <c r="H475" s="20" t="s">
        <v>309</v>
      </c>
      <c r="I475" s="20">
        <v>344376</v>
      </c>
      <c r="J475" s="20" t="s">
        <v>344</v>
      </c>
      <c r="K475" s="20" t="s">
        <v>8898</v>
      </c>
      <c r="L475" s="20" t="s">
        <v>512</v>
      </c>
      <c r="M475" s="20" t="s">
        <v>512</v>
      </c>
      <c r="N475" s="20" t="s">
        <v>512</v>
      </c>
      <c r="O475" s="20" t="s">
        <v>512</v>
      </c>
      <c r="P475" s="20"/>
      <c r="Q475" s="1" t="s">
        <v>106</v>
      </c>
    </row>
    <row r="476" spans="1:17" x14ac:dyDescent="0.25">
      <c r="A476" s="1" t="s">
        <v>9457</v>
      </c>
      <c r="B476" s="95" t="s">
        <v>9048</v>
      </c>
      <c r="C476" s="1">
        <v>1</v>
      </c>
      <c r="D476" s="1" t="s">
        <v>106</v>
      </c>
      <c r="E476" s="21" t="s">
        <v>8806</v>
      </c>
      <c r="F476" s="20" t="s">
        <v>309</v>
      </c>
      <c r="G476" s="20" t="s">
        <v>8882</v>
      </c>
      <c r="H476" s="20" t="s">
        <v>309</v>
      </c>
      <c r="I476" s="20" t="s">
        <v>8973</v>
      </c>
      <c r="J476" s="20" t="s">
        <v>344</v>
      </c>
      <c r="K476" s="20" t="s">
        <v>8898</v>
      </c>
      <c r="L476" s="20" t="s">
        <v>512</v>
      </c>
      <c r="M476" s="20" t="s">
        <v>512</v>
      </c>
      <c r="N476" s="20" t="s">
        <v>512</v>
      </c>
      <c r="O476" s="20" t="s">
        <v>512</v>
      </c>
      <c r="P476" s="20"/>
      <c r="Q476" s="1" t="s">
        <v>106</v>
      </c>
    </row>
    <row r="477" spans="1:17" x14ac:dyDescent="0.25">
      <c r="A477" s="1" t="s">
        <v>9458</v>
      </c>
      <c r="B477" s="95" t="s">
        <v>9030</v>
      </c>
      <c r="C477" s="1">
        <v>1</v>
      </c>
      <c r="D477" s="1" t="s">
        <v>3744</v>
      </c>
      <c r="E477" s="21" t="s">
        <v>8595</v>
      </c>
      <c r="F477" s="20" t="s">
        <v>8781</v>
      </c>
      <c r="G477" s="20" t="s">
        <v>8616</v>
      </c>
      <c r="H477" s="20" t="s">
        <v>309</v>
      </c>
      <c r="I477" s="20" t="s">
        <v>8878</v>
      </c>
      <c r="J477" s="20" t="s">
        <v>512</v>
      </c>
      <c r="K477" s="20" t="s">
        <v>512</v>
      </c>
      <c r="L477" s="20" t="s">
        <v>512</v>
      </c>
      <c r="M477" s="20" t="s">
        <v>512</v>
      </c>
      <c r="N477" s="20" t="s">
        <v>512</v>
      </c>
      <c r="O477" s="20" t="s">
        <v>512</v>
      </c>
      <c r="P477" s="20"/>
      <c r="Q477" s="1" t="s">
        <v>3744</v>
      </c>
    </row>
    <row r="478" spans="1:17" x14ac:dyDescent="0.25">
      <c r="A478" s="1" t="s">
        <v>9459</v>
      </c>
      <c r="B478" s="95" t="s">
        <v>9039</v>
      </c>
      <c r="C478" s="1">
        <v>1</v>
      </c>
      <c r="D478" s="1" t="s">
        <v>3744</v>
      </c>
      <c r="E478" s="21" t="s">
        <v>8804</v>
      </c>
      <c r="F478" s="20" t="s">
        <v>8781</v>
      </c>
      <c r="G478" s="20" t="s">
        <v>8799</v>
      </c>
      <c r="H478" s="20" t="s">
        <v>309</v>
      </c>
      <c r="I478" s="20" t="s">
        <v>8878</v>
      </c>
      <c r="J478" s="20" t="s">
        <v>512</v>
      </c>
      <c r="K478" s="20" t="s">
        <v>512</v>
      </c>
      <c r="L478" s="20" t="s">
        <v>512</v>
      </c>
      <c r="M478" s="20" t="s">
        <v>512</v>
      </c>
      <c r="N478" s="20" t="s">
        <v>512</v>
      </c>
      <c r="O478" s="20" t="s">
        <v>512</v>
      </c>
      <c r="P478" s="20"/>
      <c r="Q478" s="1" t="s">
        <v>3744</v>
      </c>
    </row>
    <row r="479" spans="1:17" x14ac:dyDescent="0.25">
      <c r="A479" s="1" t="s">
        <v>9459</v>
      </c>
      <c r="B479" s="95" t="s">
        <v>9039</v>
      </c>
      <c r="C479" s="1">
        <v>1</v>
      </c>
      <c r="D479" s="1" t="s">
        <v>3744</v>
      </c>
      <c r="E479" s="21" t="s">
        <v>8804</v>
      </c>
      <c r="F479" s="20" t="s">
        <v>8781</v>
      </c>
      <c r="G479" s="20" t="s">
        <v>8799</v>
      </c>
      <c r="H479" s="20" t="s">
        <v>309</v>
      </c>
      <c r="I479" s="20" t="s">
        <v>8878</v>
      </c>
      <c r="J479" s="20" t="s">
        <v>512</v>
      </c>
      <c r="K479" s="20" t="s">
        <v>512</v>
      </c>
      <c r="L479" s="20" t="s">
        <v>512</v>
      </c>
      <c r="M479" s="20" t="s">
        <v>512</v>
      </c>
      <c r="N479" s="20" t="s">
        <v>512</v>
      </c>
      <c r="O479" s="20" t="s">
        <v>512</v>
      </c>
      <c r="P479" s="20"/>
      <c r="Q479" s="1" t="s">
        <v>3744</v>
      </c>
    </row>
    <row r="480" spans="1:17" x14ac:dyDescent="0.25">
      <c r="A480" s="1" t="s">
        <v>9460</v>
      </c>
      <c r="B480" s="95" t="s">
        <v>9139</v>
      </c>
      <c r="C480" s="1">
        <v>1</v>
      </c>
      <c r="D480" s="1" t="s">
        <v>3744</v>
      </c>
      <c r="E480" s="21" t="s">
        <v>8787</v>
      </c>
      <c r="F480" s="20" t="s">
        <v>309</v>
      </c>
      <c r="G480" s="20" t="s">
        <v>8878</v>
      </c>
      <c r="H480" s="20" t="s">
        <v>8781</v>
      </c>
      <c r="I480" s="20" t="s">
        <v>8797</v>
      </c>
      <c r="J480" s="20" t="s">
        <v>512</v>
      </c>
      <c r="K480" s="20" t="s">
        <v>512</v>
      </c>
      <c r="L480" s="20" t="s">
        <v>512</v>
      </c>
      <c r="M480" s="20" t="s">
        <v>512</v>
      </c>
      <c r="N480" s="20" t="s">
        <v>512</v>
      </c>
      <c r="O480" s="20" t="s">
        <v>512</v>
      </c>
      <c r="P480" s="20"/>
      <c r="Q480" s="1" t="s">
        <v>3744</v>
      </c>
    </row>
    <row r="481" spans="1:17" x14ac:dyDescent="0.25">
      <c r="A481" s="1" t="s">
        <v>9461</v>
      </c>
      <c r="B481" s="95" t="s">
        <v>9046</v>
      </c>
      <c r="C481" s="1">
        <v>1</v>
      </c>
      <c r="D481" s="1" t="s">
        <v>106</v>
      </c>
      <c r="E481" s="21" t="s">
        <v>8810</v>
      </c>
      <c r="F481" s="20" t="s">
        <v>309</v>
      </c>
      <c r="G481" s="20" t="s">
        <v>8880</v>
      </c>
      <c r="H481" s="20" t="s">
        <v>309</v>
      </c>
      <c r="I481" s="20">
        <v>344376</v>
      </c>
      <c r="J481" s="20" t="s">
        <v>344</v>
      </c>
      <c r="K481" s="20" t="s">
        <v>8898</v>
      </c>
      <c r="L481" s="20" t="s">
        <v>512</v>
      </c>
      <c r="M481" s="20" t="s">
        <v>512</v>
      </c>
      <c r="N481" s="20" t="s">
        <v>512</v>
      </c>
      <c r="O481" s="20" t="s">
        <v>512</v>
      </c>
      <c r="P481" s="20"/>
      <c r="Q481" s="1" t="s">
        <v>106</v>
      </c>
    </row>
    <row r="482" spans="1:17" x14ac:dyDescent="0.25">
      <c r="A482" s="1" t="s">
        <v>9462</v>
      </c>
      <c r="B482" s="95" t="s">
        <v>9030</v>
      </c>
      <c r="C482" s="1">
        <v>1</v>
      </c>
      <c r="D482" s="1" t="s">
        <v>3744</v>
      </c>
      <c r="E482" s="21" t="s">
        <v>8595</v>
      </c>
      <c r="F482" s="20" t="s">
        <v>8781</v>
      </c>
      <c r="G482" s="20" t="s">
        <v>8616</v>
      </c>
      <c r="H482" s="20" t="s">
        <v>309</v>
      </c>
      <c r="I482" s="20" t="s">
        <v>8878</v>
      </c>
      <c r="J482" s="20" t="s">
        <v>512</v>
      </c>
      <c r="K482" s="20" t="s">
        <v>512</v>
      </c>
      <c r="L482" s="20" t="s">
        <v>512</v>
      </c>
      <c r="M482" s="20" t="s">
        <v>512</v>
      </c>
      <c r="N482" s="20" t="s">
        <v>512</v>
      </c>
      <c r="O482" s="20" t="s">
        <v>512</v>
      </c>
      <c r="P482" s="20"/>
      <c r="Q482" s="1" t="s">
        <v>3744</v>
      </c>
    </row>
    <row r="483" spans="1:17" x14ac:dyDescent="0.25">
      <c r="A483" s="1" t="s">
        <v>9463</v>
      </c>
      <c r="B483" s="95" t="s">
        <v>9406</v>
      </c>
      <c r="C483" s="1">
        <v>1</v>
      </c>
      <c r="D483" s="1" t="s">
        <v>8856</v>
      </c>
      <c r="E483" s="21" t="s">
        <v>8855</v>
      </c>
      <c r="F483" s="20" t="s">
        <v>8753</v>
      </c>
      <c r="G483" s="20" t="s">
        <v>8757</v>
      </c>
      <c r="H483" s="20" t="s">
        <v>8753</v>
      </c>
      <c r="I483" s="20" t="s">
        <v>8759</v>
      </c>
      <c r="J483" s="20" t="s">
        <v>8753</v>
      </c>
      <c r="K483" s="20" t="s">
        <v>8761</v>
      </c>
      <c r="L483" s="20" t="s">
        <v>512</v>
      </c>
      <c r="M483" s="20" t="s">
        <v>512</v>
      </c>
      <c r="N483" s="20" t="s">
        <v>512</v>
      </c>
      <c r="O483" s="20" t="s">
        <v>512</v>
      </c>
      <c r="P483" s="20"/>
      <c r="Q483" s="1" t="s">
        <v>8856</v>
      </c>
    </row>
    <row r="484" spans="1:17" x14ac:dyDescent="0.25">
      <c r="A484" s="1" t="s">
        <v>9464</v>
      </c>
      <c r="B484" s="95" t="s">
        <v>9030</v>
      </c>
      <c r="C484" s="1">
        <v>1</v>
      </c>
      <c r="D484" s="1" t="s">
        <v>3744</v>
      </c>
      <c r="E484" s="21" t="s">
        <v>8595</v>
      </c>
      <c r="F484" s="20" t="s">
        <v>8781</v>
      </c>
      <c r="G484" s="20" t="s">
        <v>8618</v>
      </c>
      <c r="H484" s="20" t="s">
        <v>309</v>
      </c>
      <c r="I484" s="20" t="s">
        <v>8878</v>
      </c>
      <c r="J484" s="20" t="s">
        <v>512</v>
      </c>
      <c r="K484" s="20" t="s">
        <v>512</v>
      </c>
      <c r="L484" s="20" t="s">
        <v>512</v>
      </c>
      <c r="M484" s="20" t="s">
        <v>512</v>
      </c>
      <c r="N484" s="20" t="s">
        <v>512</v>
      </c>
      <c r="O484" s="20" t="s">
        <v>512</v>
      </c>
      <c r="P484" s="20"/>
      <c r="Q484" s="1" t="s">
        <v>3744</v>
      </c>
    </row>
    <row r="485" spans="1:17" x14ac:dyDescent="0.25">
      <c r="A485" s="1" t="s">
        <v>9465</v>
      </c>
      <c r="B485" s="95" t="s">
        <v>9406</v>
      </c>
      <c r="C485" s="1">
        <v>1</v>
      </c>
      <c r="D485" s="1" t="s">
        <v>8856</v>
      </c>
      <c r="E485" s="21" t="s">
        <v>8855</v>
      </c>
      <c r="F485" s="20" t="s">
        <v>8753</v>
      </c>
      <c r="G485" s="20" t="s">
        <v>8757</v>
      </c>
      <c r="H485" s="20" t="s">
        <v>8753</v>
      </c>
      <c r="I485" s="20" t="s">
        <v>8759</v>
      </c>
      <c r="J485" s="20" t="s">
        <v>8753</v>
      </c>
      <c r="K485" s="20" t="s">
        <v>8761</v>
      </c>
      <c r="L485" s="20" t="s">
        <v>512</v>
      </c>
      <c r="M485" s="20" t="s">
        <v>512</v>
      </c>
      <c r="N485" s="20" t="s">
        <v>512</v>
      </c>
      <c r="O485" s="20" t="s">
        <v>512</v>
      </c>
      <c r="P485" s="20"/>
      <c r="Q485" s="1" t="s">
        <v>8856</v>
      </c>
    </row>
    <row r="486" spans="1:17" x14ac:dyDescent="0.25">
      <c r="A486" s="1" t="s">
        <v>9466</v>
      </c>
      <c r="B486" s="95" t="s">
        <v>9406</v>
      </c>
      <c r="C486" s="1">
        <v>1</v>
      </c>
      <c r="D486" s="1" t="s">
        <v>8856</v>
      </c>
      <c r="E486" s="21" t="s">
        <v>8855</v>
      </c>
      <c r="F486" s="20" t="s">
        <v>8753</v>
      </c>
      <c r="G486" s="20" t="s">
        <v>8757</v>
      </c>
      <c r="H486" s="20" t="s">
        <v>8753</v>
      </c>
      <c r="I486" s="20" t="s">
        <v>8759</v>
      </c>
      <c r="J486" s="20" t="s">
        <v>8753</v>
      </c>
      <c r="K486" s="20" t="s">
        <v>8761</v>
      </c>
      <c r="L486" s="20" t="s">
        <v>512</v>
      </c>
      <c r="M486" s="20" t="s">
        <v>512</v>
      </c>
      <c r="N486" s="20" t="s">
        <v>512</v>
      </c>
      <c r="O486" s="20" t="s">
        <v>512</v>
      </c>
      <c r="P486" s="20"/>
      <c r="Q486" s="1" t="s">
        <v>8856</v>
      </c>
    </row>
    <row r="487" spans="1:17" x14ac:dyDescent="0.25">
      <c r="A487" s="1" t="s">
        <v>9467</v>
      </c>
      <c r="B487" s="95" t="s">
        <v>9046</v>
      </c>
      <c r="C487" s="1">
        <v>1</v>
      </c>
      <c r="D487" s="1" t="s">
        <v>106</v>
      </c>
      <c r="E487" s="21" t="s">
        <v>8810</v>
      </c>
      <c r="F487" s="20" t="s">
        <v>309</v>
      </c>
      <c r="G487" s="20" t="s">
        <v>8880</v>
      </c>
      <c r="H487" s="20" t="s">
        <v>309</v>
      </c>
      <c r="I487" s="20">
        <v>344376</v>
      </c>
      <c r="J487" s="20" t="s">
        <v>344</v>
      </c>
      <c r="K487" s="20" t="s">
        <v>8898</v>
      </c>
      <c r="L487" s="20" t="s">
        <v>512</v>
      </c>
      <c r="M487" s="20" t="s">
        <v>512</v>
      </c>
      <c r="N487" s="20" t="s">
        <v>512</v>
      </c>
      <c r="O487" s="20" t="s">
        <v>512</v>
      </c>
      <c r="P487" s="20"/>
      <c r="Q487" s="1" t="s">
        <v>106</v>
      </c>
    </row>
    <row r="488" spans="1:17" x14ac:dyDescent="0.25">
      <c r="A488" s="1" t="s">
        <v>9468</v>
      </c>
      <c r="B488" s="95" t="s">
        <v>9046</v>
      </c>
      <c r="C488" s="1">
        <v>1</v>
      </c>
      <c r="D488" s="1" t="s">
        <v>106</v>
      </c>
      <c r="E488" s="21" t="s">
        <v>8810</v>
      </c>
      <c r="F488" s="20" t="s">
        <v>309</v>
      </c>
      <c r="G488" s="20" t="s">
        <v>8880</v>
      </c>
      <c r="H488" s="20" t="s">
        <v>309</v>
      </c>
      <c r="I488" s="20">
        <v>344376</v>
      </c>
      <c r="J488" s="20" t="s">
        <v>344</v>
      </c>
      <c r="K488" s="20" t="s">
        <v>8898</v>
      </c>
      <c r="L488" s="20" t="s">
        <v>512</v>
      </c>
      <c r="M488" s="20" t="s">
        <v>512</v>
      </c>
      <c r="N488" s="20" t="s">
        <v>512</v>
      </c>
      <c r="O488" s="20" t="s">
        <v>512</v>
      </c>
      <c r="P488" s="20"/>
      <c r="Q488" s="1" t="s">
        <v>106</v>
      </c>
    </row>
    <row r="489" spans="1:17" x14ac:dyDescent="0.25">
      <c r="A489" s="1" t="s">
        <v>9469</v>
      </c>
      <c r="B489" s="95" t="s">
        <v>9030</v>
      </c>
      <c r="C489" s="1">
        <v>1</v>
      </c>
      <c r="D489" s="1" t="s">
        <v>3744</v>
      </c>
      <c r="E489" s="21" t="s">
        <v>8595</v>
      </c>
      <c r="F489" s="20" t="s">
        <v>8781</v>
      </c>
      <c r="G489" s="20" t="s">
        <v>8618</v>
      </c>
      <c r="H489" s="20" t="s">
        <v>309</v>
      </c>
      <c r="I489" s="20" t="s">
        <v>8878</v>
      </c>
      <c r="J489" s="20" t="s">
        <v>512</v>
      </c>
      <c r="K489" s="20" t="s">
        <v>512</v>
      </c>
      <c r="L489" s="20" t="s">
        <v>512</v>
      </c>
      <c r="M489" s="20" t="s">
        <v>512</v>
      </c>
      <c r="N489" s="20" t="s">
        <v>512</v>
      </c>
      <c r="O489" s="20" t="s">
        <v>512</v>
      </c>
      <c r="P489" s="20"/>
      <c r="Q489" s="1" t="s">
        <v>3744</v>
      </c>
    </row>
    <row r="490" spans="1:17" x14ac:dyDescent="0.25">
      <c r="A490" s="1" t="s">
        <v>9470</v>
      </c>
      <c r="B490" s="95" t="s">
        <v>9160</v>
      </c>
      <c r="C490" s="1">
        <v>1</v>
      </c>
      <c r="D490" s="1" t="s">
        <v>3744</v>
      </c>
      <c r="E490" s="21" t="s">
        <v>8785</v>
      </c>
      <c r="F490" s="20" t="s">
        <v>309</v>
      </c>
      <c r="G490" s="20" t="s">
        <v>8878</v>
      </c>
      <c r="H490" s="20" t="s">
        <v>8781</v>
      </c>
      <c r="I490" s="20" t="s">
        <v>8797</v>
      </c>
      <c r="J490" s="20" t="s">
        <v>512</v>
      </c>
      <c r="K490" s="20" t="s">
        <v>512</v>
      </c>
      <c r="L490" s="20" t="s">
        <v>512</v>
      </c>
      <c r="M490" s="20" t="s">
        <v>512</v>
      </c>
      <c r="N490" s="20" t="s">
        <v>512</v>
      </c>
      <c r="O490" s="20" t="s">
        <v>512</v>
      </c>
      <c r="P490" s="20"/>
      <c r="Q490" s="1" t="s">
        <v>3744</v>
      </c>
    </row>
    <row r="491" spans="1:17" x14ac:dyDescent="0.25">
      <c r="A491" s="1" t="s">
        <v>9471</v>
      </c>
      <c r="B491" s="95" t="s">
        <v>9030</v>
      </c>
      <c r="C491" s="1">
        <v>1</v>
      </c>
      <c r="D491" s="1" t="s">
        <v>3744</v>
      </c>
      <c r="E491" s="21" t="s">
        <v>8595</v>
      </c>
      <c r="F491" s="20" t="s">
        <v>8781</v>
      </c>
      <c r="G491" s="20" t="s">
        <v>8616</v>
      </c>
      <c r="H491" s="20" t="s">
        <v>309</v>
      </c>
      <c r="I491" s="20" t="s">
        <v>8878</v>
      </c>
      <c r="J491" s="20" t="s">
        <v>512</v>
      </c>
      <c r="K491" s="20" t="s">
        <v>512</v>
      </c>
      <c r="L491" s="20" t="s">
        <v>512</v>
      </c>
      <c r="M491" s="20" t="s">
        <v>512</v>
      </c>
      <c r="N491" s="20" t="s">
        <v>512</v>
      </c>
      <c r="O491" s="20" t="s">
        <v>512</v>
      </c>
      <c r="P491" s="20"/>
      <c r="Q491" s="1" t="s">
        <v>3744</v>
      </c>
    </row>
    <row r="492" spans="1:17" x14ac:dyDescent="0.25">
      <c r="A492" s="1" t="s">
        <v>9472</v>
      </c>
      <c r="B492" s="95" t="s">
        <v>9046</v>
      </c>
      <c r="C492" s="1">
        <v>1</v>
      </c>
      <c r="D492" s="1" t="s">
        <v>106</v>
      </c>
      <c r="E492" s="21" t="s">
        <v>8810</v>
      </c>
      <c r="F492" s="20" t="s">
        <v>309</v>
      </c>
      <c r="G492" s="20" t="s">
        <v>8880</v>
      </c>
      <c r="H492" s="20" t="s">
        <v>309</v>
      </c>
      <c r="I492" s="20">
        <v>344376</v>
      </c>
      <c r="J492" s="20" t="s">
        <v>344</v>
      </c>
      <c r="K492" s="20" t="s">
        <v>8898</v>
      </c>
      <c r="L492" s="20" t="s">
        <v>512</v>
      </c>
      <c r="M492" s="20" t="s">
        <v>512</v>
      </c>
      <c r="N492" s="20" t="s">
        <v>512</v>
      </c>
      <c r="O492" s="20" t="s">
        <v>512</v>
      </c>
      <c r="P492" s="20"/>
      <c r="Q492" s="1" t="s">
        <v>106</v>
      </c>
    </row>
    <row r="493" spans="1:17" x14ac:dyDescent="0.25">
      <c r="A493" s="1" t="s">
        <v>9473</v>
      </c>
      <c r="B493" s="95" t="s">
        <v>9048</v>
      </c>
      <c r="C493" s="1">
        <v>1</v>
      </c>
      <c r="D493" s="1" t="s">
        <v>106</v>
      </c>
      <c r="E493" s="21" t="s">
        <v>8806</v>
      </c>
      <c r="F493" s="20" t="s">
        <v>309</v>
      </c>
      <c r="G493" s="20" t="s">
        <v>8882</v>
      </c>
      <c r="H493" s="20" t="s">
        <v>309</v>
      </c>
      <c r="I493" s="20" t="s">
        <v>8973</v>
      </c>
      <c r="J493" s="20" t="s">
        <v>344</v>
      </c>
      <c r="K493" s="20" t="s">
        <v>8898</v>
      </c>
      <c r="L493" s="20" t="s">
        <v>512</v>
      </c>
      <c r="M493" s="20" t="s">
        <v>512</v>
      </c>
      <c r="N493" s="20" t="s">
        <v>512</v>
      </c>
      <c r="O493" s="20" t="s">
        <v>512</v>
      </c>
      <c r="P493" s="20"/>
      <c r="Q493" s="1" t="s">
        <v>106</v>
      </c>
    </row>
    <row r="494" spans="1:17" x14ac:dyDescent="0.25">
      <c r="A494" s="1" t="s">
        <v>9474</v>
      </c>
      <c r="B494" s="95" t="s">
        <v>9406</v>
      </c>
      <c r="C494" s="1">
        <v>1</v>
      </c>
      <c r="D494" s="1" t="s">
        <v>8856</v>
      </c>
      <c r="E494" s="21" t="s">
        <v>8855</v>
      </c>
      <c r="F494" s="20" t="s">
        <v>8753</v>
      </c>
      <c r="G494" s="20" t="s">
        <v>8757</v>
      </c>
      <c r="H494" s="20" t="s">
        <v>8753</v>
      </c>
      <c r="I494" s="20" t="s">
        <v>8759</v>
      </c>
      <c r="J494" s="20" t="s">
        <v>8753</v>
      </c>
      <c r="K494" s="20" t="s">
        <v>8761</v>
      </c>
      <c r="L494" s="20" t="s">
        <v>512</v>
      </c>
      <c r="M494" s="20" t="s">
        <v>512</v>
      </c>
      <c r="N494" s="20" t="s">
        <v>512</v>
      </c>
      <c r="O494" s="20" t="s">
        <v>512</v>
      </c>
      <c r="P494" s="20"/>
      <c r="Q494" s="1" t="s">
        <v>8856</v>
      </c>
    </row>
    <row r="495" spans="1:17" x14ac:dyDescent="0.25">
      <c r="A495" s="1" t="s">
        <v>9475</v>
      </c>
      <c r="B495" s="95" t="s">
        <v>9406</v>
      </c>
      <c r="C495" s="1">
        <v>1</v>
      </c>
      <c r="D495" s="1" t="s">
        <v>8856</v>
      </c>
      <c r="E495" s="21" t="s">
        <v>8855</v>
      </c>
      <c r="F495" s="20" t="s">
        <v>8753</v>
      </c>
      <c r="G495" s="20" t="s">
        <v>8757</v>
      </c>
      <c r="H495" s="20" t="s">
        <v>8753</v>
      </c>
      <c r="I495" s="20" t="s">
        <v>8759</v>
      </c>
      <c r="J495" s="20" t="s">
        <v>8753</v>
      </c>
      <c r="K495" s="20" t="s">
        <v>8761</v>
      </c>
      <c r="L495" s="20" t="s">
        <v>512</v>
      </c>
      <c r="M495" s="20" t="s">
        <v>512</v>
      </c>
      <c r="N495" s="20" t="s">
        <v>512</v>
      </c>
      <c r="O495" s="20" t="s">
        <v>512</v>
      </c>
      <c r="P495" s="20"/>
      <c r="Q495" s="1" t="s">
        <v>8856</v>
      </c>
    </row>
    <row r="496" spans="1:17" x14ac:dyDescent="0.25">
      <c r="A496" s="1" t="s">
        <v>9476</v>
      </c>
      <c r="B496" s="95" t="s">
        <v>9046</v>
      </c>
      <c r="C496" s="1">
        <v>1</v>
      </c>
      <c r="D496" s="1" t="s">
        <v>106</v>
      </c>
      <c r="E496" s="21" t="s">
        <v>8810</v>
      </c>
      <c r="F496" s="20" t="s">
        <v>309</v>
      </c>
      <c r="G496" s="20" t="s">
        <v>8880</v>
      </c>
      <c r="H496" s="20" t="s">
        <v>309</v>
      </c>
      <c r="I496" s="20">
        <v>344376</v>
      </c>
      <c r="J496" s="20" t="s">
        <v>344</v>
      </c>
      <c r="K496" s="20" t="s">
        <v>8898</v>
      </c>
      <c r="L496" s="20" t="s">
        <v>512</v>
      </c>
      <c r="M496" s="20" t="s">
        <v>512</v>
      </c>
      <c r="N496" s="20" t="s">
        <v>512</v>
      </c>
      <c r="O496" s="20" t="s">
        <v>512</v>
      </c>
      <c r="P496" s="20"/>
      <c r="Q496" s="1" t="s">
        <v>106</v>
      </c>
    </row>
    <row r="497" spans="1:17" x14ac:dyDescent="0.25">
      <c r="A497" s="1" t="s">
        <v>9477</v>
      </c>
      <c r="B497" s="95" t="s">
        <v>9048</v>
      </c>
      <c r="C497" s="1">
        <v>1</v>
      </c>
      <c r="D497" s="1" t="s">
        <v>106</v>
      </c>
      <c r="E497" s="21" t="s">
        <v>8806</v>
      </c>
      <c r="F497" s="20" t="s">
        <v>309</v>
      </c>
      <c r="G497" s="20" t="s">
        <v>8882</v>
      </c>
      <c r="H497" s="20" t="s">
        <v>309</v>
      </c>
      <c r="I497" s="20" t="s">
        <v>8973</v>
      </c>
      <c r="J497" s="20" t="s">
        <v>344</v>
      </c>
      <c r="K497" s="20" t="s">
        <v>8898</v>
      </c>
      <c r="L497" s="20" t="s">
        <v>512</v>
      </c>
      <c r="M497" s="20" t="s">
        <v>512</v>
      </c>
      <c r="N497" s="20" t="s">
        <v>512</v>
      </c>
      <c r="O497" s="20" t="s">
        <v>512</v>
      </c>
      <c r="P497" s="20"/>
      <c r="Q497" s="1" t="s">
        <v>106</v>
      </c>
    </row>
    <row r="498" spans="1:17" x14ac:dyDescent="0.25">
      <c r="A498" s="1" t="s">
        <v>9478</v>
      </c>
      <c r="B498" s="95" t="s">
        <v>9044</v>
      </c>
      <c r="C498" s="1">
        <v>1</v>
      </c>
      <c r="D498" s="1" t="s">
        <v>3744</v>
      </c>
      <c r="E498" s="21" t="s">
        <v>8657</v>
      </c>
      <c r="F498" s="20" t="s">
        <v>3744</v>
      </c>
      <c r="G498" s="20" t="s">
        <v>8780</v>
      </c>
      <c r="H498" s="20" t="s">
        <v>309</v>
      </c>
      <c r="I498" s="20" t="s">
        <v>8835</v>
      </c>
      <c r="J498" s="20" t="s">
        <v>309</v>
      </c>
      <c r="K498" s="20" t="s">
        <v>8884</v>
      </c>
      <c r="L498" s="20" t="s">
        <v>3744</v>
      </c>
      <c r="M498" s="20" t="s">
        <v>8677</v>
      </c>
      <c r="N498" s="20" t="s">
        <v>3744</v>
      </c>
      <c r="O498" s="20" t="s">
        <v>8783</v>
      </c>
      <c r="P498" s="20"/>
      <c r="Q498" s="1" t="s">
        <v>3744</v>
      </c>
    </row>
    <row r="499" spans="1:17" x14ac:dyDescent="0.25">
      <c r="A499" s="1" t="s">
        <v>9479</v>
      </c>
      <c r="B499" s="95" t="s">
        <v>9044</v>
      </c>
      <c r="C499" s="1">
        <v>1</v>
      </c>
      <c r="D499" s="1" t="s">
        <v>3744</v>
      </c>
      <c r="E499" s="21" t="s">
        <v>8657</v>
      </c>
      <c r="F499" s="20" t="s">
        <v>3744</v>
      </c>
      <c r="G499" s="20" t="s">
        <v>8780</v>
      </c>
      <c r="H499" s="20" t="s">
        <v>309</v>
      </c>
      <c r="I499" s="20" t="s">
        <v>8835</v>
      </c>
      <c r="J499" s="20" t="s">
        <v>309</v>
      </c>
      <c r="K499" s="20" t="s">
        <v>8884</v>
      </c>
      <c r="L499" s="20" t="s">
        <v>3744</v>
      </c>
      <c r="M499" s="20" t="s">
        <v>8677</v>
      </c>
      <c r="N499" s="20" t="s">
        <v>3744</v>
      </c>
      <c r="O499" s="20" t="s">
        <v>8783</v>
      </c>
      <c r="P499" s="20"/>
      <c r="Q499" s="1" t="s">
        <v>3744</v>
      </c>
    </row>
    <row r="500" spans="1:17" x14ac:dyDescent="0.25">
      <c r="A500" s="1" t="s">
        <v>9480</v>
      </c>
      <c r="B500" s="95" t="s">
        <v>9030</v>
      </c>
      <c r="C500" s="1">
        <v>1</v>
      </c>
      <c r="D500" s="1" t="s">
        <v>3744</v>
      </c>
      <c r="E500" s="21" t="s">
        <v>8595</v>
      </c>
      <c r="F500" s="20" t="s">
        <v>8781</v>
      </c>
      <c r="G500" s="20" t="s">
        <v>8618</v>
      </c>
      <c r="H500" s="20" t="s">
        <v>309</v>
      </c>
      <c r="I500" s="20" t="s">
        <v>8878</v>
      </c>
      <c r="J500" s="20" t="s">
        <v>512</v>
      </c>
      <c r="K500" s="20" t="s">
        <v>512</v>
      </c>
      <c r="L500" s="20" t="s">
        <v>512</v>
      </c>
      <c r="M500" s="20" t="s">
        <v>512</v>
      </c>
      <c r="N500" s="20" t="s">
        <v>512</v>
      </c>
      <c r="O500" s="20" t="s">
        <v>512</v>
      </c>
      <c r="P500" s="20"/>
      <c r="Q500" s="1" t="s">
        <v>3744</v>
      </c>
    </row>
    <row r="501" spans="1:17" x14ac:dyDescent="0.25">
      <c r="A501" s="1" t="s">
        <v>9481</v>
      </c>
      <c r="B501" s="95" t="s">
        <v>9030</v>
      </c>
      <c r="C501" s="1">
        <v>1</v>
      </c>
      <c r="D501" s="1" t="s">
        <v>3744</v>
      </c>
      <c r="E501" s="21" t="s">
        <v>8595</v>
      </c>
      <c r="F501" s="20" t="s">
        <v>8781</v>
      </c>
      <c r="G501" s="20" t="s">
        <v>8618</v>
      </c>
      <c r="H501" s="20" t="s">
        <v>309</v>
      </c>
      <c r="I501" s="20" t="s">
        <v>8878</v>
      </c>
      <c r="J501" s="20" t="s">
        <v>512</v>
      </c>
      <c r="K501" s="20" t="s">
        <v>512</v>
      </c>
      <c r="L501" s="20" t="s">
        <v>512</v>
      </c>
      <c r="M501" s="20" t="s">
        <v>512</v>
      </c>
      <c r="N501" s="20" t="s">
        <v>512</v>
      </c>
      <c r="O501" s="20" t="s">
        <v>512</v>
      </c>
      <c r="P501" s="20"/>
      <c r="Q501" s="1" t="s">
        <v>3744</v>
      </c>
    </row>
    <row r="502" spans="1:17" x14ac:dyDescent="0.25">
      <c r="A502" s="1" t="s">
        <v>9482</v>
      </c>
      <c r="B502" s="95" t="s">
        <v>9406</v>
      </c>
      <c r="C502" s="1">
        <v>1</v>
      </c>
      <c r="D502" s="1" t="s">
        <v>8856</v>
      </c>
      <c r="E502" s="21" t="s">
        <v>8855</v>
      </c>
      <c r="F502" s="20" t="s">
        <v>8753</v>
      </c>
      <c r="G502" s="20" t="s">
        <v>8757</v>
      </c>
      <c r="H502" s="20" t="s">
        <v>8753</v>
      </c>
      <c r="I502" s="20" t="s">
        <v>8759</v>
      </c>
      <c r="J502" s="20" t="s">
        <v>8753</v>
      </c>
      <c r="K502" s="20" t="s">
        <v>8761</v>
      </c>
      <c r="L502" s="20" t="s">
        <v>512</v>
      </c>
      <c r="M502" s="20" t="s">
        <v>512</v>
      </c>
      <c r="N502" s="20" t="s">
        <v>512</v>
      </c>
      <c r="O502" s="20" t="s">
        <v>512</v>
      </c>
      <c r="P502" s="20"/>
      <c r="Q502" s="1" t="s">
        <v>8856</v>
      </c>
    </row>
    <row r="503" spans="1:17" x14ac:dyDescent="0.25">
      <c r="A503" s="1" t="s">
        <v>9483</v>
      </c>
      <c r="B503" s="95" t="s">
        <v>9406</v>
      </c>
      <c r="C503" s="1">
        <v>1</v>
      </c>
      <c r="D503" s="1" t="s">
        <v>8856</v>
      </c>
      <c r="E503" s="21" t="s">
        <v>8855</v>
      </c>
      <c r="F503" s="20" t="s">
        <v>8753</v>
      </c>
      <c r="G503" s="20" t="s">
        <v>8757</v>
      </c>
      <c r="H503" s="20" t="s">
        <v>8753</v>
      </c>
      <c r="I503" s="20" t="s">
        <v>8759</v>
      </c>
      <c r="J503" s="20" t="s">
        <v>8753</v>
      </c>
      <c r="K503" s="20" t="s">
        <v>8761</v>
      </c>
      <c r="L503" s="20" t="s">
        <v>512</v>
      </c>
      <c r="M503" s="20" t="s">
        <v>512</v>
      </c>
      <c r="N503" s="20" t="s">
        <v>512</v>
      </c>
      <c r="O503" s="20" t="s">
        <v>512</v>
      </c>
      <c r="P503" s="20"/>
      <c r="Q503" s="1" t="s">
        <v>8856</v>
      </c>
    </row>
    <row r="504" spans="1:17" x14ac:dyDescent="0.25">
      <c r="A504" s="1" t="s">
        <v>9484</v>
      </c>
      <c r="B504" s="95" t="s">
        <v>9046</v>
      </c>
      <c r="C504" s="1">
        <v>1</v>
      </c>
      <c r="D504" s="1" t="s">
        <v>106</v>
      </c>
      <c r="E504" s="21" t="s">
        <v>8810</v>
      </c>
      <c r="F504" s="20" t="s">
        <v>309</v>
      </c>
      <c r="G504" s="20" t="s">
        <v>8880</v>
      </c>
      <c r="H504" s="20" t="s">
        <v>309</v>
      </c>
      <c r="I504" s="20">
        <v>344376</v>
      </c>
      <c r="J504" s="20" t="s">
        <v>344</v>
      </c>
      <c r="K504" s="20" t="s">
        <v>8898</v>
      </c>
      <c r="L504" s="20" t="s">
        <v>512</v>
      </c>
      <c r="M504" s="20" t="s">
        <v>512</v>
      </c>
      <c r="N504" s="20" t="s">
        <v>512</v>
      </c>
      <c r="O504" s="20" t="s">
        <v>512</v>
      </c>
      <c r="P504" s="20"/>
      <c r="Q504" s="1" t="s">
        <v>106</v>
      </c>
    </row>
    <row r="505" spans="1:17" x14ac:dyDescent="0.25">
      <c r="A505" s="1" t="s">
        <v>9485</v>
      </c>
      <c r="B505" s="95" t="s">
        <v>9048</v>
      </c>
      <c r="C505" s="1">
        <v>1</v>
      </c>
      <c r="D505" s="1" t="s">
        <v>106</v>
      </c>
      <c r="E505" s="21" t="s">
        <v>8806</v>
      </c>
      <c r="F505" s="20" t="s">
        <v>309</v>
      </c>
      <c r="G505" s="20" t="s">
        <v>8882</v>
      </c>
      <c r="H505" s="20" t="s">
        <v>309</v>
      </c>
      <c r="I505" s="20" t="s">
        <v>8973</v>
      </c>
      <c r="J505" s="20" t="s">
        <v>344</v>
      </c>
      <c r="K505" s="20" t="s">
        <v>8898</v>
      </c>
      <c r="L505" s="20" t="s">
        <v>512</v>
      </c>
      <c r="M505" s="20" t="s">
        <v>512</v>
      </c>
      <c r="N505" s="20" t="s">
        <v>512</v>
      </c>
      <c r="O505" s="20" t="s">
        <v>512</v>
      </c>
      <c r="P505" s="20"/>
      <c r="Q505" s="1" t="s">
        <v>106</v>
      </c>
    </row>
    <row r="506" spans="1:17" x14ac:dyDescent="0.25">
      <c r="A506" s="1" t="s">
        <v>9486</v>
      </c>
      <c r="B506" s="95" t="s">
        <v>9406</v>
      </c>
      <c r="C506" s="1">
        <v>1</v>
      </c>
      <c r="D506" s="1" t="s">
        <v>8856</v>
      </c>
      <c r="E506" s="21" t="s">
        <v>8855</v>
      </c>
      <c r="F506" s="20" t="s">
        <v>8753</v>
      </c>
      <c r="G506" s="20" t="s">
        <v>8757</v>
      </c>
      <c r="H506" s="20" t="s">
        <v>8753</v>
      </c>
      <c r="I506" s="20" t="s">
        <v>8759</v>
      </c>
      <c r="J506" s="20" t="s">
        <v>8753</v>
      </c>
      <c r="K506" s="20" t="s">
        <v>8761</v>
      </c>
      <c r="L506" s="20" t="s">
        <v>512</v>
      </c>
      <c r="M506" s="20" t="s">
        <v>512</v>
      </c>
      <c r="N506" s="20" t="s">
        <v>512</v>
      </c>
      <c r="O506" s="20" t="s">
        <v>512</v>
      </c>
      <c r="P506" s="20"/>
      <c r="Q506" s="1" t="s">
        <v>8856</v>
      </c>
    </row>
    <row r="507" spans="1:17" x14ac:dyDescent="0.25">
      <c r="A507" s="1" t="s">
        <v>9487</v>
      </c>
      <c r="B507" s="95" t="s">
        <v>9044</v>
      </c>
      <c r="C507" s="1">
        <v>1</v>
      </c>
      <c r="D507" s="1" t="s">
        <v>3744</v>
      </c>
      <c r="E507" s="21" t="s">
        <v>8657</v>
      </c>
      <c r="F507" s="20" t="s">
        <v>3744</v>
      </c>
      <c r="G507" s="20" t="s">
        <v>8780</v>
      </c>
      <c r="H507" s="20" t="s">
        <v>309</v>
      </c>
      <c r="I507" s="20" t="s">
        <v>8835</v>
      </c>
      <c r="J507" s="20" t="s">
        <v>309</v>
      </c>
      <c r="K507" s="20" t="s">
        <v>8884</v>
      </c>
      <c r="L507" s="20" t="s">
        <v>3744</v>
      </c>
      <c r="M507" s="20" t="s">
        <v>8677</v>
      </c>
      <c r="N507" s="20" t="s">
        <v>3744</v>
      </c>
      <c r="O507" s="20" t="s">
        <v>8783</v>
      </c>
      <c r="P507" s="20"/>
      <c r="Q507" s="1" t="s">
        <v>3744</v>
      </c>
    </row>
    <row r="508" spans="1:17" x14ac:dyDescent="0.25">
      <c r="A508" s="1" t="s">
        <v>9488</v>
      </c>
      <c r="B508" s="95" t="s">
        <v>9044</v>
      </c>
      <c r="C508" s="1">
        <v>1</v>
      </c>
      <c r="D508" s="1" t="s">
        <v>3744</v>
      </c>
      <c r="E508" s="21" t="s">
        <v>8657</v>
      </c>
      <c r="F508" s="20" t="s">
        <v>3744</v>
      </c>
      <c r="G508" s="20" t="s">
        <v>8780</v>
      </c>
      <c r="H508" s="20" t="s">
        <v>309</v>
      </c>
      <c r="I508" s="20" t="s">
        <v>8835</v>
      </c>
      <c r="J508" s="20" t="s">
        <v>309</v>
      </c>
      <c r="K508" s="20" t="s">
        <v>8884</v>
      </c>
      <c r="L508" s="20" t="s">
        <v>3744</v>
      </c>
      <c r="M508" s="20" t="s">
        <v>8677</v>
      </c>
      <c r="N508" s="20" t="s">
        <v>3744</v>
      </c>
      <c r="O508" s="20" t="s">
        <v>8783</v>
      </c>
      <c r="P508" s="20"/>
      <c r="Q508" s="1" t="s">
        <v>3744</v>
      </c>
    </row>
    <row r="509" spans="1:17" x14ac:dyDescent="0.25">
      <c r="A509" s="1" t="s">
        <v>9489</v>
      </c>
      <c r="B509" s="95" t="s">
        <v>9046</v>
      </c>
      <c r="C509" s="1">
        <v>1</v>
      </c>
      <c r="D509" s="1" t="s">
        <v>106</v>
      </c>
      <c r="E509" s="21" t="s">
        <v>8810</v>
      </c>
      <c r="F509" s="20" t="s">
        <v>309</v>
      </c>
      <c r="G509" s="20" t="s">
        <v>8880</v>
      </c>
      <c r="H509" s="20" t="s">
        <v>309</v>
      </c>
      <c r="I509" s="20">
        <v>344376</v>
      </c>
      <c r="J509" s="20" t="s">
        <v>344</v>
      </c>
      <c r="K509" s="20" t="s">
        <v>8898</v>
      </c>
      <c r="L509" s="20" t="s">
        <v>512</v>
      </c>
      <c r="M509" s="20" t="s">
        <v>512</v>
      </c>
      <c r="N509" s="20" t="s">
        <v>512</v>
      </c>
      <c r="O509" s="20" t="s">
        <v>512</v>
      </c>
      <c r="P509" s="20"/>
      <c r="Q509" s="1" t="s">
        <v>106</v>
      </c>
    </row>
    <row r="510" spans="1:17" x14ac:dyDescent="0.25">
      <c r="A510" s="1" t="s">
        <v>9490</v>
      </c>
      <c r="B510" s="95" t="s">
        <v>9048</v>
      </c>
      <c r="C510" s="1">
        <v>1</v>
      </c>
      <c r="D510" s="1" t="s">
        <v>106</v>
      </c>
      <c r="E510" s="21" t="s">
        <v>8806</v>
      </c>
      <c r="F510" s="20" t="s">
        <v>309</v>
      </c>
      <c r="G510" s="20" t="s">
        <v>8882</v>
      </c>
      <c r="H510" s="20" t="s">
        <v>309</v>
      </c>
      <c r="I510" s="20" t="s">
        <v>8973</v>
      </c>
      <c r="J510" s="20" t="s">
        <v>344</v>
      </c>
      <c r="K510" s="20" t="s">
        <v>8898</v>
      </c>
      <c r="L510" s="20" t="s">
        <v>512</v>
      </c>
      <c r="M510" s="20" t="s">
        <v>512</v>
      </c>
      <c r="N510" s="20" t="s">
        <v>512</v>
      </c>
      <c r="O510" s="20" t="s">
        <v>512</v>
      </c>
      <c r="P510" s="20"/>
      <c r="Q510" s="1" t="s">
        <v>106</v>
      </c>
    </row>
    <row r="511" spans="1:17" x14ac:dyDescent="0.25">
      <c r="A511" s="1" t="s">
        <v>9491</v>
      </c>
      <c r="B511" s="95" t="s">
        <v>9030</v>
      </c>
      <c r="C511" s="1">
        <v>1</v>
      </c>
      <c r="D511" s="1" t="s">
        <v>3744</v>
      </c>
      <c r="E511" s="21" t="s">
        <v>8595</v>
      </c>
      <c r="F511" s="20" t="s">
        <v>8781</v>
      </c>
      <c r="G511" s="20" t="s">
        <v>8618</v>
      </c>
      <c r="H511" s="20" t="s">
        <v>309</v>
      </c>
      <c r="I511" s="20" t="s">
        <v>8878</v>
      </c>
      <c r="J511" s="20" t="s">
        <v>512</v>
      </c>
      <c r="K511" s="20" t="s">
        <v>512</v>
      </c>
      <c r="L511" s="20" t="s">
        <v>512</v>
      </c>
      <c r="M511" s="20" t="s">
        <v>512</v>
      </c>
      <c r="N511" s="20" t="s">
        <v>512</v>
      </c>
      <c r="O511" s="20" t="s">
        <v>512</v>
      </c>
      <c r="P511" s="20"/>
      <c r="Q511" s="1" t="s">
        <v>3744</v>
      </c>
    </row>
    <row r="512" spans="1:17" x14ac:dyDescent="0.25">
      <c r="A512" s="1" t="s">
        <v>9492</v>
      </c>
      <c r="B512" s="95" t="s">
        <v>9030</v>
      </c>
      <c r="C512" s="1">
        <v>1</v>
      </c>
      <c r="D512" s="1" t="s">
        <v>3744</v>
      </c>
      <c r="E512" s="21" t="s">
        <v>8595</v>
      </c>
      <c r="F512" s="20" t="s">
        <v>8781</v>
      </c>
      <c r="G512" s="20" t="s">
        <v>8618</v>
      </c>
      <c r="H512" s="20" t="s">
        <v>309</v>
      </c>
      <c r="I512" s="20" t="s">
        <v>8878</v>
      </c>
      <c r="J512" s="20" t="s">
        <v>512</v>
      </c>
      <c r="K512" s="20" t="s">
        <v>512</v>
      </c>
      <c r="L512" s="20" t="s">
        <v>512</v>
      </c>
      <c r="M512" s="20" t="s">
        <v>512</v>
      </c>
      <c r="N512" s="20" t="s">
        <v>512</v>
      </c>
      <c r="O512" s="20" t="s">
        <v>512</v>
      </c>
      <c r="P512" s="20"/>
      <c r="Q512" s="1" t="s">
        <v>3744</v>
      </c>
    </row>
    <row r="513" spans="1:17" x14ac:dyDescent="0.25">
      <c r="A513" s="1" t="s">
        <v>9493</v>
      </c>
      <c r="B513" s="95" t="s">
        <v>9406</v>
      </c>
      <c r="C513" s="1">
        <v>1</v>
      </c>
      <c r="D513" s="1" t="s">
        <v>8856</v>
      </c>
      <c r="E513" s="21" t="s">
        <v>8855</v>
      </c>
      <c r="F513" s="20" t="s">
        <v>8753</v>
      </c>
      <c r="G513" s="20" t="s">
        <v>8757</v>
      </c>
      <c r="H513" s="20" t="s">
        <v>8753</v>
      </c>
      <c r="I513" s="20" t="s">
        <v>8759</v>
      </c>
      <c r="J513" s="20" t="s">
        <v>8753</v>
      </c>
      <c r="K513" s="20" t="s">
        <v>8761</v>
      </c>
      <c r="L513" s="20" t="s">
        <v>512</v>
      </c>
      <c r="M513" s="20" t="s">
        <v>512</v>
      </c>
      <c r="N513" s="20" t="s">
        <v>512</v>
      </c>
      <c r="O513" s="20" t="s">
        <v>512</v>
      </c>
      <c r="P513" s="20"/>
      <c r="Q513" s="1" t="s">
        <v>8856</v>
      </c>
    </row>
    <row r="514" spans="1:17" x14ac:dyDescent="0.25">
      <c r="A514" s="1" t="s">
        <v>9494</v>
      </c>
      <c r="B514" s="95" t="s">
        <v>9406</v>
      </c>
      <c r="C514" s="1">
        <v>1</v>
      </c>
      <c r="D514" s="1" t="s">
        <v>8856</v>
      </c>
      <c r="E514" s="21" t="s">
        <v>8855</v>
      </c>
      <c r="F514" s="20" t="s">
        <v>8753</v>
      </c>
      <c r="G514" s="20" t="s">
        <v>8757</v>
      </c>
      <c r="H514" s="20" t="s">
        <v>8753</v>
      </c>
      <c r="I514" s="20" t="s">
        <v>8759</v>
      </c>
      <c r="J514" s="20" t="s">
        <v>8753</v>
      </c>
      <c r="K514" s="20" t="s">
        <v>8761</v>
      </c>
      <c r="L514" s="20" t="s">
        <v>512</v>
      </c>
      <c r="M514" s="20" t="s">
        <v>512</v>
      </c>
      <c r="N514" s="20" t="s">
        <v>512</v>
      </c>
      <c r="O514" s="20" t="s">
        <v>512</v>
      </c>
      <c r="P514" s="20"/>
      <c r="Q514" s="1" t="s">
        <v>8856</v>
      </c>
    </row>
    <row r="515" spans="1:17" x14ac:dyDescent="0.25">
      <c r="A515" s="1" t="s">
        <v>9495</v>
      </c>
      <c r="B515" s="95" t="s">
        <v>9406</v>
      </c>
      <c r="C515" s="1">
        <v>1</v>
      </c>
      <c r="D515" s="1" t="s">
        <v>8856</v>
      </c>
      <c r="E515" s="21" t="s">
        <v>8855</v>
      </c>
      <c r="F515" s="20" t="s">
        <v>8753</v>
      </c>
      <c r="G515" s="20" t="s">
        <v>8757</v>
      </c>
      <c r="H515" s="20" t="s">
        <v>8753</v>
      </c>
      <c r="I515" s="20" t="s">
        <v>8759</v>
      </c>
      <c r="J515" s="20" t="s">
        <v>8753</v>
      </c>
      <c r="K515" s="20" t="s">
        <v>8761</v>
      </c>
      <c r="L515" s="20" t="s">
        <v>512</v>
      </c>
      <c r="M515" s="20" t="s">
        <v>512</v>
      </c>
      <c r="N515" s="20" t="s">
        <v>512</v>
      </c>
      <c r="O515" s="20" t="s">
        <v>512</v>
      </c>
      <c r="P515" s="20"/>
      <c r="Q515" s="1" t="s">
        <v>8856</v>
      </c>
    </row>
    <row r="516" spans="1:17" x14ac:dyDescent="0.25">
      <c r="A516" s="1" t="s">
        <v>9496</v>
      </c>
      <c r="B516" s="95" t="s">
        <v>9406</v>
      </c>
      <c r="C516" s="1">
        <v>1</v>
      </c>
      <c r="D516" s="1" t="s">
        <v>8856</v>
      </c>
      <c r="E516" s="21" t="s">
        <v>8855</v>
      </c>
      <c r="F516" s="20" t="s">
        <v>8753</v>
      </c>
      <c r="G516" s="20" t="s">
        <v>8757</v>
      </c>
      <c r="H516" s="20" t="s">
        <v>8753</v>
      </c>
      <c r="I516" s="20" t="s">
        <v>8759</v>
      </c>
      <c r="J516" s="20" t="s">
        <v>8753</v>
      </c>
      <c r="K516" s="20" t="s">
        <v>8761</v>
      </c>
      <c r="L516" s="20" t="s">
        <v>512</v>
      </c>
      <c r="M516" s="20" t="s">
        <v>512</v>
      </c>
      <c r="N516" s="20" t="s">
        <v>512</v>
      </c>
      <c r="O516" s="20" t="s">
        <v>512</v>
      </c>
      <c r="P516" s="20"/>
      <c r="Q516" s="1" t="s">
        <v>8856</v>
      </c>
    </row>
    <row r="517" spans="1:17" x14ac:dyDescent="0.25">
      <c r="A517" s="1" t="s">
        <v>9497</v>
      </c>
      <c r="B517" s="95" t="s">
        <v>9139</v>
      </c>
      <c r="C517" s="1">
        <v>1</v>
      </c>
      <c r="D517" s="1" t="s">
        <v>3744</v>
      </c>
      <c r="E517" s="21" t="s">
        <v>8787</v>
      </c>
      <c r="F517" s="20" t="s">
        <v>309</v>
      </c>
      <c r="G517" s="20" t="s">
        <v>8878</v>
      </c>
      <c r="H517" s="20" t="s">
        <v>8781</v>
      </c>
      <c r="I517" s="20" t="s">
        <v>8797</v>
      </c>
      <c r="J517" s="20" t="s">
        <v>512</v>
      </c>
      <c r="K517" s="20" t="s">
        <v>512</v>
      </c>
      <c r="L517" s="20" t="s">
        <v>512</v>
      </c>
      <c r="M517" s="20" t="s">
        <v>512</v>
      </c>
      <c r="N517" s="20" t="s">
        <v>512</v>
      </c>
      <c r="O517" s="20" t="s">
        <v>512</v>
      </c>
      <c r="P517" s="20"/>
      <c r="Q517" s="1" t="s">
        <v>3744</v>
      </c>
    </row>
    <row r="518" spans="1:17" x14ac:dyDescent="0.25">
      <c r="A518" s="1" t="s">
        <v>9498</v>
      </c>
      <c r="B518" s="96" t="s">
        <v>9033</v>
      </c>
      <c r="C518" s="1">
        <v>1</v>
      </c>
      <c r="D518" s="1" t="s">
        <v>3744</v>
      </c>
      <c r="E518" s="21" t="s">
        <v>8791</v>
      </c>
      <c r="F518" s="20" t="s">
        <v>309</v>
      </c>
      <c r="G518" s="20" t="s">
        <v>8835</v>
      </c>
      <c r="H518" s="20" t="s">
        <v>512</v>
      </c>
      <c r="I518" s="20" t="s">
        <v>512</v>
      </c>
      <c r="J518" s="20" t="s">
        <v>512</v>
      </c>
      <c r="K518" s="20" t="s">
        <v>512</v>
      </c>
      <c r="L518" s="20" t="s">
        <v>512</v>
      </c>
      <c r="M518" s="20" t="s">
        <v>512</v>
      </c>
      <c r="N518" s="20" t="s">
        <v>512</v>
      </c>
      <c r="O518" s="20" t="s">
        <v>512</v>
      </c>
      <c r="P518" s="20"/>
      <c r="Q518" s="1" t="s">
        <v>3744</v>
      </c>
    </row>
    <row r="519" spans="1:17" x14ac:dyDescent="0.25">
      <c r="A519" s="1" t="s">
        <v>9499</v>
      </c>
      <c r="B519" s="96" t="s">
        <v>9033</v>
      </c>
      <c r="C519" s="1">
        <v>1</v>
      </c>
      <c r="D519" s="1" t="s">
        <v>3744</v>
      </c>
      <c r="E519" s="21" t="s">
        <v>8791</v>
      </c>
      <c r="F519" s="20" t="s">
        <v>309</v>
      </c>
      <c r="G519" s="20" t="s">
        <v>8835</v>
      </c>
      <c r="H519" s="20" t="s">
        <v>512</v>
      </c>
      <c r="I519" s="20" t="s">
        <v>512</v>
      </c>
      <c r="J519" s="20" t="s">
        <v>512</v>
      </c>
      <c r="K519" s="20" t="s">
        <v>512</v>
      </c>
      <c r="L519" s="20" t="s">
        <v>512</v>
      </c>
      <c r="M519" s="20" t="s">
        <v>512</v>
      </c>
      <c r="N519" s="20" t="s">
        <v>512</v>
      </c>
      <c r="O519" s="20" t="s">
        <v>512</v>
      </c>
      <c r="P519" s="20"/>
      <c r="Q519" s="1" t="s">
        <v>3744</v>
      </c>
    </row>
    <row r="520" spans="1:17" x14ac:dyDescent="0.25">
      <c r="A520" s="1" t="s">
        <v>9500</v>
      </c>
      <c r="B520" s="95" t="s">
        <v>9046</v>
      </c>
      <c r="C520" s="1">
        <v>1</v>
      </c>
      <c r="D520" s="1" t="s">
        <v>106</v>
      </c>
      <c r="E520" s="21" t="s">
        <v>8810</v>
      </c>
      <c r="F520" s="20" t="s">
        <v>309</v>
      </c>
      <c r="G520" s="20" t="s">
        <v>8880</v>
      </c>
      <c r="H520" s="20" t="s">
        <v>309</v>
      </c>
      <c r="I520" s="20">
        <v>344376</v>
      </c>
      <c r="J520" s="20" t="s">
        <v>344</v>
      </c>
      <c r="K520" s="20" t="s">
        <v>8898</v>
      </c>
      <c r="L520" s="20" t="s">
        <v>512</v>
      </c>
      <c r="M520" s="20" t="s">
        <v>512</v>
      </c>
      <c r="N520" s="20" t="s">
        <v>512</v>
      </c>
      <c r="O520" s="20" t="s">
        <v>512</v>
      </c>
      <c r="P520" s="20"/>
      <c r="Q520" s="1" t="s">
        <v>106</v>
      </c>
    </row>
    <row r="521" spans="1:17" x14ac:dyDescent="0.25">
      <c r="A521" s="1" t="s">
        <v>9501</v>
      </c>
      <c r="B521" s="95" t="s">
        <v>9048</v>
      </c>
      <c r="C521" s="1">
        <v>1</v>
      </c>
      <c r="D521" s="1" t="s">
        <v>106</v>
      </c>
      <c r="E521" s="21" t="s">
        <v>8806</v>
      </c>
      <c r="F521" s="20" t="s">
        <v>309</v>
      </c>
      <c r="G521" s="20" t="s">
        <v>8882</v>
      </c>
      <c r="H521" s="20" t="s">
        <v>309</v>
      </c>
      <c r="I521" s="20" t="s">
        <v>8973</v>
      </c>
      <c r="J521" s="20" t="s">
        <v>344</v>
      </c>
      <c r="K521" s="20" t="s">
        <v>8898</v>
      </c>
      <c r="L521" s="20" t="s">
        <v>512</v>
      </c>
      <c r="M521" s="20" t="s">
        <v>512</v>
      </c>
      <c r="N521" s="20" t="s">
        <v>512</v>
      </c>
      <c r="O521" s="20" t="s">
        <v>512</v>
      </c>
      <c r="P521" s="20"/>
      <c r="Q521" s="1" t="s">
        <v>106</v>
      </c>
    </row>
    <row r="522" spans="1:17" x14ac:dyDescent="0.25">
      <c r="A522" s="1" t="s">
        <v>9502</v>
      </c>
      <c r="B522" s="95" t="s">
        <v>9030</v>
      </c>
      <c r="C522" s="1">
        <v>1</v>
      </c>
      <c r="D522" s="1" t="s">
        <v>3744</v>
      </c>
      <c r="E522" s="21" t="s">
        <v>8595</v>
      </c>
      <c r="F522" s="20" t="s">
        <v>8781</v>
      </c>
      <c r="G522" s="20" t="s">
        <v>8616</v>
      </c>
      <c r="H522" s="20" t="s">
        <v>309</v>
      </c>
      <c r="I522" s="20" t="s">
        <v>8878</v>
      </c>
      <c r="J522" s="20" t="s">
        <v>512</v>
      </c>
      <c r="K522" s="20" t="s">
        <v>512</v>
      </c>
      <c r="L522" s="20" t="s">
        <v>512</v>
      </c>
      <c r="M522" s="20" t="s">
        <v>512</v>
      </c>
      <c r="N522" s="20" t="s">
        <v>512</v>
      </c>
      <c r="O522" s="20" t="s">
        <v>512</v>
      </c>
      <c r="P522" s="20"/>
      <c r="Q522" s="1" t="s">
        <v>3744</v>
      </c>
    </row>
    <row r="523" spans="1:17" x14ac:dyDescent="0.25">
      <c r="A523" s="1" t="s">
        <v>9503</v>
      </c>
      <c r="B523" s="95" t="s">
        <v>9030</v>
      </c>
      <c r="C523" s="1">
        <v>1</v>
      </c>
      <c r="D523" s="1" t="s">
        <v>3744</v>
      </c>
      <c r="E523" s="21" t="s">
        <v>8595</v>
      </c>
      <c r="F523" s="20" t="s">
        <v>8781</v>
      </c>
      <c r="G523" s="20" t="s">
        <v>8618</v>
      </c>
      <c r="H523" s="20" t="s">
        <v>309</v>
      </c>
      <c r="I523" s="20" t="s">
        <v>8878</v>
      </c>
      <c r="J523" s="20" t="s">
        <v>512</v>
      </c>
      <c r="K523" s="20" t="s">
        <v>512</v>
      </c>
      <c r="L523" s="20" t="s">
        <v>512</v>
      </c>
      <c r="M523" s="20" t="s">
        <v>512</v>
      </c>
      <c r="N523" s="20" t="s">
        <v>512</v>
      </c>
      <c r="O523" s="20" t="s">
        <v>512</v>
      </c>
      <c r="P523" s="20"/>
      <c r="Q523" s="1" t="s">
        <v>3744</v>
      </c>
    </row>
    <row r="524" spans="1:17" x14ac:dyDescent="0.25">
      <c r="A524" s="1" t="s">
        <v>9504</v>
      </c>
      <c r="B524" s="95" t="s">
        <v>9030</v>
      </c>
      <c r="C524" s="1">
        <v>1</v>
      </c>
      <c r="D524" s="1" t="s">
        <v>3744</v>
      </c>
      <c r="E524" s="21" t="s">
        <v>8595</v>
      </c>
      <c r="F524" s="20" t="s">
        <v>8781</v>
      </c>
      <c r="G524" s="20" t="s">
        <v>8616</v>
      </c>
      <c r="H524" s="20" t="s">
        <v>309</v>
      </c>
      <c r="I524" s="20" t="s">
        <v>8878</v>
      </c>
      <c r="J524" s="20" t="s">
        <v>512</v>
      </c>
      <c r="K524" s="20" t="s">
        <v>512</v>
      </c>
      <c r="L524" s="20" t="s">
        <v>512</v>
      </c>
      <c r="M524" s="20" t="s">
        <v>512</v>
      </c>
      <c r="N524" s="20" t="s">
        <v>512</v>
      </c>
      <c r="O524" s="20" t="s">
        <v>512</v>
      </c>
      <c r="P524" s="20"/>
      <c r="Q524" s="1" t="s">
        <v>3744</v>
      </c>
    </row>
    <row r="525" spans="1:17" x14ac:dyDescent="0.25">
      <c r="A525" s="1" t="s">
        <v>9505</v>
      </c>
      <c r="B525" s="95" t="s">
        <v>9030</v>
      </c>
      <c r="C525" s="1">
        <v>1</v>
      </c>
      <c r="D525" s="1" t="s">
        <v>3744</v>
      </c>
      <c r="E525" s="21" t="s">
        <v>8595</v>
      </c>
      <c r="F525" s="20" t="s">
        <v>8781</v>
      </c>
      <c r="G525" s="20" t="s">
        <v>8616</v>
      </c>
      <c r="H525" s="20" t="s">
        <v>309</v>
      </c>
      <c r="I525" s="20" t="s">
        <v>8878</v>
      </c>
      <c r="J525" s="20" t="s">
        <v>512</v>
      </c>
      <c r="K525" s="20" t="s">
        <v>512</v>
      </c>
      <c r="L525" s="20" t="s">
        <v>512</v>
      </c>
      <c r="M525" s="20" t="s">
        <v>512</v>
      </c>
      <c r="N525" s="20" t="s">
        <v>512</v>
      </c>
      <c r="O525" s="20" t="s">
        <v>512</v>
      </c>
      <c r="P525" s="20"/>
      <c r="Q525" s="1" t="s">
        <v>3744</v>
      </c>
    </row>
    <row r="526" spans="1:17" x14ac:dyDescent="0.25">
      <c r="A526" s="1" t="s">
        <v>9506</v>
      </c>
      <c r="B526" s="95" t="s">
        <v>9406</v>
      </c>
      <c r="C526" s="1">
        <v>1</v>
      </c>
      <c r="D526" s="1" t="s">
        <v>8856</v>
      </c>
      <c r="E526" s="21" t="s">
        <v>8855</v>
      </c>
      <c r="F526" s="20" t="s">
        <v>8753</v>
      </c>
      <c r="G526" s="20" t="s">
        <v>8757</v>
      </c>
      <c r="H526" s="20" t="s">
        <v>8753</v>
      </c>
      <c r="I526" s="20" t="s">
        <v>8759</v>
      </c>
      <c r="J526" s="20" t="s">
        <v>8753</v>
      </c>
      <c r="K526" s="20" t="s">
        <v>8761</v>
      </c>
      <c r="L526" s="20" t="s">
        <v>512</v>
      </c>
      <c r="M526" s="20" t="s">
        <v>512</v>
      </c>
      <c r="N526" s="20" t="s">
        <v>512</v>
      </c>
      <c r="O526" s="20" t="s">
        <v>512</v>
      </c>
      <c r="P526" s="20"/>
      <c r="Q526" s="1" t="s">
        <v>8856</v>
      </c>
    </row>
    <row r="527" spans="1:17" x14ac:dyDescent="0.25">
      <c r="A527" s="1" t="s">
        <v>9507</v>
      </c>
      <c r="B527" s="95" t="s">
        <v>9406</v>
      </c>
      <c r="C527" s="1">
        <v>1</v>
      </c>
      <c r="D527" s="1" t="s">
        <v>8856</v>
      </c>
      <c r="E527" s="21" t="s">
        <v>8855</v>
      </c>
      <c r="F527" s="20" t="s">
        <v>8753</v>
      </c>
      <c r="G527" s="20" t="s">
        <v>8757</v>
      </c>
      <c r="H527" s="20" t="s">
        <v>8753</v>
      </c>
      <c r="I527" s="20" t="s">
        <v>8759</v>
      </c>
      <c r="J527" s="20" t="s">
        <v>8753</v>
      </c>
      <c r="K527" s="20" t="s">
        <v>8761</v>
      </c>
      <c r="L527" s="20" t="s">
        <v>512</v>
      </c>
      <c r="M527" s="20" t="s">
        <v>512</v>
      </c>
      <c r="N527" s="20" t="s">
        <v>512</v>
      </c>
      <c r="O527" s="20" t="s">
        <v>512</v>
      </c>
      <c r="P527" s="20"/>
      <c r="Q527" s="20" t="s">
        <v>8856</v>
      </c>
    </row>
    <row r="528" spans="1:17" x14ac:dyDescent="0.25">
      <c r="A528" s="1" t="s">
        <v>9508</v>
      </c>
      <c r="B528" s="95" t="s">
        <v>9139</v>
      </c>
      <c r="C528" s="1">
        <v>1</v>
      </c>
      <c r="D528" s="1" t="s">
        <v>3744</v>
      </c>
      <c r="E528" s="21" t="s">
        <v>8787</v>
      </c>
      <c r="F528" s="20" t="s">
        <v>309</v>
      </c>
      <c r="G528" s="20" t="s">
        <v>8878</v>
      </c>
      <c r="H528" s="20" t="s">
        <v>8781</v>
      </c>
      <c r="I528" s="20" t="s">
        <v>8797</v>
      </c>
      <c r="J528" s="20" t="s">
        <v>512</v>
      </c>
      <c r="K528" s="20" t="s">
        <v>512</v>
      </c>
      <c r="L528" s="20" t="s">
        <v>512</v>
      </c>
      <c r="M528" s="20" t="s">
        <v>512</v>
      </c>
      <c r="N528" s="20" t="s">
        <v>512</v>
      </c>
      <c r="O528" s="20" t="s">
        <v>512</v>
      </c>
      <c r="P528" s="20"/>
      <c r="Q528" s="20" t="s">
        <v>3744</v>
      </c>
    </row>
    <row r="529" spans="1:17" x14ac:dyDescent="0.25">
      <c r="A529" s="1" t="s">
        <v>9509</v>
      </c>
      <c r="B529" s="96" t="s">
        <v>9033</v>
      </c>
      <c r="C529" s="1">
        <v>1</v>
      </c>
      <c r="D529" s="1" t="s">
        <v>3744</v>
      </c>
      <c r="E529" s="21" t="s">
        <v>8791</v>
      </c>
      <c r="F529" s="20" t="s">
        <v>309</v>
      </c>
      <c r="G529" s="20" t="s">
        <v>8835</v>
      </c>
      <c r="H529" s="20" t="s">
        <v>512</v>
      </c>
      <c r="I529" s="20" t="s">
        <v>512</v>
      </c>
      <c r="J529" s="20" t="s">
        <v>512</v>
      </c>
      <c r="K529" s="20" t="s">
        <v>512</v>
      </c>
      <c r="L529" s="20" t="s">
        <v>512</v>
      </c>
      <c r="M529" s="20" t="s">
        <v>512</v>
      </c>
      <c r="N529" s="20" t="s">
        <v>512</v>
      </c>
      <c r="O529" s="20" t="s">
        <v>512</v>
      </c>
      <c r="P529" s="20"/>
      <c r="Q529" s="20" t="s">
        <v>3744</v>
      </c>
    </row>
    <row r="530" spans="1:17" x14ac:dyDescent="0.25">
      <c r="A530" s="1" t="s">
        <v>9510</v>
      </c>
      <c r="B530" s="96" t="s">
        <v>9033</v>
      </c>
      <c r="C530" s="1">
        <v>1</v>
      </c>
      <c r="D530" s="1" t="s">
        <v>3744</v>
      </c>
      <c r="E530" s="21" t="s">
        <v>8791</v>
      </c>
      <c r="F530" s="20" t="s">
        <v>309</v>
      </c>
      <c r="G530" s="20" t="s">
        <v>8835</v>
      </c>
      <c r="H530" s="20" t="s">
        <v>512</v>
      </c>
      <c r="I530" s="20" t="s">
        <v>512</v>
      </c>
      <c r="J530" s="20" t="s">
        <v>512</v>
      </c>
      <c r="K530" s="20" t="s">
        <v>512</v>
      </c>
      <c r="L530" s="20" t="s">
        <v>512</v>
      </c>
      <c r="M530" s="20" t="s">
        <v>512</v>
      </c>
      <c r="N530" s="20" t="s">
        <v>512</v>
      </c>
      <c r="O530" s="20" t="s">
        <v>512</v>
      </c>
      <c r="P530" s="20"/>
      <c r="Q530" s="20" t="s">
        <v>3744</v>
      </c>
    </row>
    <row r="531" spans="1:17" x14ac:dyDescent="0.25">
      <c r="A531" s="1" t="s">
        <v>9511</v>
      </c>
      <c r="B531" s="95" t="s">
        <v>9046</v>
      </c>
      <c r="C531" s="1">
        <v>1</v>
      </c>
      <c r="D531" s="1" t="s">
        <v>106</v>
      </c>
      <c r="E531" s="21" t="s">
        <v>8810</v>
      </c>
      <c r="F531" s="20" t="s">
        <v>309</v>
      </c>
      <c r="G531" s="20" t="s">
        <v>8880</v>
      </c>
      <c r="H531" s="20" t="s">
        <v>309</v>
      </c>
      <c r="I531" s="20">
        <v>344376</v>
      </c>
      <c r="J531" s="20" t="s">
        <v>344</v>
      </c>
      <c r="K531" s="20" t="s">
        <v>8898</v>
      </c>
      <c r="L531" s="20" t="s">
        <v>512</v>
      </c>
      <c r="M531" s="20" t="s">
        <v>512</v>
      </c>
      <c r="N531" s="20" t="s">
        <v>512</v>
      </c>
      <c r="O531" s="20" t="s">
        <v>512</v>
      </c>
      <c r="P531" s="20"/>
      <c r="Q531" s="20" t="s">
        <v>106</v>
      </c>
    </row>
    <row r="532" spans="1:17" x14ac:dyDescent="0.25">
      <c r="A532" s="1" t="s">
        <v>9512</v>
      </c>
      <c r="B532" s="95" t="s">
        <v>9048</v>
      </c>
      <c r="C532" s="1">
        <v>1</v>
      </c>
      <c r="D532" s="1" t="s">
        <v>106</v>
      </c>
      <c r="E532" s="21" t="s">
        <v>8806</v>
      </c>
      <c r="F532" s="20" t="s">
        <v>309</v>
      </c>
      <c r="G532" s="20" t="s">
        <v>8882</v>
      </c>
      <c r="H532" s="20" t="s">
        <v>309</v>
      </c>
      <c r="I532" s="20" t="s">
        <v>8973</v>
      </c>
      <c r="J532" s="20" t="s">
        <v>344</v>
      </c>
      <c r="K532" s="20" t="s">
        <v>8898</v>
      </c>
      <c r="L532" s="20" t="s">
        <v>512</v>
      </c>
      <c r="M532" s="20" t="s">
        <v>512</v>
      </c>
      <c r="N532" s="20" t="s">
        <v>512</v>
      </c>
      <c r="O532" s="20" t="s">
        <v>512</v>
      </c>
      <c r="P532" s="20"/>
      <c r="Q532" s="20" t="s">
        <v>106</v>
      </c>
    </row>
    <row r="533" spans="1:17" x14ac:dyDescent="0.25">
      <c r="A533" s="1" t="s">
        <v>9513</v>
      </c>
      <c r="B533" s="95" t="s">
        <v>9030</v>
      </c>
      <c r="C533" s="1">
        <v>1</v>
      </c>
      <c r="D533" s="1" t="s">
        <v>3744</v>
      </c>
      <c r="E533" s="21" t="s">
        <v>8595</v>
      </c>
      <c r="F533" s="20" t="s">
        <v>8781</v>
      </c>
      <c r="G533" s="20" t="s">
        <v>8616</v>
      </c>
      <c r="H533" s="20" t="s">
        <v>309</v>
      </c>
      <c r="I533" s="20" t="s">
        <v>8878</v>
      </c>
      <c r="J533" s="20" t="s">
        <v>512</v>
      </c>
      <c r="K533" s="20" t="s">
        <v>512</v>
      </c>
      <c r="L533" s="20" t="s">
        <v>512</v>
      </c>
      <c r="M533" s="20" t="s">
        <v>512</v>
      </c>
      <c r="N533" s="20" t="s">
        <v>512</v>
      </c>
      <c r="O533" s="20" t="s">
        <v>512</v>
      </c>
      <c r="P533" s="20"/>
      <c r="Q533" s="1" t="s">
        <v>3744</v>
      </c>
    </row>
    <row r="534" spans="1:17" x14ac:dyDescent="0.25">
      <c r="A534" s="1" t="s">
        <v>9514</v>
      </c>
      <c r="B534" s="95" t="s">
        <v>9030</v>
      </c>
      <c r="C534" s="1">
        <v>1</v>
      </c>
      <c r="D534" s="1" t="s">
        <v>3744</v>
      </c>
      <c r="E534" s="21" t="s">
        <v>8595</v>
      </c>
      <c r="F534" s="20" t="s">
        <v>8781</v>
      </c>
      <c r="G534" s="20" t="s">
        <v>8616</v>
      </c>
      <c r="H534" s="20" t="s">
        <v>309</v>
      </c>
      <c r="I534" s="20" t="s">
        <v>8878</v>
      </c>
      <c r="J534" s="20" t="s">
        <v>512</v>
      </c>
      <c r="K534" s="20" t="s">
        <v>512</v>
      </c>
      <c r="L534" s="20" t="s">
        <v>512</v>
      </c>
      <c r="M534" s="20" t="s">
        <v>512</v>
      </c>
      <c r="N534" s="20" t="s">
        <v>512</v>
      </c>
      <c r="O534" s="20" t="s">
        <v>512</v>
      </c>
      <c r="P534" s="20"/>
      <c r="Q534" s="1" t="s">
        <v>3744</v>
      </c>
    </row>
    <row r="535" spans="1:17" x14ac:dyDescent="0.25">
      <c r="A535" s="1" t="s">
        <v>9515</v>
      </c>
      <c r="B535" s="95" t="s">
        <v>9030</v>
      </c>
      <c r="C535" s="1">
        <v>1</v>
      </c>
      <c r="D535" s="1" t="s">
        <v>3744</v>
      </c>
      <c r="E535" s="21" t="s">
        <v>8595</v>
      </c>
      <c r="F535" s="20" t="s">
        <v>8781</v>
      </c>
      <c r="G535" s="20" t="s">
        <v>8616</v>
      </c>
      <c r="H535" s="20" t="s">
        <v>309</v>
      </c>
      <c r="I535" s="20" t="s">
        <v>8878</v>
      </c>
      <c r="J535" s="20" t="s">
        <v>512</v>
      </c>
      <c r="K535" s="20" t="s">
        <v>512</v>
      </c>
      <c r="L535" s="20" t="s">
        <v>512</v>
      </c>
      <c r="M535" s="20" t="s">
        <v>512</v>
      </c>
      <c r="N535" s="20" t="s">
        <v>512</v>
      </c>
      <c r="O535" s="20" t="s">
        <v>512</v>
      </c>
      <c r="P535" s="20"/>
      <c r="Q535" s="1" t="s">
        <v>3744</v>
      </c>
    </row>
    <row r="536" spans="1:17" x14ac:dyDescent="0.25">
      <c r="A536" s="1" t="s">
        <v>9516</v>
      </c>
      <c r="B536" s="95" t="s">
        <v>9030</v>
      </c>
      <c r="C536" s="1">
        <v>1</v>
      </c>
      <c r="D536" s="1" t="s">
        <v>3744</v>
      </c>
      <c r="E536" s="21" t="s">
        <v>8595</v>
      </c>
      <c r="F536" s="20" t="s">
        <v>8781</v>
      </c>
      <c r="G536" s="20" t="s">
        <v>8616</v>
      </c>
      <c r="H536" s="20" t="s">
        <v>309</v>
      </c>
      <c r="I536" s="20" t="s">
        <v>8878</v>
      </c>
      <c r="J536" s="20" t="s">
        <v>512</v>
      </c>
      <c r="K536" s="20" t="s">
        <v>512</v>
      </c>
      <c r="L536" s="20" t="s">
        <v>512</v>
      </c>
      <c r="M536" s="20" t="s">
        <v>512</v>
      </c>
      <c r="N536" s="20" t="s">
        <v>512</v>
      </c>
      <c r="O536" s="20" t="s">
        <v>512</v>
      </c>
      <c r="P536" s="20"/>
      <c r="Q536" s="1" t="s">
        <v>3744</v>
      </c>
    </row>
    <row r="537" spans="1:17" x14ac:dyDescent="0.25">
      <c r="A537" s="1" t="s">
        <v>9517</v>
      </c>
      <c r="B537" s="95" t="s">
        <v>9044</v>
      </c>
      <c r="C537" s="1">
        <v>1</v>
      </c>
      <c r="D537" s="1" t="s">
        <v>3744</v>
      </c>
      <c r="E537" s="21" t="s">
        <v>8657</v>
      </c>
      <c r="F537" s="20" t="s">
        <v>3744</v>
      </c>
      <c r="G537" s="20" t="s">
        <v>8780</v>
      </c>
      <c r="H537" s="20" t="s">
        <v>309</v>
      </c>
      <c r="I537" s="20" t="s">
        <v>8835</v>
      </c>
      <c r="J537" s="20" t="s">
        <v>309</v>
      </c>
      <c r="K537" s="20" t="s">
        <v>8884</v>
      </c>
      <c r="L537" s="20" t="s">
        <v>3744</v>
      </c>
      <c r="M537" s="20" t="s">
        <v>8677</v>
      </c>
      <c r="N537" s="20" t="s">
        <v>3744</v>
      </c>
      <c r="O537" s="20" t="s">
        <v>8783</v>
      </c>
      <c r="P537" s="20"/>
      <c r="Q537" s="1" t="s">
        <v>3744</v>
      </c>
    </row>
    <row r="538" spans="1:17" x14ac:dyDescent="0.25">
      <c r="A538" s="1" t="s">
        <v>9518</v>
      </c>
      <c r="B538" s="95" t="s">
        <v>9044</v>
      </c>
      <c r="C538" s="1">
        <v>1</v>
      </c>
      <c r="D538" s="1" t="s">
        <v>3744</v>
      </c>
      <c r="E538" s="21" t="s">
        <v>8657</v>
      </c>
      <c r="F538" s="20" t="s">
        <v>3744</v>
      </c>
      <c r="G538" s="20" t="s">
        <v>8780</v>
      </c>
      <c r="H538" s="20" t="s">
        <v>309</v>
      </c>
      <c r="I538" s="20" t="s">
        <v>8835</v>
      </c>
      <c r="J538" s="20" t="s">
        <v>309</v>
      </c>
      <c r="K538" s="20" t="s">
        <v>8884</v>
      </c>
      <c r="L538" s="20" t="s">
        <v>3744</v>
      </c>
      <c r="M538" s="20" t="s">
        <v>8677</v>
      </c>
      <c r="N538" s="20" t="s">
        <v>3744</v>
      </c>
      <c r="O538" s="20" t="s">
        <v>8783</v>
      </c>
      <c r="P538" s="20"/>
      <c r="Q538" s="1" t="s">
        <v>3744</v>
      </c>
    </row>
    <row r="539" spans="1:17" x14ac:dyDescent="0.25">
      <c r="A539" s="64" t="s">
        <v>9519</v>
      </c>
      <c r="B539" s="97" t="s">
        <v>9046</v>
      </c>
      <c r="C539" s="20">
        <v>1</v>
      </c>
      <c r="D539" s="20" t="s">
        <v>106</v>
      </c>
      <c r="E539" s="20" t="s">
        <v>8810</v>
      </c>
      <c r="F539" s="20" t="s">
        <v>309</v>
      </c>
      <c r="G539" s="20" t="s">
        <v>8880</v>
      </c>
      <c r="H539" s="20" t="s">
        <v>309</v>
      </c>
      <c r="I539" s="20">
        <v>344376</v>
      </c>
      <c r="J539" s="20" t="s">
        <v>344</v>
      </c>
      <c r="K539" s="20" t="s">
        <v>8898</v>
      </c>
      <c r="L539" s="20" t="s">
        <v>512</v>
      </c>
      <c r="M539" s="20" t="s">
        <v>512</v>
      </c>
      <c r="N539" s="20" t="s">
        <v>512</v>
      </c>
      <c r="O539" s="20" t="s">
        <v>512</v>
      </c>
      <c r="P539" s="20"/>
      <c r="Q539" s="1" t="s">
        <v>106</v>
      </c>
    </row>
    <row r="540" spans="1:17" x14ac:dyDescent="0.25">
      <c r="A540" s="64" t="s">
        <v>9519</v>
      </c>
      <c r="B540" s="97" t="s">
        <v>9046</v>
      </c>
      <c r="C540" s="20">
        <v>1</v>
      </c>
      <c r="D540" s="20" t="s">
        <v>106</v>
      </c>
      <c r="E540" s="20" t="s">
        <v>8810</v>
      </c>
      <c r="F540" s="20" t="s">
        <v>309</v>
      </c>
      <c r="G540" s="20" t="s">
        <v>8880</v>
      </c>
      <c r="H540" s="20" t="s">
        <v>309</v>
      </c>
      <c r="I540" s="20">
        <v>344376</v>
      </c>
      <c r="J540" s="20" t="s">
        <v>344</v>
      </c>
      <c r="K540" s="20" t="s">
        <v>8898</v>
      </c>
      <c r="L540" s="20" t="s">
        <v>512</v>
      </c>
      <c r="M540" s="20" t="s">
        <v>512</v>
      </c>
      <c r="N540" s="20" t="s">
        <v>512</v>
      </c>
      <c r="O540" s="20" t="s">
        <v>512</v>
      </c>
      <c r="P540" s="20"/>
      <c r="Q540" s="1" t="s">
        <v>106</v>
      </c>
    </row>
    <row r="541" spans="1:17" x14ac:dyDescent="0.25">
      <c r="A541" s="64" t="s">
        <v>9520</v>
      </c>
      <c r="B541" s="97" t="s">
        <v>9048</v>
      </c>
      <c r="C541" s="20">
        <v>1</v>
      </c>
      <c r="D541" s="20" t="s">
        <v>106</v>
      </c>
      <c r="E541" s="20" t="s">
        <v>8806</v>
      </c>
      <c r="F541" s="20" t="s">
        <v>309</v>
      </c>
      <c r="G541" s="20" t="s">
        <v>8882</v>
      </c>
      <c r="H541" s="20" t="s">
        <v>309</v>
      </c>
      <c r="I541" s="20" t="s">
        <v>8973</v>
      </c>
      <c r="J541" s="20" t="s">
        <v>344</v>
      </c>
      <c r="K541" s="20" t="s">
        <v>8898</v>
      </c>
      <c r="L541" s="20" t="s">
        <v>512</v>
      </c>
      <c r="M541" s="20" t="s">
        <v>512</v>
      </c>
      <c r="N541" s="20" t="s">
        <v>512</v>
      </c>
      <c r="O541" s="20" t="s">
        <v>512</v>
      </c>
      <c r="P541" s="20"/>
      <c r="Q541" s="1" t="s">
        <v>106</v>
      </c>
    </row>
    <row r="542" spans="1:17" x14ac:dyDescent="0.25">
      <c r="A542" s="64" t="s">
        <v>9520</v>
      </c>
      <c r="B542" s="97" t="s">
        <v>9048</v>
      </c>
      <c r="C542" s="20">
        <v>1</v>
      </c>
      <c r="D542" s="20" t="s">
        <v>106</v>
      </c>
      <c r="E542" s="20" t="s">
        <v>8806</v>
      </c>
      <c r="F542" s="20" t="s">
        <v>309</v>
      </c>
      <c r="G542" s="20" t="s">
        <v>8882</v>
      </c>
      <c r="H542" s="20" t="s">
        <v>309</v>
      </c>
      <c r="I542" s="20" t="s">
        <v>8973</v>
      </c>
      <c r="J542" s="20" t="s">
        <v>344</v>
      </c>
      <c r="K542" s="20" t="s">
        <v>8898</v>
      </c>
      <c r="L542" s="20" t="s">
        <v>512</v>
      </c>
      <c r="M542" s="20" t="s">
        <v>512</v>
      </c>
      <c r="N542" s="20" t="s">
        <v>512</v>
      </c>
      <c r="O542" s="20" t="s">
        <v>512</v>
      </c>
      <c r="P542" s="20"/>
      <c r="Q542" s="1" t="s">
        <v>106</v>
      </c>
    </row>
    <row r="543" spans="1:17" x14ac:dyDescent="0.25">
      <c r="A543" s="64" t="s">
        <v>9521</v>
      </c>
      <c r="B543" s="97" t="s">
        <v>9030</v>
      </c>
      <c r="C543" s="20">
        <v>1</v>
      </c>
      <c r="D543" s="20" t="s">
        <v>3744</v>
      </c>
      <c r="E543" s="20" t="s">
        <v>8595</v>
      </c>
      <c r="F543" s="20" t="s">
        <v>8781</v>
      </c>
      <c r="G543" s="20" t="s">
        <v>8618</v>
      </c>
      <c r="H543" s="20" t="s">
        <v>309</v>
      </c>
      <c r="I543" s="20" t="s">
        <v>8878</v>
      </c>
      <c r="J543" s="20" t="s">
        <v>512</v>
      </c>
      <c r="K543" s="20" t="s">
        <v>512</v>
      </c>
      <c r="L543" s="20" t="s">
        <v>512</v>
      </c>
      <c r="M543" s="20" t="s">
        <v>512</v>
      </c>
      <c r="N543" s="20" t="s">
        <v>512</v>
      </c>
      <c r="O543" s="20" t="s">
        <v>512</v>
      </c>
      <c r="P543" s="20"/>
      <c r="Q543" s="1" t="s">
        <v>3744</v>
      </c>
    </row>
    <row r="544" spans="1:17" x14ac:dyDescent="0.25">
      <c r="A544" s="64" t="s">
        <v>9522</v>
      </c>
      <c r="B544" s="97" t="s">
        <v>9030</v>
      </c>
      <c r="C544" s="20">
        <v>1</v>
      </c>
      <c r="D544" s="20" t="s">
        <v>3744</v>
      </c>
      <c r="E544" s="20" t="s">
        <v>8595</v>
      </c>
      <c r="F544" s="20" t="s">
        <v>8781</v>
      </c>
      <c r="G544" s="20" t="s">
        <v>8618</v>
      </c>
      <c r="H544" s="20" t="s">
        <v>309</v>
      </c>
      <c r="I544" s="20" t="s">
        <v>8878</v>
      </c>
      <c r="J544" s="20" t="s">
        <v>512</v>
      </c>
      <c r="K544" s="20" t="s">
        <v>512</v>
      </c>
      <c r="L544" s="20" t="s">
        <v>512</v>
      </c>
      <c r="M544" s="20" t="s">
        <v>512</v>
      </c>
      <c r="N544" s="20" t="s">
        <v>512</v>
      </c>
      <c r="O544" s="20" t="s">
        <v>512</v>
      </c>
      <c r="P544" s="20"/>
      <c r="Q544" s="1" t="s">
        <v>3744</v>
      </c>
    </row>
    <row r="545" spans="1:17" x14ac:dyDescent="0.25">
      <c r="A545" s="64" t="s">
        <v>9523</v>
      </c>
      <c r="B545" s="97" t="s">
        <v>9406</v>
      </c>
      <c r="C545" s="20">
        <v>1</v>
      </c>
      <c r="D545" s="20" t="s">
        <v>8856</v>
      </c>
      <c r="E545" s="20" t="s">
        <v>8855</v>
      </c>
      <c r="F545" s="20" t="s">
        <v>8753</v>
      </c>
      <c r="G545" s="20" t="s">
        <v>8757</v>
      </c>
      <c r="H545" s="20" t="s">
        <v>8753</v>
      </c>
      <c r="I545" s="20" t="s">
        <v>8759</v>
      </c>
      <c r="J545" s="20" t="s">
        <v>8753</v>
      </c>
      <c r="K545" s="20" t="s">
        <v>8761</v>
      </c>
      <c r="L545" s="20" t="s">
        <v>512</v>
      </c>
      <c r="M545" s="20" t="s">
        <v>512</v>
      </c>
      <c r="N545" s="20" t="s">
        <v>512</v>
      </c>
      <c r="O545" s="20" t="s">
        <v>512</v>
      </c>
      <c r="P545" s="20"/>
      <c r="Q545" s="1" t="s">
        <v>8856</v>
      </c>
    </row>
    <row r="546" spans="1:17" x14ac:dyDescent="0.25">
      <c r="A546" s="64" t="s">
        <v>9523</v>
      </c>
      <c r="B546" s="97" t="s">
        <v>9406</v>
      </c>
      <c r="C546" s="20">
        <v>1</v>
      </c>
      <c r="D546" s="20" t="s">
        <v>8856</v>
      </c>
      <c r="E546" s="20" t="s">
        <v>8855</v>
      </c>
      <c r="F546" s="20" t="s">
        <v>8753</v>
      </c>
      <c r="G546" s="20" t="s">
        <v>8757</v>
      </c>
      <c r="H546" s="20" t="s">
        <v>8753</v>
      </c>
      <c r="I546" s="20" t="s">
        <v>8759</v>
      </c>
      <c r="J546" s="20" t="s">
        <v>8753</v>
      </c>
      <c r="K546" s="20" t="s">
        <v>8761</v>
      </c>
      <c r="L546" s="20" t="s">
        <v>512</v>
      </c>
      <c r="M546" s="20" t="s">
        <v>512</v>
      </c>
      <c r="N546" s="20" t="s">
        <v>512</v>
      </c>
      <c r="O546" s="20" t="s">
        <v>512</v>
      </c>
      <c r="P546" s="20"/>
      <c r="Q546" s="1" t="s">
        <v>8856</v>
      </c>
    </row>
    <row r="547" spans="1:17" x14ac:dyDescent="0.25">
      <c r="A547" s="64" t="s">
        <v>9524</v>
      </c>
      <c r="B547" s="97" t="s">
        <v>9046</v>
      </c>
      <c r="C547" s="20">
        <v>1</v>
      </c>
      <c r="D547" s="20" t="s">
        <v>106</v>
      </c>
      <c r="E547" s="20" t="s">
        <v>8810</v>
      </c>
      <c r="F547" s="20" t="s">
        <v>309</v>
      </c>
      <c r="G547" s="20" t="s">
        <v>8880</v>
      </c>
      <c r="H547" s="20" t="s">
        <v>309</v>
      </c>
      <c r="I547" s="20">
        <v>344376</v>
      </c>
      <c r="J547" s="20" t="s">
        <v>344</v>
      </c>
      <c r="K547" s="20" t="s">
        <v>8898</v>
      </c>
      <c r="L547" s="20" t="s">
        <v>512</v>
      </c>
      <c r="M547" s="20" t="s">
        <v>512</v>
      </c>
      <c r="N547" s="20" t="s">
        <v>512</v>
      </c>
      <c r="O547" s="20" t="s">
        <v>512</v>
      </c>
      <c r="P547" s="20"/>
      <c r="Q547" s="1" t="s">
        <v>106</v>
      </c>
    </row>
    <row r="548" spans="1:17" x14ac:dyDescent="0.25">
      <c r="A548" s="64" t="s">
        <v>9525</v>
      </c>
      <c r="B548" s="97" t="s">
        <v>9048</v>
      </c>
      <c r="C548" s="20">
        <v>1</v>
      </c>
      <c r="D548" s="20" t="s">
        <v>106</v>
      </c>
      <c r="E548" s="20" t="s">
        <v>8806</v>
      </c>
      <c r="F548" s="20" t="s">
        <v>309</v>
      </c>
      <c r="G548" s="20" t="s">
        <v>8882</v>
      </c>
      <c r="H548" s="20" t="s">
        <v>309</v>
      </c>
      <c r="I548" s="20" t="s">
        <v>8973</v>
      </c>
      <c r="J548" s="20" t="s">
        <v>344</v>
      </c>
      <c r="K548" s="20" t="s">
        <v>8898</v>
      </c>
      <c r="L548" s="20" t="s">
        <v>512</v>
      </c>
      <c r="M548" s="20" t="s">
        <v>512</v>
      </c>
      <c r="N548" s="20" t="s">
        <v>512</v>
      </c>
      <c r="O548" s="20" t="s">
        <v>512</v>
      </c>
      <c r="P548" s="20"/>
      <c r="Q548" s="1" t="s">
        <v>106</v>
      </c>
    </row>
    <row r="549" spans="1:17" x14ac:dyDescent="0.25">
      <c r="A549" s="64" t="s">
        <v>9526</v>
      </c>
      <c r="B549" s="97" t="s">
        <v>9406</v>
      </c>
      <c r="C549" s="20">
        <v>1</v>
      </c>
      <c r="D549" s="20" t="s">
        <v>8856</v>
      </c>
      <c r="E549" s="20" t="s">
        <v>8855</v>
      </c>
      <c r="F549" s="20" t="s">
        <v>8753</v>
      </c>
      <c r="G549" s="20" t="s">
        <v>8757</v>
      </c>
      <c r="H549" s="20" t="s">
        <v>8753</v>
      </c>
      <c r="I549" s="20" t="s">
        <v>8759</v>
      </c>
      <c r="J549" s="20" t="s">
        <v>8753</v>
      </c>
      <c r="K549" s="20" t="s">
        <v>8761</v>
      </c>
      <c r="L549" s="1" t="s">
        <v>512</v>
      </c>
      <c r="M549" s="1" t="s">
        <v>512</v>
      </c>
      <c r="N549" s="1" t="s">
        <v>512</v>
      </c>
      <c r="O549" s="1" t="s">
        <v>512</v>
      </c>
      <c r="P549" s="20"/>
      <c r="Q549" s="1" t="s">
        <v>8856</v>
      </c>
    </row>
    <row r="550" spans="1:17" x14ac:dyDescent="0.25">
      <c r="A550" s="64" t="s">
        <v>9527</v>
      </c>
      <c r="B550" s="97" t="s">
        <v>9406</v>
      </c>
      <c r="C550" s="20">
        <v>1</v>
      </c>
      <c r="D550" s="20" t="s">
        <v>8856</v>
      </c>
      <c r="E550" s="20" t="s">
        <v>8855</v>
      </c>
      <c r="F550" s="20" t="s">
        <v>8753</v>
      </c>
      <c r="G550" s="20" t="s">
        <v>8757</v>
      </c>
      <c r="H550" s="20" t="s">
        <v>8753</v>
      </c>
      <c r="I550" s="20" t="s">
        <v>8759</v>
      </c>
      <c r="J550" s="20" t="s">
        <v>8753</v>
      </c>
      <c r="K550" s="20" t="s">
        <v>8761</v>
      </c>
      <c r="L550" s="20" t="s">
        <v>512</v>
      </c>
      <c r="M550" s="20" t="s">
        <v>512</v>
      </c>
      <c r="N550" s="20" t="s">
        <v>512</v>
      </c>
      <c r="O550" s="20" t="s">
        <v>512</v>
      </c>
      <c r="P550" s="20"/>
      <c r="Q550" s="1" t="s">
        <v>8856</v>
      </c>
    </row>
    <row r="551" spans="1:17" x14ac:dyDescent="0.25">
      <c r="A551" s="64" t="s">
        <v>9528</v>
      </c>
      <c r="B551" s="97" t="s">
        <v>9033</v>
      </c>
      <c r="C551" s="20">
        <v>1</v>
      </c>
      <c r="D551" s="20" t="s">
        <v>3744</v>
      </c>
      <c r="E551" s="20" t="s">
        <v>8791</v>
      </c>
      <c r="F551" s="20" t="s">
        <v>309</v>
      </c>
      <c r="G551" s="20" t="s">
        <v>8835</v>
      </c>
      <c r="H551" s="20" t="s">
        <v>512</v>
      </c>
      <c r="I551" s="20" t="s">
        <v>512</v>
      </c>
      <c r="J551" s="20" t="s">
        <v>512</v>
      </c>
      <c r="K551" s="20" t="s">
        <v>512</v>
      </c>
      <c r="L551" s="20" t="s">
        <v>512</v>
      </c>
      <c r="M551" s="20" t="s">
        <v>512</v>
      </c>
      <c r="N551" s="20" t="s">
        <v>512</v>
      </c>
      <c r="O551" s="20" t="s">
        <v>512</v>
      </c>
      <c r="P551" s="20"/>
      <c r="Q551" s="1" t="s">
        <v>3744</v>
      </c>
    </row>
    <row r="552" spans="1:17" x14ac:dyDescent="0.25">
      <c r="A552" s="64" t="s">
        <v>9529</v>
      </c>
      <c r="B552" s="97" t="s">
        <v>9046</v>
      </c>
      <c r="C552" s="20">
        <v>1</v>
      </c>
      <c r="D552" s="20" t="s">
        <v>106</v>
      </c>
      <c r="E552" s="20" t="s">
        <v>8810</v>
      </c>
      <c r="F552" s="20" t="s">
        <v>309</v>
      </c>
      <c r="G552" s="20" t="s">
        <v>8880</v>
      </c>
      <c r="H552" s="20" t="s">
        <v>309</v>
      </c>
      <c r="I552" s="20">
        <v>344376</v>
      </c>
      <c r="J552" s="20" t="s">
        <v>344</v>
      </c>
      <c r="K552" s="20" t="s">
        <v>8898</v>
      </c>
      <c r="L552" s="20" t="s">
        <v>512</v>
      </c>
      <c r="M552" s="20" t="s">
        <v>512</v>
      </c>
      <c r="N552" s="20" t="s">
        <v>512</v>
      </c>
      <c r="O552" s="20" t="s">
        <v>512</v>
      </c>
      <c r="P552" s="20"/>
      <c r="Q552" s="1" t="s">
        <v>106</v>
      </c>
    </row>
    <row r="553" spans="1:17" x14ac:dyDescent="0.25">
      <c r="A553" s="64" t="s">
        <v>9530</v>
      </c>
      <c r="B553" s="97" t="s">
        <v>9048</v>
      </c>
      <c r="C553" s="20">
        <v>1</v>
      </c>
      <c r="D553" s="20" t="s">
        <v>106</v>
      </c>
      <c r="E553" s="20" t="s">
        <v>8806</v>
      </c>
      <c r="F553" s="20" t="s">
        <v>309</v>
      </c>
      <c r="G553" s="20" t="s">
        <v>8882</v>
      </c>
      <c r="H553" s="20" t="s">
        <v>309</v>
      </c>
      <c r="I553" s="20" t="s">
        <v>8973</v>
      </c>
      <c r="J553" s="20" t="s">
        <v>344</v>
      </c>
      <c r="K553" s="20" t="s">
        <v>8898</v>
      </c>
      <c r="L553" s="20" t="s">
        <v>512</v>
      </c>
      <c r="M553" s="20" t="s">
        <v>512</v>
      </c>
      <c r="N553" s="20" t="s">
        <v>512</v>
      </c>
      <c r="O553" s="20" t="s">
        <v>512</v>
      </c>
      <c r="P553" s="20"/>
      <c r="Q553" s="1" t="s">
        <v>106</v>
      </c>
    </row>
    <row r="554" spans="1:17" x14ac:dyDescent="0.25">
      <c r="A554" s="64" t="s">
        <v>9531</v>
      </c>
      <c r="B554" s="97" t="s">
        <v>9030</v>
      </c>
      <c r="C554" s="20">
        <v>1</v>
      </c>
      <c r="D554" s="20" t="s">
        <v>3744</v>
      </c>
      <c r="E554" s="20" t="s">
        <v>8595</v>
      </c>
      <c r="F554" s="20" t="s">
        <v>8781</v>
      </c>
      <c r="G554" s="20" t="s">
        <v>8616</v>
      </c>
      <c r="H554" s="20" t="s">
        <v>309</v>
      </c>
      <c r="I554" s="20" t="s">
        <v>8878</v>
      </c>
      <c r="J554" s="20" t="s">
        <v>512</v>
      </c>
      <c r="K554" s="20" t="s">
        <v>512</v>
      </c>
      <c r="L554" s="20" t="s">
        <v>512</v>
      </c>
      <c r="M554" s="20" t="s">
        <v>512</v>
      </c>
      <c r="N554" s="20" t="s">
        <v>512</v>
      </c>
      <c r="O554" s="20" t="s">
        <v>512</v>
      </c>
      <c r="P554" s="20"/>
      <c r="Q554" s="1" t="s">
        <v>3744</v>
      </c>
    </row>
    <row r="555" spans="1:17" x14ac:dyDescent="0.25">
      <c r="A555" s="64" t="s">
        <v>9532</v>
      </c>
      <c r="B555" s="97" t="s">
        <v>9139</v>
      </c>
      <c r="C555" s="20">
        <v>1</v>
      </c>
      <c r="D555" s="20" t="s">
        <v>3744</v>
      </c>
      <c r="E555" s="20" t="s">
        <v>8787</v>
      </c>
      <c r="F555" s="20" t="s">
        <v>309</v>
      </c>
      <c r="G555" s="20" t="s">
        <v>8878</v>
      </c>
      <c r="H555" s="20" t="s">
        <v>8781</v>
      </c>
      <c r="I555" s="20" t="s">
        <v>8797</v>
      </c>
      <c r="J555" s="20" t="s">
        <v>512</v>
      </c>
      <c r="K555" s="20" t="s">
        <v>512</v>
      </c>
      <c r="L555" s="20" t="s">
        <v>512</v>
      </c>
      <c r="M555" s="20" t="s">
        <v>512</v>
      </c>
      <c r="N555" s="20" t="s">
        <v>512</v>
      </c>
      <c r="O555" s="20" t="s">
        <v>512</v>
      </c>
      <c r="P555" s="20"/>
      <c r="Q555" s="1" t="s">
        <v>3744</v>
      </c>
    </row>
    <row r="556" spans="1:17" x14ac:dyDescent="0.25">
      <c r="A556" s="64" t="s">
        <v>9533</v>
      </c>
      <c r="B556" s="97" t="s">
        <v>9030</v>
      </c>
      <c r="C556" s="20">
        <v>1</v>
      </c>
      <c r="D556" s="20" t="s">
        <v>3744</v>
      </c>
      <c r="E556" s="20" t="s">
        <v>8595</v>
      </c>
      <c r="F556" s="20" t="s">
        <v>8781</v>
      </c>
      <c r="G556" s="20" t="s">
        <v>8616</v>
      </c>
      <c r="H556" s="20" t="s">
        <v>309</v>
      </c>
      <c r="I556" s="20" t="s">
        <v>8878</v>
      </c>
      <c r="J556" s="20" t="s">
        <v>512</v>
      </c>
      <c r="K556" s="20" t="s">
        <v>512</v>
      </c>
      <c r="L556" s="20" t="s">
        <v>512</v>
      </c>
      <c r="M556" s="20" t="s">
        <v>512</v>
      </c>
      <c r="N556" s="20" t="s">
        <v>512</v>
      </c>
      <c r="O556" s="20" t="s">
        <v>512</v>
      </c>
      <c r="P556" s="20"/>
      <c r="Q556" s="1" t="s">
        <v>3744</v>
      </c>
    </row>
    <row r="557" spans="1:17" x14ac:dyDescent="0.25">
      <c r="A557" s="64" t="s">
        <v>9534</v>
      </c>
      <c r="B557" s="97" t="s">
        <v>9406</v>
      </c>
      <c r="C557" s="20">
        <v>1</v>
      </c>
      <c r="D557" s="20" t="s">
        <v>8856</v>
      </c>
      <c r="E557" s="20" t="s">
        <v>8855</v>
      </c>
      <c r="F557" s="20" t="s">
        <v>8753</v>
      </c>
      <c r="G557" s="20" t="s">
        <v>8757</v>
      </c>
      <c r="H557" s="20" t="s">
        <v>8753</v>
      </c>
      <c r="I557" s="20" t="s">
        <v>8759</v>
      </c>
      <c r="J557" s="20" t="s">
        <v>8753</v>
      </c>
      <c r="K557" s="20" t="s">
        <v>8761</v>
      </c>
      <c r="L557" s="20" t="s">
        <v>512</v>
      </c>
      <c r="M557" s="20" t="s">
        <v>512</v>
      </c>
      <c r="N557" s="20" t="s">
        <v>512</v>
      </c>
      <c r="O557" s="20" t="s">
        <v>512</v>
      </c>
      <c r="P557" s="20"/>
      <c r="Q557" s="1" t="s">
        <v>8856</v>
      </c>
    </row>
    <row r="558" spans="1:17" x14ac:dyDescent="0.25">
      <c r="A558" s="64" t="s">
        <v>9535</v>
      </c>
      <c r="B558" s="97" t="s">
        <v>9030</v>
      </c>
      <c r="C558" s="20">
        <v>1</v>
      </c>
      <c r="D558" s="20" t="s">
        <v>3744</v>
      </c>
      <c r="E558" s="20" t="s">
        <v>8595</v>
      </c>
      <c r="F558" s="20" t="s">
        <v>8781</v>
      </c>
      <c r="G558" s="20" t="s">
        <v>8618</v>
      </c>
      <c r="H558" s="20" t="s">
        <v>309</v>
      </c>
      <c r="I558" s="20" t="s">
        <v>8878</v>
      </c>
      <c r="J558" s="20" t="s">
        <v>512</v>
      </c>
      <c r="K558" s="20" t="s">
        <v>512</v>
      </c>
      <c r="L558" s="20" t="s">
        <v>512</v>
      </c>
      <c r="M558" s="20" t="s">
        <v>512</v>
      </c>
      <c r="N558" s="20" t="s">
        <v>512</v>
      </c>
      <c r="O558" s="20" t="s">
        <v>512</v>
      </c>
      <c r="P558" s="20"/>
      <c r="Q558" s="1" t="s">
        <v>3744</v>
      </c>
    </row>
    <row r="559" spans="1:17" x14ac:dyDescent="0.25">
      <c r="A559" s="64" t="s">
        <v>9536</v>
      </c>
      <c r="B559" s="97" t="s">
        <v>9406</v>
      </c>
      <c r="C559" s="20">
        <v>1</v>
      </c>
      <c r="D559" s="20" t="s">
        <v>8856</v>
      </c>
      <c r="E559" s="20" t="s">
        <v>8855</v>
      </c>
      <c r="F559" s="20" t="s">
        <v>8753</v>
      </c>
      <c r="G559" s="20" t="s">
        <v>8757</v>
      </c>
      <c r="H559" s="20" t="s">
        <v>8753</v>
      </c>
      <c r="I559" s="20" t="s">
        <v>8759</v>
      </c>
      <c r="J559" s="20" t="s">
        <v>8753</v>
      </c>
      <c r="K559" s="20" t="s">
        <v>8761</v>
      </c>
      <c r="L559" s="20" t="s">
        <v>512</v>
      </c>
      <c r="M559" s="20" t="s">
        <v>512</v>
      </c>
      <c r="N559" s="20" t="s">
        <v>512</v>
      </c>
      <c r="O559" s="20" t="s">
        <v>512</v>
      </c>
      <c r="P559" s="20"/>
      <c r="Q559" s="1" t="s">
        <v>8856</v>
      </c>
    </row>
    <row r="560" spans="1:17" x14ac:dyDescent="0.25">
      <c r="A560" s="64" t="s">
        <v>9537</v>
      </c>
      <c r="B560" s="97" t="s">
        <v>9059</v>
      </c>
      <c r="C560" s="20">
        <v>1</v>
      </c>
      <c r="D560" s="20" t="s">
        <v>309</v>
      </c>
      <c r="E560" s="20" t="s">
        <v>8828</v>
      </c>
      <c r="F560" s="20" t="s">
        <v>309</v>
      </c>
      <c r="G560" s="20" t="s">
        <v>8971</v>
      </c>
      <c r="H560" s="20" t="s">
        <v>309</v>
      </c>
      <c r="I560" s="20" t="s">
        <v>8886</v>
      </c>
      <c r="J560" s="20" t="s">
        <v>344</v>
      </c>
      <c r="K560" s="20" t="s">
        <v>8898</v>
      </c>
      <c r="L560" s="20" t="s">
        <v>512</v>
      </c>
      <c r="M560" s="20" t="s">
        <v>512</v>
      </c>
      <c r="N560" s="20" t="s">
        <v>512</v>
      </c>
      <c r="O560" s="20" t="s">
        <v>512</v>
      </c>
      <c r="P560" s="20"/>
      <c r="Q560" s="1" t="s">
        <v>309</v>
      </c>
    </row>
    <row r="561" spans="1:19" x14ac:dyDescent="0.25">
      <c r="A561" s="64" t="s">
        <v>9538</v>
      </c>
      <c r="B561" s="97" t="s">
        <v>9139</v>
      </c>
      <c r="C561" s="20">
        <v>1</v>
      </c>
      <c r="D561" s="20" t="s">
        <v>3744</v>
      </c>
      <c r="E561" s="20" t="s">
        <v>8787</v>
      </c>
      <c r="F561" s="20" t="s">
        <v>309</v>
      </c>
      <c r="G561" s="20" t="s">
        <v>8878</v>
      </c>
      <c r="H561" s="20" t="s">
        <v>8781</v>
      </c>
      <c r="I561" s="20" t="s">
        <v>8797</v>
      </c>
      <c r="J561" s="20" t="s">
        <v>512</v>
      </c>
      <c r="K561" s="20" t="s">
        <v>512</v>
      </c>
      <c r="L561" s="20" t="s">
        <v>512</v>
      </c>
      <c r="M561" s="20" t="s">
        <v>512</v>
      </c>
      <c r="N561" s="20" t="s">
        <v>512</v>
      </c>
      <c r="O561" s="20" t="s">
        <v>512</v>
      </c>
      <c r="P561" s="20"/>
      <c r="Q561" s="1" t="s">
        <v>3744</v>
      </c>
    </row>
    <row r="562" spans="1:19" x14ac:dyDescent="0.25">
      <c r="A562" s="64" t="s">
        <v>9539</v>
      </c>
      <c r="B562" s="97" t="s">
        <v>9030</v>
      </c>
      <c r="C562" s="20">
        <v>1</v>
      </c>
      <c r="D562" s="20" t="s">
        <v>3744</v>
      </c>
      <c r="E562" s="20" t="s">
        <v>8595</v>
      </c>
      <c r="F562" s="20" t="s">
        <v>8781</v>
      </c>
      <c r="G562" s="20" t="s">
        <v>8618</v>
      </c>
      <c r="H562" s="20" t="s">
        <v>309</v>
      </c>
      <c r="I562" s="20" t="s">
        <v>8878</v>
      </c>
      <c r="J562" s="20" t="s">
        <v>512</v>
      </c>
      <c r="K562" s="20" t="s">
        <v>512</v>
      </c>
      <c r="L562" s="20" t="s">
        <v>512</v>
      </c>
      <c r="M562" s="20" t="s">
        <v>512</v>
      </c>
      <c r="N562" s="20" t="s">
        <v>512</v>
      </c>
      <c r="O562" s="20" t="s">
        <v>512</v>
      </c>
      <c r="P562" s="20"/>
      <c r="Q562" s="1" t="s">
        <v>3744</v>
      </c>
    </row>
    <row r="563" spans="1:19" x14ac:dyDescent="0.25">
      <c r="A563" s="64" t="s">
        <v>9540</v>
      </c>
      <c r="B563" s="97" t="s">
        <v>9139</v>
      </c>
      <c r="C563" s="20">
        <v>1</v>
      </c>
      <c r="D563" s="20" t="s">
        <v>3744</v>
      </c>
      <c r="E563" s="20" t="s">
        <v>8787</v>
      </c>
      <c r="F563" s="20" t="s">
        <v>309</v>
      </c>
      <c r="G563" s="20" t="s">
        <v>8878</v>
      </c>
      <c r="H563" s="20" t="s">
        <v>8781</v>
      </c>
      <c r="I563" s="20" t="s">
        <v>8797</v>
      </c>
      <c r="J563" s="20" t="s">
        <v>512</v>
      </c>
      <c r="K563" s="20" t="s">
        <v>512</v>
      </c>
      <c r="L563" s="20" t="s">
        <v>512</v>
      </c>
      <c r="M563" s="20" t="s">
        <v>512</v>
      </c>
      <c r="N563" s="20" t="s">
        <v>512</v>
      </c>
      <c r="O563" s="20" t="s">
        <v>512</v>
      </c>
      <c r="P563" s="20"/>
      <c r="Q563" s="1" t="s">
        <v>3744</v>
      </c>
    </row>
    <row r="564" spans="1:19" x14ac:dyDescent="0.25">
      <c r="A564" s="64" t="s">
        <v>9541</v>
      </c>
      <c r="B564" s="97" t="s">
        <v>9033</v>
      </c>
      <c r="C564" s="20">
        <v>1</v>
      </c>
      <c r="D564" s="20" t="s">
        <v>3744</v>
      </c>
      <c r="E564" s="20" t="s">
        <v>8791</v>
      </c>
      <c r="F564" s="20" t="s">
        <v>309</v>
      </c>
      <c r="G564" s="20" t="s">
        <v>8835</v>
      </c>
      <c r="H564" s="20" t="s">
        <v>512</v>
      </c>
      <c r="I564" s="20" t="s">
        <v>512</v>
      </c>
      <c r="J564" s="20" t="s">
        <v>512</v>
      </c>
      <c r="K564" s="20" t="s">
        <v>512</v>
      </c>
      <c r="L564" s="20" t="s">
        <v>512</v>
      </c>
      <c r="M564" s="20" t="s">
        <v>512</v>
      </c>
      <c r="N564" s="20" t="s">
        <v>512</v>
      </c>
      <c r="O564" s="20" t="s">
        <v>512</v>
      </c>
      <c r="P564" s="20"/>
      <c r="Q564" s="1" t="s">
        <v>3744</v>
      </c>
    </row>
    <row r="565" spans="1:19" x14ac:dyDescent="0.25">
      <c r="A565" s="64" t="s">
        <v>9542</v>
      </c>
      <c r="B565" s="97" t="s">
        <v>9030</v>
      </c>
      <c r="C565" s="20">
        <v>1</v>
      </c>
      <c r="D565" s="20" t="s">
        <v>3744</v>
      </c>
      <c r="E565" s="20" t="s">
        <v>8595</v>
      </c>
      <c r="F565" s="20" t="s">
        <v>8781</v>
      </c>
      <c r="G565" s="20" t="s">
        <v>8616</v>
      </c>
      <c r="H565" s="20" t="s">
        <v>309</v>
      </c>
      <c r="I565" s="20" t="s">
        <v>8878</v>
      </c>
      <c r="J565" s="20" t="s">
        <v>512</v>
      </c>
      <c r="K565" s="20" t="s">
        <v>512</v>
      </c>
      <c r="L565" s="20" t="s">
        <v>512</v>
      </c>
      <c r="M565" s="20" t="s">
        <v>512</v>
      </c>
      <c r="N565" s="20" t="s">
        <v>512</v>
      </c>
      <c r="O565" s="20" t="s">
        <v>512</v>
      </c>
      <c r="P565" s="20"/>
      <c r="Q565" s="1" t="s">
        <v>3744</v>
      </c>
    </row>
    <row r="566" spans="1:19" x14ac:dyDescent="0.25">
      <c r="A566" s="64" t="s">
        <v>9543</v>
      </c>
      <c r="B566" s="97" t="s">
        <v>9030</v>
      </c>
      <c r="C566" s="20">
        <v>1</v>
      </c>
      <c r="D566" s="20" t="s">
        <v>3744</v>
      </c>
      <c r="E566" s="20" t="s">
        <v>8595</v>
      </c>
      <c r="F566" s="20" t="s">
        <v>8781</v>
      </c>
      <c r="G566" s="20" t="s">
        <v>8616</v>
      </c>
      <c r="H566" s="20" t="s">
        <v>309</v>
      </c>
      <c r="I566" s="20" t="s">
        <v>8878</v>
      </c>
      <c r="J566" s="20" t="s">
        <v>512</v>
      </c>
      <c r="K566" s="20" t="s">
        <v>512</v>
      </c>
      <c r="L566" s="20" t="s">
        <v>512</v>
      </c>
      <c r="M566" s="20" t="s">
        <v>512</v>
      </c>
      <c r="N566" s="20" t="s">
        <v>512</v>
      </c>
      <c r="O566" s="20" t="s">
        <v>512</v>
      </c>
      <c r="P566" s="20"/>
      <c r="Q566" s="1" t="s">
        <v>3744</v>
      </c>
    </row>
    <row r="567" spans="1:19" x14ac:dyDescent="0.25">
      <c r="A567" s="64" t="s">
        <v>9544</v>
      </c>
      <c r="B567" s="97" t="s">
        <v>9406</v>
      </c>
      <c r="C567" s="20">
        <v>1</v>
      </c>
      <c r="D567" s="20" t="s">
        <v>8856</v>
      </c>
      <c r="E567" s="20" t="s">
        <v>8855</v>
      </c>
      <c r="F567" s="20" t="s">
        <v>8753</v>
      </c>
      <c r="G567" s="20" t="s">
        <v>8757</v>
      </c>
      <c r="H567" s="20" t="s">
        <v>8753</v>
      </c>
      <c r="I567" s="20" t="s">
        <v>8759</v>
      </c>
      <c r="J567" s="20" t="s">
        <v>8753</v>
      </c>
      <c r="K567" s="20" t="s">
        <v>8761</v>
      </c>
      <c r="L567" s="20" t="s">
        <v>512</v>
      </c>
      <c r="M567" s="20" t="s">
        <v>512</v>
      </c>
      <c r="N567" s="20" t="s">
        <v>512</v>
      </c>
      <c r="O567" s="20" t="s">
        <v>512</v>
      </c>
      <c r="P567" s="20"/>
      <c r="Q567" s="1" t="s">
        <v>8856</v>
      </c>
    </row>
    <row r="568" spans="1:19" x14ac:dyDescent="0.25">
      <c r="A568" s="64" t="s">
        <v>9545</v>
      </c>
      <c r="B568" s="97" t="s">
        <v>9046</v>
      </c>
      <c r="C568" s="20">
        <v>1</v>
      </c>
      <c r="D568" s="20" t="s">
        <v>106</v>
      </c>
      <c r="E568" s="20" t="s">
        <v>8810</v>
      </c>
      <c r="F568" s="20" t="s">
        <v>309</v>
      </c>
      <c r="G568" s="20" t="s">
        <v>8880</v>
      </c>
      <c r="H568" s="20" t="s">
        <v>309</v>
      </c>
      <c r="I568" s="20">
        <v>344376</v>
      </c>
      <c r="J568" s="20" t="s">
        <v>344</v>
      </c>
      <c r="K568" s="20" t="s">
        <v>8898</v>
      </c>
      <c r="L568" s="20" t="s">
        <v>512</v>
      </c>
      <c r="M568" s="20" t="s">
        <v>512</v>
      </c>
      <c r="N568" s="20" t="s">
        <v>512</v>
      </c>
      <c r="O568" s="20" t="s">
        <v>512</v>
      </c>
      <c r="P568" s="20"/>
      <c r="Q568" s="1" t="s">
        <v>106</v>
      </c>
    </row>
    <row r="569" spans="1:19" x14ac:dyDescent="0.25">
      <c r="A569" s="64" t="s">
        <v>9546</v>
      </c>
      <c r="B569" s="97" t="s">
        <v>9048</v>
      </c>
      <c r="C569" s="20">
        <v>1</v>
      </c>
      <c r="D569" s="20" t="s">
        <v>106</v>
      </c>
      <c r="E569" s="20" t="s">
        <v>8806</v>
      </c>
      <c r="F569" s="20" t="s">
        <v>309</v>
      </c>
      <c r="G569" s="20" t="s">
        <v>8882</v>
      </c>
      <c r="H569" s="20" t="s">
        <v>309</v>
      </c>
      <c r="I569" s="20" t="s">
        <v>8973</v>
      </c>
      <c r="J569" s="20" t="s">
        <v>344</v>
      </c>
      <c r="K569" s="20" t="s">
        <v>8898</v>
      </c>
      <c r="L569" s="20" t="s">
        <v>512</v>
      </c>
      <c r="M569" s="20" t="s">
        <v>512</v>
      </c>
      <c r="N569" s="20" t="s">
        <v>512</v>
      </c>
      <c r="O569" s="20" t="s">
        <v>512</v>
      </c>
      <c r="P569" s="20"/>
      <c r="Q569" s="1" t="s">
        <v>106</v>
      </c>
    </row>
    <row r="570" spans="1:19" x14ac:dyDescent="0.25">
      <c r="A570" s="64" t="s">
        <v>9547</v>
      </c>
      <c r="B570" s="97" t="s">
        <v>9039</v>
      </c>
      <c r="C570" s="20">
        <v>1</v>
      </c>
      <c r="D570" s="20" t="s">
        <v>3744</v>
      </c>
      <c r="E570" s="20" t="s">
        <v>8804</v>
      </c>
      <c r="F570" s="20" t="s">
        <v>8781</v>
      </c>
      <c r="G570" s="20" t="s">
        <v>8618</v>
      </c>
      <c r="H570" s="20" t="s">
        <v>309</v>
      </c>
      <c r="I570" s="20" t="s">
        <v>8878</v>
      </c>
      <c r="J570" s="20" t="s">
        <v>512</v>
      </c>
      <c r="K570" s="20" t="s">
        <v>512</v>
      </c>
      <c r="L570" s="20" t="s">
        <v>512</v>
      </c>
      <c r="M570" s="20" t="s">
        <v>512</v>
      </c>
      <c r="N570" s="20" t="s">
        <v>512</v>
      </c>
      <c r="O570" s="20" t="s">
        <v>512</v>
      </c>
      <c r="P570" s="20"/>
      <c r="Q570" s="1" t="s">
        <v>3744</v>
      </c>
    </row>
    <row r="571" spans="1:19" x14ac:dyDescent="0.25">
      <c r="A571" s="64" t="s">
        <v>9548</v>
      </c>
      <c r="B571" s="97" t="s">
        <v>9139</v>
      </c>
      <c r="C571" s="20">
        <v>1</v>
      </c>
      <c r="D571" s="20" t="s">
        <v>3744</v>
      </c>
      <c r="E571" s="20" t="s">
        <v>8787</v>
      </c>
      <c r="F571" s="20" t="s">
        <v>309</v>
      </c>
      <c r="G571" s="20" t="s">
        <v>8878</v>
      </c>
      <c r="H571" s="20" t="s">
        <v>8781</v>
      </c>
      <c r="I571" s="20" t="s">
        <v>8797</v>
      </c>
      <c r="J571" s="20" t="s">
        <v>512</v>
      </c>
      <c r="K571" s="20" t="s">
        <v>512</v>
      </c>
      <c r="L571" s="20" t="s">
        <v>512</v>
      </c>
      <c r="M571" s="20" t="s">
        <v>512</v>
      </c>
      <c r="N571" s="20" t="s">
        <v>512</v>
      </c>
      <c r="O571" s="20" t="s">
        <v>512</v>
      </c>
      <c r="P571" s="20"/>
      <c r="Q571" s="1" t="s">
        <v>3744</v>
      </c>
      <c r="R571" s="1">
        <v>401</v>
      </c>
      <c r="S571" s="1" t="s">
        <v>9549</v>
      </c>
    </row>
    <row r="572" spans="1:19" x14ac:dyDescent="0.25">
      <c r="A572" s="64" t="s">
        <v>9550</v>
      </c>
      <c r="B572" s="97" t="s">
        <v>9030</v>
      </c>
      <c r="C572" s="20">
        <v>1</v>
      </c>
      <c r="D572" s="20" t="s">
        <v>3744</v>
      </c>
      <c r="E572" s="20" t="s">
        <v>8595</v>
      </c>
      <c r="F572" s="20" t="s">
        <v>8781</v>
      </c>
      <c r="G572" s="20" t="s">
        <v>8616</v>
      </c>
      <c r="H572" s="20" t="s">
        <v>309</v>
      </c>
      <c r="I572" s="20" t="s">
        <v>8878</v>
      </c>
      <c r="J572" s="20" t="s">
        <v>512</v>
      </c>
      <c r="K572" s="20" t="s">
        <v>512</v>
      </c>
      <c r="L572" s="20" t="s">
        <v>512</v>
      </c>
      <c r="M572" s="20" t="s">
        <v>512</v>
      </c>
      <c r="N572" s="20" t="s">
        <v>512</v>
      </c>
      <c r="O572" s="20" t="s">
        <v>512</v>
      </c>
      <c r="P572" s="20"/>
      <c r="Q572" s="1" t="s">
        <v>3744</v>
      </c>
      <c r="R572" s="1">
        <v>402</v>
      </c>
      <c r="S572" s="1" t="s">
        <v>9551</v>
      </c>
    </row>
    <row r="573" spans="1:19" x14ac:dyDescent="0.25">
      <c r="A573" s="64" t="s">
        <v>9552</v>
      </c>
      <c r="B573" s="97" t="s">
        <v>9406</v>
      </c>
      <c r="C573" s="20">
        <v>1</v>
      </c>
      <c r="D573" s="20" t="s">
        <v>8856</v>
      </c>
      <c r="E573" s="20" t="s">
        <v>8855</v>
      </c>
      <c r="F573" s="20" t="s">
        <v>8753</v>
      </c>
      <c r="G573" s="20" t="s">
        <v>8757</v>
      </c>
      <c r="H573" s="20" t="s">
        <v>8753</v>
      </c>
      <c r="I573" s="20" t="s">
        <v>8759</v>
      </c>
      <c r="J573" s="20" t="s">
        <v>8753</v>
      </c>
      <c r="K573" s="20" t="s">
        <v>8761</v>
      </c>
      <c r="L573" s="20" t="s">
        <v>512</v>
      </c>
      <c r="M573" s="20" t="s">
        <v>512</v>
      </c>
      <c r="N573" s="20" t="s">
        <v>512</v>
      </c>
      <c r="O573" s="20" t="s">
        <v>512</v>
      </c>
      <c r="P573" s="20"/>
      <c r="Q573" s="1" t="s">
        <v>8856</v>
      </c>
      <c r="R573" s="1">
        <v>403</v>
      </c>
      <c r="S573" s="1" t="s">
        <v>9553</v>
      </c>
    </row>
    <row r="574" spans="1:19" x14ac:dyDescent="0.25">
      <c r="A574" s="64" t="s">
        <v>9554</v>
      </c>
      <c r="B574" s="97" t="s">
        <v>9139</v>
      </c>
      <c r="C574" s="20">
        <v>1</v>
      </c>
      <c r="D574" s="20" t="s">
        <v>3744</v>
      </c>
      <c r="E574" s="20" t="s">
        <v>8787</v>
      </c>
      <c r="F574" s="20" t="s">
        <v>309</v>
      </c>
      <c r="G574" s="20" t="s">
        <v>8878</v>
      </c>
      <c r="H574" s="20" t="s">
        <v>8781</v>
      </c>
      <c r="I574" s="20" t="s">
        <v>8797</v>
      </c>
      <c r="J574" s="20" t="s">
        <v>512</v>
      </c>
      <c r="K574" s="20" t="s">
        <v>512</v>
      </c>
      <c r="L574" s="20" t="s">
        <v>512</v>
      </c>
      <c r="M574" s="20" t="s">
        <v>512</v>
      </c>
      <c r="N574" s="20" t="s">
        <v>512</v>
      </c>
      <c r="O574" s="20" t="s">
        <v>512</v>
      </c>
      <c r="P574" s="20"/>
      <c r="Q574" s="1" t="s">
        <v>3744</v>
      </c>
      <c r="R574" s="1">
        <v>404</v>
      </c>
      <c r="S574" s="1" t="s">
        <v>9555</v>
      </c>
    </row>
    <row r="575" spans="1:19" x14ac:dyDescent="0.25">
      <c r="A575" s="64" t="s">
        <v>9556</v>
      </c>
      <c r="B575" s="97" t="s">
        <v>9033</v>
      </c>
      <c r="C575" s="20">
        <v>1</v>
      </c>
      <c r="D575" s="20" t="s">
        <v>3744</v>
      </c>
      <c r="E575" s="20" t="s">
        <v>8791</v>
      </c>
      <c r="F575" s="20" t="s">
        <v>309</v>
      </c>
      <c r="G575" s="20" t="s">
        <v>8835</v>
      </c>
      <c r="H575" s="20" t="s">
        <v>512</v>
      </c>
      <c r="I575" s="20" t="s">
        <v>512</v>
      </c>
      <c r="J575" s="20" t="s">
        <v>512</v>
      </c>
      <c r="K575" s="20" t="s">
        <v>512</v>
      </c>
      <c r="L575" s="20" t="s">
        <v>512</v>
      </c>
      <c r="M575" s="20" t="s">
        <v>512</v>
      </c>
      <c r="N575" s="20" t="s">
        <v>512</v>
      </c>
      <c r="O575" s="20" t="s">
        <v>512</v>
      </c>
      <c r="P575" s="20"/>
      <c r="Q575" s="1" t="s">
        <v>3744</v>
      </c>
      <c r="R575" s="1">
        <v>405</v>
      </c>
      <c r="S575" s="1" t="s">
        <v>9557</v>
      </c>
    </row>
    <row r="576" spans="1:19" x14ac:dyDescent="0.25">
      <c r="A576" s="64" t="s">
        <v>9558</v>
      </c>
      <c r="B576" s="97" t="s">
        <v>9030</v>
      </c>
      <c r="C576" s="20">
        <v>1</v>
      </c>
      <c r="D576" s="20" t="s">
        <v>3744</v>
      </c>
      <c r="E576" s="20" t="s">
        <v>8595</v>
      </c>
      <c r="F576" s="20" t="s">
        <v>8781</v>
      </c>
      <c r="G576" s="20" t="s">
        <v>8618</v>
      </c>
      <c r="H576" s="20" t="s">
        <v>309</v>
      </c>
      <c r="I576" s="20" t="s">
        <v>8878</v>
      </c>
      <c r="J576" s="20" t="s">
        <v>512</v>
      </c>
      <c r="K576" s="20" t="s">
        <v>512</v>
      </c>
      <c r="L576" s="20" t="s">
        <v>512</v>
      </c>
      <c r="M576" s="20" t="s">
        <v>512</v>
      </c>
      <c r="N576" s="20" t="s">
        <v>512</v>
      </c>
      <c r="O576" s="20" t="s">
        <v>512</v>
      </c>
      <c r="P576" s="20"/>
      <c r="Q576" s="1" t="s">
        <v>3744</v>
      </c>
      <c r="R576" s="1">
        <v>406</v>
      </c>
      <c r="S576" s="1" t="s">
        <v>9559</v>
      </c>
    </row>
    <row r="577" spans="1:17" x14ac:dyDescent="0.25">
      <c r="A577" s="64" t="s">
        <v>9560</v>
      </c>
      <c r="B577" s="97" t="s">
        <v>9030</v>
      </c>
      <c r="C577" s="20">
        <v>1</v>
      </c>
      <c r="D577" s="20" t="s">
        <v>3744</v>
      </c>
      <c r="E577" s="20" t="s">
        <v>8595</v>
      </c>
      <c r="F577" s="20" t="s">
        <v>8781</v>
      </c>
      <c r="G577" s="20" t="s">
        <v>8618</v>
      </c>
      <c r="H577" s="20" t="s">
        <v>309</v>
      </c>
      <c r="I577" s="20" t="s">
        <v>8878</v>
      </c>
      <c r="J577" s="20" t="s">
        <v>512</v>
      </c>
      <c r="K577" s="20" t="s">
        <v>512</v>
      </c>
      <c r="L577" s="20" t="s">
        <v>512</v>
      </c>
      <c r="M577" s="20" t="s">
        <v>512</v>
      </c>
      <c r="N577" s="20" t="s">
        <v>512</v>
      </c>
      <c r="O577" s="20" t="s">
        <v>512</v>
      </c>
      <c r="P577" s="20"/>
      <c r="Q577" s="1" t="s">
        <v>3744</v>
      </c>
    </row>
    <row r="578" spans="1:17" x14ac:dyDescent="0.25">
      <c r="A578" s="64" t="s">
        <v>9561</v>
      </c>
      <c r="B578" s="97" t="s">
        <v>9406</v>
      </c>
      <c r="C578" s="20">
        <v>1</v>
      </c>
      <c r="D578" s="20" t="s">
        <v>8856</v>
      </c>
      <c r="E578" s="20" t="s">
        <v>8855</v>
      </c>
      <c r="F578" s="20" t="s">
        <v>8753</v>
      </c>
      <c r="G578" s="20" t="s">
        <v>8757</v>
      </c>
      <c r="H578" s="20" t="s">
        <v>8753</v>
      </c>
      <c r="I578" s="20" t="s">
        <v>8759</v>
      </c>
      <c r="J578" s="20" t="s">
        <v>8753</v>
      </c>
      <c r="K578" s="20" t="s">
        <v>8761</v>
      </c>
      <c r="L578" s="20" t="s">
        <v>512</v>
      </c>
      <c r="M578" s="20" t="s">
        <v>512</v>
      </c>
      <c r="N578" s="20" t="s">
        <v>512</v>
      </c>
      <c r="O578" s="20" t="s">
        <v>512</v>
      </c>
      <c r="P578" s="20"/>
      <c r="Q578" s="1" t="s">
        <v>8856</v>
      </c>
    </row>
    <row r="579" spans="1:17" x14ac:dyDescent="0.25">
      <c r="A579" s="64" t="s">
        <v>9562</v>
      </c>
      <c r="B579" s="97" t="s">
        <v>9406</v>
      </c>
      <c r="C579" s="20">
        <v>1</v>
      </c>
      <c r="D579" s="20" t="s">
        <v>8856</v>
      </c>
      <c r="E579" s="20" t="s">
        <v>8855</v>
      </c>
      <c r="F579" s="20" t="s">
        <v>8753</v>
      </c>
      <c r="G579" s="20" t="s">
        <v>8757</v>
      </c>
      <c r="H579" s="20" t="s">
        <v>8753</v>
      </c>
      <c r="I579" s="20" t="s">
        <v>8759</v>
      </c>
      <c r="J579" s="20" t="s">
        <v>8753</v>
      </c>
      <c r="K579" s="20" t="s">
        <v>8761</v>
      </c>
      <c r="L579" s="20" t="s">
        <v>512</v>
      </c>
      <c r="M579" s="20" t="s">
        <v>512</v>
      </c>
      <c r="N579" s="20" t="s">
        <v>512</v>
      </c>
      <c r="O579" s="20" t="s">
        <v>512</v>
      </c>
      <c r="P579" s="20"/>
      <c r="Q579" s="1" t="s">
        <v>8856</v>
      </c>
    </row>
    <row r="580" spans="1:17" x14ac:dyDescent="0.25">
      <c r="A580" s="64" t="s">
        <v>9563</v>
      </c>
      <c r="B580" s="97" t="s">
        <v>9046</v>
      </c>
      <c r="C580" s="20">
        <v>1</v>
      </c>
      <c r="D580" s="20" t="s">
        <v>106</v>
      </c>
      <c r="E580" s="20" t="s">
        <v>8810</v>
      </c>
      <c r="F580" s="20" t="s">
        <v>309</v>
      </c>
      <c r="G580" s="20" t="s">
        <v>8880</v>
      </c>
      <c r="H580" s="20" t="s">
        <v>309</v>
      </c>
      <c r="I580" s="20">
        <v>344376</v>
      </c>
      <c r="J580" s="20" t="s">
        <v>344</v>
      </c>
      <c r="K580" s="20" t="s">
        <v>8898</v>
      </c>
      <c r="L580" s="20" t="s">
        <v>512</v>
      </c>
      <c r="M580" s="20" t="s">
        <v>512</v>
      </c>
      <c r="N580" s="20" t="s">
        <v>512</v>
      </c>
      <c r="O580" s="20" t="s">
        <v>512</v>
      </c>
      <c r="P580" s="20"/>
      <c r="Q580" s="1" t="s">
        <v>106</v>
      </c>
    </row>
    <row r="581" spans="1:17" x14ac:dyDescent="0.25">
      <c r="A581" s="64" t="s">
        <v>9564</v>
      </c>
      <c r="B581" s="97" t="s">
        <v>9048</v>
      </c>
      <c r="C581" s="20">
        <v>1</v>
      </c>
      <c r="D581" s="20" t="s">
        <v>106</v>
      </c>
      <c r="E581" s="20" t="s">
        <v>8806</v>
      </c>
      <c r="F581" s="20" t="s">
        <v>309</v>
      </c>
      <c r="G581" s="20" t="s">
        <v>8882</v>
      </c>
      <c r="H581" s="20" t="s">
        <v>309</v>
      </c>
      <c r="I581" s="20" t="s">
        <v>8973</v>
      </c>
      <c r="J581" s="20" t="s">
        <v>344</v>
      </c>
      <c r="K581" s="20" t="s">
        <v>8898</v>
      </c>
      <c r="L581" s="20" t="s">
        <v>512</v>
      </c>
      <c r="M581" s="20" t="s">
        <v>512</v>
      </c>
      <c r="N581" s="20" t="s">
        <v>512</v>
      </c>
      <c r="O581" s="20" t="s">
        <v>512</v>
      </c>
      <c r="P581" s="20"/>
      <c r="Q581" s="1" t="s">
        <v>106</v>
      </c>
    </row>
    <row r="582" spans="1:17" x14ac:dyDescent="0.25">
      <c r="A582" s="64" t="s">
        <v>9565</v>
      </c>
      <c r="B582" s="97" t="s">
        <v>9039</v>
      </c>
      <c r="C582" s="20">
        <v>1</v>
      </c>
      <c r="D582" s="20" t="s">
        <v>3744</v>
      </c>
      <c r="E582" s="20" t="s">
        <v>8804</v>
      </c>
      <c r="F582" s="20" t="s">
        <v>8781</v>
      </c>
      <c r="G582" s="20" t="s">
        <v>8616</v>
      </c>
      <c r="H582" s="20" t="s">
        <v>309</v>
      </c>
      <c r="I582" s="20" t="s">
        <v>8878</v>
      </c>
      <c r="J582" s="20" t="s">
        <v>512</v>
      </c>
      <c r="K582" s="20" t="s">
        <v>512</v>
      </c>
      <c r="L582" s="20" t="s">
        <v>512</v>
      </c>
      <c r="M582" s="20" t="s">
        <v>512</v>
      </c>
      <c r="N582" s="20" t="s">
        <v>512</v>
      </c>
      <c r="O582" s="20" t="s">
        <v>512</v>
      </c>
      <c r="P582" s="20"/>
      <c r="Q582" s="1" t="s">
        <v>3744</v>
      </c>
    </row>
    <row r="583" spans="1:17" x14ac:dyDescent="0.25">
      <c r="A583" s="64" t="s">
        <v>9565</v>
      </c>
      <c r="B583" s="97" t="s">
        <v>9039</v>
      </c>
      <c r="C583" s="20">
        <v>1</v>
      </c>
      <c r="D583" s="20" t="s">
        <v>3744</v>
      </c>
      <c r="E583" s="20" t="s">
        <v>8804</v>
      </c>
      <c r="F583" s="20" t="s">
        <v>8781</v>
      </c>
      <c r="G583" s="20" t="s">
        <v>8616</v>
      </c>
      <c r="H583" s="20" t="s">
        <v>309</v>
      </c>
      <c r="I583" s="20" t="s">
        <v>8878</v>
      </c>
      <c r="J583" s="20" t="s">
        <v>512</v>
      </c>
      <c r="K583" s="20" t="s">
        <v>512</v>
      </c>
      <c r="L583" s="20" t="s">
        <v>512</v>
      </c>
      <c r="M583" s="20" t="s">
        <v>512</v>
      </c>
      <c r="N583" s="20" t="s">
        <v>512</v>
      </c>
      <c r="O583" s="20" t="s">
        <v>512</v>
      </c>
      <c r="P583" s="20"/>
      <c r="Q583" s="20" t="s">
        <v>3744</v>
      </c>
    </row>
    <row r="584" spans="1:17" x14ac:dyDescent="0.25">
      <c r="A584" s="64" t="s">
        <v>9566</v>
      </c>
      <c r="B584" s="97" t="s">
        <v>9139</v>
      </c>
      <c r="C584" s="20">
        <v>1</v>
      </c>
      <c r="D584" s="20" t="s">
        <v>3744</v>
      </c>
      <c r="E584" s="20" t="s">
        <v>8787</v>
      </c>
      <c r="F584" s="20" t="s">
        <v>309</v>
      </c>
      <c r="G584" s="20" t="s">
        <v>8878</v>
      </c>
      <c r="H584" s="20" t="s">
        <v>8781</v>
      </c>
      <c r="I584" s="20" t="s">
        <v>8797</v>
      </c>
      <c r="J584" s="20" t="s">
        <v>512</v>
      </c>
      <c r="K584" s="20" t="s">
        <v>512</v>
      </c>
      <c r="L584" s="20" t="s">
        <v>512</v>
      </c>
      <c r="M584" s="20" t="s">
        <v>512</v>
      </c>
      <c r="N584" s="20" t="s">
        <v>512</v>
      </c>
      <c r="O584" s="20" t="s">
        <v>512</v>
      </c>
      <c r="P584" s="20"/>
      <c r="Q584" s="20" t="s">
        <v>3744</v>
      </c>
    </row>
    <row r="585" spans="1:17" x14ac:dyDescent="0.25">
      <c r="A585" s="64" t="s">
        <v>9567</v>
      </c>
      <c r="B585" s="97" t="s">
        <v>9030</v>
      </c>
      <c r="C585" s="20">
        <v>1</v>
      </c>
      <c r="D585" s="20" t="s">
        <v>3744</v>
      </c>
      <c r="E585" s="20" t="s">
        <v>8595</v>
      </c>
      <c r="F585" s="20" t="s">
        <v>8781</v>
      </c>
      <c r="G585" s="20" t="s">
        <v>8616</v>
      </c>
      <c r="H585" s="20" t="s">
        <v>309</v>
      </c>
      <c r="I585" s="20" t="s">
        <v>8878</v>
      </c>
      <c r="J585" s="20" t="s">
        <v>512</v>
      </c>
      <c r="K585" s="20" t="s">
        <v>512</v>
      </c>
      <c r="L585" s="20" t="s">
        <v>512</v>
      </c>
      <c r="M585" s="20" t="s">
        <v>512</v>
      </c>
      <c r="N585" s="20" t="s">
        <v>512</v>
      </c>
      <c r="O585" s="20" t="s">
        <v>512</v>
      </c>
      <c r="P585" s="20"/>
      <c r="Q585" s="1" t="s">
        <v>3744</v>
      </c>
    </row>
    <row r="586" spans="1:17" x14ac:dyDescent="0.25">
      <c r="A586" s="64" t="s">
        <v>9568</v>
      </c>
      <c r="B586" s="97" t="s">
        <v>9046</v>
      </c>
      <c r="C586" s="20">
        <v>1</v>
      </c>
      <c r="D586" s="20" t="s">
        <v>106</v>
      </c>
      <c r="E586" s="20" t="s">
        <v>8810</v>
      </c>
      <c r="F586" s="20" t="s">
        <v>309</v>
      </c>
      <c r="G586" s="20" t="s">
        <v>8880</v>
      </c>
      <c r="H586" s="20" t="s">
        <v>309</v>
      </c>
      <c r="I586" s="20">
        <v>344376</v>
      </c>
      <c r="J586" s="20" t="s">
        <v>344</v>
      </c>
      <c r="K586" s="20" t="s">
        <v>8898</v>
      </c>
      <c r="L586" s="1" t="s">
        <v>512</v>
      </c>
      <c r="M586" s="1" t="s">
        <v>512</v>
      </c>
      <c r="N586" s="1" t="s">
        <v>512</v>
      </c>
      <c r="O586" s="1" t="s">
        <v>512</v>
      </c>
      <c r="Q586" s="1" t="s">
        <v>106</v>
      </c>
    </row>
    <row r="587" spans="1:17" x14ac:dyDescent="0.25">
      <c r="A587" s="64" t="s">
        <v>9569</v>
      </c>
      <c r="B587" s="97" t="s">
        <v>9048</v>
      </c>
      <c r="C587" s="20">
        <v>1</v>
      </c>
      <c r="D587" s="20" t="s">
        <v>106</v>
      </c>
      <c r="E587" s="20" t="s">
        <v>8806</v>
      </c>
      <c r="F587" s="20" t="s">
        <v>309</v>
      </c>
      <c r="G587" s="20" t="s">
        <v>8882</v>
      </c>
      <c r="H587" s="20" t="s">
        <v>309</v>
      </c>
      <c r="I587" s="20" t="s">
        <v>8973</v>
      </c>
      <c r="J587" s="20" t="s">
        <v>344</v>
      </c>
      <c r="K587" s="20" t="s">
        <v>8898</v>
      </c>
      <c r="L587" s="1" t="s">
        <v>512</v>
      </c>
      <c r="M587" s="1" t="s">
        <v>512</v>
      </c>
      <c r="N587" s="1" t="s">
        <v>512</v>
      </c>
      <c r="O587" s="1" t="s">
        <v>512</v>
      </c>
      <c r="Q587" s="1" t="s">
        <v>106</v>
      </c>
    </row>
    <row r="588" spans="1:17" x14ac:dyDescent="0.25">
      <c r="A588" s="64" t="s">
        <v>9570</v>
      </c>
      <c r="B588" s="97" t="s">
        <v>9044</v>
      </c>
      <c r="C588" s="20">
        <v>1</v>
      </c>
      <c r="D588" s="20" t="s">
        <v>8781</v>
      </c>
      <c r="E588" s="20" t="s">
        <v>8657</v>
      </c>
      <c r="F588" s="20" t="s">
        <v>3744</v>
      </c>
      <c r="G588" s="20" t="s">
        <v>8780</v>
      </c>
      <c r="H588" s="20" t="s">
        <v>309</v>
      </c>
      <c r="I588" s="20" t="s">
        <v>8835</v>
      </c>
      <c r="J588" s="20" t="s">
        <v>309</v>
      </c>
      <c r="K588" s="20" t="s">
        <v>8884</v>
      </c>
      <c r="L588" s="1" t="s">
        <v>3744</v>
      </c>
      <c r="M588" s="1" t="s">
        <v>8677</v>
      </c>
      <c r="N588" s="1" t="s">
        <v>3744</v>
      </c>
      <c r="O588" s="1" t="s">
        <v>8783</v>
      </c>
      <c r="Q588" s="1" t="s">
        <v>8781</v>
      </c>
    </row>
    <row r="589" spans="1:17" x14ac:dyDescent="0.25">
      <c r="A589" s="64" t="s">
        <v>9571</v>
      </c>
      <c r="B589" s="97" t="s">
        <v>9030</v>
      </c>
      <c r="C589" s="20">
        <v>1</v>
      </c>
      <c r="D589" s="20" t="s">
        <v>3744</v>
      </c>
      <c r="E589" s="20" t="s">
        <v>8595</v>
      </c>
      <c r="F589" s="20" t="s">
        <v>8781</v>
      </c>
      <c r="G589" s="20" t="s">
        <v>8618</v>
      </c>
      <c r="H589" s="20" t="s">
        <v>309</v>
      </c>
      <c r="I589" s="20" t="s">
        <v>8878</v>
      </c>
      <c r="J589" s="20" t="s">
        <v>512</v>
      </c>
      <c r="K589" s="20" t="s">
        <v>512</v>
      </c>
      <c r="L589" s="1" t="s">
        <v>512</v>
      </c>
      <c r="M589" s="1" t="s">
        <v>512</v>
      </c>
      <c r="N589" s="1" t="s">
        <v>512</v>
      </c>
      <c r="O589" s="1" t="s">
        <v>512</v>
      </c>
      <c r="Q589" s="1" t="s">
        <v>3744</v>
      </c>
    </row>
    <row r="590" spans="1:17" x14ac:dyDescent="0.25">
      <c r="A590" s="64" t="s">
        <v>9572</v>
      </c>
      <c r="B590" s="97" t="s">
        <v>9406</v>
      </c>
      <c r="C590" s="20">
        <v>1</v>
      </c>
      <c r="D590" s="20" t="s">
        <v>8856</v>
      </c>
      <c r="E590" s="20" t="s">
        <v>8855</v>
      </c>
      <c r="F590" s="20" t="s">
        <v>512</v>
      </c>
      <c r="G590" s="20" t="s">
        <v>512</v>
      </c>
      <c r="H590" s="20" t="s">
        <v>512</v>
      </c>
      <c r="I590" s="20" t="s">
        <v>512</v>
      </c>
      <c r="J590" s="20" t="s">
        <v>512</v>
      </c>
      <c r="K590" s="20" t="s">
        <v>512</v>
      </c>
      <c r="L590" s="1" t="s">
        <v>512</v>
      </c>
      <c r="M590" s="1" t="s">
        <v>512</v>
      </c>
      <c r="N590" s="1" t="s">
        <v>512</v>
      </c>
      <c r="O590" s="1" t="s">
        <v>512</v>
      </c>
      <c r="Q590" s="1" t="s">
        <v>8856</v>
      </c>
    </row>
    <row r="591" spans="1:17" x14ac:dyDescent="0.25">
      <c r="A591" s="64" t="s">
        <v>9573</v>
      </c>
      <c r="B591" s="97" t="s">
        <v>9406</v>
      </c>
      <c r="C591" s="20">
        <v>1</v>
      </c>
      <c r="D591" s="20" t="s">
        <v>8856</v>
      </c>
      <c r="E591" s="20" t="s">
        <v>8855</v>
      </c>
      <c r="F591" s="20" t="s">
        <v>8753</v>
      </c>
      <c r="G591" s="20" t="s">
        <v>8757</v>
      </c>
      <c r="H591" s="20" t="s">
        <v>8753</v>
      </c>
      <c r="I591" s="20" t="s">
        <v>8759</v>
      </c>
      <c r="J591" s="20" t="s">
        <v>8753</v>
      </c>
      <c r="K591" s="20" t="s">
        <v>8761</v>
      </c>
      <c r="L591" s="1" t="s">
        <v>512</v>
      </c>
      <c r="M591" s="1" t="s">
        <v>512</v>
      </c>
      <c r="N591" s="1" t="s">
        <v>512</v>
      </c>
      <c r="O591" s="1" t="s">
        <v>512</v>
      </c>
      <c r="Q591" s="1" t="s">
        <v>8856</v>
      </c>
    </row>
    <row r="592" spans="1:17" x14ac:dyDescent="0.25">
      <c r="A592" s="64" t="s">
        <v>9574</v>
      </c>
      <c r="B592" s="97" t="s">
        <v>9406</v>
      </c>
      <c r="C592" s="20">
        <v>1</v>
      </c>
      <c r="D592" s="20" t="s">
        <v>8856</v>
      </c>
      <c r="E592" s="20" t="s">
        <v>8855</v>
      </c>
      <c r="F592" s="20" t="s">
        <v>8753</v>
      </c>
      <c r="G592" s="20" t="s">
        <v>8757</v>
      </c>
      <c r="H592" s="20" t="s">
        <v>8753</v>
      </c>
      <c r="I592" s="20" t="s">
        <v>8759</v>
      </c>
      <c r="J592" s="20" t="s">
        <v>8753</v>
      </c>
      <c r="K592" s="20" t="s">
        <v>8761</v>
      </c>
      <c r="L592" s="1" t="s">
        <v>512</v>
      </c>
      <c r="M592" s="1" t="s">
        <v>512</v>
      </c>
      <c r="N592" s="1" t="s">
        <v>512</v>
      </c>
      <c r="O592" s="1" t="s">
        <v>512</v>
      </c>
      <c r="Q592" s="1" t="s">
        <v>8856</v>
      </c>
    </row>
    <row r="593" spans="1:17" x14ac:dyDescent="0.25">
      <c r="A593" s="64" t="s">
        <v>9575</v>
      </c>
      <c r="B593" s="97" t="s">
        <v>9406</v>
      </c>
      <c r="C593" s="20">
        <v>1</v>
      </c>
      <c r="D593" s="20" t="s">
        <v>8856</v>
      </c>
      <c r="E593" s="20" t="s">
        <v>8855</v>
      </c>
      <c r="F593" s="20" t="s">
        <v>8753</v>
      </c>
      <c r="G593" s="20" t="s">
        <v>8757</v>
      </c>
      <c r="H593" s="20" t="s">
        <v>8753</v>
      </c>
      <c r="I593" s="20" t="s">
        <v>8759</v>
      </c>
      <c r="J593" s="20" t="s">
        <v>8753</v>
      </c>
      <c r="K593" s="20" t="s">
        <v>8761</v>
      </c>
      <c r="L593" s="1" t="s">
        <v>512</v>
      </c>
      <c r="M593" s="1" t="s">
        <v>512</v>
      </c>
      <c r="N593" s="1" t="s">
        <v>512</v>
      </c>
      <c r="O593" s="1" t="s">
        <v>512</v>
      </c>
      <c r="Q593" s="1" t="s">
        <v>8856</v>
      </c>
    </row>
    <row r="594" spans="1:17" x14ac:dyDescent="0.25">
      <c r="A594" s="64" t="s">
        <v>9576</v>
      </c>
      <c r="B594" s="97" t="s">
        <v>9406</v>
      </c>
      <c r="C594" s="20">
        <v>1</v>
      </c>
      <c r="D594" s="20" t="s">
        <v>8856</v>
      </c>
      <c r="E594" s="20" t="s">
        <v>8855</v>
      </c>
      <c r="F594" s="20" t="s">
        <v>8753</v>
      </c>
      <c r="G594" s="20" t="s">
        <v>8757</v>
      </c>
      <c r="H594" s="20" t="s">
        <v>8753</v>
      </c>
      <c r="I594" s="20" t="s">
        <v>8759</v>
      </c>
      <c r="J594" s="20" t="s">
        <v>8753</v>
      </c>
      <c r="K594" s="20" t="s">
        <v>8761</v>
      </c>
      <c r="L594" s="1" t="s">
        <v>512</v>
      </c>
      <c r="M594" s="1" t="s">
        <v>512</v>
      </c>
      <c r="N594" s="1" t="s">
        <v>512</v>
      </c>
      <c r="O594" s="1" t="s">
        <v>512</v>
      </c>
      <c r="Q594" s="1" t="s">
        <v>8856</v>
      </c>
    </row>
    <row r="595" spans="1:17" x14ac:dyDescent="0.25">
      <c r="A595" s="64" t="s">
        <v>9577</v>
      </c>
      <c r="B595" s="97" t="s">
        <v>9044</v>
      </c>
      <c r="C595" s="20">
        <v>1</v>
      </c>
      <c r="D595" s="20" t="s">
        <v>3744</v>
      </c>
      <c r="E595" s="20" t="s">
        <v>8657</v>
      </c>
      <c r="F595" s="20" t="s">
        <v>3744</v>
      </c>
      <c r="G595" s="20" t="s">
        <v>8780</v>
      </c>
      <c r="H595" s="20" t="s">
        <v>309</v>
      </c>
      <c r="I595" s="20" t="s">
        <v>8835</v>
      </c>
      <c r="J595" s="20" t="s">
        <v>309</v>
      </c>
      <c r="K595" s="20" t="s">
        <v>8884</v>
      </c>
      <c r="L595" s="1" t="s">
        <v>3744</v>
      </c>
      <c r="M595" s="1" t="s">
        <v>8677</v>
      </c>
      <c r="N595" s="1" t="s">
        <v>3744</v>
      </c>
      <c r="O595" s="1" t="s">
        <v>8783</v>
      </c>
      <c r="Q595" s="1" t="s">
        <v>3744</v>
      </c>
    </row>
    <row r="596" spans="1:17" x14ac:dyDescent="0.25">
      <c r="A596" s="64" t="s">
        <v>9578</v>
      </c>
      <c r="B596" s="97" t="s">
        <v>9044</v>
      </c>
      <c r="C596" s="20">
        <v>1</v>
      </c>
      <c r="D596" s="20" t="s">
        <v>8781</v>
      </c>
      <c r="E596" s="20" t="s">
        <v>8657</v>
      </c>
      <c r="F596" s="20" t="s">
        <v>3744</v>
      </c>
      <c r="G596" s="20" t="s">
        <v>8780</v>
      </c>
      <c r="H596" s="20" t="s">
        <v>309</v>
      </c>
      <c r="I596" s="20" t="s">
        <v>8835</v>
      </c>
      <c r="J596" s="20" t="s">
        <v>309</v>
      </c>
      <c r="K596" s="20" t="s">
        <v>8884</v>
      </c>
      <c r="L596" s="1" t="s">
        <v>3744</v>
      </c>
      <c r="M596" s="1" t="s">
        <v>8677</v>
      </c>
      <c r="N596" s="1" t="s">
        <v>3744</v>
      </c>
      <c r="O596" s="1" t="s">
        <v>8783</v>
      </c>
      <c r="Q596" s="1" t="s">
        <v>8781</v>
      </c>
    </row>
    <row r="597" spans="1:17" x14ac:dyDescent="0.25">
      <c r="A597" s="64" t="s">
        <v>9579</v>
      </c>
      <c r="B597" s="97" t="s">
        <v>9046</v>
      </c>
      <c r="C597" s="20">
        <v>1</v>
      </c>
      <c r="D597" s="20" t="s">
        <v>106</v>
      </c>
      <c r="E597" s="20" t="s">
        <v>8810</v>
      </c>
      <c r="F597" s="20" t="s">
        <v>309</v>
      </c>
      <c r="G597" s="20" t="s">
        <v>8880</v>
      </c>
      <c r="H597" s="20" t="s">
        <v>309</v>
      </c>
      <c r="I597" s="20">
        <v>344376</v>
      </c>
      <c r="J597" s="20" t="s">
        <v>344</v>
      </c>
      <c r="K597" s="20" t="s">
        <v>8898</v>
      </c>
      <c r="L597" s="1" t="s">
        <v>512</v>
      </c>
      <c r="M597" s="1" t="s">
        <v>512</v>
      </c>
      <c r="N597" s="1" t="s">
        <v>512</v>
      </c>
      <c r="O597" s="1" t="s">
        <v>512</v>
      </c>
      <c r="Q597" s="1" t="s">
        <v>106</v>
      </c>
    </row>
    <row r="598" spans="1:17" x14ac:dyDescent="0.25">
      <c r="A598" s="64" t="s">
        <v>9580</v>
      </c>
      <c r="B598" s="97" t="s">
        <v>9048</v>
      </c>
      <c r="C598" s="20">
        <v>1</v>
      </c>
      <c r="D598" s="20" t="s">
        <v>106</v>
      </c>
      <c r="E598" s="20" t="s">
        <v>8806</v>
      </c>
      <c r="F598" s="20" t="s">
        <v>309</v>
      </c>
      <c r="G598" s="20" t="s">
        <v>8882</v>
      </c>
      <c r="H598" s="20" t="s">
        <v>309</v>
      </c>
      <c r="I598" s="20" t="s">
        <v>8973</v>
      </c>
      <c r="J598" s="20" t="s">
        <v>344</v>
      </c>
      <c r="K598" s="20" t="s">
        <v>8898</v>
      </c>
      <c r="L598" s="1" t="s">
        <v>512</v>
      </c>
      <c r="M598" s="1" t="s">
        <v>512</v>
      </c>
      <c r="N598" s="1" t="s">
        <v>512</v>
      </c>
      <c r="O598" s="1" t="s">
        <v>512</v>
      </c>
      <c r="Q598" s="1" t="s">
        <v>106</v>
      </c>
    </row>
    <row r="599" spans="1:17" x14ac:dyDescent="0.25">
      <c r="A599" s="64" t="s">
        <v>9581</v>
      </c>
      <c r="B599" s="97" t="s">
        <v>9030</v>
      </c>
      <c r="C599" s="20">
        <v>1</v>
      </c>
      <c r="D599" s="20" t="s">
        <v>3744</v>
      </c>
      <c r="E599" s="20" t="s">
        <v>8595</v>
      </c>
      <c r="F599" s="20" t="s">
        <v>8781</v>
      </c>
      <c r="G599" s="20" t="s">
        <v>8618</v>
      </c>
      <c r="H599" s="20" t="s">
        <v>309</v>
      </c>
      <c r="I599" s="20" t="s">
        <v>8878</v>
      </c>
      <c r="J599" s="20" t="s">
        <v>512</v>
      </c>
      <c r="K599" s="20" t="s">
        <v>512</v>
      </c>
      <c r="L599" s="1" t="s">
        <v>512</v>
      </c>
      <c r="M599" s="1" t="s">
        <v>512</v>
      </c>
      <c r="N599" s="1" t="s">
        <v>512</v>
      </c>
      <c r="O599" s="1" t="s">
        <v>512</v>
      </c>
      <c r="Q599" s="1" t="s">
        <v>3744</v>
      </c>
    </row>
    <row r="600" spans="1:17" x14ac:dyDescent="0.25">
      <c r="A600" s="64" t="s">
        <v>9582</v>
      </c>
      <c r="B600" s="97" t="s">
        <v>9030</v>
      </c>
      <c r="C600" s="20">
        <v>1</v>
      </c>
      <c r="D600" s="20" t="s">
        <v>3744</v>
      </c>
      <c r="E600" s="20" t="s">
        <v>8595</v>
      </c>
      <c r="F600" s="20" t="s">
        <v>8781</v>
      </c>
      <c r="G600" s="20" t="s">
        <v>8618</v>
      </c>
      <c r="H600" s="20" t="s">
        <v>309</v>
      </c>
      <c r="I600" s="20" t="s">
        <v>8878</v>
      </c>
      <c r="J600" s="20" t="s">
        <v>512</v>
      </c>
      <c r="K600" s="20" t="s">
        <v>512</v>
      </c>
      <c r="L600" s="1" t="s">
        <v>512</v>
      </c>
      <c r="M600" s="1" t="s">
        <v>512</v>
      </c>
      <c r="N600" s="1" t="s">
        <v>512</v>
      </c>
      <c r="O600" s="1" t="s">
        <v>512</v>
      </c>
      <c r="Q600" s="1" t="s">
        <v>3744</v>
      </c>
    </row>
    <row r="601" spans="1:17" x14ac:dyDescent="0.25">
      <c r="B601" s="95" t="s">
        <v>512</v>
      </c>
      <c r="D601" s="1" t="s">
        <v>512</v>
      </c>
      <c r="E601" s="21" t="s">
        <v>512</v>
      </c>
      <c r="F601" s="1" t="s">
        <v>512</v>
      </c>
      <c r="G601" s="1" t="s">
        <v>512</v>
      </c>
      <c r="H601" s="1" t="s">
        <v>512</v>
      </c>
      <c r="I601" s="1" t="s">
        <v>512</v>
      </c>
      <c r="J601" s="1" t="s">
        <v>512</v>
      </c>
      <c r="K601" s="1" t="s">
        <v>512</v>
      </c>
      <c r="L601" s="1" t="s">
        <v>512</v>
      </c>
      <c r="M601" s="1" t="s">
        <v>512</v>
      </c>
      <c r="N601" s="1" t="s">
        <v>512</v>
      </c>
      <c r="O601" s="1" t="s">
        <v>512</v>
      </c>
      <c r="Q601" s="1" t="s">
        <v>512</v>
      </c>
    </row>
    <row r="602" spans="1:17" x14ac:dyDescent="0.25">
      <c r="B602" s="95" t="s">
        <v>512</v>
      </c>
      <c r="D602" s="1" t="s">
        <v>512</v>
      </c>
      <c r="E602" s="21" t="s">
        <v>512</v>
      </c>
      <c r="F602" s="35" t="s">
        <v>512</v>
      </c>
      <c r="G602" s="35" t="s">
        <v>512</v>
      </c>
      <c r="H602" s="35" t="s">
        <v>512</v>
      </c>
      <c r="I602" s="35" t="s">
        <v>512</v>
      </c>
      <c r="J602" s="35" t="s">
        <v>512</v>
      </c>
      <c r="K602" s="35" t="s">
        <v>512</v>
      </c>
      <c r="L602" s="35" t="s">
        <v>512</v>
      </c>
      <c r="M602" s="35" t="s">
        <v>512</v>
      </c>
      <c r="N602" s="35" t="s">
        <v>512</v>
      </c>
      <c r="O602" s="35" t="s">
        <v>512</v>
      </c>
      <c r="Q602" s="1" t="s">
        <v>512</v>
      </c>
    </row>
    <row r="603" spans="1:17" x14ac:dyDescent="0.25">
      <c r="B603" s="95" t="s">
        <v>512</v>
      </c>
      <c r="D603" s="1" t="s">
        <v>512</v>
      </c>
      <c r="E603" s="21" t="s">
        <v>512</v>
      </c>
      <c r="F603" s="35" t="s">
        <v>512</v>
      </c>
      <c r="G603" s="35" t="s">
        <v>512</v>
      </c>
      <c r="H603" s="35" t="s">
        <v>512</v>
      </c>
      <c r="I603" s="35" t="s">
        <v>512</v>
      </c>
      <c r="J603" s="35" t="s">
        <v>512</v>
      </c>
      <c r="K603" s="35" t="s">
        <v>512</v>
      </c>
      <c r="L603" s="35" t="s">
        <v>512</v>
      </c>
      <c r="M603" s="35" t="s">
        <v>512</v>
      </c>
      <c r="N603" s="35" t="s">
        <v>512</v>
      </c>
      <c r="O603" s="35" t="s">
        <v>512</v>
      </c>
      <c r="Q603" s="1" t="s">
        <v>512</v>
      </c>
    </row>
    <row r="604" spans="1:17" x14ac:dyDescent="0.25">
      <c r="B604" s="95" t="s">
        <v>512</v>
      </c>
      <c r="D604" s="1" t="s">
        <v>512</v>
      </c>
      <c r="E604" s="21" t="s">
        <v>512</v>
      </c>
      <c r="F604" s="35" t="s">
        <v>512</v>
      </c>
      <c r="G604" s="35" t="s">
        <v>512</v>
      </c>
      <c r="H604" s="35" t="s">
        <v>512</v>
      </c>
      <c r="I604" s="35" t="s">
        <v>512</v>
      </c>
      <c r="J604" s="35" t="s">
        <v>512</v>
      </c>
      <c r="K604" s="35" t="s">
        <v>512</v>
      </c>
      <c r="L604" s="35" t="s">
        <v>512</v>
      </c>
      <c r="M604" s="35" t="s">
        <v>512</v>
      </c>
      <c r="N604" s="35" t="s">
        <v>512</v>
      </c>
      <c r="O604" s="35" t="s">
        <v>512</v>
      </c>
      <c r="Q604" s="1" t="s">
        <v>512</v>
      </c>
    </row>
    <row r="605" spans="1:17" x14ac:dyDescent="0.25">
      <c r="B605" s="95" t="s">
        <v>512</v>
      </c>
      <c r="D605" s="1" t="s">
        <v>512</v>
      </c>
      <c r="E605" s="21" t="s">
        <v>512</v>
      </c>
      <c r="F605" s="35" t="s">
        <v>512</v>
      </c>
      <c r="G605" s="35" t="s">
        <v>512</v>
      </c>
      <c r="H605" s="35" t="s">
        <v>512</v>
      </c>
      <c r="I605" s="35" t="s">
        <v>512</v>
      </c>
      <c r="J605" s="35" t="s">
        <v>512</v>
      </c>
      <c r="K605" s="35" t="s">
        <v>512</v>
      </c>
      <c r="L605" s="35" t="s">
        <v>512</v>
      </c>
      <c r="M605" s="35" t="s">
        <v>512</v>
      </c>
      <c r="N605" s="35" t="s">
        <v>512</v>
      </c>
      <c r="O605" s="35" t="s">
        <v>512</v>
      </c>
      <c r="Q605" s="1" t="s">
        <v>512</v>
      </c>
    </row>
    <row r="606" spans="1:17" x14ac:dyDescent="0.25">
      <c r="B606" s="95" t="s">
        <v>512</v>
      </c>
      <c r="D606" s="1" t="s">
        <v>512</v>
      </c>
      <c r="E606" s="21" t="s">
        <v>512</v>
      </c>
      <c r="F606" s="35" t="s">
        <v>512</v>
      </c>
      <c r="G606" s="35" t="s">
        <v>512</v>
      </c>
      <c r="H606" s="35" t="s">
        <v>512</v>
      </c>
      <c r="I606" s="35" t="s">
        <v>512</v>
      </c>
      <c r="J606" s="35" t="s">
        <v>512</v>
      </c>
      <c r="K606" s="35" t="s">
        <v>512</v>
      </c>
      <c r="L606" s="35" t="s">
        <v>512</v>
      </c>
      <c r="M606" s="35" t="s">
        <v>512</v>
      </c>
      <c r="N606" s="35" t="s">
        <v>512</v>
      </c>
      <c r="O606" s="35" t="s">
        <v>512</v>
      </c>
      <c r="Q606" s="1" t="s">
        <v>512</v>
      </c>
    </row>
    <row r="607" spans="1:17" x14ac:dyDescent="0.25">
      <c r="B607" s="95" t="s">
        <v>512</v>
      </c>
      <c r="D607" s="1" t="s">
        <v>512</v>
      </c>
      <c r="E607" s="21" t="s">
        <v>512</v>
      </c>
      <c r="F607" s="35" t="s">
        <v>512</v>
      </c>
      <c r="G607" s="35" t="s">
        <v>512</v>
      </c>
      <c r="H607" s="35" t="s">
        <v>512</v>
      </c>
      <c r="I607" s="35" t="s">
        <v>512</v>
      </c>
      <c r="J607" s="35" t="s">
        <v>512</v>
      </c>
      <c r="K607" s="35" t="s">
        <v>512</v>
      </c>
      <c r="L607" s="35" t="s">
        <v>512</v>
      </c>
      <c r="M607" s="35" t="s">
        <v>512</v>
      </c>
      <c r="N607" s="35" t="s">
        <v>512</v>
      </c>
      <c r="O607" s="35" t="s">
        <v>512</v>
      </c>
      <c r="Q607" s="1" t="s">
        <v>512</v>
      </c>
    </row>
    <row r="608" spans="1:17" x14ac:dyDescent="0.25">
      <c r="B608" s="95" t="s">
        <v>512</v>
      </c>
      <c r="D608" s="1" t="s">
        <v>512</v>
      </c>
      <c r="E608" s="21" t="s">
        <v>512</v>
      </c>
      <c r="F608" s="35" t="s">
        <v>512</v>
      </c>
      <c r="G608" s="35" t="s">
        <v>512</v>
      </c>
      <c r="H608" s="35" t="s">
        <v>512</v>
      </c>
      <c r="I608" s="35" t="s">
        <v>512</v>
      </c>
      <c r="J608" s="35" t="s">
        <v>512</v>
      </c>
      <c r="K608" s="35" t="s">
        <v>512</v>
      </c>
      <c r="L608" s="35" t="s">
        <v>512</v>
      </c>
      <c r="M608" s="35" t="s">
        <v>512</v>
      </c>
      <c r="N608" s="35" t="s">
        <v>512</v>
      </c>
      <c r="O608" s="35" t="s">
        <v>512</v>
      </c>
      <c r="Q608" s="1" t="s">
        <v>512</v>
      </c>
    </row>
    <row r="609" spans="2:17" x14ac:dyDescent="0.25">
      <c r="B609" s="95" t="s">
        <v>512</v>
      </c>
      <c r="D609" s="1" t="s">
        <v>512</v>
      </c>
      <c r="E609" s="21" t="s">
        <v>512</v>
      </c>
      <c r="F609" s="35" t="s">
        <v>512</v>
      </c>
      <c r="G609" s="35" t="s">
        <v>512</v>
      </c>
      <c r="H609" s="35" t="s">
        <v>512</v>
      </c>
      <c r="I609" s="35" t="s">
        <v>512</v>
      </c>
      <c r="J609" s="35" t="s">
        <v>512</v>
      </c>
      <c r="K609" s="35" t="s">
        <v>512</v>
      </c>
      <c r="L609" s="35" t="s">
        <v>512</v>
      </c>
      <c r="M609" s="35" t="s">
        <v>512</v>
      </c>
      <c r="N609" s="35" t="s">
        <v>512</v>
      </c>
      <c r="O609" s="35" t="s">
        <v>512</v>
      </c>
      <c r="Q609" s="1" t="s">
        <v>512</v>
      </c>
    </row>
    <row r="610" spans="2:17" x14ac:dyDescent="0.25">
      <c r="B610" s="95" t="s">
        <v>512</v>
      </c>
      <c r="D610" s="1" t="s">
        <v>512</v>
      </c>
      <c r="E610" s="21" t="s">
        <v>512</v>
      </c>
      <c r="F610" s="35" t="s">
        <v>512</v>
      </c>
      <c r="G610" s="35" t="s">
        <v>512</v>
      </c>
      <c r="H610" s="35" t="s">
        <v>512</v>
      </c>
      <c r="I610" s="35" t="s">
        <v>512</v>
      </c>
      <c r="J610" s="35" t="s">
        <v>512</v>
      </c>
      <c r="K610" s="35" t="s">
        <v>512</v>
      </c>
      <c r="L610" s="35" t="s">
        <v>512</v>
      </c>
      <c r="M610" s="35" t="s">
        <v>512</v>
      </c>
      <c r="N610" s="35" t="s">
        <v>512</v>
      </c>
      <c r="O610" s="35" t="s">
        <v>512</v>
      </c>
      <c r="Q610" s="1" t="s">
        <v>512</v>
      </c>
    </row>
    <row r="611" spans="2:17" x14ac:dyDescent="0.25">
      <c r="B611" s="95" t="s">
        <v>512</v>
      </c>
      <c r="D611" s="1" t="s">
        <v>512</v>
      </c>
      <c r="E611" s="21" t="s">
        <v>512</v>
      </c>
      <c r="F611" s="35" t="s">
        <v>512</v>
      </c>
      <c r="G611" s="35" t="s">
        <v>512</v>
      </c>
      <c r="H611" s="35" t="s">
        <v>512</v>
      </c>
      <c r="I611" s="35" t="s">
        <v>512</v>
      </c>
      <c r="J611" s="35" t="s">
        <v>512</v>
      </c>
      <c r="K611" s="35" t="s">
        <v>512</v>
      </c>
      <c r="L611" s="35" t="s">
        <v>512</v>
      </c>
      <c r="M611" s="35" t="s">
        <v>512</v>
      </c>
      <c r="N611" s="35" t="s">
        <v>512</v>
      </c>
      <c r="O611" s="35" t="s">
        <v>512</v>
      </c>
      <c r="Q611" s="1" t="s">
        <v>512</v>
      </c>
    </row>
    <row r="612" spans="2:17" x14ac:dyDescent="0.25">
      <c r="B612" s="95" t="s">
        <v>512</v>
      </c>
      <c r="D612" s="1" t="s">
        <v>512</v>
      </c>
      <c r="E612" s="21" t="s">
        <v>512</v>
      </c>
      <c r="F612" s="35" t="s">
        <v>512</v>
      </c>
      <c r="G612" s="35" t="s">
        <v>512</v>
      </c>
      <c r="H612" s="35" t="s">
        <v>512</v>
      </c>
      <c r="I612" s="35" t="s">
        <v>512</v>
      </c>
      <c r="J612" s="35" t="s">
        <v>512</v>
      </c>
      <c r="K612" s="35" t="s">
        <v>512</v>
      </c>
      <c r="L612" s="35" t="s">
        <v>512</v>
      </c>
      <c r="M612" s="35" t="s">
        <v>512</v>
      </c>
      <c r="N612" s="35" t="s">
        <v>512</v>
      </c>
      <c r="O612" s="35" t="s">
        <v>512</v>
      </c>
      <c r="Q612" s="1" t="s">
        <v>512</v>
      </c>
    </row>
    <row r="613" spans="2:17" x14ac:dyDescent="0.25">
      <c r="B613" s="95" t="s">
        <v>512</v>
      </c>
      <c r="D613" s="1" t="s">
        <v>512</v>
      </c>
      <c r="E613" s="21" t="s">
        <v>512</v>
      </c>
      <c r="F613" s="35" t="s">
        <v>512</v>
      </c>
      <c r="G613" s="35" t="s">
        <v>512</v>
      </c>
      <c r="H613" s="35" t="s">
        <v>512</v>
      </c>
      <c r="I613" s="35" t="s">
        <v>512</v>
      </c>
      <c r="J613" s="35" t="s">
        <v>512</v>
      </c>
      <c r="K613" s="35" t="s">
        <v>512</v>
      </c>
      <c r="L613" s="35" t="s">
        <v>512</v>
      </c>
      <c r="M613" s="35" t="s">
        <v>512</v>
      </c>
      <c r="N613" s="35" t="s">
        <v>512</v>
      </c>
      <c r="O613" s="35" t="s">
        <v>512</v>
      </c>
      <c r="Q613" s="1" t="s">
        <v>512</v>
      </c>
    </row>
    <row r="614" spans="2:17" x14ac:dyDescent="0.25">
      <c r="B614" s="95" t="s">
        <v>512</v>
      </c>
      <c r="D614" s="1" t="s">
        <v>512</v>
      </c>
      <c r="E614" s="21" t="s">
        <v>512</v>
      </c>
      <c r="F614" s="35" t="s">
        <v>512</v>
      </c>
      <c r="G614" s="35" t="s">
        <v>512</v>
      </c>
      <c r="H614" s="35" t="s">
        <v>512</v>
      </c>
      <c r="I614" s="35" t="s">
        <v>512</v>
      </c>
      <c r="J614" s="35" t="s">
        <v>512</v>
      </c>
      <c r="K614" s="35" t="s">
        <v>512</v>
      </c>
      <c r="L614" s="35" t="s">
        <v>512</v>
      </c>
      <c r="M614" s="35" t="s">
        <v>512</v>
      </c>
      <c r="N614" s="35" t="s">
        <v>512</v>
      </c>
      <c r="O614" s="35" t="s">
        <v>512</v>
      </c>
      <c r="Q614" s="1" t="s">
        <v>512</v>
      </c>
    </row>
    <row r="615" spans="2:17" x14ac:dyDescent="0.25">
      <c r="B615" s="95" t="s">
        <v>512</v>
      </c>
      <c r="D615" s="1" t="s">
        <v>512</v>
      </c>
      <c r="E615" s="21" t="s">
        <v>512</v>
      </c>
      <c r="F615" s="35" t="s">
        <v>512</v>
      </c>
      <c r="G615" s="35" t="s">
        <v>512</v>
      </c>
      <c r="H615" s="35" t="s">
        <v>512</v>
      </c>
      <c r="I615" s="35" t="s">
        <v>512</v>
      </c>
      <c r="J615" s="35" t="s">
        <v>512</v>
      </c>
      <c r="K615" s="35" t="s">
        <v>512</v>
      </c>
      <c r="L615" s="35" t="s">
        <v>512</v>
      </c>
      <c r="M615" s="35" t="s">
        <v>512</v>
      </c>
      <c r="N615" s="35" t="s">
        <v>512</v>
      </c>
      <c r="O615" s="35" t="s">
        <v>512</v>
      </c>
      <c r="Q615" s="1" t="s">
        <v>512</v>
      </c>
    </row>
    <row r="616" spans="2:17" x14ac:dyDescent="0.25">
      <c r="B616" s="95" t="s">
        <v>512</v>
      </c>
      <c r="D616" s="1" t="s">
        <v>512</v>
      </c>
      <c r="E616" s="21" t="s">
        <v>512</v>
      </c>
      <c r="F616" s="35" t="s">
        <v>512</v>
      </c>
      <c r="G616" s="35" t="s">
        <v>512</v>
      </c>
      <c r="H616" s="35" t="s">
        <v>512</v>
      </c>
      <c r="I616" s="35" t="s">
        <v>512</v>
      </c>
      <c r="J616" s="35" t="s">
        <v>512</v>
      </c>
      <c r="K616" s="35" t="s">
        <v>512</v>
      </c>
      <c r="L616" s="35" t="s">
        <v>512</v>
      </c>
      <c r="M616" s="35" t="s">
        <v>512</v>
      </c>
      <c r="N616" s="35" t="s">
        <v>512</v>
      </c>
      <c r="O616" s="35" t="s">
        <v>512</v>
      </c>
      <c r="Q616" s="1" t="s">
        <v>512</v>
      </c>
    </row>
    <row r="617" spans="2:17" x14ac:dyDescent="0.25">
      <c r="B617" s="95" t="s">
        <v>512</v>
      </c>
      <c r="D617" s="1" t="s">
        <v>512</v>
      </c>
      <c r="E617" s="21" t="s">
        <v>512</v>
      </c>
      <c r="F617" s="35" t="s">
        <v>512</v>
      </c>
      <c r="G617" s="35" t="s">
        <v>512</v>
      </c>
      <c r="H617" s="35" t="s">
        <v>512</v>
      </c>
      <c r="I617" s="35" t="s">
        <v>512</v>
      </c>
      <c r="J617" s="35" t="s">
        <v>512</v>
      </c>
      <c r="K617" s="35" t="s">
        <v>512</v>
      </c>
      <c r="L617" s="35" t="s">
        <v>512</v>
      </c>
      <c r="M617" s="35" t="s">
        <v>512</v>
      </c>
      <c r="N617" s="35" t="s">
        <v>512</v>
      </c>
      <c r="O617" s="35" t="s">
        <v>512</v>
      </c>
      <c r="Q617" s="1" t="s">
        <v>512</v>
      </c>
    </row>
    <row r="618" spans="2:17" x14ac:dyDescent="0.25">
      <c r="B618" s="95" t="s">
        <v>512</v>
      </c>
      <c r="D618" s="1" t="s">
        <v>512</v>
      </c>
      <c r="E618" s="21" t="s">
        <v>512</v>
      </c>
      <c r="F618" s="35" t="s">
        <v>512</v>
      </c>
      <c r="G618" s="35" t="s">
        <v>512</v>
      </c>
      <c r="H618" s="35" t="s">
        <v>512</v>
      </c>
      <c r="I618" s="35" t="s">
        <v>512</v>
      </c>
      <c r="J618" s="35" t="s">
        <v>512</v>
      </c>
      <c r="K618" s="35" t="s">
        <v>512</v>
      </c>
      <c r="L618" s="35" t="s">
        <v>512</v>
      </c>
      <c r="M618" s="35" t="s">
        <v>512</v>
      </c>
      <c r="N618" s="35" t="s">
        <v>512</v>
      </c>
      <c r="O618" s="35" t="s">
        <v>512</v>
      </c>
      <c r="Q618" s="1" t="s">
        <v>512</v>
      </c>
    </row>
    <row r="619" spans="2:17" x14ac:dyDescent="0.25">
      <c r="B619" s="95" t="s">
        <v>512</v>
      </c>
      <c r="D619" s="1" t="s">
        <v>512</v>
      </c>
      <c r="E619" s="21" t="s">
        <v>512</v>
      </c>
      <c r="F619" s="35" t="s">
        <v>512</v>
      </c>
      <c r="G619" s="35" t="s">
        <v>512</v>
      </c>
      <c r="H619" s="35" t="s">
        <v>512</v>
      </c>
      <c r="I619" s="35" t="s">
        <v>512</v>
      </c>
      <c r="J619" s="35" t="s">
        <v>512</v>
      </c>
      <c r="K619" s="35" t="s">
        <v>512</v>
      </c>
      <c r="L619" s="35" t="s">
        <v>512</v>
      </c>
      <c r="M619" s="35" t="s">
        <v>512</v>
      </c>
      <c r="N619" s="35" t="s">
        <v>512</v>
      </c>
      <c r="O619" s="35" t="s">
        <v>512</v>
      </c>
      <c r="Q619" s="1" t="s">
        <v>512</v>
      </c>
    </row>
    <row r="620" spans="2:17" x14ac:dyDescent="0.25">
      <c r="B620" s="95" t="s">
        <v>512</v>
      </c>
      <c r="D620" s="1" t="s">
        <v>512</v>
      </c>
      <c r="E620" s="21" t="s">
        <v>512</v>
      </c>
      <c r="F620" s="35" t="s">
        <v>512</v>
      </c>
      <c r="G620" s="35" t="s">
        <v>512</v>
      </c>
      <c r="H620" s="35" t="s">
        <v>512</v>
      </c>
      <c r="I620" s="35" t="s">
        <v>512</v>
      </c>
      <c r="J620" s="35" t="s">
        <v>512</v>
      </c>
      <c r="K620" s="35" t="s">
        <v>512</v>
      </c>
      <c r="L620" s="35" t="s">
        <v>512</v>
      </c>
      <c r="M620" s="35" t="s">
        <v>512</v>
      </c>
      <c r="N620" s="35" t="s">
        <v>512</v>
      </c>
      <c r="O620" s="35" t="s">
        <v>512</v>
      </c>
      <c r="Q620" s="1" t="s">
        <v>512</v>
      </c>
    </row>
    <row r="621" spans="2:17" x14ac:dyDescent="0.25">
      <c r="B621" s="95" t="s">
        <v>512</v>
      </c>
      <c r="D621" s="1" t="s">
        <v>512</v>
      </c>
      <c r="E621" s="21" t="s">
        <v>512</v>
      </c>
      <c r="F621" s="35" t="s">
        <v>512</v>
      </c>
      <c r="G621" s="35" t="s">
        <v>512</v>
      </c>
      <c r="H621" s="35" t="s">
        <v>512</v>
      </c>
      <c r="I621" s="35" t="s">
        <v>512</v>
      </c>
      <c r="J621" s="35" t="s">
        <v>512</v>
      </c>
      <c r="K621" s="35" t="s">
        <v>512</v>
      </c>
      <c r="L621" s="35" t="s">
        <v>512</v>
      </c>
      <c r="M621" s="35" t="s">
        <v>512</v>
      </c>
      <c r="N621" s="35" t="s">
        <v>512</v>
      </c>
      <c r="O621" s="35" t="s">
        <v>512</v>
      </c>
      <c r="Q621" s="1" t="s">
        <v>512</v>
      </c>
    </row>
    <row r="622" spans="2:17" x14ac:dyDescent="0.25">
      <c r="B622" s="95" t="s">
        <v>512</v>
      </c>
      <c r="D622" s="1" t="s">
        <v>512</v>
      </c>
      <c r="E622" s="21" t="s">
        <v>512</v>
      </c>
      <c r="F622" s="35" t="s">
        <v>512</v>
      </c>
      <c r="G622" s="35" t="s">
        <v>512</v>
      </c>
      <c r="H622" s="35" t="s">
        <v>512</v>
      </c>
      <c r="I622" s="35" t="s">
        <v>512</v>
      </c>
      <c r="J622" s="35" t="s">
        <v>512</v>
      </c>
      <c r="K622" s="35" t="s">
        <v>512</v>
      </c>
      <c r="L622" s="35" t="s">
        <v>512</v>
      </c>
      <c r="M622" s="35" t="s">
        <v>512</v>
      </c>
      <c r="N622" s="35" t="s">
        <v>512</v>
      </c>
      <c r="O622" s="35" t="s">
        <v>512</v>
      </c>
      <c r="Q622" s="1" t="s">
        <v>512</v>
      </c>
    </row>
    <row r="623" spans="2:17" x14ac:dyDescent="0.25">
      <c r="B623" s="95" t="s">
        <v>512</v>
      </c>
      <c r="D623" s="1" t="s">
        <v>512</v>
      </c>
      <c r="E623" s="21" t="s">
        <v>512</v>
      </c>
      <c r="F623" s="35" t="s">
        <v>512</v>
      </c>
      <c r="G623" s="35" t="s">
        <v>512</v>
      </c>
      <c r="H623" s="35" t="s">
        <v>512</v>
      </c>
      <c r="I623" s="35" t="s">
        <v>512</v>
      </c>
      <c r="J623" s="35" t="s">
        <v>512</v>
      </c>
      <c r="K623" s="35" t="s">
        <v>512</v>
      </c>
      <c r="L623" s="35" t="s">
        <v>512</v>
      </c>
      <c r="M623" s="35" t="s">
        <v>512</v>
      </c>
      <c r="N623" s="35" t="s">
        <v>512</v>
      </c>
      <c r="O623" s="35" t="s">
        <v>512</v>
      </c>
      <c r="Q623" s="1" t="s">
        <v>512</v>
      </c>
    </row>
    <row r="624" spans="2:17" x14ac:dyDescent="0.25">
      <c r="B624" s="95" t="s">
        <v>512</v>
      </c>
      <c r="D624" s="1" t="s">
        <v>512</v>
      </c>
      <c r="E624" s="21" t="s">
        <v>512</v>
      </c>
      <c r="F624" s="35" t="s">
        <v>512</v>
      </c>
      <c r="G624" s="35" t="s">
        <v>512</v>
      </c>
      <c r="H624" s="35" t="s">
        <v>512</v>
      </c>
      <c r="I624" s="35" t="s">
        <v>512</v>
      </c>
      <c r="J624" s="35" t="s">
        <v>512</v>
      </c>
      <c r="K624" s="35" t="s">
        <v>512</v>
      </c>
      <c r="L624" s="35" t="s">
        <v>512</v>
      </c>
      <c r="M624" s="35" t="s">
        <v>512</v>
      </c>
      <c r="N624" s="35" t="s">
        <v>512</v>
      </c>
      <c r="O624" s="35" t="s">
        <v>512</v>
      </c>
      <c r="Q624" s="1" t="s">
        <v>512</v>
      </c>
    </row>
    <row r="625" spans="2:17" x14ac:dyDescent="0.25">
      <c r="B625" s="95" t="s">
        <v>512</v>
      </c>
      <c r="D625" s="1" t="s">
        <v>512</v>
      </c>
      <c r="E625" s="21" t="s">
        <v>512</v>
      </c>
      <c r="F625" s="35" t="s">
        <v>512</v>
      </c>
      <c r="G625" s="35" t="s">
        <v>512</v>
      </c>
      <c r="H625" s="35" t="s">
        <v>512</v>
      </c>
      <c r="I625" s="35" t="s">
        <v>512</v>
      </c>
      <c r="J625" s="35" t="s">
        <v>512</v>
      </c>
      <c r="K625" s="35" t="s">
        <v>512</v>
      </c>
      <c r="L625" s="35" t="s">
        <v>512</v>
      </c>
      <c r="M625" s="35" t="s">
        <v>512</v>
      </c>
      <c r="N625" s="35" t="s">
        <v>512</v>
      </c>
      <c r="O625" s="35" t="s">
        <v>512</v>
      </c>
      <c r="Q625" s="1" t="s">
        <v>512</v>
      </c>
    </row>
    <row r="626" spans="2:17" x14ac:dyDescent="0.25">
      <c r="B626" s="95" t="s">
        <v>512</v>
      </c>
      <c r="D626" s="1" t="s">
        <v>512</v>
      </c>
      <c r="E626" s="21" t="s">
        <v>512</v>
      </c>
      <c r="F626" s="35" t="s">
        <v>512</v>
      </c>
      <c r="G626" s="35" t="s">
        <v>512</v>
      </c>
      <c r="H626" s="35" t="s">
        <v>512</v>
      </c>
      <c r="I626" s="35" t="s">
        <v>512</v>
      </c>
      <c r="J626" s="35" t="s">
        <v>512</v>
      </c>
      <c r="K626" s="35" t="s">
        <v>512</v>
      </c>
      <c r="L626" s="35" t="s">
        <v>512</v>
      </c>
      <c r="M626" s="35" t="s">
        <v>512</v>
      </c>
      <c r="N626" s="35" t="s">
        <v>512</v>
      </c>
      <c r="O626" s="35" t="s">
        <v>512</v>
      </c>
      <c r="Q626" s="1" t="s">
        <v>512</v>
      </c>
    </row>
    <row r="627" spans="2:17" x14ac:dyDescent="0.25">
      <c r="B627" s="95" t="s">
        <v>512</v>
      </c>
      <c r="D627" s="1" t="s">
        <v>512</v>
      </c>
      <c r="E627" s="21" t="s">
        <v>512</v>
      </c>
      <c r="F627" s="35" t="s">
        <v>512</v>
      </c>
      <c r="G627" s="35" t="s">
        <v>512</v>
      </c>
      <c r="H627" s="35" t="s">
        <v>512</v>
      </c>
      <c r="I627" s="35" t="s">
        <v>512</v>
      </c>
      <c r="J627" s="35" t="s">
        <v>512</v>
      </c>
      <c r="K627" s="35" t="s">
        <v>512</v>
      </c>
      <c r="L627" s="35" t="s">
        <v>512</v>
      </c>
      <c r="M627" s="35" t="s">
        <v>512</v>
      </c>
      <c r="N627" s="35" t="s">
        <v>512</v>
      </c>
      <c r="O627" s="35" t="s">
        <v>512</v>
      </c>
      <c r="Q627" s="1" t="s">
        <v>512</v>
      </c>
    </row>
    <row r="628" spans="2:17" x14ac:dyDescent="0.25">
      <c r="B628" s="95" t="s">
        <v>512</v>
      </c>
      <c r="D628" s="1" t="s">
        <v>512</v>
      </c>
      <c r="E628" s="21" t="s">
        <v>512</v>
      </c>
      <c r="F628" s="35" t="s">
        <v>512</v>
      </c>
      <c r="G628" s="35" t="s">
        <v>512</v>
      </c>
      <c r="H628" s="35" t="s">
        <v>512</v>
      </c>
      <c r="I628" s="35" t="s">
        <v>512</v>
      </c>
      <c r="J628" s="35" t="s">
        <v>512</v>
      </c>
      <c r="K628" s="35" t="s">
        <v>512</v>
      </c>
      <c r="L628" s="35" t="s">
        <v>512</v>
      </c>
      <c r="M628" s="35" t="s">
        <v>512</v>
      </c>
      <c r="N628" s="35" t="s">
        <v>512</v>
      </c>
      <c r="O628" s="35" t="s">
        <v>512</v>
      </c>
      <c r="Q628" s="1" t="s">
        <v>512</v>
      </c>
    </row>
    <row r="629" spans="2:17" x14ac:dyDescent="0.25">
      <c r="B629" s="95" t="s">
        <v>512</v>
      </c>
      <c r="D629" s="1" t="s">
        <v>512</v>
      </c>
      <c r="E629" s="21" t="s">
        <v>512</v>
      </c>
      <c r="F629" s="35" t="s">
        <v>512</v>
      </c>
      <c r="G629" s="35" t="s">
        <v>512</v>
      </c>
      <c r="H629" s="35" t="s">
        <v>512</v>
      </c>
      <c r="I629" s="35" t="s">
        <v>512</v>
      </c>
      <c r="J629" s="35" t="s">
        <v>512</v>
      </c>
      <c r="K629" s="35" t="s">
        <v>512</v>
      </c>
      <c r="L629" s="35" t="s">
        <v>512</v>
      </c>
      <c r="M629" s="35" t="s">
        <v>512</v>
      </c>
      <c r="N629" s="35" t="s">
        <v>512</v>
      </c>
      <c r="O629" s="35" t="s">
        <v>512</v>
      </c>
      <c r="Q629" s="1" t="s">
        <v>512</v>
      </c>
    </row>
    <row r="630" spans="2:17" x14ac:dyDescent="0.25">
      <c r="B630" s="95" t="s">
        <v>512</v>
      </c>
      <c r="D630" s="1" t="s">
        <v>512</v>
      </c>
      <c r="E630" s="21" t="s">
        <v>512</v>
      </c>
      <c r="F630" s="35" t="s">
        <v>512</v>
      </c>
      <c r="G630" s="35" t="s">
        <v>512</v>
      </c>
      <c r="H630" s="35" t="s">
        <v>512</v>
      </c>
      <c r="I630" s="35" t="s">
        <v>512</v>
      </c>
      <c r="J630" s="35" t="s">
        <v>512</v>
      </c>
      <c r="K630" s="35" t="s">
        <v>512</v>
      </c>
      <c r="L630" s="35" t="s">
        <v>512</v>
      </c>
      <c r="M630" s="35" t="s">
        <v>512</v>
      </c>
      <c r="N630" s="35" t="s">
        <v>512</v>
      </c>
      <c r="O630" s="35" t="s">
        <v>512</v>
      </c>
      <c r="Q630" s="1" t="s">
        <v>512</v>
      </c>
    </row>
    <row r="631" spans="2:17" x14ac:dyDescent="0.25">
      <c r="B631" s="95" t="s">
        <v>512</v>
      </c>
      <c r="D631" s="1" t="s">
        <v>512</v>
      </c>
      <c r="E631" s="21" t="s">
        <v>512</v>
      </c>
      <c r="F631" s="1" t="s">
        <v>512</v>
      </c>
      <c r="G631" s="1" t="s">
        <v>512</v>
      </c>
      <c r="H631" s="1" t="s">
        <v>512</v>
      </c>
      <c r="I631" s="1" t="s">
        <v>512</v>
      </c>
      <c r="J631" s="1" t="s">
        <v>512</v>
      </c>
      <c r="K631" s="1" t="s">
        <v>512</v>
      </c>
      <c r="L631" s="1" t="s">
        <v>512</v>
      </c>
      <c r="M631" s="1" t="s">
        <v>512</v>
      </c>
      <c r="N631" s="1" t="s">
        <v>512</v>
      </c>
      <c r="O631" s="1" t="s">
        <v>512</v>
      </c>
      <c r="Q631" s="1" t="s">
        <v>512</v>
      </c>
    </row>
    <row r="632" spans="2:17" x14ac:dyDescent="0.25">
      <c r="B632" s="95" t="s">
        <v>512</v>
      </c>
      <c r="D632" s="1" t="s">
        <v>512</v>
      </c>
      <c r="E632" s="21" t="s">
        <v>512</v>
      </c>
      <c r="F632" s="35" t="s">
        <v>512</v>
      </c>
      <c r="G632" s="35" t="s">
        <v>512</v>
      </c>
      <c r="H632" s="1" t="s">
        <v>512</v>
      </c>
      <c r="I632" s="1" t="s">
        <v>512</v>
      </c>
      <c r="J632" s="1" t="s">
        <v>512</v>
      </c>
      <c r="K632" s="1" t="s">
        <v>512</v>
      </c>
      <c r="L632" s="1" t="s">
        <v>512</v>
      </c>
      <c r="M632" s="1" t="s">
        <v>512</v>
      </c>
      <c r="N632" s="1" t="s">
        <v>512</v>
      </c>
      <c r="O632" s="1" t="s">
        <v>512</v>
      </c>
      <c r="Q632" s="1" t="s">
        <v>512</v>
      </c>
    </row>
    <row r="633" spans="2:17" x14ac:dyDescent="0.25">
      <c r="B633" s="95" t="s">
        <v>512</v>
      </c>
      <c r="D633" s="1" t="s">
        <v>512</v>
      </c>
      <c r="E633" s="21" t="s">
        <v>512</v>
      </c>
      <c r="F633" s="35" t="s">
        <v>512</v>
      </c>
      <c r="G633" s="35" t="s">
        <v>512</v>
      </c>
      <c r="H633" s="1" t="s">
        <v>512</v>
      </c>
      <c r="I633" s="1" t="s">
        <v>512</v>
      </c>
      <c r="J633" s="1" t="s">
        <v>512</v>
      </c>
      <c r="K633" s="1" t="s">
        <v>512</v>
      </c>
      <c r="L633" s="1" t="s">
        <v>512</v>
      </c>
      <c r="M633" s="1" t="s">
        <v>512</v>
      </c>
      <c r="N633" s="1" t="s">
        <v>512</v>
      </c>
      <c r="O633" s="1" t="s">
        <v>512</v>
      </c>
      <c r="Q633" s="1" t="s">
        <v>512</v>
      </c>
    </row>
    <row r="634" spans="2:17" x14ac:dyDescent="0.25">
      <c r="B634" s="95" t="s">
        <v>512</v>
      </c>
      <c r="D634" s="1" t="s">
        <v>512</v>
      </c>
      <c r="E634" s="21" t="s">
        <v>512</v>
      </c>
      <c r="F634" s="1" t="s">
        <v>512</v>
      </c>
      <c r="G634" s="1" t="s">
        <v>512</v>
      </c>
      <c r="H634" s="1" t="s">
        <v>512</v>
      </c>
      <c r="I634" s="1" t="s">
        <v>512</v>
      </c>
      <c r="J634" s="1" t="s">
        <v>512</v>
      </c>
      <c r="K634" s="1" t="s">
        <v>512</v>
      </c>
      <c r="L634" s="1" t="s">
        <v>512</v>
      </c>
      <c r="M634" s="1" t="s">
        <v>512</v>
      </c>
      <c r="N634" s="1" t="s">
        <v>512</v>
      </c>
      <c r="O634" s="1" t="s">
        <v>512</v>
      </c>
      <c r="Q634" s="1" t="s">
        <v>512</v>
      </c>
    </row>
    <row r="635" spans="2:17" x14ac:dyDescent="0.25">
      <c r="B635" s="95" t="s">
        <v>512</v>
      </c>
      <c r="D635" s="1" t="s">
        <v>512</v>
      </c>
      <c r="E635" s="21" t="s">
        <v>512</v>
      </c>
      <c r="F635" s="1" t="s">
        <v>512</v>
      </c>
      <c r="G635" s="1" t="s">
        <v>512</v>
      </c>
      <c r="H635" s="1" t="s">
        <v>512</v>
      </c>
      <c r="I635" s="1" t="s">
        <v>512</v>
      </c>
      <c r="J635" s="1" t="s">
        <v>512</v>
      </c>
      <c r="K635" s="1" t="s">
        <v>512</v>
      </c>
      <c r="L635" s="1" t="s">
        <v>512</v>
      </c>
      <c r="M635" s="1" t="s">
        <v>512</v>
      </c>
      <c r="N635" s="1" t="s">
        <v>512</v>
      </c>
      <c r="O635" s="1" t="s">
        <v>512</v>
      </c>
      <c r="Q635" s="1" t="s">
        <v>512</v>
      </c>
    </row>
    <row r="636" spans="2:17" x14ac:dyDescent="0.25">
      <c r="B636" s="95" t="s">
        <v>512</v>
      </c>
      <c r="D636" s="1" t="s">
        <v>512</v>
      </c>
      <c r="E636" s="21" t="s">
        <v>512</v>
      </c>
      <c r="F636" s="1" t="s">
        <v>512</v>
      </c>
      <c r="G636" s="1" t="s">
        <v>512</v>
      </c>
      <c r="H636" s="1" t="s">
        <v>512</v>
      </c>
      <c r="I636" s="1" t="s">
        <v>512</v>
      </c>
      <c r="J636" s="1" t="s">
        <v>512</v>
      </c>
      <c r="K636" s="1" t="s">
        <v>512</v>
      </c>
      <c r="L636" s="1" t="s">
        <v>512</v>
      </c>
      <c r="M636" s="1" t="s">
        <v>512</v>
      </c>
      <c r="N636" s="1" t="s">
        <v>512</v>
      </c>
      <c r="O636" s="1" t="s">
        <v>512</v>
      </c>
      <c r="Q636" s="1" t="s">
        <v>512</v>
      </c>
    </row>
    <row r="637" spans="2:17" x14ac:dyDescent="0.25">
      <c r="B637" s="95" t="s">
        <v>512</v>
      </c>
      <c r="D637" s="1" t="s">
        <v>512</v>
      </c>
      <c r="E637" s="21" t="s">
        <v>512</v>
      </c>
      <c r="F637" s="1" t="s">
        <v>512</v>
      </c>
      <c r="G637" s="1" t="s">
        <v>512</v>
      </c>
      <c r="H637" s="1" t="s">
        <v>512</v>
      </c>
      <c r="I637" s="1" t="s">
        <v>512</v>
      </c>
      <c r="J637" s="1" t="s">
        <v>512</v>
      </c>
      <c r="K637" s="1" t="s">
        <v>512</v>
      </c>
      <c r="L637" s="1" t="s">
        <v>512</v>
      </c>
      <c r="M637" s="1" t="s">
        <v>512</v>
      </c>
      <c r="N637" s="1" t="s">
        <v>512</v>
      </c>
      <c r="O637" s="1" t="s">
        <v>512</v>
      </c>
      <c r="Q637" s="1" t="s">
        <v>512</v>
      </c>
    </row>
    <row r="638" spans="2:17" x14ac:dyDescent="0.25">
      <c r="B638" s="95" t="s">
        <v>512</v>
      </c>
      <c r="D638" s="1" t="s">
        <v>512</v>
      </c>
      <c r="E638" s="21" t="s">
        <v>512</v>
      </c>
      <c r="F638" s="1" t="s">
        <v>512</v>
      </c>
      <c r="G638" s="1" t="s">
        <v>512</v>
      </c>
      <c r="H638" s="1" t="s">
        <v>512</v>
      </c>
      <c r="I638" s="1" t="s">
        <v>512</v>
      </c>
      <c r="J638" s="1" t="s">
        <v>512</v>
      </c>
      <c r="K638" s="1" t="s">
        <v>512</v>
      </c>
      <c r="L638" s="1" t="s">
        <v>512</v>
      </c>
      <c r="M638" s="1" t="s">
        <v>512</v>
      </c>
      <c r="N638" s="1" t="s">
        <v>512</v>
      </c>
      <c r="O638" s="1" t="s">
        <v>512</v>
      </c>
      <c r="Q638" s="1" t="s">
        <v>512</v>
      </c>
    </row>
    <row r="639" spans="2:17" x14ac:dyDescent="0.25">
      <c r="B639" s="95" t="s">
        <v>512</v>
      </c>
      <c r="D639" s="1" t="s">
        <v>512</v>
      </c>
      <c r="E639" s="21" t="s">
        <v>512</v>
      </c>
      <c r="F639" s="1" t="s">
        <v>512</v>
      </c>
      <c r="G639" s="1" t="s">
        <v>512</v>
      </c>
      <c r="H639" s="1" t="s">
        <v>512</v>
      </c>
      <c r="I639" s="1" t="s">
        <v>512</v>
      </c>
      <c r="J639" s="1" t="s">
        <v>512</v>
      </c>
      <c r="K639" s="1" t="s">
        <v>512</v>
      </c>
      <c r="L639" s="1" t="s">
        <v>512</v>
      </c>
      <c r="M639" s="1" t="s">
        <v>512</v>
      </c>
      <c r="N639" s="1" t="s">
        <v>512</v>
      </c>
      <c r="O639" s="1" t="s">
        <v>512</v>
      </c>
      <c r="Q639" s="1" t="s">
        <v>512</v>
      </c>
    </row>
    <row r="640" spans="2:17" x14ac:dyDescent="0.25">
      <c r="B640" s="95" t="s">
        <v>512</v>
      </c>
      <c r="D640" s="1" t="s">
        <v>512</v>
      </c>
      <c r="E640" s="21" t="s">
        <v>512</v>
      </c>
      <c r="F640" s="1" t="s">
        <v>512</v>
      </c>
      <c r="G640" s="1" t="s">
        <v>512</v>
      </c>
      <c r="H640" s="1" t="s">
        <v>512</v>
      </c>
      <c r="I640" s="1" t="s">
        <v>512</v>
      </c>
      <c r="J640" s="1" t="s">
        <v>512</v>
      </c>
      <c r="K640" s="1" t="s">
        <v>512</v>
      </c>
      <c r="L640" s="1" t="s">
        <v>512</v>
      </c>
      <c r="M640" s="1" t="s">
        <v>512</v>
      </c>
      <c r="N640" s="1" t="s">
        <v>512</v>
      </c>
      <c r="O640" s="1" t="s">
        <v>512</v>
      </c>
      <c r="Q640" s="1" t="s">
        <v>512</v>
      </c>
    </row>
    <row r="641" spans="2:17" x14ac:dyDescent="0.25">
      <c r="B641" s="95" t="s">
        <v>512</v>
      </c>
      <c r="D641" s="1" t="s">
        <v>512</v>
      </c>
      <c r="E641" s="21" t="s">
        <v>512</v>
      </c>
      <c r="F641" s="1" t="s">
        <v>512</v>
      </c>
      <c r="G641" s="1" t="s">
        <v>512</v>
      </c>
      <c r="H641" s="1" t="s">
        <v>512</v>
      </c>
      <c r="I641" s="1" t="s">
        <v>512</v>
      </c>
      <c r="J641" s="1" t="s">
        <v>512</v>
      </c>
      <c r="K641" s="1" t="s">
        <v>512</v>
      </c>
      <c r="L641" s="1" t="s">
        <v>512</v>
      </c>
      <c r="M641" s="1" t="s">
        <v>512</v>
      </c>
      <c r="N641" s="1" t="s">
        <v>512</v>
      </c>
      <c r="O641" s="1" t="s">
        <v>512</v>
      </c>
      <c r="Q641" s="1" t="s">
        <v>512</v>
      </c>
    </row>
    <row r="642" spans="2:17" x14ac:dyDescent="0.25">
      <c r="B642" s="95" t="s">
        <v>512</v>
      </c>
      <c r="D642" s="1" t="s">
        <v>512</v>
      </c>
      <c r="E642" s="21" t="s">
        <v>512</v>
      </c>
      <c r="F642" s="1" t="s">
        <v>512</v>
      </c>
      <c r="G642" s="1" t="s">
        <v>512</v>
      </c>
      <c r="H642" s="1" t="s">
        <v>512</v>
      </c>
      <c r="I642" s="1" t="s">
        <v>512</v>
      </c>
      <c r="J642" s="1" t="s">
        <v>512</v>
      </c>
      <c r="K642" s="1" t="s">
        <v>512</v>
      </c>
      <c r="L642" s="1" t="s">
        <v>512</v>
      </c>
      <c r="M642" s="1" t="s">
        <v>512</v>
      </c>
      <c r="N642" s="1" t="s">
        <v>512</v>
      </c>
      <c r="O642" s="1" t="s">
        <v>512</v>
      </c>
      <c r="Q642" s="1" t="s">
        <v>512</v>
      </c>
    </row>
    <row r="643" spans="2:17" x14ac:dyDescent="0.25">
      <c r="B643" s="95" t="s">
        <v>512</v>
      </c>
      <c r="D643" s="1" t="s">
        <v>512</v>
      </c>
      <c r="E643" s="21" t="s">
        <v>512</v>
      </c>
      <c r="F643" s="1" t="s">
        <v>512</v>
      </c>
      <c r="G643" s="1" t="s">
        <v>512</v>
      </c>
      <c r="H643" s="1" t="s">
        <v>512</v>
      </c>
      <c r="I643" s="1" t="s">
        <v>512</v>
      </c>
      <c r="J643" s="1" t="s">
        <v>512</v>
      </c>
      <c r="K643" s="1" t="s">
        <v>512</v>
      </c>
      <c r="L643" s="1" t="s">
        <v>512</v>
      </c>
      <c r="M643" s="1" t="s">
        <v>512</v>
      </c>
      <c r="N643" s="1" t="s">
        <v>512</v>
      </c>
      <c r="O643" s="1" t="s">
        <v>512</v>
      </c>
      <c r="Q643" s="1" t="s">
        <v>512</v>
      </c>
    </row>
    <row r="644" spans="2:17" x14ac:dyDescent="0.25">
      <c r="B644" s="95" t="s">
        <v>512</v>
      </c>
      <c r="D644" s="1" t="s">
        <v>512</v>
      </c>
      <c r="E644" s="21" t="s">
        <v>512</v>
      </c>
      <c r="F644" s="1" t="s">
        <v>512</v>
      </c>
      <c r="G644" s="1" t="s">
        <v>512</v>
      </c>
      <c r="H644" s="1" t="s">
        <v>512</v>
      </c>
      <c r="I644" s="1" t="s">
        <v>512</v>
      </c>
      <c r="J644" s="1" t="s">
        <v>512</v>
      </c>
      <c r="K644" s="1" t="s">
        <v>512</v>
      </c>
      <c r="L644" s="1" t="s">
        <v>512</v>
      </c>
      <c r="M644" s="1" t="s">
        <v>512</v>
      </c>
      <c r="N644" s="1" t="s">
        <v>512</v>
      </c>
      <c r="O644" s="1" t="s">
        <v>512</v>
      </c>
      <c r="Q644" s="1" t="s">
        <v>512</v>
      </c>
    </row>
    <row r="645" spans="2:17" x14ac:dyDescent="0.25">
      <c r="B645" s="95" t="s">
        <v>512</v>
      </c>
      <c r="D645" s="1" t="s">
        <v>512</v>
      </c>
      <c r="E645" s="21" t="s">
        <v>512</v>
      </c>
      <c r="F645" s="1" t="s">
        <v>512</v>
      </c>
      <c r="G645" s="1" t="s">
        <v>512</v>
      </c>
      <c r="H645" s="1" t="s">
        <v>512</v>
      </c>
      <c r="I645" s="1" t="s">
        <v>512</v>
      </c>
      <c r="J645" s="1" t="s">
        <v>512</v>
      </c>
      <c r="K645" s="1" t="s">
        <v>512</v>
      </c>
      <c r="L645" s="1" t="s">
        <v>512</v>
      </c>
      <c r="M645" s="1" t="s">
        <v>512</v>
      </c>
      <c r="N645" s="1" t="s">
        <v>512</v>
      </c>
      <c r="O645" s="1" t="s">
        <v>512</v>
      </c>
      <c r="Q645" s="1" t="s">
        <v>512</v>
      </c>
    </row>
    <row r="646" spans="2:17" x14ac:dyDescent="0.25">
      <c r="B646" s="95" t="s">
        <v>512</v>
      </c>
      <c r="D646" s="1" t="s">
        <v>512</v>
      </c>
      <c r="E646" s="21" t="s">
        <v>512</v>
      </c>
      <c r="F646" s="1" t="s">
        <v>512</v>
      </c>
      <c r="G646" s="1" t="s">
        <v>512</v>
      </c>
      <c r="H646" s="1" t="s">
        <v>512</v>
      </c>
      <c r="I646" s="1" t="s">
        <v>512</v>
      </c>
      <c r="J646" s="1" t="s">
        <v>512</v>
      </c>
      <c r="K646" s="1" t="s">
        <v>512</v>
      </c>
      <c r="L646" s="1" t="s">
        <v>512</v>
      </c>
      <c r="M646" s="1" t="s">
        <v>512</v>
      </c>
      <c r="N646" s="1" t="s">
        <v>512</v>
      </c>
      <c r="O646" s="1" t="s">
        <v>512</v>
      </c>
      <c r="Q646" s="1" t="s">
        <v>512</v>
      </c>
    </row>
    <row r="647" spans="2:17" x14ac:dyDescent="0.25">
      <c r="B647" s="95" t="s">
        <v>512</v>
      </c>
      <c r="D647" s="1" t="s">
        <v>512</v>
      </c>
      <c r="E647" s="21" t="s">
        <v>512</v>
      </c>
      <c r="F647" s="1" t="s">
        <v>512</v>
      </c>
      <c r="G647" s="1" t="s">
        <v>512</v>
      </c>
      <c r="H647" s="1" t="s">
        <v>512</v>
      </c>
      <c r="I647" s="1" t="s">
        <v>512</v>
      </c>
      <c r="J647" s="1" t="s">
        <v>512</v>
      </c>
      <c r="K647" s="1" t="s">
        <v>512</v>
      </c>
      <c r="L647" s="1" t="s">
        <v>512</v>
      </c>
      <c r="M647" s="1" t="s">
        <v>512</v>
      </c>
      <c r="N647" s="1" t="s">
        <v>512</v>
      </c>
      <c r="O647" s="1" t="s">
        <v>512</v>
      </c>
      <c r="Q647" s="1" t="s">
        <v>512</v>
      </c>
    </row>
    <row r="648" spans="2:17" x14ac:dyDescent="0.25">
      <c r="B648" s="95" t="s">
        <v>512</v>
      </c>
      <c r="D648" s="1" t="s">
        <v>512</v>
      </c>
      <c r="E648" s="21" t="s">
        <v>512</v>
      </c>
      <c r="F648" s="1" t="s">
        <v>512</v>
      </c>
      <c r="G648" s="1" t="s">
        <v>512</v>
      </c>
      <c r="H648" s="1" t="s">
        <v>512</v>
      </c>
      <c r="I648" s="1" t="s">
        <v>512</v>
      </c>
      <c r="J648" s="1" t="s">
        <v>512</v>
      </c>
      <c r="K648" s="1" t="s">
        <v>512</v>
      </c>
      <c r="L648" s="1" t="s">
        <v>512</v>
      </c>
      <c r="M648" s="1" t="s">
        <v>512</v>
      </c>
      <c r="N648" s="1" t="s">
        <v>512</v>
      </c>
      <c r="O648" s="1" t="s">
        <v>512</v>
      </c>
      <c r="Q648" s="1" t="s">
        <v>512</v>
      </c>
    </row>
    <row r="649" spans="2:17" x14ac:dyDescent="0.25">
      <c r="B649" s="95" t="s">
        <v>512</v>
      </c>
      <c r="D649" s="1" t="s">
        <v>512</v>
      </c>
      <c r="E649" s="21" t="s">
        <v>512</v>
      </c>
      <c r="F649" s="1" t="s">
        <v>512</v>
      </c>
      <c r="G649" s="1" t="s">
        <v>512</v>
      </c>
      <c r="H649" s="1" t="s">
        <v>512</v>
      </c>
      <c r="I649" s="1" t="s">
        <v>512</v>
      </c>
      <c r="J649" s="1" t="s">
        <v>512</v>
      </c>
      <c r="K649" s="1" t="s">
        <v>512</v>
      </c>
      <c r="L649" s="1" t="s">
        <v>512</v>
      </c>
      <c r="M649" s="1" t="s">
        <v>512</v>
      </c>
      <c r="N649" s="1" t="s">
        <v>512</v>
      </c>
      <c r="O649" s="1" t="s">
        <v>512</v>
      </c>
      <c r="Q649" s="1" t="s">
        <v>512</v>
      </c>
    </row>
    <row r="650" spans="2:17" x14ac:dyDescent="0.25">
      <c r="B650" s="95" t="s">
        <v>512</v>
      </c>
      <c r="D650" s="1" t="s">
        <v>512</v>
      </c>
      <c r="E650" s="21" t="s">
        <v>512</v>
      </c>
      <c r="F650" s="1" t="s">
        <v>512</v>
      </c>
      <c r="G650" s="1" t="s">
        <v>512</v>
      </c>
      <c r="H650" s="1" t="s">
        <v>512</v>
      </c>
      <c r="I650" s="1" t="s">
        <v>512</v>
      </c>
      <c r="J650" s="1" t="s">
        <v>512</v>
      </c>
      <c r="K650" s="1" t="s">
        <v>512</v>
      </c>
      <c r="L650" s="1" t="s">
        <v>512</v>
      </c>
      <c r="M650" s="1" t="s">
        <v>512</v>
      </c>
      <c r="N650" s="1" t="s">
        <v>512</v>
      </c>
      <c r="O650" s="1" t="s">
        <v>512</v>
      </c>
      <c r="Q650" s="1" t="s">
        <v>512</v>
      </c>
    </row>
    <row r="651" spans="2:17" x14ac:dyDescent="0.25">
      <c r="B651" s="95" t="s">
        <v>512</v>
      </c>
      <c r="D651" s="1" t="s">
        <v>512</v>
      </c>
      <c r="E651" s="21" t="s">
        <v>512</v>
      </c>
      <c r="F651" s="1" t="s">
        <v>512</v>
      </c>
      <c r="G651" s="1" t="s">
        <v>512</v>
      </c>
      <c r="H651" s="1" t="s">
        <v>512</v>
      </c>
      <c r="I651" s="1" t="s">
        <v>512</v>
      </c>
      <c r="J651" s="1" t="s">
        <v>512</v>
      </c>
      <c r="K651" s="1" t="s">
        <v>512</v>
      </c>
      <c r="L651" s="1" t="s">
        <v>512</v>
      </c>
      <c r="M651" s="1" t="s">
        <v>512</v>
      </c>
      <c r="N651" s="1" t="s">
        <v>512</v>
      </c>
      <c r="O651" s="1" t="s">
        <v>512</v>
      </c>
      <c r="Q651" s="1" t="s">
        <v>512</v>
      </c>
    </row>
    <row r="652" spans="2:17" x14ac:dyDescent="0.25">
      <c r="B652" s="95" t="s">
        <v>512</v>
      </c>
      <c r="D652" s="1" t="s">
        <v>512</v>
      </c>
      <c r="E652" s="21" t="s">
        <v>512</v>
      </c>
      <c r="F652" s="1" t="s">
        <v>512</v>
      </c>
      <c r="G652" s="1" t="s">
        <v>512</v>
      </c>
      <c r="H652" s="1" t="s">
        <v>512</v>
      </c>
      <c r="I652" s="1" t="s">
        <v>512</v>
      </c>
      <c r="J652" s="1" t="s">
        <v>512</v>
      </c>
      <c r="K652" s="1" t="s">
        <v>512</v>
      </c>
      <c r="L652" s="1" t="s">
        <v>512</v>
      </c>
      <c r="M652" s="1" t="s">
        <v>512</v>
      </c>
      <c r="N652" s="1" t="s">
        <v>512</v>
      </c>
      <c r="O652" s="1" t="s">
        <v>512</v>
      </c>
      <c r="Q652" s="1" t="s">
        <v>512</v>
      </c>
    </row>
    <row r="653" spans="2:17" x14ac:dyDescent="0.25">
      <c r="B653" s="95" t="s">
        <v>512</v>
      </c>
      <c r="D653" s="1" t="s">
        <v>512</v>
      </c>
      <c r="E653" s="21" t="s">
        <v>512</v>
      </c>
      <c r="F653" s="1" t="s">
        <v>512</v>
      </c>
      <c r="G653" s="1" t="s">
        <v>512</v>
      </c>
      <c r="H653" s="1" t="s">
        <v>512</v>
      </c>
      <c r="I653" s="1" t="s">
        <v>512</v>
      </c>
      <c r="J653" s="1" t="s">
        <v>512</v>
      </c>
      <c r="K653" s="1" t="s">
        <v>512</v>
      </c>
      <c r="L653" s="1" t="s">
        <v>512</v>
      </c>
      <c r="M653" s="1" t="s">
        <v>512</v>
      </c>
      <c r="N653" s="1" t="s">
        <v>512</v>
      </c>
      <c r="O653" s="1" t="s">
        <v>512</v>
      </c>
      <c r="Q653" s="1" t="s">
        <v>512</v>
      </c>
    </row>
    <row r="654" spans="2:17" x14ac:dyDescent="0.25">
      <c r="B654" s="95" t="s">
        <v>512</v>
      </c>
      <c r="D654" s="1" t="s">
        <v>512</v>
      </c>
      <c r="E654" s="21" t="s">
        <v>512</v>
      </c>
      <c r="F654" s="1" t="s">
        <v>512</v>
      </c>
      <c r="G654" s="1" t="s">
        <v>512</v>
      </c>
      <c r="H654" s="1" t="s">
        <v>512</v>
      </c>
      <c r="I654" s="1" t="s">
        <v>512</v>
      </c>
      <c r="J654" s="1" t="s">
        <v>512</v>
      </c>
      <c r="K654" s="1" t="s">
        <v>512</v>
      </c>
      <c r="L654" s="1" t="s">
        <v>512</v>
      </c>
      <c r="M654" s="1" t="s">
        <v>512</v>
      </c>
      <c r="N654" s="1" t="s">
        <v>512</v>
      </c>
      <c r="O654" s="1" t="s">
        <v>512</v>
      </c>
      <c r="Q654" s="1" t="s">
        <v>512</v>
      </c>
    </row>
    <row r="655" spans="2:17" x14ac:dyDescent="0.25">
      <c r="B655" s="95" t="s">
        <v>512</v>
      </c>
      <c r="D655" s="1" t="s">
        <v>512</v>
      </c>
      <c r="E655" s="21" t="s">
        <v>512</v>
      </c>
      <c r="F655" s="1" t="s">
        <v>512</v>
      </c>
      <c r="G655" s="1" t="s">
        <v>512</v>
      </c>
      <c r="H655" s="1" t="s">
        <v>512</v>
      </c>
      <c r="I655" s="1" t="s">
        <v>512</v>
      </c>
      <c r="J655" s="1" t="s">
        <v>512</v>
      </c>
      <c r="K655" s="1" t="s">
        <v>512</v>
      </c>
      <c r="L655" s="1" t="s">
        <v>512</v>
      </c>
      <c r="M655" s="1" t="s">
        <v>512</v>
      </c>
      <c r="N655" s="1" t="s">
        <v>512</v>
      </c>
      <c r="O655" s="1" t="s">
        <v>512</v>
      </c>
      <c r="Q655" s="1" t="s">
        <v>512</v>
      </c>
    </row>
    <row r="656" spans="2:17" x14ac:dyDescent="0.25">
      <c r="B656" s="95" t="s">
        <v>512</v>
      </c>
      <c r="D656" s="1" t="s">
        <v>512</v>
      </c>
      <c r="E656" s="21" t="s">
        <v>512</v>
      </c>
      <c r="F656" s="1" t="s">
        <v>512</v>
      </c>
      <c r="G656" s="1" t="s">
        <v>512</v>
      </c>
      <c r="H656" s="1" t="s">
        <v>512</v>
      </c>
      <c r="I656" s="1" t="s">
        <v>512</v>
      </c>
      <c r="J656" s="1" t="s">
        <v>512</v>
      </c>
      <c r="K656" s="1" t="s">
        <v>512</v>
      </c>
      <c r="L656" s="1" t="s">
        <v>512</v>
      </c>
      <c r="M656" s="1" t="s">
        <v>512</v>
      </c>
      <c r="N656" s="1" t="s">
        <v>512</v>
      </c>
      <c r="O656" s="1" t="s">
        <v>512</v>
      </c>
      <c r="Q656" s="1" t="s">
        <v>512</v>
      </c>
    </row>
    <row r="657" spans="2:17" x14ac:dyDescent="0.25">
      <c r="B657" s="95" t="s">
        <v>512</v>
      </c>
      <c r="D657" s="1" t="s">
        <v>512</v>
      </c>
      <c r="E657" s="21" t="s">
        <v>512</v>
      </c>
      <c r="F657" s="1" t="s">
        <v>512</v>
      </c>
      <c r="G657" s="1" t="s">
        <v>512</v>
      </c>
      <c r="H657" s="1" t="s">
        <v>512</v>
      </c>
      <c r="I657" s="1" t="s">
        <v>512</v>
      </c>
      <c r="J657" s="1" t="s">
        <v>512</v>
      </c>
      <c r="K657" s="1" t="s">
        <v>512</v>
      </c>
      <c r="L657" s="1" t="s">
        <v>512</v>
      </c>
      <c r="M657" s="1" t="s">
        <v>512</v>
      </c>
      <c r="N657" s="1" t="s">
        <v>512</v>
      </c>
      <c r="O657" s="1" t="s">
        <v>512</v>
      </c>
      <c r="Q657" s="1" t="s">
        <v>512</v>
      </c>
    </row>
    <row r="658" spans="2:17" x14ac:dyDescent="0.25">
      <c r="B658" s="95" t="s">
        <v>512</v>
      </c>
      <c r="D658" s="1" t="s">
        <v>512</v>
      </c>
      <c r="E658" s="21" t="s">
        <v>512</v>
      </c>
      <c r="F658" s="1" t="s">
        <v>512</v>
      </c>
      <c r="G658" s="1" t="s">
        <v>512</v>
      </c>
      <c r="H658" s="1" t="s">
        <v>512</v>
      </c>
      <c r="I658" s="1" t="s">
        <v>512</v>
      </c>
      <c r="J658" s="1" t="s">
        <v>512</v>
      </c>
      <c r="K658" s="1" t="s">
        <v>512</v>
      </c>
      <c r="L658" s="1" t="s">
        <v>512</v>
      </c>
      <c r="M658" s="1" t="s">
        <v>512</v>
      </c>
      <c r="N658" s="1" t="s">
        <v>512</v>
      </c>
      <c r="O658" s="1" t="s">
        <v>512</v>
      </c>
      <c r="Q658" s="1" t="s">
        <v>512</v>
      </c>
    </row>
    <row r="659" spans="2:17" x14ac:dyDescent="0.25">
      <c r="B659" s="95" t="s">
        <v>512</v>
      </c>
      <c r="D659" s="1" t="s">
        <v>512</v>
      </c>
      <c r="E659" s="21" t="s">
        <v>512</v>
      </c>
      <c r="F659" s="1" t="s">
        <v>512</v>
      </c>
      <c r="G659" s="1" t="s">
        <v>512</v>
      </c>
      <c r="H659" s="1" t="s">
        <v>512</v>
      </c>
      <c r="I659" s="1" t="s">
        <v>512</v>
      </c>
      <c r="J659" s="1" t="s">
        <v>512</v>
      </c>
      <c r="K659" s="1" t="s">
        <v>512</v>
      </c>
      <c r="L659" s="1" t="s">
        <v>512</v>
      </c>
      <c r="M659" s="1" t="s">
        <v>512</v>
      </c>
      <c r="N659" s="1" t="s">
        <v>512</v>
      </c>
      <c r="O659" s="1" t="s">
        <v>512</v>
      </c>
      <c r="Q659" s="1" t="s">
        <v>512</v>
      </c>
    </row>
    <row r="660" spans="2:17" x14ac:dyDescent="0.25">
      <c r="B660" s="95" t="s">
        <v>512</v>
      </c>
      <c r="D660" s="1" t="s">
        <v>512</v>
      </c>
      <c r="E660" s="21" t="s">
        <v>512</v>
      </c>
      <c r="F660" s="1" t="s">
        <v>512</v>
      </c>
      <c r="G660" s="1" t="s">
        <v>512</v>
      </c>
      <c r="H660" s="1" t="s">
        <v>512</v>
      </c>
      <c r="I660" s="1" t="s">
        <v>512</v>
      </c>
      <c r="J660" s="1" t="s">
        <v>512</v>
      </c>
      <c r="K660" s="1" t="s">
        <v>512</v>
      </c>
      <c r="L660" s="1" t="s">
        <v>512</v>
      </c>
      <c r="M660" s="1" t="s">
        <v>512</v>
      </c>
      <c r="N660" s="1" t="s">
        <v>512</v>
      </c>
      <c r="O660" s="1" t="s">
        <v>512</v>
      </c>
      <c r="Q660" s="1" t="s">
        <v>512</v>
      </c>
    </row>
    <row r="661" spans="2:17" x14ac:dyDescent="0.25">
      <c r="B661" s="95" t="s">
        <v>512</v>
      </c>
      <c r="D661" s="1" t="s">
        <v>512</v>
      </c>
      <c r="E661" s="21" t="s">
        <v>512</v>
      </c>
      <c r="F661" s="1" t="s">
        <v>512</v>
      </c>
      <c r="G661" s="1" t="s">
        <v>512</v>
      </c>
      <c r="H661" s="1" t="s">
        <v>512</v>
      </c>
      <c r="I661" s="1" t="s">
        <v>512</v>
      </c>
      <c r="J661" s="1" t="s">
        <v>512</v>
      </c>
      <c r="K661" s="1" t="s">
        <v>512</v>
      </c>
      <c r="L661" s="1" t="s">
        <v>512</v>
      </c>
      <c r="M661" s="1" t="s">
        <v>512</v>
      </c>
      <c r="N661" s="1" t="s">
        <v>512</v>
      </c>
      <c r="O661" s="1" t="s">
        <v>512</v>
      </c>
      <c r="Q661" s="1" t="s">
        <v>512</v>
      </c>
    </row>
    <row r="662" spans="2:17" x14ac:dyDescent="0.25">
      <c r="B662" s="95" t="s">
        <v>512</v>
      </c>
      <c r="D662" s="1" t="s">
        <v>512</v>
      </c>
      <c r="E662" s="21" t="s">
        <v>512</v>
      </c>
      <c r="F662" s="1" t="s">
        <v>512</v>
      </c>
      <c r="G662" s="1" t="s">
        <v>512</v>
      </c>
      <c r="H662" s="1" t="s">
        <v>512</v>
      </c>
      <c r="I662" s="1" t="s">
        <v>512</v>
      </c>
      <c r="J662" s="1" t="s">
        <v>512</v>
      </c>
      <c r="K662" s="1" t="s">
        <v>512</v>
      </c>
      <c r="L662" s="1" t="s">
        <v>512</v>
      </c>
      <c r="M662" s="1" t="s">
        <v>512</v>
      </c>
      <c r="N662" s="1" t="s">
        <v>512</v>
      </c>
      <c r="O662" s="1" t="s">
        <v>512</v>
      </c>
      <c r="Q662" s="1" t="s">
        <v>512</v>
      </c>
    </row>
    <row r="663" spans="2:17" x14ac:dyDescent="0.25">
      <c r="B663" s="95" t="s">
        <v>512</v>
      </c>
      <c r="D663" s="1" t="s">
        <v>512</v>
      </c>
      <c r="E663" s="21" t="s">
        <v>512</v>
      </c>
      <c r="F663" s="1" t="s">
        <v>512</v>
      </c>
      <c r="G663" s="1" t="s">
        <v>512</v>
      </c>
      <c r="H663" s="1" t="s">
        <v>512</v>
      </c>
      <c r="I663" s="1" t="s">
        <v>512</v>
      </c>
      <c r="J663" s="1" t="s">
        <v>512</v>
      </c>
      <c r="K663" s="1" t="s">
        <v>512</v>
      </c>
      <c r="L663" s="1" t="s">
        <v>512</v>
      </c>
      <c r="M663" s="1" t="s">
        <v>512</v>
      </c>
      <c r="N663" s="1" t="s">
        <v>512</v>
      </c>
      <c r="O663" s="1" t="s">
        <v>512</v>
      </c>
      <c r="Q663" s="1" t="s">
        <v>512</v>
      </c>
    </row>
    <row r="664" spans="2:17" x14ac:dyDescent="0.25">
      <c r="B664" s="95" t="s">
        <v>512</v>
      </c>
      <c r="D664" s="1" t="s">
        <v>512</v>
      </c>
      <c r="E664" s="21" t="s">
        <v>512</v>
      </c>
      <c r="F664" s="1" t="s">
        <v>512</v>
      </c>
      <c r="G664" s="1" t="s">
        <v>512</v>
      </c>
      <c r="H664" s="1" t="s">
        <v>512</v>
      </c>
      <c r="I664" s="1" t="s">
        <v>512</v>
      </c>
      <c r="J664" s="1" t="s">
        <v>512</v>
      </c>
      <c r="K664" s="1" t="s">
        <v>512</v>
      </c>
      <c r="L664" s="1" t="s">
        <v>512</v>
      </c>
      <c r="M664" s="1" t="s">
        <v>512</v>
      </c>
      <c r="N664" s="1" t="s">
        <v>512</v>
      </c>
      <c r="O664" s="1" t="s">
        <v>512</v>
      </c>
      <c r="Q664" s="1" t="s">
        <v>512</v>
      </c>
    </row>
    <row r="665" spans="2:17" x14ac:dyDescent="0.25">
      <c r="B665" s="95" t="s">
        <v>512</v>
      </c>
      <c r="D665" s="1" t="s">
        <v>512</v>
      </c>
      <c r="E665" s="21" t="s">
        <v>512</v>
      </c>
      <c r="F665" s="1" t="s">
        <v>512</v>
      </c>
      <c r="G665" s="1" t="s">
        <v>512</v>
      </c>
      <c r="H665" s="1" t="s">
        <v>512</v>
      </c>
      <c r="I665" s="1" t="s">
        <v>512</v>
      </c>
      <c r="J665" s="1" t="s">
        <v>512</v>
      </c>
      <c r="K665" s="1" t="s">
        <v>512</v>
      </c>
      <c r="L665" s="1" t="s">
        <v>512</v>
      </c>
      <c r="M665" s="1" t="s">
        <v>512</v>
      </c>
      <c r="N665" s="1" t="s">
        <v>512</v>
      </c>
      <c r="O665" s="1" t="s">
        <v>512</v>
      </c>
      <c r="Q665" s="1" t="s">
        <v>512</v>
      </c>
    </row>
    <row r="666" spans="2:17" x14ac:dyDescent="0.25">
      <c r="B666" s="95" t="s">
        <v>512</v>
      </c>
      <c r="D666" s="1" t="s">
        <v>512</v>
      </c>
      <c r="E666" s="21" t="s">
        <v>512</v>
      </c>
      <c r="F666" s="1" t="s">
        <v>512</v>
      </c>
      <c r="G666" s="1" t="s">
        <v>512</v>
      </c>
      <c r="H666" s="1" t="s">
        <v>512</v>
      </c>
      <c r="I666" s="1" t="s">
        <v>512</v>
      </c>
      <c r="J666" s="1" t="s">
        <v>512</v>
      </c>
      <c r="K666" s="1" t="s">
        <v>512</v>
      </c>
      <c r="L666" s="1" t="s">
        <v>512</v>
      </c>
      <c r="M666" s="1" t="s">
        <v>512</v>
      </c>
      <c r="N666" s="1" t="s">
        <v>512</v>
      </c>
      <c r="O666" s="1" t="s">
        <v>512</v>
      </c>
      <c r="Q666" s="1" t="s">
        <v>512</v>
      </c>
    </row>
    <row r="667" spans="2:17" x14ac:dyDescent="0.25">
      <c r="B667" s="95" t="s">
        <v>512</v>
      </c>
      <c r="D667" s="1" t="s">
        <v>512</v>
      </c>
      <c r="E667" s="21" t="s">
        <v>512</v>
      </c>
      <c r="F667" s="1" t="s">
        <v>512</v>
      </c>
      <c r="G667" s="1" t="s">
        <v>512</v>
      </c>
      <c r="H667" s="1" t="s">
        <v>512</v>
      </c>
      <c r="I667" s="1" t="s">
        <v>512</v>
      </c>
      <c r="J667" s="1" t="s">
        <v>512</v>
      </c>
      <c r="K667" s="1" t="s">
        <v>512</v>
      </c>
      <c r="L667" s="1" t="s">
        <v>512</v>
      </c>
      <c r="M667" s="1" t="s">
        <v>512</v>
      </c>
      <c r="N667" s="1" t="s">
        <v>512</v>
      </c>
      <c r="O667" s="1" t="s">
        <v>512</v>
      </c>
      <c r="Q667" s="1" t="s">
        <v>512</v>
      </c>
    </row>
    <row r="668" spans="2:17" x14ac:dyDescent="0.25">
      <c r="B668" s="95" t="s">
        <v>512</v>
      </c>
      <c r="D668" s="1" t="s">
        <v>512</v>
      </c>
      <c r="E668" s="21" t="s">
        <v>512</v>
      </c>
      <c r="F668" s="1" t="s">
        <v>512</v>
      </c>
      <c r="G668" s="1" t="s">
        <v>512</v>
      </c>
      <c r="H668" s="1" t="s">
        <v>512</v>
      </c>
      <c r="I668" s="1" t="s">
        <v>512</v>
      </c>
      <c r="J668" s="1" t="s">
        <v>512</v>
      </c>
      <c r="K668" s="1" t="s">
        <v>512</v>
      </c>
      <c r="L668" s="1" t="s">
        <v>512</v>
      </c>
      <c r="M668" s="1" t="s">
        <v>512</v>
      </c>
      <c r="N668" s="1" t="s">
        <v>512</v>
      </c>
      <c r="O668" s="1" t="s">
        <v>512</v>
      </c>
      <c r="Q668" s="1" t="s">
        <v>512</v>
      </c>
    </row>
    <row r="669" spans="2:17" x14ac:dyDescent="0.25">
      <c r="B669" s="95" t="s">
        <v>512</v>
      </c>
      <c r="D669" s="1" t="s">
        <v>512</v>
      </c>
      <c r="E669" s="21" t="s">
        <v>512</v>
      </c>
      <c r="F669" s="1" t="s">
        <v>512</v>
      </c>
      <c r="G669" s="1" t="s">
        <v>512</v>
      </c>
      <c r="H669" s="1" t="s">
        <v>512</v>
      </c>
      <c r="I669" s="1" t="s">
        <v>512</v>
      </c>
      <c r="J669" s="1" t="s">
        <v>512</v>
      </c>
      <c r="K669" s="1" t="s">
        <v>512</v>
      </c>
      <c r="L669" s="1" t="s">
        <v>512</v>
      </c>
      <c r="M669" s="1" t="s">
        <v>512</v>
      </c>
      <c r="N669" s="1" t="s">
        <v>512</v>
      </c>
      <c r="O669" s="1" t="s">
        <v>512</v>
      </c>
      <c r="Q669" s="1" t="s">
        <v>512</v>
      </c>
    </row>
    <row r="670" spans="2:17" x14ac:dyDescent="0.25">
      <c r="B670" s="95" t="s">
        <v>512</v>
      </c>
      <c r="D670" s="1" t="s">
        <v>512</v>
      </c>
      <c r="E670" s="21" t="s">
        <v>512</v>
      </c>
      <c r="F670" s="1" t="s">
        <v>512</v>
      </c>
      <c r="G670" s="1" t="s">
        <v>512</v>
      </c>
      <c r="H670" s="1" t="s">
        <v>512</v>
      </c>
      <c r="I670" s="1" t="s">
        <v>512</v>
      </c>
      <c r="J670" s="1" t="s">
        <v>512</v>
      </c>
      <c r="K670" s="1" t="s">
        <v>512</v>
      </c>
      <c r="L670" s="1" t="s">
        <v>512</v>
      </c>
      <c r="M670" s="1" t="s">
        <v>512</v>
      </c>
      <c r="N670" s="1" t="s">
        <v>512</v>
      </c>
      <c r="O670" s="1" t="s">
        <v>512</v>
      </c>
      <c r="Q670" s="1" t="s">
        <v>512</v>
      </c>
    </row>
    <row r="671" spans="2:17" x14ac:dyDescent="0.25">
      <c r="B671" s="95" t="s">
        <v>512</v>
      </c>
      <c r="D671" s="1" t="s">
        <v>512</v>
      </c>
      <c r="E671" s="21" t="s">
        <v>512</v>
      </c>
      <c r="F671" s="1" t="s">
        <v>512</v>
      </c>
      <c r="G671" s="1" t="s">
        <v>512</v>
      </c>
      <c r="H671" s="1" t="s">
        <v>512</v>
      </c>
      <c r="I671" s="1" t="s">
        <v>512</v>
      </c>
      <c r="J671" s="1" t="s">
        <v>512</v>
      </c>
      <c r="K671" s="1" t="s">
        <v>512</v>
      </c>
      <c r="L671" s="1" t="s">
        <v>512</v>
      </c>
      <c r="M671" s="1" t="s">
        <v>512</v>
      </c>
      <c r="N671" s="1" t="s">
        <v>512</v>
      </c>
      <c r="O671" s="1" t="s">
        <v>512</v>
      </c>
      <c r="Q671" s="1" t="s">
        <v>512</v>
      </c>
    </row>
    <row r="672" spans="2:17" x14ac:dyDescent="0.25">
      <c r="B672" s="95" t="s">
        <v>512</v>
      </c>
      <c r="D672" s="1" t="s">
        <v>512</v>
      </c>
      <c r="E672" s="21" t="s">
        <v>512</v>
      </c>
      <c r="F672" s="1" t="s">
        <v>512</v>
      </c>
      <c r="G672" s="1" t="s">
        <v>512</v>
      </c>
      <c r="H672" s="1" t="s">
        <v>512</v>
      </c>
      <c r="I672" s="1" t="s">
        <v>512</v>
      </c>
      <c r="J672" s="1" t="s">
        <v>512</v>
      </c>
      <c r="K672" s="1" t="s">
        <v>512</v>
      </c>
      <c r="L672" s="1" t="s">
        <v>512</v>
      </c>
      <c r="M672" s="1" t="s">
        <v>512</v>
      </c>
      <c r="N672" s="1" t="s">
        <v>512</v>
      </c>
      <c r="O672" s="1" t="s">
        <v>512</v>
      </c>
      <c r="Q672" s="1" t="s">
        <v>512</v>
      </c>
    </row>
    <row r="673" spans="2:17" x14ac:dyDescent="0.25">
      <c r="B673" s="95" t="s">
        <v>512</v>
      </c>
      <c r="D673" s="1" t="s">
        <v>512</v>
      </c>
      <c r="E673" s="21" t="s">
        <v>512</v>
      </c>
      <c r="F673" s="1" t="s">
        <v>512</v>
      </c>
      <c r="G673" s="1" t="s">
        <v>512</v>
      </c>
      <c r="H673" s="1" t="s">
        <v>512</v>
      </c>
      <c r="I673" s="1" t="s">
        <v>512</v>
      </c>
      <c r="J673" s="1" t="s">
        <v>512</v>
      </c>
      <c r="K673" s="1" t="s">
        <v>512</v>
      </c>
      <c r="L673" s="1" t="s">
        <v>512</v>
      </c>
      <c r="M673" s="1" t="s">
        <v>512</v>
      </c>
      <c r="N673" s="1" t="s">
        <v>512</v>
      </c>
      <c r="O673" s="1" t="s">
        <v>512</v>
      </c>
      <c r="Q673" s="1" t="s">
        <v>512</v>
      </c>
    </row>
    <row r="674" spans="2:17" x14ac:dyDescent="0.25">
      <c r="B674" s="95" t="s">
        <v>512</v>
      </c>
      <c r="D674" s="1" t="s">
        <v>512</v>
      </c>
      <c r="E674" s="21" t="s">
        <v>512</v>
      </c>
      <c r="F674" s="1" t="s">
        <v>512</v>
      </c>
      <c r="G674" s="1" t="s">
        <v>512</v>
      </c>
      <c r="H674" s="1" t="s">
        <v>512</v>
      </c>
      <c r="I674" s="1" t="s">
        <v>512</v>
      </c>
      <c r="J674" s="1" t="s">
        <v>512</v>
      </c>
      <c r="K674" s="1" t="s">
        <v>512</v>
      </c>
      <c r="L674" s="1" t="s">
        <v>512</v>
      </c>
      <c r="M674" s="1" t="s">
        <v>512</v>
      </c>
      <c r="N674" s="1" t="s">
        <v>512</v>
      </c>
      <c r="O674" s="1" t="s">
        <v>512</v>
      </c>
      <c r="Q674" s="1" t="s">
        <v>512</v>
      </c>
    </row>
    <row r="675" spans="2:17" x14ac:dyDescent="0.25">
      <c r="B675" s="95" t="s">
        <v>512</v>
      </c>
      <c r="D675" s="1" t="s">
        <v>512</v>
      </c>
      <c r="E675" s="21" t="s">
        <v>512</v>
      </c>
      <c r="F675" s="1" t="s">
        <v>512</v>
      </c>
      <c r="G675" s="1" t="s">
        <v>512</v>
      </c>
      <c r="H675" s="1" t="s">
        <v>512</v>
      </c>
      <c r="I675" s="1" t="s">
        <v>512</v>
      </c>
      <c r="J675" s="1" t="s">
        <v>512</v>
      </c>
      <c r="K675" s="1" t="s">
        <v>512</v>
      </c>
      <c r="L675" s="1" t="s">
        <v>512</v>
      </c>
      <c r="M675" s="1" t="s">
        <v>512</v>
      </c>
      <c r="N675" s="1" t="s">
        <v>512</v>
      </c>
      <c r="O675" s="1" t="s">
        <v>512</v>
      </c>
      <c r="Q675" s="1" t="s">
        <v>512</v>
      </c>
    </row>
    <row r="676" spans="2:17" x14ac:dyDescent="0.25">
      <c r="B676" s="95" t="s">
        <v>512</v>
      </c>
      <c r="D676" s="1" t="s">
        <v>512</v>
      </c>
      <c r="E676" s="21" t="s">
        <v>512</v>
      </c>
      <c r="F676" s="1" t="s">
        <v>512</v>
      </c>
      <c r="G676" s="1" t="s">
        <v>512</v>
      </c>
      <c r="H676" s="1" t="s">
        <v>512</v>
      </c>
      <c r="I676" s="1" t="s">
        <v>512</v>
      </c>
      <c r="J676" s="1" t="s">
        <v>512</v>
      </c>
      <c r="K676" s="1" t="s">
        <v>512</v>
      </c>
      <c r="L676" s="1" t="s">
        <v>512</v>
      </c>
      <c r="M676" s="1" t="s">
        <v>512</v>
      </c>
      <c r="N676" s="1" t="s">
        <v>512</v>
      </c>
      <c r="O676" s="1" t="s">
        <v>512</v>
      </c>
      <c r="Q676" s="1" t="s">
        <v>512</v>
      </c>
    </row>
    <row r="677" spans="2:17" x14ac:dyDescent="0.25">
      <c r="B677" s="95" t="s">
        <v>512</v>
      </c>
      <c r="D677" s="1" t="s">
        <v>512</v>
      </c>
      <c r="E677" s="21" t="s">
        <v>512</v>
      </c>
      <c r="F677" s="1" t="s">
        <v>512</v>
      </c>
      <c r="G677" s="1" t="s">
        <v>512</v>
      </c>
      <c r="H677" s="1" t="s">
        <v>512</v>
      </c>
      <c r="I677" s="1" t="s">
        <v>512</v>
      </c>
      <c r="J677" s="1" t="s">
        <v>512</v>
      </c>
      <c r="K677" s="1" t="s">
        <v>512</v>
      </c>
      <c r="L677" s="1" t="s">
        <v>512</v>
      </c>
      <c r="M677" s="1" t="s">
        <v>512</v>
      </c>
      <c r="N677" s="1" t="s">
        <v>512</v>
      </c>
      <c r="O677" s="1" t="s">
        <v>512</v>
      </c>
      <c r="Q677" s="1" t="s">
        <v>512</v>
      </c>
    </row>
    <row r="678" spans="2:17" x14ac:dyDescent="0.25">
      <c r="B678" s="95" t="s">
        <v>512</v>
      </c>
      <c r="D678" s="1" t="s">
        <v>512</v>
      </c>
      <c r="E678" s="21" t="s">
        <v>512</v>
      </c>
      <c r="F678" s="1" t="s">
        <v>512</v>
      </c>
      <c r="G678" s="1" t="s">
        <v>512</v>
      </c>
      <c r="H678" s="1" t="s">
        <v>512</v>
      </c>
      <c r="I678" s="1" t="s">
        <v>512</v>
      </c>
      <c r="J678" s="1" t="s">
        <v>512</v>
      </c>
      <c r="K678" s="1" t="s">
        <v>512</v>
      </c>
      <c r="L678" s="1" t="s">
        <v>512</v>
      </c>
      <c r="M678" s="1" t="s">
        <v>512</v>
      </c>
      <c r="N678" s="1" t="s">
        <v>512</v>
      </c>
      <c r="O678" s="1" t="s">
        <v>512</v>
      </c>
      <c r="Q678" s="1" t="s">
        <v>512</v>
      </c>
    </row>
    <row r="679" spans="2:17" x14ac:dyDescent="0.25">
      <c r="B679" s="95" t="s">
        <v>512</v>
      </c>
      <c r="D679" s="1" t="s">
        <v>512</v>
      </c>
      <c r="E679" s="21" t="s">
        <v>512</v>
      </c>
      <c r="F679" s="1" t="s">
        <v>512</v>
      </c>
      <c r="G679" s="1" t="s">
        <v>512</v>
      </c>
      <c r="H679" s="1" t="s">
        <v>512</v>
      </c>
      <c r="I679" s="1" t="s">
        <v>512</v>
      </c>
      <c r="J679" s="1" t="s">
        <v>512</v>
      </c>
      <c r="K679" s="1" t="s">
        <v>512</v>
      </c>
      <c r="L679" s="1" t="s">
        <v>512</v>
      </c>
      <c r="M679" s="1" t="s">
        <v>512</v>
      </c>
      <c r="N679" s="1" t="s">
        <v>512</v>
      </c>
      <c r="O679" s="1" t="s">
        <v>512</v>
      </c>
      <c r="Q679" s="1" t="s">
        <v>512</v>
      </c>
    </row>
    <row r="680" spans="2:17" x14ac:dyDescent="0.25">
      <c r="B680" s="95" t="s">
        <v>512</v>
      </c>
      <c r="D680" s="1" t="s">
        <v>512</v>
      </c>
      <c r="E680" s="21" t="s">
        <v>512</v>
      </c>
      <c r="F680" s="1" t="s">
        <v>512</v>
      </c>
      <c r="G680" s="1" t="s">
        <v>512</v>
      </c>
      <c r="H680" s="1" t="s">
        <v>512</v>
      </c>
      <c r="I680" s="1" t="s">
        <v>512</v>
      </c>
      <c r="J680" s="1" t="s">
        <v>512</v>
      </c>
      <c r="K680" s="1" t="s">
        <v>512</v>
      </c>
      <c r="L680" s="1" t="s">
        <v>512</v>
      </c>
      <c r="M680" s="1" t="s">
        <v>512</v>
      </c>
      <c r="N680" s="1" t="s">
        <v>512</v>
      </c>
      <c r="O680" s="1" t="s">
        <v>512</v>
      </c>
      <c r="Q680" s="1" t="s">
        <v>512</v>
      </c>
    </row>
    <row r="681" spans="2:17" x14ac:dyDescent="0.25">
      <c r="B681" s="95" t="s">
        <v>512</v>
      </c>
      <c r="D681" s="1" t="s">
        <v>512</v>
      </c>
      <c r="E681" s="21" t="s">
        <v>512</v>
      </c>
      <c r="F681" s="1" t="s">
        <v>512</v>
      </c>
      <c r="G681" s="1" t="s">
        <v>512</v>
      </c>
      <c r="H681" s="1" t="s">
        <v>512</v>
      </c>
      <c r="I681" s="1" t="s">
        <v>512</v>
      </c>
      <c r="J681" s="1" t="s">
        <v>512</v>
      </c>
      <c r="K681" s="1" t="s">
        <v>512</v>
      </c>
      <c r="L681" s="1" t="s">
        <v>512</v>
      </c>
      <c r="M681" s="1" t="s">
        <v>512</v>
      </c>
      <c r="N681" s="1" t="s">
        <v>512</v>
      </c>
      <c r="O681" s="1" t="s">
        <v>512</v>
      </c>
      <c r="Q681" s="1" t="s">
        <v>512</v>
      </c>
    </row>
    <row r="682" spans="2:17" x14ac:dyDescent="0.25">
      <c r="B682" s="95" t="s">
        <v>512</v>
      </c>
      <c r="D682" s="1" t="s">
        <v>512</v>
      </c>
      <c r="E682" s="21" t="s">
        <v>512</v>
      </c>
      <c r="F682" s="1" t="s">
        <v>512</v>
      </c>
      <c r="G682" s="1" t="s">
        <v>512</v>
      </c>
      <c r="H682" s="1" t="s">
        <v>512</v>
      </c>
      <c r="I682" s="1" t="s">
        <v>512</v>
      </c>
      <c r="J682" s="1" t="s">
        <v>512</v>
      </c>
      <c r="K682" s="1" t="s">
        <v>512</v>
      </c>
      <c r="L682" s="1" t="s">
        <v>512</v>
      </c>
      <c r="M682" s="1" t="s">
        <v>512</v>
      </c>
      <c r="N682" s="1" t="s">
        <v>512</v>
      </c>
      <c r="O682" s="1" t="s">
        <v>512</v>
      </c>
      <c r="Q682" s="1" t="s">
        <v>512</v>
      </c>
    </row>
    <row r="683" spans="2:17" x14ac:dyDescent="0.25">
      <c r="B683" s="95" t="s">
        <v>512</v>
      </c>
      <c r="D683" s="1" t="s">
        <v>512</v>
      </c>
      <c r="E683" s="21" t="s">
        <v>512</v>
      </c>
      <c r="F683" s="1" t="s">
        <v>512</v>
      </c>
      <c r="G683" s="1" t="s">
        <v>512</v>
      </c>
      <c r="H683" s="1" t="s">
        <v>512</v>
      </c>
      <c r="I683" s="1" t="s">
        <v>512</v>
      </c>
      <c r="J683" s="1" t="s">
        <v>512</v>
      </c>
      <c r="K683" s="1" t="s">
        <v>512</v>
      </c>
      <c r="L683" s="1" t="s">
        <v>512</v>
      </c>
      <c r="M683" s="1" t="s">
        <v>512</v>
      </c>
      <c r="N683" s="1" t="s">
        <v>512</v>
      </c>
      <c r="O683" s="1" t="s">
        <v>512</v>
      </c>
      <c r="Q683" s="1" t="s">
        <v>512</v>
      </c>
    </row>
    <row r="684" spans="2:17" x14ac:dyDescent="0.25">
      <c r="B684" s="95" t="s">
        <v>512</v>
      </c>
      <c r="D684" s="1" t="s">
        <v>512</v>
      </c>
      <c r="E684" s="21" t="s">
        <v>512</v>
      </c>
      <c r="F684" s="1" t="s">
        <v>512</v>
      </c>
      <c r="G684" s="1" t="s">
        <v>512</v>
      </c>
      <c r="H684" s="1" t="s">
        <v>512</v>
      </c>
      <c r="I684" s="1" t="s">
        <v>512</v>
      </c>
      <c r="J684" s="1" t="s">
        <v>512</v>
      </c>
      <c r="K684" s="1" t="s">
        <v>512</v>
      </c>
      <c r="L684" s="1" t="s">
        <v>512</v>
      </c>
      <c r="M684" s="1" t="s">
        <v>512</v>
      </c>
      <c r="N684" s="1" t="s">
        <v>512</v>
      </c>
      <c r="O684" s="1" t="s">
        <v>512</v>
      </c>
      <c r="Q684" s="1" t="s">
        <v>512</v>
      </c>
    </row>
    <row r="685" spans="2:17" x14ac:dyDescent="0.25">
      <c r="B685" s="95" t="s">
        <v>512</v>
      </c>
      <c r="D685" s="1" t="s">
        <v>512</v>
      </c>
      <c r="E685" s="21" t="s">
        <v>512</v>
      </c>
      <c r="F685" s="1" t="s">
        <v>512</v>
      </c>
      <c r="G685" s="1" t="s">
        <v>512</v>
      </c>
      <c r="H685" s="1" t="s">
        <v>512</v>
      </c>
      <c r="I685" s="1" t="s">
        <v>512</v>
      </c>
      <c r="J685" s="1" t="s">
        <v>512</v>
      </c>
      <c r="K685" s="1" t="s">
        <v>512</v>
      </c>
      <c r="L685" s="1" t="s">
        <v>512</v>
      </c>
      <c r="M685" s="1" t="s">
        <v>512</v>
      </c>
      <c r="N685" s="1" t="s">
        <v>512</v>
      </c>
      <c r="O685" s="1" t="s">
        <v>512</v>
      </c>
      <c r="Q685" s="1" t="s">
        <v>512</v>
      </c>
    </row>
    <row r="686" spans="2:17" x14ac:dyDescent="0.25">
      <c r="B686" s="95" t="s">
        <v>512</v>
      </c>
      <c r="D686" s="1" t="s">
        <v>512</v>
      </c>
      <c r="E686" s="21" t="s">
        <v>512</v>
      </c>
      <c r="F686" s="1" t="s">
        <v>512</v>
      </c>
      <c r="G686" s="1" t="s">
        <v>512</v>
      </c>
      <c r="H686" s="1" t="s">
        <v>512</v>
      </c>
      <c r="I686" s="1" t="s">
        <v>512</v>
      </c>
      <c r="J686" s="1" t="s">
        <v>512</v>
      </c>
      <c r="K686" s="1" t="s">
        <v>512</v>
      </c>
      <c r="L686" s="1" t="s">
        <v>512</v>
      </c>
      <c r="M686" s="1" t="s">
        <v>512</v>
      </c>
      <c r="N686" s="1" t="s">
        <v>512</v>
      </c>
      <c r="O686" s="1" t="s">
        <v>512</v>
      </c>
      <c r="Q686" s="1" t="s">
        <v>512</v>
      </c>
    </row>
    <row r="687" spans="2:17" x14ac:dyDescent="0.25">
      <c r="B687" s="95" t="s">
        <v>512</v>
      </c>
      <c r="D687" s="1" t="s">
        <v>512</v>
      </c>
      <c r="E687" s="21" t="s">
        <v>512</v>
      </c>
      <c r="F687" s="1" t="s">
        <v>512</v>
      </c>
      <c r="G687" s="1" t="s">
        <v>512</v>
      </c>
      <c r="H687" s="1" t="s">
        <v>512</v>
      </c>
      <c r="I687" s="1" t="s">
        <v>512</v>
      </c>
      <c r="J687" s="1" t="s">
        <v>512</v>
      </c>
      <c r="K687" s="1" t="s">
        <v>512</v>
      </c>
      <c r="L687" s="1" t="s">
        <v>512</v>
      </c>
      <c r="M687" s="1" t="s">
        <v>512</v>
      </c>
      <c r="N687" s="1" t="s">
        <v>512</v>
      </c>
      <c r="O687" s="1" t="s">
        <v>512</v>
      </c>
      <c r="Q687" s="1" t="s">
        <v>512</v>
      </c>
    </row>
    <row r="688" spans="2:17" x14ac:dyDescent="0.25">
      <c r="B688" s="95" t="s">
        <v>512</v>
      </c>
      <c r="D688" s="1" t="s">
        <v>512</v>
      </c>
      <c r="E688" s="21" t="s">
        <v>512</v>
      </c>
      <c r="F688" s="1" t="s">
        <v>512</v>
      </c>
      <c r="G688" s="1" t="s">
        <v>512</v>
      </c>
      <c r="H688" s="1" t="s">
        <v>512</v>
      </c>
      <c r="I688" s="1" t="s">
        <v>512</v>
      </c>
      <c r="J688" s="1" t="s">
        <v>512</v>
      </c>
      <c r="K688" s="1" t="s">
        <v>512</v>
      </c>
      <c r="L688" s="1" t="s">
        <v>512</v>
      </c>
      <c r="M688" s="1" t="s">
        <v>512</v>
      </c>
      <c r="N688" s="1" t="s">
        <v>512</v>
      </c>
      <c r="O688" s="1" t="s">
        <v>512</v>
      </c>
      <c r="Q688" s="1" t="s">
        <v>512</v>
      </c>
    </row>
    <row r="689" spans="2:17" x14ac:dyDescent="0.25">
      <c r="B689" s="95" t="s">
        <v>512</v>
      </c>
      <c r="D689" s="1" t="s">
        <v>512</v>
      </c>
      <c r="E689" s="21" t="s">
        <v>512</v>
      </c>
      <c r="F689" s="1" t="s">
        <v>512</v>
      </c>
      <c r="G689" s="1" t="s">
        <v>512</v>
      </c>
      <c r="H689" s="1" t="s">
        <v>512</v>
      </c>
      <c r="I689" s="1" t="s">
        <v>512</v>
      </c>
      <c r="J689" s="1" t="s">
        <v>512</v>
      </c>
      <c r="K689" s="1" t="s">
        <v>512</v>
      </c>
      <c r="L689" s="1" t="s">
        <v>512</v>
      </c>
      <c r="M689" s="1" t="s">
        <v>512</v>
      </c>
      <c r="N689" s="1" t="s">
        <v>512</v>
      </c>
      <c r="O689" s="1" t="s">
        <v>512</v>
      </c>
      <c r="Q689" s="1" t="s">
        <v>512</v>
      </c>
    </row>
    <row r="690" spans="2:17" x14ac:dyDescent="0.25">
      <c r="B690" s="95" t="s">
        <v>512</v>
      </c>
      <c r="D690" s="1" t="s">
        <v>512</v>
      </c>
      <c r="E690" s="21" t="s">
        <v>512</v>
      </c>
      <c r="F690" s="1" t="s">
        <v>512</v>
      </c>
      <c r="G690" s="1" t="s">
        <v>512</v>
      </c>
      <c r="H690" s="1" t="s">
        <v>512</v>
      </c>
      <c r="I690" s="1" t="s">
        <v>512</v>
      </c>
      <c r="J690" s="1" t="s">
        <v>512</v>
      </c>
      <c r="K690" s="1" t="s">
        <v>512</v>
      </c>
      <c r="L690" s="1" t="s">
        <v>512</v>
      </c>
      <c r="M690" s="1" t="s">
        <v>512</v>
      </c>
      <c r="N690" s="1" t="s">
        <v>512</v>
      </c>
      <c r="O690" s="1" t="s">
        <v>512</v>
      </c>
      <c r="Q690" s="1" t="s">
        <v>512</v>
      </c>
    </row>
    <row r="691" spans="2:17" x14ac:dyDescent="0.25">
      <c r="B691" s="95" t="s">
        <v>512</v>
      </c>
      <c r="D691" s="1" t="s">
        <v>512</v>
      </c>
      <c r="E691" s="21" t="s">
        <v>512</v>
      </c>
      <c r="F691" s="1" t="s">
        <v>512</v>
      </c>
      <c r="G691" s="1" t="s">
        <v>512</v>
      </c>
      <c r="H691" s="1" t="s">
        <v>512</v>
      </c>
      <c r="I691" s="1" t="s">
        <v>512</v>
      </c>
      <c r="J691" s="1" t="s">
        <v>512</v>
      </c>
      <c r="K691" s="1" t="s">
        <v>512</v>
      </c>
      <c r="L691" s="1" t="s">
        <v>512</v>
      </c>
      <c r="M691" s="1" t="s">
        <v>512</v>
      </c>
      <c r="N691" s="1" t="s">
        <v>512</v>
      </c>
      <c r="O691" s="1" t="s">
        <v>512</v>
      </c>
      <c r="Q691" s="1" t="s">
        <v>512</v>
      </c>
    </row>
    <row r="692" spans="2:17" x14ac:dyDescent="0.25">
      <c r="B692" s="95" t="s">
        <v>512</v>
      </c>
      <c r="D692" s="1" t="s">
        <v>512</v>
      </c>
      <c r="E692" s="21" t="s">
        <v>512</v>
      </c>
      <c r="F692" s="1" t="s">
        <v>512</v>
      </c>
      <c r="G692" s="1" t="s">
        <v>512</v>
      </c>
      <c r="H692" s="1" t="s">
        <v>512</v>
      </c>
      <c r="I692" s="1" t="s">
        <v>512</v>
      </c>
      <c r="J692" s="1" t="s">
        <v>512</v>
      </c>
      <c r="K692" s="1" t="s">
        <v>512</v>
      </c>
      <c r="L692" s="1" t="s">
        <v>512</v>
      </c>
      <c r="M692" s="1" t="s">
        <v>512</v>
      </c>
      <c r="N692" s="1" t="s">
        <v>512</v>
      </c>
      <c r="O692" s="1" t="s">
        <v>512</v>
      </c>
      <c r="Q692" s="1" t="s">
        <v>512</v>
      </c>
    </row>
    <row r="693" spans="2:17" x14ac:dyDescent="0.25">
      <c r="B693" s="95" t="s">
        <v>512</v>
      </c>
      <c r="D693" s="1" t="s">
        <v>512</v>
      </c>
      <c r="E693" s="21" t="s">
        <v>512</v>
      </c>
      <c r="F693" s="1" t="s">
        <v>512</v>
      </c>
      <c r="G693" s="1" t="s">
        <v>512</v>
      </c>
      <c r="H693" s="1" t="s">
        <v>512</v>
      </c>
      <c r="I693" s="1" t="s">
        <v>512</v>
      </c>
      <c r="J693" s="1" t="s">
        <v>512</v>
      </c>
      <c r="K693" s="1" t="s">
        <v>512</v>
      </c>
      <c r="L693" s="1" t="s">
        <v>512</v>
      </c>
      <c r="M693" s="1" t="s">
        <v>512</v>
      </c>
      <c r="N693" s="1" t="s">
        <v>512</v>
      </c>
      <c r="O693" s="1" t="s">
        <v>512</v>
      </c>
      <c r="Q693" s="1" t="s">
        <v>512</v>
      </c>
    </row>
    <row r="694" spans="2:17" x14ac:dyDescent="0.25">
      <c r="B694" s="95" t="s">
        <v>512</v>
      </c>
      <c r="D694" s="1" t="s">
        <v>512</v>
      </c>
      <c r="E694" s="21" t="s">
        <v>512</v>
      </c>
      <c r="F694" s="1" t="s">
        <v>512</v>
      </c>
      <c r="G694" s="1" t="s">
        <v>512</v>
      </c>
      <c r="H694" s="1" t="s">
        <v>512</v>
      </c>
      <c r="I694" s="1" t="s">
        <v>512</v>
      </c>
      <c r="J694" s="1" t="s">
        <v>512</v>
      </c>
      <c r="K694" s="1" t="s">
        <v>512</v>
      </c>
      <c r="L694" s="1" t="s">
        <v>512</v>
      </c>
      <c r="M694" s="1" t="s">
        <v>512</v>
      </c>
      <c r="N694" s="1" t="s">
        <v>512</v>
      </c>
      <c r="O694" s="1" t="s">
        <v>512</v>
      </c>
      <c r="Q694" s="1" t="s">
        <v>512</v>
      </c>
    </row>
    <row r="695" spans="2:17" x14ac:dyDescent="0.25">
      <c r="B695" s="95" t="s">
        <v>512</v>
      </c>
      <c r="D695" s="1" t="s">
        <v>512</v>
      </c>
      <c r="E695" s="21" t="s">
        <v>512</v>
      </c>
      <c r="F695" s="1" t="s">
        <v>512</v>
      </c>
      <c r="G695" s="1" t="s">
        <v>512</v>
      </c>
      <c r="H695" s="1" t="s">
        <v>512</v>
      </c>
      <c r="I695" s="1" t="s">
        <v>512</v>
      </c>
      <c r="J695" s="1" t="s">
        <v>512</v>
      </c>
      <c r="K695" s="1" t="s">
        <v>512</v>
      </c>
      <c r="L695" s="1" t="s">
        <v>512</v>
      </c>
      <c r="M695" s="1" t="s">
        <v>512</v>
      </c>
      <c r="N695" s="1" t="s">
        <v>512</v>
      </c>
      <c r="O695" s="1" t="s">
        <v>512</v>
      </c>
      <c r="Q695" s="1" t="s">
        <v>512</v>
      </c>
    </row>
    <row r="696" spans="2:17" x14ac:dyDescent="0.25">
      <c r="B696" s="95" t="s">
        <v>512</v>
      </c>
      <c r="D696" s="1" t="s">
        <v>512</v>
      </c>
      <c r="E696" s="21" t="s">
        <v>512</v>
      </c>
      <c r="F696" s="1" t="s">
        <v>512</v>
      </c>
      <c r="G696" s="1" t="s">
        <v>512</v>
      </c>
      <c r="H696" s="1" t="s">
        <v>512</v>
      </c>
      <c r="I696" s="1" t="s">
        <v>512</v>
      </c>
      <c r="J696" s="1" t="s">
        <v>512</v>
      </c>
      <c r="K696" s="1" t="s">
        <v>512</v>
      </c>
      <c r="L696" s="1" t="s">
        <v>512</v>
      </c>
      <c r="M696" s="1" t="s">
        <v>512</v>
      </c>
      <c r="N696" s="1" t="s">
        <v>512</v>
      </c>
      <c r="O696" s="1" t="s">
        <v>512</v>
      </c>
      <c r="Q696" s="1" t="s">
        <v>512</v>
      </c>
    </row>
    <row r="697" spans="2:17" x14ac:dyDescent="0.25">
      <c r="B697" s="95" t="s">
        <v>512</v>
      </c>
      <c r="D697" s="1" t="s">
        <v>512</v>
      </c>
      <c r="E697" s="21" t="s">
        <v>512</v>
      </c>
      <c r="F697" s="1" t="s">
        <v>512</v>
      </c>
      <c r="G697" s="1" t="s">
        <v>512</v>
      </c>
      <c r="H697" s="1" t="s">
        <v>512</v>
      </c>
      <c r="I697" s="1" t="s">
        <v>512</v>
      </c>
      <c r="J697" s="1" t="s">
        <v>512</v>
      </c>
      <c r="K697" s="1" t="s">
        <v>512</v>
      </c>
      <c r="L697" s="1" t="s">
        <v>512</v>
      </c>
      <c r="M697" s="1" t="s">
        <v>512</v>
      </c>
      <c r="N697" s="1" t="s">
        <v>512</v>
      </c>
      <c r="O697" s="1" t="s">
        <v>512</v>
      </c>
      <c r="Q697" s="1" t="s">
        <v>512</v>
      </c>
    </row>
    <row r="698" spans="2:17" x14ac:dyDescent="0.25">
      <c r="B698" s="95" t="s">
        <v>512</v>
      </c>
      <c r="D698" s="1" t="s">
        <v>512</v>
      </c>
      <c r="E698" s="21" t="s">
        <v>512</v>
      </c>
      <c r="F698" s="1" t="s">
        <v>512</v>
      </c>
      <c r="G698" s="1" t="s">
        <v>512</v>
      </c>
      <c r="H698" s="1" t="s">
        <v>512</v>
      </c>
      <c r="I698" s="1" t="s">
        <v>512</v>
      </c>
      <c r="J698" s="1" t="s">
        <v>512</v>
      </c>
      <c r="K698" s="1" t="s">
        <v>512</v>
      </c>
      <c r="L698" s="1" t="s">
        <v>512</v>
      </c>
      <c r="M698" s="1" t="s">
        <v>512</v>
      </c>
      <c r="N698" s="1" t="s">
        <v>512</v>
      </c>
      <c r="O698" s="1" t="s">
        <v>512</v>
      </c>
      <c r="Q698" s="1" t="s">
        <v>512</v>
      </c>
    </row>
    <row r="699" spans="2:17" x14ac:dyDescent="0.25">
      <c r="B699" s="95" t="s">
        <v>512</v>
      </c>
      <c r="D699" s="1" t="s">
        <v>512</v>
      </c>
      <c r="E699" s="21" t="s">
        <v>512</v>
      </c>
      <c r="F699" s="1" t="s">
        <v>512</v>
      </c>
      <c r="G699" s="1" t="s">
        <v>512</v>
      </c>
      <c r="H699" s="1" t="s">
        <v>512</v>
      </c>
      <c r="I699" s="1" t="s">
        <v>512</v>
      </c>
      <c r="J699" s="1" t="s">
        <v>512</v>
      </c>
      <c r="K699" s="1" t="s">
        <v>512</v>
      </c>
      <c r="L699" s="1" t="s">
        <v>512</v>
      </c>
      <c r="M699" s="1" t="s">
        <v>512</v>
      </c>
      <c r="N699" s="1" t="s">
        <v>512</v>
      </c>
      <c r="O699" s="1" t="s">
        <v>512</v>
      </c>
      <c r="Q699" s="1" t="s">
        <v>512</v>
      </c>
    </row>
    <row r="700" spans="2:17" x14ac:dyDescent="0.25">
      <c r="B700" s="95" t="s">
        <v>512</v>
      </c>
      <c r="D700" s="1" t="s">
        <v>512</v>
      </c>
      <c r="E700" s="21" t="s">
        <v>512</v>
      </c>
      <c r="F700" s="1" t="s">
        <v>512</v>
      </c>
      <c r="G700" s="1" t="s">
        <v>512</v>
      </c>
      <c r="H700" s="1" t="s">
        <v>512</v>
      </c>
      <c r="I700" s="1" t="s">
        <v>512</v>
      </c>
      <c r="J700" s="1" t="s">
        <v>512</v>
      </c>
      <c r="K700" s="1" t="s">
        <v>512</v>
      </c>
      <c r="L700" s="1" t="s">
        <v>512</v>
      </c>
      <c r="M700" s="1" t="s">
        <v>512</v>
      </c>
      <c r="N700" s="1" t="s">
        <v>512</v>
      </c>
      <c r="O700" s="1" t="s">
        <v>512</v>
      </c>
      <c r="Q700" s="1" t="s">
        <v>512</v>
      </c>
    </row>
    <row r="701" spans="2:17" x14ac:dyDescent="0.25">
      <c r="B701" s="95" t="s">
        <v>512</v>
      </c>
      <c r="D701" s="1" t="s">
        <v>512</v>
      </c>
      <c r="E701" s="21" t="s">
        <v>512</v>
      </c>
      <c r="F701" s="1" t="s">
        <v>512</v>
      </c>
      <c r="G701" s="1" t="s">
        <v>512</v>
      </c>
      <c r="H701" s="1" t="s">
        <v>512</v>
      </c>
      <c r="I701" s="1" t="s">
        <v>512</v>
      </c>
      <c r="J701" s="1" t="s">
        <v>512</v>
      </c>
      <c r="K701" s="1" t="s">
        <v>512</v>
      </c>
      <c r="L701" s="1" t="s">
        <v>512</v>
      </c>
      <c r="M701" s="1" t="s">
        <v>512</v>
      </c>
      <c r="N701" s="1" t="s">
        <v>512</v>
      </c>
      <c r="O701" s="1" t="s">
        <v>512</v>
      </c>
      <c r="Q701" s="1" t="s">
        <v>512</v>
      </c>
    </row>
    <row r="702" spans="2:17" x14ac:dyDescent="0.25">
      <c r="B702" s="95" t="s">
        <v>512</v>
      </c>
      <c r="D702" s="1" t="s">
        <v>512</v>
      </c>
      <c r="E702" s="21" t="s">
        <v>512</v>
      </c>
      <c r="F702" s="1" t="s">
        <v>512</v>
      </c>
      <c r="G702" s="1" t="s">
        <v>512</v>
      </c>
      <c r="H702" s="1" t="s">
        <v>512</v>
      </c>
      <c r="I702" s="1" t="s">
        <v>512</v>
      </c>
      <c r="J702" s="1" t="s">
        <v>512</v>
      </c>
      <c r="K702" s="1" t="s">
        <v>512</v>
      </c>
      <c r="L702" s="1" t="s">
        <v>512</v>
      </c>
      <c r="M702" s="1" t="s">
        <v>512</v>
      </c>
      <c r="N702" s="1" t="s">
        <v>512</v>
      </c>
      <c r="O702" s="1" t="s">
        <v>512</v>
      </c>
      <c r="Q702" s="1" t="s">
        <v>512</v>
      </c>
    </row>
    <row r="703" spans="2:17" x14ac:dyDescent="0.25">
      <c r="B703" s="95" t="s">
        <v>512</v>
      </c>
      <c r="D703" s="1" t="s">
        <v>512</v>
      </c>
      <c r="E703" s="21" t="s">
        <v>512</v>
      </c>
      <c r="F703" s="1" t="s">
        <v>512</v>
      </c>
      <c r="G703" s="1" t="s">
        <v>512</v>
      </c>
      <c r="H703" s="1" t="s">
        <v>512</v>
      </c>
      <c r="I703" s="1" t="s">
        <v>512</v>
      </c>
      <c r="J703" s="1" t="s">
        <v>512</v>
      </c>
      <c r="K703" s="1" t="s">
        <v>512</v>
      </c>
      <c r="L703" s="1" t="s">
        <v>512</v>
      </c>
      <c r="M703" s="1" t="s">
        <v>512</v>
      </c>
      <c r="N703" s="1" t="s">
        <v>512</v>
      </c>
      <c r="O703" s="1" t="s">
        <v>512</v>
      </c>
      <c r="Q703" s="1" t="s">
        <v>512</v>
      </c>
    </row>
    <row r="704" spans="2:17" x14ac:dyDescent="0.25">
      <c r="B704" s="95" t="s">
        <v>512</v>
      </c>
      <c r="D704" s="1" t="s">
        <v>512</v>
      </c>
      <c r="E704" s="21" t="s">
        <v>512</v>
      </c>
      <c r="F704" s="1" t="s">
        <v>512</v>
      </c>
      <c r="G704" s="1" t="s">
        <v>512</v>
      </c>
      <c r="H704" s="1" t="s">
        <v>512</v>
      </c>
      <c r="I704" s="1" t="s">
        <v>512</v>
      </c>
      <c r="J704" s="1" t="s">
        <v>512</v>
      </c>
      <c r="K704" s="1" t="s">
        <v>512</v>
      </c>
      <c r="L704" s="1" t="s">
        <v>512</v>
      </c>
      <c r="M704" s="1" t="s">
        <v>512</v>
      </c>
      <c r="N704" s="1" t="s">
        <v>512</v>
      </c>
      <c r="O704" s="1" t="s">
        <v>512</v>
      </c>
      <c r="Q704" s="1" t="s">
        <v>512</v>
      </c>
    </row>
    <row r="705" spans="2:17" x14ac:dyDescent="0.25">
      <c r="B705" s="95" t="s">
        <v>512</v>
      </c>
      <c r="D705" s="1" t="s">
        <v>512</v>
      </c>
      <c r="E705" s="21" t="s">
        <v>512</v>
      </c>
      <c r="F705" s="1" t="s">
        <v>512</v>
      </c>
      <c r="G705" s="1" t="s">
        <v>512</v>
      </c>
      <c r="H705" s="1" t="s">
        <v>512</v>
      </c>
      <c r="I705" s="1" t="s">
        <v>512</v>
      </c>
      <c r="J705" s="1" t="s">
        <v>512</v>
      </c>
      <c r="K705" s="1" t="s">
        <v>512</v>
      </c>
      <c r="L705" s="1" t="s">
        <v>512</v>
      </c>
      <c r="M705" s="1" t="s">
        <v>512</v>
      </c>
      <c r="N705" s="1" t="s">
        <v>512</v>
      </c>
      <c r="O705" s="1" t="s">
        <v>512</v>
      </c>
      <c r="Q705" s="1" t="s">
        <v>512</v>
      </c>
    </row>
    <row r="706" spans="2:17" x14ac:dyDescent="0.25">
      <c r="B706" s="95" t="s">
        <v>512</v>
      </c>
      <c r="D706" s="1" t="s">
        <v>512</v>
      </c>
      <c r="E706" s="21" t="s">
        <v>512</v>
      </c>
      <c r="F706" s="1" t="s">
        <v>512</v>
      </c>
      <c r="G706" s="1" t="s">
        <v>512</v>
      </c>
      <c r="H706" s="1" t="s">
        <v>512</v>
      </c>
      <c r="I706" s="1" t="s">
        <v>512</v>
      </c>
      <c r="J706" s="1" t="s">
        <v>512</v>
      </c>
      <c r="K706" s="1" t="s">
        <v>512</v>
      </c>
      <c r="L706" s="1" t="s">
        <v>512</v>
      </c>
      <c r="M706" s="1" t="s">
        <v>512</v>
      </c>
      <c r="N706" s="1" t="s">
        <v>512</v>
      </c>
      <c r="O706" s="1" t="s">
        <v>512</v>
      </c>
      <c r="Q706" s="1" t="s">
        <v>512</v>
      </c>
    </row>
    <row r="707" spans="2:17" x14ac:dyDescent="0.25">
      <c r="B707" s="95" t="s">
        <v>512</v>
      </c>
      <c r="D707" s="1" t="s">
        <v>512</v>
      </c>
      <c r="E707" s="21" t="s">
        <v>512</v>
      </c>
      <c r="F707" s="1" t="s">
        <v>512</v>
      </c>
      <c r="G707" s="1" t="s">
        <v>512</v>
      </c>
      <c r="H707" s="1" t="s">
        <v>512</v>
      </c>
      <c r="I707" s="1" t="s">
        <v>512</v>
      </c>
      <c r="J707" s="1" t="s">
        <v>512</v>
      </c>
      <c r="K707" s="1" t="s">
        <v>512</v>
      </c>
      <c r="L707" s="1" t="s">
        <v>512</v>
      </c>
      <c r="M707" s="1" t="s">
        <v>512</v>
      </c>
      <c r="N707" s="1" t="s">
        <v>512</v>
      </c>
      <c r="O707" s="1" t="s">
        <v>512</v>
      </c>
      <c r="Q707" s="1" t="s">
        <v>512</v>
      </c>
    </row>
    <row r="708" spans="2:17" x14ac:dyDescent="0.25">
      <c r="B708" s="95" t="s">
        <v>512</v>
      </c>
      <c r="D708" s="1" t="s">
        <v>512</v>
      </c>
      <c r="E708" s="21" t="s">
        <v>512</v>
      </c>
      <c r="F708" s="1" t="s">
        <v>512</v>
      </c>
      <c r="G708" s="1" t="s">
        <v>512</v>
      </c>
      <c r="H708" s="1" t="s">
        <v>512</v>
      </c>
      <c r="I708" s="1" t="s">
        <v>512</v>
      </c>
      <c r="J708" s="1" t="s">
        <v>512</v>
      </c>
      <c r="K708" s="1" t="s">
        <v>512</v>
      </c>
      <c r="L708" s="1" t="s">
        <v>512</v>
      </c>
      <c r="M708" s="1" t="s">
        <v>512</v>
      </c>
      <c r="N708" s="1" t="s">
        <v>512</v>
      </c>
      <c r="O708" s="1" t="s">
        <v>512</v>
      </c>
      <c r="Q708" s="1" t="s">
        <v>512</v>
      </c>
    </row>
    <row r="709" spans="2:17" x14ac:dyDescent="0.25">
      <c r="B709" s="95" t="s">
        <v>512</v>
      </c>
      <c r="D709" s="1" t="s">
        <v>512</v>
      </c>
      <c r="E709" s="21" t="s">
        <v>512</v>
      </c>
      <c r="F709" s="1" t="s">
        <v>512</v>
      </c>
      <c r="G709" s="1" t="s">
        <v>512</v>
      </c>
      <c r="H709" s="1" t="s">
        <v>512</v>
      </c>
      <c r="I709" s="1" t="s">
        <v>512</v>
      </c>
      <c r="J709" s="1" t="s">
        <v>512</v>
      </c>
      <c r="K709" s="1" t="s">
        <v>512</v>
      </c>
      <c r="L709" s="1" t="s">
        <v>512</v>
      </c>
      <c r="M709" s="1" t="s">
        <v>512</v>
      </c>
      <c r="N709" s="1" t="s">
        <v>512</v>
      </c>
      <c r="O709" s="1" t="s">
        <v>512</v>
      </c>
      <c r="Q709" s="1" t="s">
        <v>512</v>
      </c>
    </row>
    <row r="710" spans="2:17" x14ac:dyDescent="0.25">
      <c r="B710" s="95" t="s">
        <v>512</v>
      </c>
      <c r="D710" s="1" t="s">
        <v>512</v>
      </c>
      <c r="E710" s="21" t="s">
        <v>512</v>
      </c>
      <c r="F710" s="1" t="s">
        <v>512</v>
      </c>
      <c r="G710" s="1" t="s">
        <v>512</v>
      </c>
      <c r="H710" s="1" t="s">
        <v>512</v>
      </c>
      <c r="I710" s="1" t="s">
        <v>512</v>
      </c>
      <c r="J710" s="1" t="s">
        <v>512</v>
      </c>
      <c r="K710" s="1" t="s">
        <v>512</v>
      </c>
      <c r="L710" s="1" t="s">
        <v>512</v>
      </c>
      <c r="M710" s="1" t="s">
        <v>512</v>
      </c>
      <c r="N710" s="1" t="s">
        <v>512</v>
      </c>
      <c r="O710" s="1" t="s">
        <v>512</v>
      </c>
      <c r="Q710" s="1" t="s">
        <v>512</v>
      </c>
    </row>
    <row r="711" spans="2:17" x14ac:dyDescent="0.25">
      <c r="B711" s="95" t="s">
        <v>512</v>
      </c>
      <c r="D711" s="1" t="s">
        <v>512</v>
      </c>
      <c r="E711" s="21" t="s">
        <v>512</v>
      </c>
      <c r="F711" s="1" t="s">
        <v>512</v>
      </c>
      <c r="G711" s="1" t="s">
        <v>512</v>
      </c>
      <c r="H711" s="1" t="s">
        <v>512</v>
      </c>
      <c r="I711" s="1" t="s">
        <v>512</v>
      </c>
      <c r="J711" s="1" t="s">
        <v>512</v>
      </c>
      <c r="K711" s="1" t="s">
        <v>512</v>
      </c>
      <c r="L711" s="1" t="s">
        <v>512</v>
      </c>
      <c r="M711" s="1" t="s">
        <v>512</v>
      </c>
      <c r="N711" s="1" t="s">
        <v>512</v>
      </c>
      <c r="O711" s="1" t="s">
        <v>512</v>
      </c>
      <c r="Q711" s="1" t="s">
        <v>512</v>
      </c>
    </row>
    <row r="712" spans="2:17" x14ac:dyDescent="0.25">
      <c r="B712" s="95" t="s">
        <v>512</v>
      </c>
      <c r="D712" s="1" t="s">
        <v>512</v>
      </c>
      <c r="E712" s="21" t="s">
        <v>512</v>
      </c>
      <c r="F712" s="1" t="s">
        <v>512</v>
      </c>
      <c r="G712" s="1" t="s">
        <v>512</v>
      </c>
      <c r="H712" s="1" t="s">
        <v>512</v>
      </c>
      <c r="I712" s="1" t="s">
        <v>512</v>
      </c>
      <c r="J712" s="1" t="s">
        <v>512</v>
      </c>
      <c r="K712" s="1" t="s">
        <v>512</v>
      </c>
      <c r="L712" s="1" t="s">
        <v>512</v>
      </c>
      <c r="M712" s="1" t="s">
        <v>512</v>
      </c>
      <c r="N712" s="1" t="s">
        <v>512</v>
      </c>
      <c r="O712" s="1" t="s">
        <v>512</v>
      </c>
      <c r="Q712" s="1" t="s">
        <v>512</v>
      </c>
    </row>
    <row r="713" spans="2:17" x14ac:dyDescent="0.25">
      <c r="B713" s="95" t="s">
        <v>512</v>
      </c>
      <c r="D713" s="1" t="s">
        <v>512</v>
      </c>
      <c r="E713" s="21" t="s">
        <v>512</v>
      </c>
      <c r="F713" s="1" t="s">
        <v>512</v>
      </c>
      <c r="G713" s="1" t="s">
        <v>512</v>
      </c>
      <c r="H713" s="1" t="s">
        <v>512</v>
      </c>
      <c r="I713" s="1" t="s">
        <v>512</v>
      </c>
      <c r="J713" s="1" t="s">
        <v>512</v>
      </c>
      <c r="K713" s="1" t="s">
        <v>512</v>
      </c>
      <c r="L713" s="1" t="s">
        <v>512</v>
      </c>
      <c r="M713" s="1" t="s">
        <v>512</v>
      </c>
      <c r="N713" s="1" t="s">
        <v>512</v>
      </c>
      <c r="O713" s="1" t="s">
        <v>512</v>
      </c>
      <c r="Q713" s="1" t="s">
        <v>512</v>
      </c>
    </row>
    <row r="714" spans="2:17" x14ac:dyDescent="0.25">
      <c r="B714" s="95" t="s">
        <v>512</v>
      </c>
      <c r="D714" s="1" t="s">
        <v>512</v>
      </c>
      <c r="E714" s="21" t="s">
        <v>512</v>
      </c>
      <c r="F714" s="1" t="s">
        <v>512</v>
      </c>
      <c r="G714" s="1" t="s">
        <v>512</v>
      </c>
      <c r="H714" s="1" t="s">
        <v>512</v>
      </c>
      <c r="I714" s="1" t="s">
        <v>512</v>
      </c>
      <c r="J714" s="1" t="s">
        <v>512</v>
      </c>
      <c r="K714" s="1" t="s">
        <v>512</v>
      </c>
      <c r="L714" s="1" t="s">
        <v>512</v>
      </c>
      <c r="M714" s="1" t="s">
        <v>512</v>
      </c>
      <c r="N714" s="1" t="s">
        <v>512</v>
      </c>
      <c r="O714" s="1" t="s">
        <v>512</v>
      </c>
      <c r="Q714" s="1" t="s">
        <v>512</v>
      </c>
    </row>
    <row r="715" spans="2:17" x14ac:dyDescent="0.25">
      <c r="B715" s="95" t="s">
        <v>512</v>
      </c>
      <c r="D715" s="1" t="s">
        <v>512</v>
      </c>
      <c r="E715" s="21" t="s">
        <v>512</v>
      </c>
      <c r="F715" s="1" t="s">
        <v>512</v>
      </c>
      <c r="G715" s="1" t="s">
        <v>512</v>
      </c>
      <c r="H715" s="1" t="s">
        <v>512</v>
      </c>
      <c r="I715" s="1" t="s">
        <v>512</v>
      </c>
      <c r="J715" s="1" t="s">
        <v>512</v>
      </c>
      <c r="K715" s="1" t="s">
        <v>512</v>
      </c>
      <c r="L715" s="1" t="s">
        <v>512</v>
      </c>
      <c r="M715" s="1" t="s">
        <v>512</v>
      </c>
      <c r="N715" s="1" t="s">
        <v>512</v>
      </c>
      <c r="O715" s="1" t="s">
        <v>512</v>
      </c>
      <c r="Q715" s="1" t="s">
        <v>512</v>
      </c>
    </row>
    <row r="716" spans="2:17" x14ac:dyDescent="0.25">
      <c r="B716" s="95" t="s">
        <v>512</v>
      </c>
      <c r="D716" s="1" t="s">
        <v>512</v>
      </c>
      <c r="E716" s="21" t="s">
        <v>512</v>
      </c>
      <c r="F716" s="1" t="s">
        <v>512</v>
      </c>
      <c r="G716" s="1" t="s">
        <v>512</v>
      </c>
      <c r="H716" s="1" t="s">
        <v>512</v>
      </c>
      <c r="I716" s="1" t="s">
        <v>512</v>
      </c>
      <c r="J716" s="1" t="s">
        <v>512</v>
      </c>
      <c r="K716" s="1" t="s">
        <v>512</v>
      </c>
      <c r="L716" s="1" t="s">
        <v>512</v>
      </c>
      <c r="M716" s="1" t="s">
        <v>512</v>
      </c>
      <c r="N716" s="1" t="s">
        <v>512</v>
      </c>
      <c r="O716" s="1" t="s">
        <v>512</v>
      </c>
      <c r="Q716" s="1" t="s">
        <v>512</v>
      </c>
    </row>
    <row r="717" spans="2:17" x14ac:dyDescent="0.25">
      <c r="B717" s="95" t="s">
        <v>512</v>
      </c>
      <c r="D717" s="1" t="s">
        <v>512</v>
      </c>
      <c r="E717" s="21" t="s">
        <v>512</v>
      </c>
      <c r="F717" s="1" t="s">
        <v>512</v>
      </c>
      <c r="G717" s="1" t="s">
        <v>512</v>
      </c>
      <c r="H717" s="1" t="s">
        <v>512</v>
      </c>
      <c r="I717" s="1" t="s">
        <v>512</v>
      </c>
      <c r="J717" s="1" t="s">
        <v>512</v>
      </c>
      <c r="K717" s="1" t="s">
        <v>512</v>
      </c>
      <c r="L717" s="1" t="s">
        <v>512</v>
      </c>
      <c r="M717" s="1" t="s">
        <v>512</v>
      </c>
      <c r="N717" s="1" t="s">
        <v>512</v>
      </c>
      <c r="O717" s="1" t="s">
        <v>512</v>
      </c>
      <c r="Q717" s="1" t="s">
        <v>512</v>
      </c>
    </row>
    <row r="718" spans="2:17" x14ac:dyDescent="0.25">
      <c r="B718" s="95" t="s">
        <v>512</v>
      </c>
      <c r="D718" s="1" t="s">
        <v>512</v>
      </c>
      <c r="E718" s="21" t="s">
        <v>512</v>
      </c>
      <c r="F718" s="1" t="s">
        <v>512</v>
      </c>
      <c r="G718" s="1" t="s">
        <v>512</v>
      </c>
      <c r="H718" s="1" t="s">
        <v>512</v>
      </c>
      <c r="I718" s="1" t="s">
        <v>512</v>
      </c>
      <c r="J718" s="1" t="s">
        <v>512</v>
      </c>
      <c r="K718" s="1" t="s">
        <v>512</v>
      </c>
      <c r="L718" s="1" t="s">
        <v>512</v>
      </c>
      <c r="M718" s="1" t="s">
        <v>512</v>
      </c>
      <c r="N718" s="1" t="s">
        <v>512</v>
      </c>
      <c r="O718" s="1" t="s">
        <v>512</v>
      </c>
      <c r="Q718" s="1" t="s">
        <v>512</v>
      </c>
    </row>
    <row r="719" spans="2:17" x14ac:dyDescent="0.25">
      <c r="B719" s="95" t="s">
        <v>512</v>
      </c>
      <c r="D719" s="1" t="s">
        <v>512</v>
      </c>
      <c r="E719" s="21" t="s">
        <v>512</v>
      </c>
      <c r="F719" s="1" t="s">
        <v>512</v>
      </c>
      <c r="G719" s="1" t="s">
        <v>512</v>
      </c>
      <c r="H719" s="1" t="s">
        <v>512</v>
      </c>
      <c r="I719" s="1" t="s">
        <v>512</v>
      </c>
      <c r="J719" s="1" t="s">
        <v>512</v>
      </c>
      <c r="K719" s="1" t="s">
        <v>512</v>
      </c>
      <c r="L719" s="1" t="s">
        <v>512</v>
      </c>
      <c r="M719" s="1" t="s">
        <v>512</v>
      </c>
      <c r="N719" s="1" t="s">
        <v>512</v>
      </c>
      <c r="O719" s="1" t="s">
        <v>512</v>
      </c>
      <c r="Q719" s="1" t="s">
        <v>512</v>
      </c>
    </row>
    <row r="720" spans="2:17" x14ac:dyDescent="0.25">
      <c r="B720" s="95" t="s">
        <v>512</v>
      </c>
      <c r="D720" s="1" t="s">
        <v>512</v>
      </c>
      <c r="E720" s="21" t="s">
        <v>512</v>
      </c>
      <c r="F720" s="1" t="s">
        <v>512</v>
      </c>
      <c r="G720" s="1" t="s">
        <v>512</v>
      </c>
      <c r="H720" s="1" t="s">
        <v>512</v>
      </c>
      <c r="I720" s="1" t="s">
        <v>512</v>
      </c>
      <c r="J720" s="1" t="s">
        <v>512</v>
      </c>
      <c r="K720" s="1" t="s">
        <v>512</v>
      </c>
      <c r="L720" s="1" t="s">
        <v>512</v>
      </c>
      <c r="M720" s="1" t="s">
        <v>512</v>
      </c>
      <c r="N720" s="1" t="s">
        <v>512</v>
      </c>
      <c r="O720" s="1" t="s">
        <v>512</v>
      </c>
      <c r="Q720" s="1" t="s">
        <v>512</v>
      </c>
    </row>
    <row r="721" spans="2:17" x14ac:dyDescent="0.25">
      <c r="B721" s="95" t="s">
        <v>512</v>
      </c>
      <c r="D721" s="1" t="s">
        <v>512</v>
      </c>
      <c r="E721" s="21" t="s">
        <v>512</v>
      </c>
      <c r="F721" s="1" t="s">
        <v>512</v>
      </c>
      <c r="G721" s="1" t="s">
        <v>512</v>
      </c>
      <c r="H721" s="1" t="s">
        <v>512</v>
      </c>
      <c r="I721" s="1" t="s">
        <v>512</v>
      </c>
      <c r="J721" s="1" t="s">
        <v>512</v>
      </c>
      <c r="K721" s="1" t="s">
        <v>512</v>
      </c>
      <c r="L721" s="1" t="s">
        <v>512</v>
      </c>
      <c r="M721" s="1" t="s">
        <v>512</v>
      </c>
      <c r="N721" s="1" t="s">
        <v>512</v>
      </c>
      <c r="O721" s="1" t="s">
        <v>512</v>
      </c>
      <c r="Q721" s="1" t="s">
        <v>512</v>
      </c>
    </row>
    <row r="722" spans="2:17" x14ac:dyDescent="0.25">
      <c r="B722" s="95" t="s">
        <v>512</v>
      </c>
      <c r="D722" s="1" t="s">
        <v>512</v>
      </c>
      <c r="E722" s="21" t="s">
        <v>512</v>
      </c>
      <c r="F722" s="1" t="s">
        <v>512</v>
      </c>
      <c r="G722" s="1" t="s">
        <v>512</v>
      </c>
      <c r="H722" s="1" t="s">
        <v>512</v>
      </c>
      <c r="I722" s="1" t="s">
        <v>512</v>
      </c>
      <c r="J722" s="1" t="s">
        <v>512</v>
      </c>
      <c r="K722" s="1" t="s">
        <v>512</v>
      </c>
      <c r="L722" s="1" t="s">
        <v>512</v>
      </c>
      <c r="M722" s="1" t="s">
        <v>512</v>
      </c>
      <c r="N722" s="1" t="s">
        <v>512</v>
      </c>
      <c r="O722" s="1" t="s">
        <v>512</v>
      </c>
      <c r="Q722" s="1" t="s">
        <v>512</v>
      </c>
    </row>
    <row r="723" spans="2:17" x14ac:dyDescent="0.25">
      <c r="B723" s="95" t="s">
        <v>512</v>
      </c>
      <c r="D723" s="1" t="s">
        <v>512</v>
      </c>
      <c r="E723" s="21" t="s">
        <v>512</v>
      </c>
      <c r="F723" s="1" t="s">
        <v>512</v>
      </c>
      <c r="G723" s="1" t="s">
        <v>512</v>
      </c>
      <c r="H723" s="1" t="s">
        <v>512</v>
      </c>
      <c r="I723" s="1" t="s">
        <v>512</v>
      </c>
      <c r="J723" s="1" t="s">
        <v>512</v>
      </c>
      <c r="K723" s="1" t="s">
        <v>512</v>
      </c>
      <c r="L723" s="1" t="s">
        <v>512</v>
      </c>
      <c r="M723" s="1" t="s">
        <v>512</v>
      </c>
      <c r="N723" s="1" t="s">
        <v>512</v>
      </c>
      <c r="O723" s="1" t="s">
        <v>512</v>
      </c>
      <c r="Q723" s="1" t="s">
        <v>512</v>
      </c>
    </row>
    <row r="724" spans="2:17" x14ac:dyDescent="0.25">
      <c r="B724" s="95" t="s">
        <v>512</v>
      </c>
      <c r="D724" s="1" t="s">
        <v>512</v>
      </c>
      <c r="E724" s="21" t="s">
        <v>512</v>
      </c>
      <c r="F724" s="1" t="s">
        <v>512</v>
      </c>
      <c r="G724" s="1" t="s">
        <v>512</v>
      </c>
      <c r="H724" s="1" t="s">
        <v>512</v>
      </c>
      <c r="I724" s="1" t="s">
        <v>512</v>
      </c>
      <c r="J724" s="1" t="s">
        <v>512</v>
      </c>
      <c r="K724" s="1" t="s">
        <v>512</v>
      </c>
      <c r="L724" s="1" t="s">
        <v>512</v>
      </c>
      <c r="M724" s="1" t="s">
        <v>512</v>
      </c>
      <c r="N724" s="1" t="s">
        <v>512</v>
      </c>
      <c r="O724" s="1" t="s">
        <v>512</v>
      </c>
      <c r="Q724" s="1" t="s">
        <v>512</v>
      </c>
    </row>
    <row r="725" spans="2:17" x14ac:dyDescent="0.25">
      <c r="B725" s="95" t="s">
        <v>512</v>
      </c>
      <c r="D725" s="1" t="s">
        <v>512</v>
      </c>
      <c r="E725" s="21" t="s">
        <v>512</v>
      </c>
      <c r="F725" s="1" t="s">
        <v>512</v>
      </c>
      <c r="G725" s="1" t="s">
        <v>512</v>
      </c>
      <c r="H725" s="1" t="s">
        <v>512</v>
      </c>
      <c r="I725" s="1" t="s">
        <v>512</v>
      </c>
      <c r="J725" s="1" t="s">
        <v>512</v>
      </c>
      <c r="K725" s="1" t="s">
        <v>512</v>
      </c>
      <c r="L725" s="1" t="s">
        <v>512</v>
      </c>
      <c r="M725" s="1" t="s">
        <v>512</v>
      </c>
      <c r="N725" s="1" t="s">
        <v>512</v>
      </c>
      <c r="O725" s="1" t="s">
        <v>512</v>
      </c>
      <c r="Q725" s="1" t="s">
        <v>512</v>
      </c>
    </row>
    <row r="726" spans="2:17" x14ac:dyDescent="0.25">
      <c r="B726" s="95" t="s">
        <v>512</v>
      </c>
      <c r="D726" s="1" t="s">
        <v>512</v>
      </c>
      <c r="E726" s="21" t="s">
        <v>512</v>
      </c>
      <c r="F726" s="1" t="s">
        <v>512</v>
      </c>
      <c r="G726" s="1" t="s">
        <v>512</v>
      </c>
      <c r="H726" s="1" t="s">
        <v>512</v>
      </c>
      <c r="I726" s="1" t="s">
        <v>512</v>
      </c>
      <c r="J726" s="1" t="s">
        <v>512</v>
      </c>
      <c r="K726" s="1" t="s">
        <v>512</v>
      </c>
      <c r="L726" s="1" t="s">
        <v>512</v>
      </c>
      <c r="M726" s="1" t="s">
        <v>512</v>
      </c>
      <c r="N726" s="1" t="s">
        <v>512</v>
      </c>
      <c r="O726" s="1" t="s">
        <v>512</v>
      </c>
      <c r="Q726" s="1" t="s">
        <v>512</v>
      </c>
    </row>
    <row r="727" spans="2:17" x14ac:dyDescent="0.25">
      <c r="B727" s="95" t="s">
        <v>512</v>
      </c>
      <c r="D727" s="1" t="s">
        <v>512</v>
      </c>
      <c r="E727" s="21" t="s">
        <v>512</v>
      </c>
      <c r="F727" s="1" t="s">
        <v>512</v>
      </c>
      <c r="G727" s="1" t="s">
        <v>512</v>
      </c>
      <c r="H727" s="1" t="s">
        <v>512</v>
      </c>
      <c r="I727" s="1" t="s">
        <v>512</v>
      </c>
      <c r="J727" s="1" t="s">
        <v>512</v>
      </c>
      <c r="K727" s="1" t="s">
        <v>512</v>
      </c>
      <c r="L727" s="1" t="s">
        <v>512</v>
      </c>
      <c r="M727" s="1" t="s">
        <v>512</v>
      </c>
      <c r="N727" s="1" t="s">
        <v>512</v>
      </c>
      <c r="O727" s="1" t="s">
        <v>512</v>
      </c>
      <c r="Q727" s="1" t="s">
        <v>512</v>
      </c>
    </row>
    <row r="728" spans="2:17" x14ac:dyDescent="0.25">
      <c r="B728" s="95" t="s">
        <v>512</v>
      </c>
      <c r="D728" s="1" t="s">
        <v>512</v>
      </c>
      <c r="E728" s="21" t="s">
        <v>512</v>
      </c>
      <c r="F728" s="1" t="s">
        <v>512</v>
      </c>
      <c r="G728" s="1" t="s">
        <v>512</v>
      </c>
      <c r="H728" s="1" t="s">
        <v>512</v>
      </c>
      <c r="I728" s="1" t="s">
        <v>512</v>
      </c>
      <c r="J728" s="1" t="s">
        <v>512</v>
      </c>
      <c r="K728" s="1" t="s">
        <v>512</v>
      </c>
      <c r="L728" s="1" t="s">
        <v>512</v>
      </c>
      <c r="M728" s="1" t="s">
        <v>512</v>
      </c>
      <c r="N728" s="1" t="s">
        <v>512</v>
      </c>
      <c r="O728" s="1" t="s">
        <v>512</v>
      </c>
      <c r="Q728" s="1" t="s">
        <v>512</v>
      </c>
    </row>
    <row r="729" spans="2:17" x14ac:dyDescent="0.25">
      <c r="B729" s="95" t="s">
        <v>512</v>
      </c>
      <c r="D729" s="1" t="s">
        <v>512</v>
      </c>
      <c r="E729" s="21" t="s">
        <v>512</v>
      </c>
      <c r="F729" s="1" t="s">
        <v>512</v>
      </c>
      <c r="G729" s="1" t="s">
        <v>512</v>
      </c>
      <c r="H729" s="1" t="s">
        <v>512</v>
      </c>
      <c r="I729" s="1" t="s">
        <v>512</v>
      </c>
      <c r="J729" s="1" t="s">
        <v>512</v>
      </c>
      <c r="K729" s="1" t="s">
        <v>512</v>
      </c>
      <c r="L729" s="1" t="s">
        <v>512</v>
      </c>
      <c r="M729" s="1" t="s">
        <v>512</v>
      </c>
      <c r="N729" s="1" t="s">
        <v>512</v>
      </c>
      <c r="O729" s="1" t="s">
        <v>512</v>
      </c>
      <c r="Q729" s="1" t="s">
        <v>512</v>
      </c>
    </row>
    <row r="730" spans="2:17" x14ac:dyDescent="0.25">
      <c r="B730" s="95" t="s">
        <v>512</v>
      </c>
      <c r="D730" s="1" t="s">
        <v>512</v>
      </c>
      <c r="E730" s="21" t="s">
        <v>512</v>
      </c>
      <c r="F730" s="1" t="s">
        <v>512</v>
      </c>
      <c r="G730" s="1" t="s">
        <v>512</v>
      </c>
      <c r="H730" s="1" t="s">
        <v>512</v>
      </c>
      <c r="I730" s="1" t="s">
        <v>512</v>
      </c>
      <c r="J730" s="1" t="s">
        <v>512</v>
      </c>
      <c r="K730" s="1" t="s">
        <v>512</v>
      </c>
      <c r="L730" s="1" t="s">
        <v>512</v>
      </c>
      <c r="M730" s="1" t="s">
        <v>512</v>
      </c>
      <c r="N730" s="1" t="s">
        <v>512</v>
      </c>
      <c r="O730" s="1" t="s">
        <v>512</v>
      </c>
      <c r="Q730" s="1" t="s">
        <v>512</v>
      </c>
    </row>
    <row r="731" spans="2:17" x14ac:dyDescent="0.25">
      <c r="B731" s="95" t="s">
        <v>512</v>
      </c>
      <c r="D731" s="1" t="s">
        <v>512</v>
      </c>
      <c r="E731" s="21" t="s">
        <v>512</v>
      </c>
      <c r="F731" s="1" t="s">
        <v>512</v>
      </c>
      <c r="G731" s="1" t="s">
        <v>512</v>
      </c>
      <c r="H731" s="1" t="s">
        <v>512</v>
      </c>
      <c r="I731" s="1" t="s">
        <v>512</v>
      </c>
      <c r="J731" s="1" t="s">
        <v>512</v>
      </c>
      <c r="K731" s="1" t="s">
        <v>512</v>
      </c>
      <c r="L731" s="1" t="s">
        <v>512</v>
      </c>
      <c r="M731" s="1" t="s">
        <v>512</v>
      </c>
      <c r="N731" s="1" t="s">
        <v>512</v>
      </c>
      <c r="O731" s="1" t="s">
        <v>512</v>
      </c>
      <c r="Q731" s="1" t="s">
        <v>512</v>
      </c>
    </row>
    <row r="732" spans="2:17" x14ac:dyDescent="0.25">
      <c r="B732" s="95" t="s">
        <v>512</v>
      </c>
      <c r="D732" s="1" t="s">
        <v>512</v>
      </c>
      <c r="E732" s="21" t="s">
        <v>512</v>
      </c>
      <c r="F732" s="1" t="s">
        <v>512</v>
      </c>
      <c r="G732" s="1" t="s">
        <v>512</v>
      </c>
      <c r="H732" s="1" t="s">
        <v>512</v>
      </c>
      <c r="I732" s="1" t="s">
        <v>512</v>
      </c>
      <c r="J732" s="1" t="s">
        <v>512</v>
      </c>
      <c r="K732" s="1" t="s">
        <v>512</v>
      </c>
      <c r="L732" s="1" t="s">
        <v>512</v>
      </c>
      <c r="M732" s="1" t="s">
        <v>512</v>
      </c>
      <c r="N732" s="1" t="s">
        <v>512</v>
      </c>
      <c r="O732" s="1" t="s">
        <v>512</v>
      </c>
      <c r="Q732" s="1" t="s">
        <v>512</v>
      </c>
    </row>
    <row r="733" spans="2:17" x14ac:dyDescent="0.25">
      <c r="B733" s="95" t="s">
        <v>512</v>
      </c>
      <c r="D733" s="1" t="s">
        <v>512</v>
      </c>
      <c r="E733" s="21" t="s">
        <v>512</v>
      </c>
      <c r="F733" s="1" t="s">
        <v>512</v>
      </c>
      <c r="G733" s="1" t="s">
        <v>512</v>
      </c>
      <c r="H733" s="1" t="s">
        <v>512</v>
      </c>
      <c r="I733" s="1" t="s">
        <v>512</v>
      </c>
      <c r="J733" s="1" t="s">
        <v>512</v>
      </c>
      <c r="K733" s="1" t="s">
        <v>512</v>
      </c>
      <c r="L733" s="1" t="s">
        <v>512</v>
      </c>
      <c r="M733" s="1" t="s">
        <v>512</v>
      </c>
      <c r="N733" s="1" t="s">
        <v>512</v>
      </c>
      <c r="O733" s="1" t="s">
        <v>512</v>
      </c>
      <c r="Q733" s="1" t="s">
        <v>512</v>
      </c>
    </row>
    <row r="734" spans="2:17" x14ac:dyDescent="0.25">
      <c r="B734" s="95" t="s">
        <v>512</v>
      </c>
      <c r="D734" s="1" t="s">
        <v>512</v>
      </c>
      <c r="E734" s="21" t="s">
        <v>512</v>
      </c>
      <c r="F734" s="1" t="s">
        <v>512</v>
      </c>
      <c r="G734" s="1" t="s">
        <v>512</v>
      </c>
      <c r="H734" s="1" t="s">
        <v>512</v>
      </c>
      <c r="I734" s="1" t="s">
        <v>512</v>
      </c>
      <c r="J734" s="1" t="s">
        <v>512</v>
      </c>
      <c r="K734" s="1" t="s">
        <v>512</v>
      </c>
      <c r="L734" s="1" t="s">
        <v>512</v>
      </c>
      <c r="M734" s="1" t="s">
        <v>512</v>
      </c>
      <c r="N734" s="1" t="s">
        <v>512</v>
      </c>
      <c r="O734" s="1" t="s">
        <v>512</v>
      </c>
      <c r="Q734" s="1" t="s">
        <v>512</v>
      </c>
    </row>
    <row r="735" spans="2:17" x14ac:dyDescent="0.25">
      <c r="B735" s="95" t="s">
        <v>512</v>
      </c>
      <c r="D735" s="1" t="s">
        <v>512</v>
      </c>
      <c r="E735" s="21" t="s">
        <v>512</v>
      </c>
      <c r="F735" s="1" t="s">
        <v>512</v>
      </c>
      <c r="G735" s="1" t="s">
        <v>512</v>
      </c>
      <c r="H735" s="1" t="s">
        <v>512</v>
      </c>
      <c r="I735" s="1" t="s">
        <v>512</v>
      </c>
      <c r="J735" s="1" t="s">
        <v>512</v>
      </c>
      <c r="K735" s="1" t="s">
        <v>512</v>
      </c>
      <c r="L735" s="1" t="s">
        <v>512</v>
      </c>
      <c r="M735" s="1" t="s">
        <v>512</v>
      </c>
      <c r="N735" s="1" t="s">
        <v>512</v>
      </c>
      <c r="O735" s="1" t="s">
        <v>512</v>
      </c>
      <c r="Q735" s="1" t="s">
        <v>512</v>
      </c>
    </row>
    <row r="736" spans="2:17" x14ac:dyDescent="0.25">
      <c r="B736" s="95" t="s">
        <v>512</v>
      </c>
      <c r="D736" s="1" t="s">
        <v>512</v>
      </c>
      <c r="E736" s="21" t="s">
        <v>512</v>
      </c>
      <c r="F736" s="1" t="s">
        <v>512</v>
      </c>
      <c r="G736" s="1" t="s">
        <v>512</v>
      </c>
      <c r="H736" s="1" t="s">
        <v>512</v>
      </c>
      <c r="I736" s="1" t="s">
        <v>512</v>
      </c>
      <c r="J736" s="1" t="s">
        <v>512</v>
      </c>
      <c r="K736" s="1" t="s">
        <v>512</v>
      </c>
      <c r="L736" s="1" t="s">
        <v>512</v>
      </c>
      <c r="M736" s="1" t="s">
        <v>512</v>
      </c>
      <c r="N736" s="1" t="s">
        <v>512</v>
      </c>
      <c r="O736" s="1" t="s">
        <v>512</v>
      </c>
      <c r="Q736" s="1" t="s">
        <v>512</v>
      </c>
    </row>
    <row r="737" spans="2:17" x14ac:dyDescent="0.25">
      <c r="B737" s="95" t="s">
        <v>512</v>
      </c>
      <c r="D737" s="1" t="s">
        <v>512</v>
      </c>
      <c r="E737" s="21" t="s">
        <v>512</v>
      </c>
      <c r="F737" s="1" t="s">
        <v>512</v>
      </c>
      <c r="G737" s="1" t="s">
        <v>512</v>
      </c>
      <c r="H737" s="1" t="s">
        <v>512</v>
      </c>
      <c r="I737" s="1" t="s">
        <v>512</v>
      </c>
      <c r="J737" s="1" t="s">
        <v>512</v>
      </c>
      <c r="K737" s="1" t="s">
        <v>512</v>
      </c>
      <c r="L737" s="1" t="s">
        <v>512</v>
      </c>
      <c r="M737" s="1" t="s">
        <v>512</v>
      </c>
      <c r="N737" s="1" t="s">
        <v>512</v>
      </c>
      <c r="O737" s="1" t="s">
        <v>512</v>
      </c>
      <c r="Q737" s="1" t="s">
        <v>512</v>
      </c>
    </row>
    <row r="738" spans="2:17" x14ac:dyDescent="0.25">
      <c r="B738" s="95" t="s">
        <v>512</v>
      </c>
      <c r="D738" s="1" t="s">
        <v>512</v>
      </c>
      <c r="E738" s="21" t="s">
        <v>512</v>
      </c>
      <c r="F738" s="1" t="s">
        <v>512</v>
      </c>
      <c r="G738" s="1" t="s">
        <v>512</v>
      </c>
      <c r="H738" s="1" t="s">
        <v>512</v>
      </c>
      <c r="I738" s="1" t="s">
        <v>512</v>
      </c>
      <c r="J738" s="1" t="s">
        <v>512</v>
      </c>
      <c r="K738" s="1" t="s">
        <v>512</v>
      </c>
      <c r="L738" s="1" t="s">
        <v>512</v>
      </c>
      <c r="M738" s="1" t="s">
        <v>512</v>
      </c>
      <c r="N738" s="1" t="s">
        <v>512</v>
      </c>
      <c r="O738" s="1" t="s">
        <v>512</v>
      </c>
      <c r="Q738" s="1" t="s">
        <v>512</v>
      </c>
    </row>
    <row r="739" spans="2:17" x14ac:dyDescent="0.25">
      <c r="B739" s="95" t="s">
        <v>512</v>
      </c>
      <c r="D739" s="1" t="s">
        <v>512</v>
      </c>
      <c r="E739" s="21" t="s">
        <v>512</v>
      </c>
      <c r="F739" s="1" t="s">
        <v>512</v>
      </c>
      <c r="G739" s="1" t="s">
        <v>512</v>
      </c>
      <c r="H739" s="1" t="s">
        <v>512</v>
      </c>
      <c r="I739" s="1" t="s">
        <v>512</v>
      </c>
      <c r="J739" s="1" t="s">
        <v>512</v>
      </c>
      <c r="K739" s="1" t="s">
        <v>512</v>
      </c>
      <c r="L739" s="1" t="s">
        <v>512</v>
      </c>
      <c r="M739" s="1" t="s">
        <v>512</v>
      </c>
      <c r="N739" s="1" t="s">
        <v>512</v>
      </c>
      <c r="O739" s="1" t="s">
        <v>512</v>
      </c>
      <c r="Q739" s="1" t="s">
        <v>512</v>
      </c>
    </row>
    <row r="740" spans="2:17" x14ac:dyDescent="0.25">
      <c r="B740" s="95" t="s">
        <v>512</v>
      </c>
      <c r="D740" s="1" t="s">
        <v>512</v>
      </c>
      <c r="E740" s="21" t="s">
        <v>512</v>
      </c>
      <c r="F740" s="1" t="s">
        <v>512</v>
      </c>
      <c r="G740" s="1" t="s">
        <v>512</v>
      </c>
      <c r="H740" s="1" t="s">
        <v>512</v>
      </c>
      <c r="I740" s="1" t="s">
        <v>512</v>
      </c>
      <c r="J740" s="1" t="s">
        <v>512</v>
      </c>
      <c r="K740" s="1" t="s">
        <v>512</v>
      </c>
      <c r="L740" s="1" t="s">
        <v>512</v>
      </c>
      <c r="M740" s="1" t="s">
        <v>512</v>
      </c>
      <c r="N740" s="1" t="s">
        <v>512</v>
      </c>
      <c r="O740" s="1" t="s">
        <v>512</v>
      </c>
      <c r="Q740" s="1" t="s">
        <v>512</v>
      </c>
    </row>
    <row r="741" spans="2:17" x14ac:dyDescent="0.25">
      <c r="B741" s="95" t="s">
        <v>512</v>
      </c>
      <c r="D741" s="1" t="s">
        <v>512</v>
      </c>
      <c r="E741" s="21" t="s">
        <v>512</v>
      </c>
      <c r="F741" s="1" t="s">
        <v>512</v>
      </c>
      <c r="G741" s="1" t="s">
        <v>512</v>
      </c>
      <c r="H741" s="1" t="s">
        <v>512</v>
      </c>
      <c r="I741" s="1" t="s">
        <v>512</v>
      </c>
      <c r="J741" s="1" t="s">
        <v>512</v>
      </c>
      <c r="K741" s="1" t="s">
        <v>512</v>
      </c>
      <c r="L741" s="1" t="s">
        <v>512</v>
      </c>
      <c r="M741" s="1" t="s">
        <v>512</v>
      </c>
      <c r="N741" s="1" t="s">
        <v>512</v>
      </c>
      <c r="O741" s="1" t="s">
        <v>512</v>
      </c>
      <c r="Q741" s="1" t="s">
        <v>512</v>
      </c>
    </row>
    <row r="742" spans="2:17" x14ac:dyDescent="0.25">
      <c r="B742" s="95" t="s">
        <v>512</v>
      </c>
      <c r="D742" s="1" t="s">
        <v>512</v>
      </c>
      <c r="E742" s="21" t="s">
        <v>512</v>
      </c>
      <c r="F742" s="1" t="s">
        <v>512</v>
      </c>
      <c r="G742" s="1" t="s">
        <v>512</v>
      </c>
      <c r="H742" s="1" t="s">
        <v>512</v>
      </c>
      <c r="I742" s="1" t="s">
        <v>512</v>
      </c>
      <c r="J742" s="1" t="s">
        <v>512</v>
      </c>
      <c r="K742" s="1" t="s">
        <v>512</v>
      </c>
      <c r="L742" s="1" t="s">
        <v>512</v>
      </c>
      <c r="M742" s="1" t="s">
        <v>512</v>
      </c>
      <c r="N742" s="1" t="s">
        <v>512</v>
      </c>
      <c r="O742" s="1" t="s">
        <v>512</v>
      </c>
      <c r="Q742" s="1" t="s">
        <v>512</v>
      </c>
    </row>
    <row r="743" spans="2:17" x14ac:dyDescent="0.25">
      <c r="B743" s="95" t="s">
        <v>512</v>
      </c>
      <c r="D743" s="1" t="s">
        <v>512</v>
      </c>
      <c r="E743" s="21" t="s">
        <v>512</v>
      </c>
      <c r="F743" s="1" t="s">
        <v>512</v>
      </c>
      <c r="G743" s="1" t="s">
        <v>512</v>
      </c>
      <c r="H743" s="1" t="s">
        <v>512</v>
      </c>
      <c r="I743" s="1" t="s">
        <v>512</v>
      </c>
      <c r="J743" s="1" t="s">
        <v>512</v>
      </c>
      <c r="K743" s="1" t="s">
        <v>512</v>
      </c>
      <c r="L743" s="1" t="s">
        <v>512</v>
      </c>
      <c r="M743" s="1" t="s">
        <v>512</v>
      </c>
      <c r="N743" s="1" t="s">
        <v>512</v>
      </c>
      <c r="O743" s="1" t="s">
        <v>512</v>
      </c>
      <c r="Q743" s="1" t="s">
        <v>512</v>
      </c>
    </row>
    <row r="744" spans="2:17" x14ac:dyDescent="0.25">
      <c r="B744" s="95" t="s">
        <v>512</v>
      </c>
      <c r="D744" s="1" t="s">
        <v>512</v>
      </c>
      <c r="E744" s="21" t="s">
        <v>512</v>
      </c>
      <c r="F744" s="1" t="s">
        <v>512</v>
      </c>
      <c r="G744" s="1" t="s">
        <v>512</v>
      </c>
      <c r="H744" s="1" t="s">
        <v>512</v>
      </c>
      <c r="I744" s="1" t="s">
        <v>512</v>
      </c>
      <c r="J744" s="1" t="s">
        <v>512</v>
      </c>
      <c r="K744" s="1" t="s">
        <v>512</v>
      </c>
      <c r="L744" s="1" t="s">
        <v>512</v>
      </c>
      <c r="M744" s="1" t="s">
        <v>512</v>
      </c>
      <c r="N744" s="1" t="s">
        <v>512</v>
      </c>
      <c r="O744" s="1" t="s">
        <v>512</v>
      </c>
      <c r="Q744" s="1" t="s">
        <v>512</v>
      </c>
    </row>
    <row r="745" spans="2:17" x14ac:dyDescent="0.25">
      <c r="B745" s="95" t="s">
        <v>512</v>
      </c>
      <c r="D745" s="1" t="s">
        <v>512</v>
      </c>
      <c r="E745" s="21" t="s">
        <v>512</v>
      </c>
      <c r="F745" s="1" t="s">
        <v>512</v>
      </c>
      <c r="G745" s="1" t="s">
        <v>512</v>
      </c>
      <c r="H745" s="1" t="s">
        <v>512</v>
      </c>
      <c r="I745" s="1" t="s">
        <v>512</v>
      </c>
      <c r="J745" s="1" t="s">
        <v>512</v>
      </c>
      <c r="K745" s="1" t="s">
        <v>512</v>
      </c>
      <c r="L745" s="1" t="s">
        <v>512</v>
      </c>
      <c r="M745" s="1" t="s">
        <v>512</v>
      </c>
      <c r="N745" s="1" t="s">
        <v>512</v>
      </c>
      <c r="O745" s="1" t="s">
        <v>512</v>
      </c>
      <c r="Q745" s="1" t="s">
        <v>512</v>
      </c>
    </row>
    <row r="746" spans="2:17" x14ac:dyDescent="0.25">
      <c r="B746" s="95" t="s">
        <v>512</v>
      </c>
      <c r="D746" s="1" t="s">
        <v>512</v>
      </c>
      <c r="E746" s="21" t="s">
        <v>512</v>
      </c>
      <c r="F746" s="1" t="s">
        <v>512</v>
      </c>
      <c r="G746" s="1" t="s">
        <v>512</v>
      </c>
      <c r="H746" s="1" t="s">
        <v>512</v>
      </c>
      <c r="I746" s="1" t="s">
        <v>512</v>
      </c>
      <c r="J746" s="1" t="s">
        <v>512</v>
      </c>
      <c r="K746" s="1" t="s">
        <v>512</v>
      </c>
      <c r="L746" s="1" t="s">
        <v>512</v>
      </c>
      <c r="M746" s="1" t="s">
        <v>512</v>
      </c>
      <c r="N746" s="1" t="s">
        <v>512</v>
      </c>
      <c r="O746" s="1" t="s">
        <v>512</v>
      </c>
      <c r="Q746" s="1" t="s">
        <v>512</v>
      </c>
    </row>
    <row r="747" spans="2:17" x14ac:dyDescent="0.25">
      <c r="B747" s="95" t="s">
        <v>512</v>
      </c>
      <c r="D747" s="1" t="s">
        <v>512</v>
      </c>
      <c r="E747" s="21" t="s">
        <v>512</v>
      </c>
      <c r="F747" s="1" t="s">
        <v>512</v>
      </c>
      <c r="G747" s="1" t="s">
        <v>512</v>
      </c>
      <c r="H747" s="1" t="s">
        <v>512</v>
      </c>
      <c r="I747" s="1" t="s">
        <v>512</v>
      </c>
      <c r="J747" s="1" t="s">
        <v>512</v>
      </c>
      <c r="K747" s="1" t="s">
        <v>512</v>
      </c>
      <c r="L747" s="1" t="s">
        <v>512</v>
      </c>
      <c r="M747" s="1" t="s">
        <v>512</v>
      </c>
      <c r="N747" s="1" t="s">
        <v>512</v>
      </c>
      <c r="O747" s="1" t="s">
        <v>512</v>
      </c>
      <c r="Q747" s="1" t="s">
        <v>512</v>
      </c>
    </row>
    <row r="748" spans="2:17" x14ac:dyDescent="0.25">
      <c r="B748" s="95" t="s">
        <v>512</v>
      </c>
      <c r="D748" s="1" t="s">
        <v>512</v>
      </c>
      <c r="E748" s="21" t="s">
        <v>512</v>
      </c>
      <c r="F748" s="1" t="s">
        <v>512</v>
      </c>
      <c r="G748" s="1" t="s">
        <v>512</v>
      </c>
      <c r="H748" s="1" t="s">
        <v>512</v>
      </c>
      <c r="I748" s="1" t="s">
        <v>512</v>
      </c>
      <c r="J748" s="1" t="s">
        <v>512</v>
      </c>
      <c r="K748" s="1" t="s">
        <v>512</v>
      </c>
      <c r="L748" s="1" t="s">
        <v>512</v>
      </c>
      <c r="M748" s="1" t="s">
        <v>512</v>
      </c>
      <c r="N748" s="1" t="s">
        <v>512</v>
      </c>
      <c r="O748" s="1" t="s">
        <v>512</v>
      </c>
      <c r="Q748" s="1" t="s">
        <v>512</v>
      </c>
    </row>
    <row r="749" spans="2:17" x14ac:dyDescent="0.25">
      <c r="B749" s="95" t="s">
        <v>512</v>
      </c>
      <c r="D749" s="1" t="s">
        <v>512</v>
      </c>
      <c r="E749" s="21" t="s">
        <v>512</v>
      </c>
      <c r="F749" s="1" t="s">
        <v>512</v>
      </c>
      <c r="G749" s="1" t="s">
        <v>512</v>
      </c>
      <c r="H749" s="1" t="s">
        <v>512</v>
      </c>
      <c r="I749" s="1" t="s">
        <v>512</v>
      </c>
      <c r="J749" s="1" t="s">
        <v>512</v>
      </c>
      <c r="K749" s="1" t="s">
        <v>512</v>
      </c>
      <c r="L749" s="1" t="s">
        <v>512</v>
      </c>
      <c r="M749" s="1" t="s">
        <v>512</v>
      </c>
      <c r="N749" s="1" t="s">
        <v>512</v>
      </c>
      <c r="O749" s="1" t="s">
        <v>512</v>
      </c>
      <c r="Q749" s="1" t="s">
        <v>512</v>
      </c>
    </row>
    <row r="750" spans="2:17" x14ac:dyDescent="0.25">
      <c r="B750" s="95" t="s">
        <v>512</v>
      </c>
      <c r="D750" s="1" t="s">
        <v>512</v>
      </c>
      <c r="E750" s="21" t="s">
        <v>512</v>
      </c>
      <c r="F750" s="1" t="s">
        <v>512</v>
      </c>
      <c r="G750" s="1" t="s">
        <v>512</v>
      </c>
      <c r="H750" s="1" t="s">
        <v>512</v>
      </c>
      <c r="I750" s="1" t="s">
        <v>512</v>
      </c>
      <c r="J750" s="1" t="s">
        <v>512</v>
      </c>
      <c r="K750" s="1" t="s">
        <v>512</v>
      </c>
      <c r="L750" s="1" t="s">
        <v>512</v>
      </c>
      <c r="M750" s="1" t="s">
        <v>512</v>
      </c>
      <c r="N750" s="1" t="s">
        <v>512</v>
      </c>
      <c r="O750" s="1" t="s">
        <v>512</v>
      </c>
      <c r="Q750" s="1" t="s">
        <v>512</v>
      </c>
    </row>
    <row r="751" spans="2:17" x14ac:dyDescent="0.25">
      <c r="B751" s="95" t="s">
        <v>512</v>
      </c>
      <c r="D751" s="1" t="s">
        <v>512</v>
      </c>
      <c r="E751" s="21" t="s">
        <v>512</v>
      </c>
      <c r="F751" s="1" t="s">
        <v>512</v>
      </c>
      <c r="G751" s="1" t="s">
        <v>512</v>
      </c>
      <c r="H751" s="1" t="s">
        <v>512</v>
      </c>
      <c r="I751" s="1" t="s">
        <v>512</v>
      </c>
      <c r="J751" s="1" t="s">
        <v>512</v>
      </c>
      <c r="K751" s="1" t="s">
        <v>512</v>
      </c>
      <c r="L751" s="1" t="s">
        <v>512</v>
      </c>
      <c r="M751" s="1" t="s">
        <v>512</v>
      </c>
      <c r="N751" s="1" t="s">
        <v>512</v>
      </c>
      <c r="O751" s="1" t="s">
        <v>512</v>
      </c>
      <c r="Q751" s="1" t="s">
        <v>512</v>
      </c>
    </row>
    <row r="752" spans="2:17" x14ac:dyDescent="0.25">
      <c r="B752" s="95" t="s">
        <v>512</v>
      </c>
      <c r="D752" s="1" t="s">
        <v>512</v>
      </c>
      <c r="E752" s="21" t="s">
        <v>512</v>
      </c>
      <c r="F752" s="1" t="s">
        <v>512</v>
      </c>
      <c r="G752" s="1" t="s">
        <v>512</v>
      </c>
      <c r="H752" s="1" t="s">
        <v>512</v>
      </c>
      <c r="I752" s="1" t="s">
        <v>512</v>
      </c>
      <c r="J752" s="1" t="s">
        <v>512</v>
      </c>
      <c r="K752" s="1" t="s">
        <v>512</v>
      </c>
      <c r="L752" s="1" t="s">
        <v>512</v>
      </c>
      <c r="M752" s="1" t="s">
        <v>512</v>
      </c>
      <c r="N752" s="1" t="s">
        <v>512</v>
      </c>
      <c r="O752" s="1" t="s">
        <v>512</v>
      </c>
      <c r="Q752" s="1" t="s">
        <v>512</v>
      </c>
    </row>
    <row r="753" spans="2:17" x14ac:dyDescent="0.25">
      <c r="B753" s="95" t="s">
        <v>512</v>
      </c>
      <c r="D753" s="1" t="s">
        <v>512</v>
      </c>
      <c r="E753" s="21" t="s">
        <v>512</v>
      </c>
      <c r="F753" s="1" t="s">
        <v>512</v>
      </c>
      <c r="G753" s="1" t="s">
        <v>512</v>
      </c>
      <c r="H753" s="1" t="s">
        <v>512</v>
      </c>
      <c r="I753" s="1" t="s">
        <v>512</v>
      </c>
      <c r="J753" s="1" t="s">
        <v>512</v>
      </c>
      <c r="K753" s="1" t="s">
        <v>512</v>
      </c>
      <c r="L753" s="1" t="s">
        <v>512</v>
      </c>
      <c r="M753" s="1" t="s">
        <v>512</v>
      </c>
      <c r="N753" s="1" t="s">
        <v>512</v>
      </c>
      <c r="O753" s="1" t="s">
        <v>512</v>
      </c>
      <c r="Q753" s="1" t="s">
        <v>512</v>
      </c>
    </row>
    <row r="754" spans="2:17" x14ac:dyDescent="0.25">
      <c r="B754" s="95" t="s">
        <v>512</v>
      </c>
      <c r="D754" s="1" t="s">
        <v>512</v>
      </c>
      <c r="E754" s="21" t="s">
        <v>512</v>
      </c>
      <c r="F754" s="1" t="s">
        <v>512</v>
      </c>
      <c r="G754" s="1" t="s">
        <v>512</v>
      </c>
      <c r="H754" s="1" t="s">
        <v>512</v>
      </c>
      <c r="I754" s="1" t="s">
        <v>512</v>
      </c>
      <c r="J754" s="1" t="s">
        <v>512</v>
      </c>
      <c r="K754" s="1" t="s">
        <v>512</v>
      </c>
      <c r="L754" s="1" t="s">
        <v>512</v>
      </c>
      <c r="M754" s="1" t="s">
        <v>512</v>
      </c>
      <c r="N754" s="1" t="s">
        <v>512</v>
      </c>
      <c r="O754" s="1" t="s">
        <v>512</v>
      </c>
      <c r="Q754" s="1" t="s">
        <v>512</v>
      </c>
    </row>
    <row r="755" spans="2:17" x14ac:dyDescent="0.25">
      <c r="B755" s="95" t="s">
        <v>512</v>
      </c>
      <c r="D755" s="1" t="s">
        <v>512</v>
      </c>
      <c r="E755" s="21" t="s">
        <v>512</v>
      </c>
      <c r="F755" s="1" t="s">
        <v>512</v>
      </c>
      <c r="G755" s="1" t="s">
        <v>512</v>
      </c>
      <c r="H755" s="1" t="s">
        <v>512</v>
      </c>
      <c r="I755" s="1" t="s">
        <v>512</v>
      </c>
      <c r="J755" s="1" t="s">
        <v>512</v>
      </c>
      <c r="K755" s="1" t="s">
        <v>512</v>
      </c>
      <c r="L755" s="1" t="s">
        <v>512</v>
      </c>
      <c r="M755" s="1" t="s">
        <v>512</v>
      </c>
      <c r="N755" s="1" t="s">
        <v>512</v>
      </c>
      <c r="O755" s="1" t="s">
        <v>512</v>
      </c>
      <c r="Q755" s="1" t="s">
        <v>512</v>
      </c>
    </row>
    <row r="756" spans="2:17" x14ac:dyDescent="0.25">
      <c r="B756" s="95" t="s">
        <v>512</v>
      </c>
      <c r="D756" s="1" t="s">
        <v>512</v>
      </c>
      <c r="E756" s="21" t="s">
        <v>512</v>
      </c>
      <c r="F756" s="1" t="s">
        <v>512</v>
      </c>
      <c r="G756" s="1" t="s">
        <v>512</v>
      </c>
      <c r="H756" s="1" t="s">
        <v>512</v>
      </c>
      <c r="I756" s="1" t="s">
        <v>512</v>
      </c>
      <c r="J756" s="1" t="s">
        <v>512</v>
      </c>
      <c r="K756" s="1" t="s">
        <v>512</v>
      </c>
      <c r="L756" s="1" t="s">
        <v>512</v>
      </c>
      <c r="M756" s="1" t="s">
        <v>512</v>
      </c>
      <c r="N756" s="1" t="s">
        <v>512</v>
      </c>
      <c r="O756" s="1" t="s">
        <v>512</v>
      </c>
      <c r="Q756" s="1" t="s">
        <v>512</v>
      </c>
    </row>
    <row r="757" spans="2:17" x14ac:dyDescent="0.25">
      <c r="B757" s="95" t="s">
        <v>512</v>
      </c>
      <c r="D757" s="1" t="s">
        <v>512</v>
      </c>
      <c r="E757" s="21" t="s">
        <v>512</v>
      </c>
      <c r="F757" s="1" t="s">
        <v>512</v>
      </c>
      <c r="G757" s="1" t="s">
        <v>512</v>
      </c>
      <c r="H757" s="1" t="s">
        <v>512</v>
      </c>
      <c r="I757" s="1" t="s">
        <v>512</v>
      </c>
      <c r="J757" s="1" t="s">
        <v>512</v>
      </c>
      <c r="K757" s="1" t="s">
        <v>512</v>
      </c>
      <c r="L757" s="1" t="s">
        <v>512</v>
      </c>
      <c r="M757" s="1" t="s">
        <v>512</v>
      </c>
      <c r="N757" s="1" t="s">
        <v>512</v>
      </c>
      <c r="O757" s="1" t="s">
        <v>512</v>
      </c>
      <c r="Q757" s="1" t="s">
        <v>512</v>
      </c>
    </row>
    <row r="758" spans="2:17" x14ac:dyDescent="0.25">
      <c r="B758" s="95" t="s">
        <v>512</v>
      </c>
      <c r="D758" s="1" t="s">
        <v>512</v>
      </c>
      <c r="E758" s="21" t="s">
        <v>512</v>
      </c>
      <c r="F758" s="1" t="s">
        <v>512</v>
      </c>
      <c r="G758" s="1" t="s">
        <v>512</v>
      </c>
      <c r="H758" s="1" t="s">
        <v>512</v>
      </c>
      <c r="I758" s="1" t="s">
        <v>512</v>
      </c>
      <c r="J758" s="1" t="s">
        <v>512</v>
      </c>
      <c r="K758" s="1" t="s">
        <v>512</v>
      </c>
      <c r="L758" s="1" t="s">
        <v>512</v>
      </c>
      <c r="M758" s="1" t="s">
        <v>512</v>
      </c>
      <c r="N758" s="1" t="s">
        <v>512</v>
      </c>
      <c r="O758" s="1" t="s">
        <v>512</v>
      </c>
      <c r="Q758" s="1" t="s">
        <v>512</v>
      </c>
    </row>
    <row r="759" spans="2:17" x14ac:dyDescent="0.25">
      <c r="B759" s="95" t="s">
        <v>512</v>
      </c>
      <c r="D759" s="1" t="s">
        <v>512</v>
      </c>
      <c r="E759" s="21" t="s">
        <v>512</v>
      </c>
      <c r="F759" s="1" t="s">
        <v>512</v>
      </c>
      <c r="G759" s="1" t="s">
        <v>512</v>
      </c>
      <c r="H759" s="1" t="s">
        <v>512</v>
      </c>
      <c r="I759" s="1" t="s">
        <v>512</v>
      </c>
      <c r="J759" s="1" t="s">
        <v>512</v>
      </c>
      <c r="K759" s="1" t="s">
        <v>512</v>
      </c>
      <c r="L759" s="1" t="s">
        <v>512</v>
      </c>
      <c r="M759" s="1" t="s">
        <v>512</v>
      </c>
      <c r="N759" s="1" t="s">
        <v>512</v>
      </c>
      <c r="O759" s="1" t="s">
        <v>512</v>
      </c>
      <c r="Q759" s="1" t="s">
        <v>512</v>
      </c>
    </row>
    <row r="760" spans="2:17" x14ac:dyDescent="0.25">
      <c r="B760" s="95" t="s">
        <v>512</v>
      </c>
      <c r="D760" s="1" t="s">
        <v>512</v>
      </c>
      <c r="E760" s="21" t="s">
        <v>512</v>
      </c>
      <c r="F760" s="1" t="s">
        <v>512</v>
      </c>
      <c r="G760" s="1" t="s">
        <v>512</v>
      </c>
      <c r="H760" s="1" t="s">
        <v>512</v>
      </c>
      <c r="I760" s="1" t="s">
        <v>512</v>
      </c>
      <c r="J760" s="1" t="s">
        <v>512</v>
      </c>
      <c r="K760" s="1" t="s">
        <v>512</v>
      </c>
      <c r="L760" s="1" t="s">
        <v>512</v>
      </c>
      <c r="M760" s="1" t="s">
        <v>512</v>
      </c>
      <c r="N760" s="1" t="s">
        <v>512</v>
      </c>
      <c r="O760" s="1" t="s">
        <v>512</v>
      </c>
      <c r="Q760" s="1" t="s">
        <v>512</v>
      </c>
    </row>
    <row r="761" spans="2:17" x14ac:dyDescent="0.25">
      <c r="B761" s="95" t="s">
        <v>512</v>
      </c>
      <c r="D761" s="1" t="s">
        <v>512</v>
      </c>
      <c r="E761" s="21" t="s">
        <v>512</v>
      </c>
      <c r="F761" s="1" t="s">
        <v>512</v>
      </c>
      <c r="G761" s="1" t="s">
        <v>512</v>
      </c>
      <c r="H761" s="1" t="s">
        <v>512</v>
      </c>
      <c r="I761" s="1" t="s">
        <v>512</v>
      </c>
      <c r="J761" s="1" t="s">
        <v>512</v>
      </c>
      <c r="K761" s="1" t="s">
        <v>512</v>
      </c>
      <c r="L761" s="1" t="s">
        <v>512</v>
      </c>
      <c r="M761" s="1" t="s">
        <v>512</v>
      </c>
      <c r="N761" s="1" t="s">
        <v>512</v>
      </c>
      <c r="O761" s="1" t="s">
        <v>512</v>
      </c>
      <c r="Q761" s="1" t="s">
        <v>512</v>
      </c>
    </row>
    <row r="762" spans="2:17" x14ac:dyDescent="0.25">
      <c r="B762" s="95" t="s">
        <v>512</v>
      </c>
      <c r="D762" s="1" t="s">
        <v>512</v>
      </c>
      <c r="E762" s="21" t="s">
        <v>512</v>
      </c>
      <c r="F762" s="1" t="s">
        <v>512</v>
      </c>
      <c r="G762" s="1" t="s">
        <v>512</v>
      </c>
      <c r="H762" s="1" t="s">
        <v>512</v>
      </c>
      <c r="I762" s="1" t="s">
        <v>512</v>
      </c>
      <c r="J762" s="1" t="s">
        <v>512</v>
      </c>
      <c r="K762" s="1" t="s">
        <v>512</v>
      </c>
      <c r="L762" s="1" t="s">
        <v>512</v>
      </c>
      <c r="M762" s="1" t="s">
        <v>512</v>
      </c>
      <c r="N762" s="1" t="s">
        <v>512</v>
      </c>
      <c r="O762" s="1" t="s">
        <v>512</v>
      </c>
      <c r="Q762" s="1" t="s">
        <v>512</v>
      </c>
    </row>
    <row r="763" spans="2:17" x14ac:dyDescent="0.25">
      <c r="B763" s="95" t="s">
        <v>512</v>
      </c>
      <c r="D763" s="1" t="s">
        <v>512</v>
      </c>
      <c r="E763" s="21" t="s">
        <v>512</v>
      </c>
      <c r="F763" s="1" t="s">
        <v>512</v>
      </c>
      <c r="G763" s="1" t="s">
        <v>512</v>
      </c>
      <c r="H763" s="1" t="s">
        <v>512</v>
      </c>
      <c r="I763" s="1" t="s">
        <v>512</v>
      </c>
      <c r="J763" s="1" t="s">
        <v>512</v>
      </c>
      <c r="K763" s="1" t="s">
        <v>512</v>
      </c>
      <c r="L763" s="1" t="s">
        <v>512</v>
      </c>
      <c r="M763" s="1" t="s">
        <v>512</v>
      </c>
      <c r="N763" s="1" t="s">
        <v>512</v>
      </c>
      <c r="O763" s="1" t="s">
        <v>512</v>
      </c>
      <c r="Q763" s="1" t="s">
        <v>512</v>
      </c>
    </row>
    <row r="764" spans="2:17" x14ac:dyDescent="0.25">
      <c r="B764" s="95" t="s">
        <v>512</v>
      </c>
      <c r="D764" s="1" t="s">
        <v>512</v>
      </c>
      <c r="E764" s="21" t="s">
        <v>512</v>
      </c>
      <c r="F764" s="1" t="s">
        <v>512</v>
      </c>
      <c r="G764" s="1" t="s">
        <v>512</v>
      </c>
      <c r="H764" s="1" t="s">
        <v>512</v>
      </c>
      <c r="I764" s="1" t="s">
        <v>512</v>
      </c>
      <c r="J764" s="1" t="s">
        <v>512</v>
      </c>
      <c r="K764" s="1" t="s">
        <v>512</v>
      </c>
      <c r="L764" s="1" t="s">
        <v>512</v>
      </c>
      <c r="M764" s="1" t="s">
        <v>512</v>
      </c>
      <c r="N764" s="1" t="s">
        <v>512</v>
      </c>
      <c r="O764" s="1" t="s">
        <v>512</v>
      </c>
      <c r="Q764" s="1" t="s">
        <v>512</v>
      </c>
    </row>
    <row r="765" spans="2:17" x14ac:dyDescent="0.25">
      <c r="B765" s="95" t="s">
        <v>512</v>
      </c>
      <c r="D765" s="1" t="s">
        <v>512</v>
      </c>
      <c r="E765" s="21" t="s">
        <v>512</v>
      </c>
      <c r="F765" s="1" t="s">
        <v>512</v>
      </c>
      <c r="G765" s="1" t="s">
        <v>512</v>
      </c>
      <c r="H765" s="1" t="s">
        <v>512</v>
      </c>
      <c r="I765" s="1" t="s">
        <v>512</v>
      </c>
      <c r="J765" s="1" t="s">
        <v>512</v>
      </c>
      <c r="K765" s="1" t="s">
        <v>512</v>
      </c>
      <c r="L765" s="1" t="s">
        <v>512</v>
      </c>
      <c r="M765" s="1" t="s">
        <v>512</v>
      </c>
      <c r="N765" s="1" t="s">
        <v>512</v>
      </c>
      <c r="O765" s="1" t="s">
        <v>512</v>
      </c>
      <c r="Q765" s="1" t="s">
        <v>512</v>
      </c>
    </row>
    <row r="766" spans="2:17" x14ac:dyDescent="0.25">
      <c r="B766" s="95" t="s">
        <v>512</v>
      </c>
      <c r="D766" s="1" t="s">
        <v>512</v>
      </c>
      <c r="E766" s="21" t="s">
        <v>512</v>
      </c>
      <c r="F766" s="1" t="s">
        <v>512</v>
      </c>
      <c r="G766" s="1" t="s">
        <v>512</v>
      </c>
      <c r="H766" s="1" t="s">
        <v>512</v>
      </c>
      <c r="I766" s="1" t="s">
        <v>512</v>
      </c>
      <c r="J766" s="1" t="s">
        <v>512</v>
      </c>
      <c r="K766" s="1" t="s">
        <v>512</v>
      </c>
      <c r="L766" s="1" t="s">
        <v>512</v>
      </c>
      <c r="M766" s="1" t="s">
        <v>512</v>
      </c>
      <c r="N766" s="1" t="s">
        <v>512</v>
      </c>
      <c r="O766" s="1" t="s">
        <v>512</v>
      </c>
      <c r="Q766" s="1" t="s">
        <v>512</v>
      </c>
    </row>
    <row r="767" spans="2:17" x14ac:dyDescent="0.25">
      <c r="B767" s="95" t="s">
        <v>512</v>
      </c>
      <c r="D767" s="1" t="s">
        <v>512</v>
      </c>
      <c r="E767" s="21" t="s">
        <v>512</v>
      </c>
      <c r="F767" s="1" t="s">
        <v>512</v>
      </c>
      <c r="G767" s="1" t="s">
        <v>512</v>
      </c>
      <c r="H767" s="1" t="s">
        <v>512</v>
      </c>
      <c r="I767" s="1" t="s">
        <v>512</v>
      </c>
      <c r="J767" s="1" t="s">
        <v>512</v>
      </c>
      <c r="K767" s="1" t="s">
        <v>512</v>
      </c>
      <c r="L767" s="1" t="s">
        <v>512</v>
      </c>
      <c r="M767" s="1" t="s">
        <v>512</v>
      </c>
      <c r="N767" s="1" t="s">
        <v>512</v>
      </c>
      <c r="O767" s="1" t="s">
        <v>512</v>
      </c>
      <c r="Q767" s="1" t="s">
        <v>512</v>
      </c>
    </row>
    <row r="768" spans="2:17" x14ac:dyDescent="0.25">
      <c r="B768" s="95" t="s">
        <v>512</v>
      </c>
      <c r="D768" s="1" t="s">
        <v>512</v>
      </c>
      <c r="E768" s="21" t="s">
        <v>512</v>
      </c>
      <c r="F768" s="1" t="s">
        <v>512</v>
      </c>
      <c r="G768" s="1" t="s">
        <v>512</v>
      </c>
      <c r="H768" s="1" t="s">
        <v>512</v>
      </c>
      <c r="I768" s="1" t="s">
        <v>512</v>
      </c>
      <c r="J768" s="1" t="s">
        <v>512</v>
      </c>
      <c r="K768" s="1" t="s">
        <v>512</v>
      </c>
      <c r="L768" s="1" t="s">
        <v>512</v>
      </c>
      <c r="M768" s="1" t="s">
        <v>512</v>
      </c>
      <c r="N768" s="1" t="s">
        <v>512</v>
      </c>
      <c r="O768" s="1" t="s">
        <v>512</v>
      </c>
      <c r="Q768" s="1" t="s">
        <v>512</v>
      </c>
    </row>
    <row r="769" spans="2:17" x14ac:dyDescent="0.25">
      <c r="B769" s="95" t="s">
        <v>512</v>
      </c>
      <c r="D769" s="1" t="s">
        <v>512</v>
      </c>
      <c r="E769" s="21" t="s">
        <v>512</v>
      </c>
      <c r="F769" s="1" t="s">
        <v>512</v>
      </c>
      <c r="G769" s="1" t="s">
        <v>512</v>
      </c>
      <c r="H769" s="1" t="s">
        <v>512</v>
      </c>
      <c r="I769" s="1" t="s">
        <v>512</v>
      </c>
      <c r="J769" s="1" t="s">
        <v>512</v>
      </c>
      <c r="K769" s="1" t="s">
        <v>512</v>
      </c>
      <c r="L769" s="1" t="s">
        <v>512</v>
      </c>
      <c r="M769" s="1" t="s">
        <v>512</v>
      </c>
      <c r="N769" s="1" t="s">
        <v>512</v>
      </c>
      <c r="O769" s="1" t="s">
        <v>512</v>
      </c>
      <c r="Q769" s="1" t="s">
        <v>512</v>
      </c>
    </row>
    <row r="770" spans="2:17" x14ac:dyDescent="0.25">
      <c r="B770" s="95" t="s">
        <v>512</v>
      </c>
      <c r="D770" s="1" t="s">
        <v>512</v>
      </c>
      <c r="E770" s="21" t="s">
        <v>512</v>
      </c>
      <c r="F770" s="1" t="s">
        <v>512</v>
      </c>
      <c r="G770" s="1" t="s">
        <v>512</v>
      </c>
      <c r="H770" s="1" t="s">
        <v>512</v>
      </c>
      <c r="I770" s="1" t="s">
        <v>512</v>
      </c>
      <c r="J770" s="1" t="s">
        <v>512</v>
      </c>
      <c r="K770" s="1" t="s">
        <v>512</v>
      </c>
      <c r="L770" s="1" t="s">
        <v>512</v>
      </c>
      <c r="M770" s="1" t="s">
        <v>512</v>
      </c>
      <c r="N770" s="1" t="s">
        <v>512</v>
      </c>
      <c r="O770" s="1" t="s">
        <v>512</v>
      </c>
      <c r="Q770" s="1" t="s">
        <v>512</v>
      </c>
    </row>
    <row r="771" spans="2:17" x14ac:dyDescent="0.25">
      <c r="B771" s="95" t="s">
        <v>512</v>
      </c>
      <c r="D771" s="1" t="s">
        <v>512</v>
      </c>
      <c r="E771" s="21" t="s">
        <v>512</v>
      </c>
      <c r="F771" s="1" t="s">
        <v>512</v>
      </c>
      <c r="G771" s="1" t="s">
        <v>512</v>
      </c>
      <c r="H771" s="1" t="s">
        <v>512</v>
      </c>
      <c r="I771" s="1" t="s">
        <v>512</v>
      </c>
      <c r="J771" s="1" t="s">
        <v>512</v>
      </c>
      <c r="K771" s="1" t="s">
        <v>512</v>
      </c>
      <c r="L771" s="1" t="s">
        <v>512</v>
      </c>
      <c r="M771" s="1" t="s">
        <v>512</v>
      </c>
      <c r="N771" s="1" t="s">
        <v>512</v>
      </c>
      <c r="O771" s="1" t="s">
        <v>512</v>
      </c>
      <c r="Q771" s="1" t="s">
        <v>512</v>
      </c>
    </row>
    <row r="772" spans="2:17" x14ac:dyDescent="0.25">
      <c r="B772" s="95" t="s">
        <v>512</v>
      </c>
      <c r="D772" s="1" t="s">
        <v>512</v>
      </c>
      <c r="E772" s="21" t="s">
        <v>512</v>
      </c>
      <c r="F772" s="1" t="s">
        <v>512</v>
      </c>
      <c r="G772" s="1" t="s">
        <v>512</v>
      </c>
      <c r="H772" s="1" t="s">
        <v>512</v>
      </c>
      <c r="I772" s="1" t="s">
        <v>512</v>
      </c>
      <c r="J772" s="1" t="s">
        <v>512</v>
      </c>
      <c r="K772" s="1" t="s">
        <v>512</v>
      </c>
      <c r="L772" s="1" t="s">
        <v>512</v>
      </c>
      <c r="M772" s="1" t="s">
        <v>512</v>
      </c>
      <c r="N772" s="1" t="s">
        <v>512</v>
      </c>
      <c r="O772" s="1" t="s">
        <v>512</v>
      </c>
      <c r="Q772" s="1" t="s">
        <v>512</v>
      </c>
    </row>
    <row r="773" spans="2:17" x14ac:dyDescent="0.25">
      <c r="B773" s="95" t="s">
        <v>512</v>
      </c>
      <c r="D773" s="1" t="s">
        <v>512</v>
      </c>
      <c r="E773" s="21" t="s">
        <v>512</v>
      </c>
      <c r="F773" s="1" t="s">
        <v>512</v>
      </c>
      <c r="G773" s="1" t="s">
        <v>512</v>
      </c>
      <c r="H773" s="1" t="s">
        <v>512</v>
      </c>
      <c r="I773" s="1" t="s">
        <v>512</v>
      </c>
      <c r="J773" s="1" t="s">
        <v>512</v>
      </c>
      <c r="K773" s="1" t="s">
        <v>512</v>
      </c>
      <c r="L773" s="1" t="s">
        <v>512</v>
      </c>
      <c r="M773" s="1" t="s">
        <v>512</v>
      </c>
      <c r="N773" s="1" t="s">
        <v>512</v>
      </c>
      <c r="O773" s="1" t="s">
        <v>512</v>
      </c>
      <c r="Q773" s="1" t="s">
        <v>512</v>
      </c>
    </row>
    <row r="774" spans="2:17" x14ac:dyDescent="0.25">
      <c r="B774" s="95" t="s">
        <v>512</v>
      </c>
      <c r="D774" s="1" t="s">
        <v>512</v>
      </c>
      <c r="E774" s="21" t="s">
        <v>512</v>
      </c>
      <c r="F774" s="1" t="s">
        <v>512</v>
      </c>
      <c r="G774" s="1" t="s">
        <v>512</v>
      </c>
      <c r="H774" s="1" t="s">
        <v>512</v>
      </c>
      <c r="I774" s="1" t="s">
        <v>512</v>
      </c>
      <c r="J774" s="1" t="s">
        <v>512</v>
      </c>
      <c r="K774" s="1" t="s">
        <v>512</v>
      </c>
      <c r="L774" s="1" t="s">
        <v>512</v>
      </c>
      <c r="M774" s="1" t="s">
        <v>512</v>
      </c>
      <c r="N774" s="1" t="s">
        <v>512</v>
      </c>
      <c r="O774" s="1" t="s">
        <v>512</v>
      </c>
      <c r="Q774" s="1" t="s">
        <v>512</v>
      </c>
    </row>
    <row r="775" spans="2:17" x14ac:dyDescent="0.25">
      <c r="B775" s="95" t="s">
        <v>512</v>
      </c>
      <c r="D775" s="1" t="s">
        <v>512</v>
      </c>
      <c r="E775" s="21" t="s">
        <v>512</v>
      </c>
      <c r="F775" s="1" t="s">
        <v>512</v>
      </c>
      <c r="G775" s="1" t="s">
        <v>512</v>
      </c>
      <c r="H775" s="1" t="s">
        <v>512</v>
      </c>
      <c r="I775" s="1" t="s">
        <v>512</v>
      </c>
      <c r="J775" s="1" t="s">
        <v>512</v>
      </c>
      <c r="K775" s="1" t="s">
        <v>512</v>
      </c>
      <c r="L775" s="1" t="s">
        <v>512</v>
      </c>
      <c r="M775" s="1" t="s">
        <v>512</v>
      </c>
      <c r="N775" s="1" t="s">
        <v>512</v>
      </c>
      <c r="O775" s="1" t="s">
        <v>512</v>
      </c>
      <c r="Q775" s="1" t="s">
        <v>512</v>
      </c>
    </row>
    <row r="776" spans="2:17" x14ac:dyDescent="0.25">
      <c r="B776" s="95" t="s">
        <v>512</v>
      </c>
      <c r="D776" s="1" t="s">
        <v>512</v>
      </c>
      <c r="E776" s="21" t="s">
        <v>512</v>
      </c>
      <c r="F776" s="1" t="s">
        <v>512</v>
      </c>
      <c r="G776" s="1" t="s">
        <v>512</v>
      </c>
      <c r="H776" s="1" t="s">
        <v>512</v>
      </c>
      <c r="I776" s="1" t="s">
        <v>512</v>
      </c>
      <c r="J776" s="1" t="s">
        <v>512</v>
      </c>
      <c r="K776" s="1" t="s">
        <v>512</v>
      </c>
      <c r="L776" s="1" t="s">
        <v>512</v>
      </c>
      <c r="M776" s="1" t="s">
        <v>512</v>
      </c>
      <c r="N776" s="1" t="s">
        <v>512</v>
      </c>
      <c r="O776" s="1" t="s">
        <v>512</v>
      </c>
      <c r="Q776" s="1" t="s">
        <v>512</v>
      </c>
    </row>
    <row r="777" spans="2:17" x14ac:dyDescent="0.25">
      <c r="B777" s="95" t="s">
        <v>512</v>
      </c>
      <c r="D777" s="1" t="s">
        <v>512</v>
      </c>
      <c r="E777" s="21" t="s">
        <v>512</v>
      </c>
      <c r="F777" s="1" t="s">
        <v>512</v>
      </c>
      <c r="G777" s="1" t="s">
        <v>512</v>
      </c>
      <c r="H777" s="1" t="s">
        <v>512</v>
      </c>
      <c r="I777" s="1" t="s">
        <v>512</v>
      </c>
      <c r="J777" s="1" t="s">
        <v>512</v>
      </c>
      <c r="K777" s="1" t="s">
        <v>512</v>
      </c>
      <c r="L777" s="1" t="s">
        <v>512</v>
      </c>
      <c r="M777" s="1" t="s">
        <v>512</v>
      </c>
      <c r="N777" s="1" t="s">
        <v>512</v>
      </c>
      <c r="O777" s="1" t="s">
        <v>512</v>
      </c>
      <c r="Q777" s="1" t="s">
        <v>512</v>
      </c>
    </row>
    <row r="778" spans="2:17" x14ac:dyDescent="0.25">
      <c r="B778" s="95" t="s">
        <v>512</v>
      </c>
      <c r="D778" s="1" t="s">
        <v>512</v>
      </c>
      <c r="E778" s="21" t="s">
        <v>512</v>
      </c>
      <c r="F778" s="1" t="s">
        <v>512</v>
      </c>
      <c r="G778" s="1" t="s">
        <v>512</v>
      </c>
      <c r="H778" s="1" t="s">
        <v>512</v>
      </c>
      <c r="I778" s="1" t="s">
        <v>512</v>
      </c>
      <c r="J778" s="1" t="s">
        <v>512</v>
      </c>
      <c r="K778" s="1" t="s">
        <v>512</v>
      </c>
      <c r="L778" s="1" t="s">
        <v>512</v>
      </c>
      <c r="M778" s="1" t="s">
        <v>512</v>
      </c>
      <c r="N778" s="1" t="s">
        <v>512</v>
      </c>
      <c r="O778" s="1" t="s">
        <v>512</v>
      </c>
      <c r="Q778" s="1" t="s">
        <v>512</v>
      </c>
    </row>
    <row r="779" spans="2:17" x14ac:dyDescent="0.25">
      <c r="B779" s="95" t="s">
        <v>512</v>
      </c>
      <c r="D779" s="1" t="s">
        <v>512</v>
      </c>
      <c r="E779" s="21" t="s">
        <v>512</v>
      </c>
      <c r="F779" s="1" t="s">
        <v>512</v>
      </c>
      <c r="G779" s="1" t="s">
        <v>512</v>
      </c>
      <c r="H779" s="1" t="s">
        <v>512</v>
      </c>
      <c r="I779" s="1" t="s">
        <v>512</v>
      </c>
      <c r="J779" s="1" t="s">
        <v>512</v>
      </c>
      <c r="K779" s="1" t="s">
        <v>512</v>
      </c>
      <c r="L779" s="1" t="s">
        <v>512</v>
      </c>
      <c r="M779" s="1" t="s">
        <v>512</v>
      </c>
      <c r="N779" s="1" t="s">
        <v>512</v>
      </c>
      <c r="O779" s="1" t="s">
        <v>512</v>
      </c>
      <c r="Q779" s="1" t="s">
        <v>512</v>
      </c>
    </row>
    <row r="780" spans="2:17" x14ac:dyDescent="0.25">
      <c r="B780" s="95" t="s">
        <v>512</v>
      </c>
      <c r="D780" s="1" t="s">
        <v>512</v>
      </c>
      <c r="E780" s="21" t="s">
        <v>512</v>
      </c>
      <c r="F780" s="1" t="s">
        <v>512</v>
      </c>
      <c r="G780" s="1" t="s">
        <v>512</v>
      </c>
      <c r="H780" s="1" t="s">
        <v>512</v>
      </c>
      <c r="I780" s="1" t="s">
        <v>512</v>
      </c>
      <c r="J780" s="1" t="s">
        <v>512</v>
      </c>
      <c r="K780" s="1" t="s">
        <v>512</v>
      </c>
      <c r="L780" s="1" t="s">
        <v>512</v>
      </c>
      <c r="M780" s="1" t="s">
        <v>512</v>
      </c>
      <c r="N780" s="1" t="s">
        <v>512</v>
      </c>
      <c r="O780" s="1" t="s">
        <v>512</v>
      </c>
      <c r="Q780" s="1" t="s">
        <v>512</v>
      </c>
    </row>
    <row r="781" spans="2:17" x14ac:dyDescent="0.25">
      <c r="B781" s="95" t="s">
        <v>512</v>
      </c>
      <c r="D781" s="1" t="s">
        <v>512</v>
      </c>
      <c r="E781" s="21" t="s">
        <v>512</v>
      </c>
      <c r="F781" s="1" t="s">
        <v>512</v>
      </c>
      <c r="G781" s="1" t="s">
        <v>512</v>
      </c>
      <c r="H781" s="1" t="s">
        <v>512</v>
      </c>
      <c r="I781" s="1" t="s">
        <v>512</v>
      </c>
      <c r="J781" s="1" t="s">
        <v>512</v>
      </c>
      <c r="K781" s="1" t="s">
        <v>512</v>
      </c>
      <c r="L781" s="1" t="s">
        <v>512</v>
      </c>
      <c r="M781" s="1" t="s">
        <v>512</v>
      </c>
      <c r="N781" s="1" t="s">
        <v>512</v>
      </c>
      <c r="O781" s="1" t="s">
        <v>512</v>
      </c>
      <c r="Q781" s="1" t="s">
        <v>512</v>
      </c>
    </row>
    <row r="782" spans="2:17" x14ac:dyDescent="0.25">
      <c r="B782" s="95" t="s">
        <v>512</v>
      </c>
      <c r="D782" s="1" t="s">
        <v>512</v>
      </c>
      <c r="E782" s="21" t="s">
        <v>512</v>
      </c>
      <c r="F782" s="1" t="s">
        <v>512</v>
      </c>
      <c r="G782" s="1" t="s">
        <v>512</v>
      </c>
      <c r="H782" s="1" t="s">
        <v>512</v>
      </c>
      <c r="I782" s="1" t="s">
        <v>512</v>
      </c>
      <c r="J782" s="1" t="s">
        <v>512</v>
      </c>
      <c r="K782" s="1" t="s">
        <v>512</v>
      </c>
      <c r="L782" s="1" t="s">
        <v>512</v>
      </c>
      <c r="M782" s="1" t="s">
        <v>512</v>
      </c>
      <c r="N782" s="1" t="s">
        <v>512</v>
      </c>
      <c r="O782" s="1" t="s">
        <v>512</v>
      </c>
      <c r="Q782" s="1" t="s">
        <v>512</v>
      </c>
    </row>
    <row r="783" spans="2:17" x14ac:dyDescent="0.25">
      <c r="B783" s="95" t="s">
        <v>512</v>
      </c>
      <c r="D783" s="1" t="s">
        <v>512</v>
      </c>
      <c r="E783" s="21" t="s">
        <v>512</v>
      </c>
      <c r="F783" s="1" t="s">
        <v>512</v>
      </c>
      <c r="G783" s="1" t="s">
        <v>512</v>
      </c>
      <c r="H783" s="1" t="s">
        <v>512</v>
      </c>
      <c r="I783" s="1" t="s">
        <v>512</v>
      </c>
      <c r="J783" s="1" t="s">
        <v>512</v>
      </c>
      <c r="K783" s="1" t="s">
        <v>512</v>
      </c>
      <c r="L783" s="1" t="s">
        <v>512</v>
      </c>
      <c r="M783" s="1" t="s">
        <v>512</v>
      </c>
      <c r="N783" s="1" t="s">
        <v>512</v>
      </c>
      <c r="O783" s="1" t="s">
        <v>512</v>
      </c>
      <c r="Q783" s="1" t="s">
        <v>512</v>
      </c>
    </row>
    <row r="784" spans="2:17" x14ac:dyDescent="0.25">
      <c r="B784" s="95" t="s">
        <v>512</v>
      </c>
      <c r="D784" s="1" t="s">
        <v>512</v>
      </c>
      <c r="E784" s="21" t="s">
        <v>512</v>
      </c>
      <c r="F784" s="1" t="s">
        <v>512</v>
      </c>
      <c r="G784" s="1" t="s">
        <v>512</v>
      </c>
      <c r="H784" s="1" t="s">
        <v>512</v>
      </c>
      <c r="I784" s="1" t="s">
        <v>512</v>
      </c>
      <c r="J784" s="1" t="s">
        <v>512</v>
      </c>
      <c r="K784" s="1" t="s">
        <v>512</v>
      </c>
      <c r="L784" s="1" t="s">
        <v>512</v>
      </c>
      <c r="M784" s="1" t="s">
        <v>512</v>
      </c>
      <c r="N784" s="1" t="s">
        <v>512</v>
      </c>
      <c r="O784" s="1" t="s">
        <v>512</v>
      </c>
      <c r="Q784" s="1" t="s">
        <v>512</v>
      </c>
    </row>
    <row r="785" spans="2:17" x14ac:dyDescent="0.25">
      <c r="B785" s="95" t="s">
        <v>512</v>
      </c>
      <c r="D785" s="1" t="s">
        <v>512</v>
      </c>
      <c r="E785" s="21" t="s">
        <v>512</v>
      </c>
      <c r="F785" s="1" t="s">
        <v>512</v>
      </c>
      <c r="G785" s="1" t="s">
        <v>512</v>
      </c>
      <c r="H785" s="1" t="s">
        <v>512</v>
      </c>
      <c r="I785" s="1" t="s">
        <v>512</v>
      </c>
      <c r="J785" s="1" t="s">
        <v>512</v>
      </c>
      <c r="K785" s="1" t="s">
        <v>512</v>
      </c>
      <c r="L785" s="1" t="s">
        <v>512</v>
      </c>
      <c r="M785" s="1" t="s">
        <v>512</v>
      </c>
      <c r="N785" s="1" t="s">
        <v>512</v>
      </c>
      <c r="O785" s="1" t="s">
        <v>512</v>
      </c>
      <c r="Q785" s="1" t="s">
        <v>512</v>
      </c>
    </row>
    <row r="786" spans="2:17" x14ac:dyDescent="0.25">
      <c r="B786" s="95" t="s">
        <v>512</v>
      </c>
      <c r="D786" s="1" t="s">
        <v>512</v>
      </c>
      <c r="E786" s="21" t="s">
        <v>512</v>
      </c>
      <c r="F786" s="1" t="s">
        <v>512</v>
      </c>
      <c r="G786" s="1" t="s">
        <v>512</v>
      </c>
      <c r="H786" s="1" t="s">
        <v>512</v>
      </c>
      <c r="I786" s="1" t="s">
        <v>512</v>
      </c>
      <c r="J786" s="1" t="s">
        <v>512</v>
      </c>
      <c r="K786" s="1" t="s">
        <v>512</v>
      </c>
      <c r="L786" s="1" t="s">
        <v>512</v>
      </c>
      <c r="M786" s="1" t="s">
        <v>512</v>
      </c>
      <c r="N786" s="1" t="s">
        <v>512</v>
      </c>
      <c r="O786" s="1" t="s">
        <v>512</v>
      </c>
      <c r="Q786" s="1" t="s">
        <v>512</v>
      </c>
    </row>
    <row r="787" spans="2:17" x14ac:dyDescent="0.25">
      <c r="B787" s="95" t="s">
        <v>512</v>
      </c>
      <c r="D787" s="1" t="s">
        <v>512</v>
      </c>
      <c r="E787" s="21" t="s">
        <v>512</v>
      </c>
      <c r="F787" s="1" t="s">
        <v>512</v>
      </c>
      <c r="G787" s="1" t="s">
        <v>512</v>
      </c>
      <c r="H787" s="1" t="s">
        <v>512</v>
      </c>
      <c r="I787" s="1" t="s">
        <v>512</v>
      </c>
      <c r="J787" s="1" t="s">
        <v>512</v>
      </c>
      <c r="K787" s="1" t="s">
        <v>512</v>
      </c>
      <c r="L787" s="1" t="s">
        <v>512</v>
      </c>
      <c r="M787" s="1" t="s">
        <v>512</v>
      </c>
      <c r="N787" s="1" t="s">
        <v>512</v>
      </c>
      <c r="O787" s="1" t="s">
        <v>512</v>
      </c>
      <c r="Q787" s="1" t="s">
        <v>512</v>
      </c>
    </row>
    <row r="788" spans="2:17" x14ac:dyDescent="0.25">
      <c r="B788" s="95" t="s">
        <v>512</v>
      </c>
      <c r="D788" s="1" t="s">
        <v>512</v>
      </c>
      <c r="E788" s="21" t="s">
        <v>512</v>
      </c>
      <c r="F788" s="1" t="s">
        <v>512</v>
      </c>
      <c r="G788" s="1" t="s">
        <v>512</v>
      </c>
      <c r="H788" s="1" t="s">
        <v>512</v>
      </c>
      <c r="I788" s="1" t="s">
        <v>512</v>
      </c>
      <c r="J788" s="1" t="s">
        <v>512</v>
      </c>
      <c r="K788" s="1" t="s">
        <v>512</v>
      </c>
      <c r="L788" s="1" t="s">
        <v>512</v>
      </c>
      <c r="M788" s="1" t="s">
        <v>512</v>
      </c>
      <c r="N788" s="1" t="s">
        <v>512</v>
      </c>
      <c r="O788" s="1" t="s">
        <v>512</v>
      </c>
      <c r="Q788" s="1" t="s">
        <v>512</v>
      </c>
    </row>
    <row r="789" spans="2:17" x14ac:dyDescent="0.25">
      <c r="B789" s="95" t="s">
        <v>512</v>
      </c>
      <c r="D789" s="1" t="s">
        <v>512</v>
      </c>
      <c r="E789" s="21" t="s">
        <v>512</v>
      </c>
      <c r="F789" s="1" t="s">
        <v>512</v>
      </c>
      <c r="G789" s="1" t="s">
        <v>512</v>
      </c>
      <c r="H789" s="1" t="s">
        <v>512</v>
      </c>
      <c r="I789" s="1" t="s">
        <v>512</v>
      </c>
      <c r="J789" s="1" t="s">
        <v>512</v>
      </c>
      <c r="K789" s="1" t="s">
        <v>512</v>
      </c>
      <c r="L789" s="1" t="s">
        <v>512</v>
      </c>
      <c r="M789" s="1" t="s">
        <v>512</v>
      </c>
      <c r="N789" s="1" t="s">
        <v>512</v>
      </c>
      <c r="O789" s="1" t="s">
        <v>512</v>
      </c>
      <c r="Q789" s="1" t="s">
        <v>512</v>
      </c>
    </row>
    <row r="790" spans="2:17" x14ac:dyDescent="0.25">
      <c r="B790" s="95" t="s">
        <v>512</v>
      </c>
      <c r="D790" s="1" t="s">
        <v>512</v>
      </c>
      <c r="E790" s="21" t="s">
        <v>512</v>
      </c>
      <c r="F790" s="1" t="s">
        <v>512</v>
      </c>
      <c r="G790" s="1" t="s">
        <v>512</v>
      </c>
      <c r="H790" s="1" t="s">
        <v>512</v>
      </c>
      <c r="I790" s="1" t="s">
        <v>512</v>
      </c>
      <c r="J790" s="1" t="s">
        <v>512</v>
      </c>
      <c r="K790" s="1" t="s">
        <v>512</v>
      </c>
      <c r="L790" s="1" t="s">
        <v>512</v>
      </c>
      <c r="M790" s="1" t="s">
        <v>512</v>
      </c>
      <c r="N790" s="1" t="s">
        <v>512</v>
      </c>
      <c r="O790" s="1" t="s">
        <v>512</v>
      </c>
      <c r="Q790" s="1" t="s">
        <v>512</v>
      </c>
    </row>
    <row r="791" spans="2:17" x14ac:dyDescent="0.25">
      <c r="B791" s="95" t="s">
        <v>512</v>
      </c>
      <c r="D791" s="1" t="s">
        <v>512</v>
      </c>
      <c r="E791" s="21" t="s">
        <v>512</v>
      </c>
      <c r="F791" s="1" t="s">
        <v>512</v>
      </c>
      <c r="G791" s="1" t="s">
        <v>512</v>
      </c>
      <c r="H791" s="1" t="s">
        <v>512</v>
      </c>
      <c r="I791" s="1" t="s">
        <v>512</v>
      </c>
      <c r="J791" s="1" t="s">
        <v>512</v>
      </c>
      <c r="K791" s="1" t="s">
        <v>512</v>
      </c>
      <c r="L791" s="1" t="s">
        <v>512</v>
      </c>
      <c r="M791" s="1" t="s">
        <v>512</v>
      </c>
      <c r="N791" s="1" t="s">
        <v>512</v>
      </c>
      <c r="O791" s="1" t="s">
        <v>512</v>
      </c>
      <c r="Q791" s="1" t="s">
        <v>512</v>
      </c>
    </row>
    <row r="792" spans="2:17" x14ac:dyDescent="0.25">
      <c r="B792" s="95" t="s">
        <v>512</v>
      </c>
      <c r="D792" s="1" t="s">
        <v>512</v>
      </c>
      <c r="E792" s="21" t="s">
        <v>512</v>
      </c>
      <c r="F792" s="1" t="s">
        <v>512</v>
      </c>
      <c r="G792" s="1" t="s">
        <v>512</v>
      </c>
      <c r="H792" s="1" t="s">
        <v>512</v>
      </c>
      <c r="I792" s="1" t="s">
        <v>512</v>
      </c>
      <c r="J792" s="1" t="s">
        <v>512</v>
      </c>
      <c r="K792" s="1" t="s">
        <v>512</v>
      </c>
      <c r="L792" s="1" t="s">
        <v>512</v>
      </c>
      <c r="M792" s="1" t="s">
        <v>512</v>
      </c>
      <c r="N792" s="1" t="s">
        <v>512</v>
      </c>
      <c r="O792" s="1" t="s">
        <v>512</v>
      </c>
      <c r="Q792" s="1" t="s">
        <v>512</v>
      </c>
    </row>
    <row r="793" spans="2:17" x14ac:dyDescent="0.25">
      <c r="B793" s="95" t="s">
        <v>512</v>
      </c>
      <c r="D793" s="1" t="s">
        <v>512</v>
      </c>
      <c r="E793" s="21" t="s">
        <v>512</v>
      </c>
      <c r="F793" s="1" t="s">
        <v>512</v>
      </c>
      <c r="G793" s="1" t="s">
        <v>512</v>
      </c>
      <c r="H793" s="1" t="s">
        <v>512</v>
      </c>
      <c r="I793" s="1" t="s">
        <v>512</v>
      </c>
      <c r="J793" s="1" t="s">
        <v>512</v>
      </c>
      <c r="K793" s="1" t="s">
        <v>512</v>
      </c>
      <c r="L793" s="1" t="s">
        <v>512</v>
      </c>
      <c r="M793" s="1" t="s">
        <v>512</v>
      </c>
      <c r="N793" s="1" t="s">
        <v>512</v>
      </c>
      <c r="O793" s="1" t="s">
        <v>512</v>
      </c>
      <c r="Q793" s="1" t="s">
        <v>512</v>
      </c>
    </row>
    <row r="794" spans="2:17" x14ac:dyDescent="0.25">
      <c r="B794" s="95" t="s">
        <v>512</v>
      </c>
      <c r="D794" s="1" t="s">
        <v>512</v>
      </c>
      <c r="E794" s="21" t="s">
        <v>512</v>
      </c>
      <c r="F794" s="1" t="s">
        <v>512</v>
      </c>
      <c r="G794" s="1" t="s">
        <v>512</v>
      </c>
      <c r="H794" s="1" t="s">
        <v>512</v>
      </c>
      <c r="I794" s="1" t="s">
        <v>512</v>
      </c>
      <c r="J794" s="1" t="s">
        <v>512</v>
      </c>
      <c r="K794" s="1" t="s">
        <v>512</v>
      </c>
      <c r="L794" s="1" t="s">
        <v>512</v>
      </c>
      <c r="M794" s="1" t="s">
        <v>512</v>
      </c>
      <c r="N794" s="1" t="s">
        <v>512</v>
      </c>
      <c r="O794" s="1" t="s">
        <v>512</v>
      </c>
      <c r="Q794" s="1" t="s">
        <v>512</v>
      </c>
    </row>
    <row r="795" spans="2:17" x14ac:dyDescent="0.25">
      <c r="B795" s="95" t="s">
        <v>512</v>
      </c>
      <c r="D795" s="1" t="s">
        <v>512</v>
      </c>
      <c r="E795" s="21" t="s">
        <v>512</v>
      </c>
      <c r="F795" s="1" t="s">
        <v>512</v>
      </c>
      <c r="G795" s="1" t="s">
        <v>512</v>
      </c>
      <c r="H795" s="1" t="s">
        <v>512</v>
      </c>
      <c r="I795" s="1" t="s">
        <v>512</v>
      </c>
      <c r="J795" s="1" t="s">
        <v>512</v>
      </c>
      <c r="K795" s="1" t="s">
        <v>512</v>
      </c>
      <c r="L795" s="1" t="s">
        <v>512</v>
      </c>
      <c r="M795" s="1" t="s">
        <v>512</v>
      </c>
      <c r="N795" s="1" t="s">
        <v>512</v>
      </c>
      <c r="O795" s="1" t="s">
        <v>512</v>
      </c>
      <c r="Q795" s="1" t="s">
        <v>512</v>
      </c>
    </row>
    <row r="796" spans="2:17" x14ac:dyDescent="0.25">
      <c r="B796" s="95" t="s">
        <v>512</v>
      </c>
      <c r="D796" s="1" t="s">
        <v>512</v>
      </c>
      <c r="E796" s="21" t="s">
        <v>512</v>
      </c>
      <c r="F796" s="1" t="s">
        <v>512</v>
      </c>
      <c r="G796" s="1" t="s">
        <v>512</v>
      </c>
      <c r="H796" s="1" t="s">
        <v>512</v>
      </c>
      <c r="I796" s="1" t="s">
        <v>512</v>
      </c>
      <c r="J796" s="1" t="s">
        <v>512</v>
      </c>
      <c r="K796" s="1" t="s">
        <v>512</v>
      </c>
      <c r="L796" s="1" t="s">
        <v>512</v>
      </c>
      <c r="M796" s="1" t="s">
        <v>512</v>
      </c>
      <c r="N796" s="1" t="s">
        <v>512</v>
      </c>
      <c r="O796" s="1" t="s">
        <v>512</v>
      </c>
      <c r="Q796" s="1" t="s">
        <v>512</v>
      </c>
    </row>
    <row r="797" spans="2:17" x14ac:dyDescent="0.25">
      <c r="B797" s="95" t="s">
        <v>512</v>
      </c>
      <c r="D797" s="1" t="s">
        <v>512</v>
      </c>
      <c r="E797" s="21" t="s">
        <v>512</v>
      </c>
      <c r="F797" s="1" t="s">
        <v>512</v>
      </c>
      <c r="G797" s="1" t="s">
        <v>512</v>
      </c>
      <c r="H797" s="1" t="s">
        <v>512</v>
      </c>
      <c r="I797" s="1" t="s">
        <v>512</v>
      </c>
      <c r="J797" s="1" t="s">
        <v>512</v>
      </c>
      <c r="K797" s="1" t="s">
        <v>512</v>
      </c>
      <c r="L797" s="1" t="s">
        <v>512</v>
      </c>
      <c r="M797" s="1" t="s">
        <v>512</v>
      </c>
      <c r="N797" s="1" t="s">
        <v>512</v>
      </c>
      <c r="O797" s="1" t="s">
        <v>512</v>
      </c>
      <c r="Q797" s="1" t="s">
        <v>512</v>
      </c>
    </row>
    <row r="798" spans="2:17" x14ac:dyDescent="0.25">
      <c r="B798" s="95" t="s">
        <v>512</v>
      </c>
      <c r="D798" s="1" t="s">
        <v>512</v>
      </c>
      <c r="E798" s="21" t="s">
        <v>512</v>
      </c>
      <c r="F798" s="1" t="s">
        <v>512</v>
      </c>
      <c r="G798" s="1" t="s">
        <v>512</v>
      </c>
      <c r="H798" s="1" t="s">
        <v>512</v>
      </c>
      <c r="I798" s="1" t="s">
        <v>512</v>
      </c>
      <c r="J798" s="1" t="s">
        <v>512</v>
      </c>
      <c r="K798" s="1" t="s">
        <v>512</v>
      </c>
      <c r="L798" s="1" t="s">
        <v>512</v>
      </c>
      <c r="M798" s="1" t="s">
        <v>512</v>
      </c>
      <c r="N798" s="1" t="s">
        <v>512</v>
      </c>
      <c r="O798" s="1" t="s">
        <v>512</v>
      </c>
      <c r="Q798" s="1" t="s">
        <v>512</v>
      </c>
    </row>
    <row r="799" spans="2:17" x14ac:dyDescent="0.25">
      <c r="B799" s="95" t="s">
        <v>512</v>
      </c>
      <c r="D799" s="1" t="s">
        <v>512</v>
      </c>
      <c r="E799" s="21" t="s">
        <v>512</v>
      </c>
      <c r="F799" s="1" t="s">
        <v>512</v>
      </c>
      <c r="G799" s="1" t="s">
        <v>512</v>
      </c>
      <c r="H799" s="1" t="s">
        <v>512</v>
      </c>
      <c r="I799" s="1" t="s">
        <v>512</v>
      </c>
      <c r="J799" s="1" t="s">
        <v>512</v>
      </c>
      <c r="K799" s="1" t="s">
        <v>512</v>
      </c>
      <c r="L799" s="1" t="s">
        <v>512</v>
      </c>
      <c r="M799" s="1" t="s">
        <v>512</v>
      </c>
      <c r="N799" s="1" t="s">
        <v>512</v>
      </c>
      <c r="O799" s="1" t="s">
        <v>512</v>
      </c>
      <c r="Q799" s="1" t="s">
        <v>512</v>
      </c>
    </row>
    <row r="800" spans="2:17" x14ac:dyDescent="0.25">
      <c r="B800" s="95" t="s">
        <v>512</v>
      </c>
      <c r="D800" s="1" t="s">
        <v>512</v>
      </c>
      <c r="E800" s="21" t="s">
        <v>512</v>
      </c>
      <c r="F800" s="1" t="s">
        <v>512</v>
      </c>
      <c r="G800" s="1" t="s">
        <v>512</v>
      </c>
      <c r="H800" s="1" t="s">
        <v>512</v>
      </c>
      <c r="I800" s="1" t="s">
        <v>512</v>
      </c>
      <c r="J800" s="1" t="s">
        <v>512</v>
      </c>
      <c r="K800" s="1" t="s">
        <v>512</v>
      </c>
      <c r="L800" s="1" t="s">
        <v>512</v>
      </c>
      <c r="M800" s="1" t="s">
        <v>512</v>
      </c>
      <c r="N800" s="1" t="s">
        <v>512</v>
      </c>
      <c r="O800" s="1" t="s">
        <v>512</v>
      </c>
      <c r="Q800" s="1" t="s">
        <v>512</v>
      </c>
    </row>
    <row r="801" spans="2:17" x14ac:dyDescent="0.25">
      <c r="B801" s="95" t="s">
        <v>512</v>
      </c>
      <c r="D801" s="1" t="s">
        <v>512</v>
      </c>
      <c r="E801" s="21" t="s">
        <v>512</v>
      </c>
      <c r="F801" s="1" t="s">
        <v>512</v>
      </c>
      <c r="G801" s="1" t="s">
        <v>512</v>
      </c>
      <c r="H801" s="1" t="s">
        <v>512</v>
      </c>
      <c r="I801" s="1" t="s">
        <v>512</v>
      </c>
      <c r="J801" s="1" t="s">
        <v>512</v>
      </c>
      <c r="K801" s="1" t="s">
        <v>512</v>
      </c>
      <c r="L801" s="1" t="s">
        <v>512</v>
      </c>
      <c r="M801" s="1" t="s">
        <v>512</v>
      </c>
      <c r="N801" s="1" t="s">
        <v>512</v>
      </c>
      <c r="O801" s="1" t="s">
        <v>512</v>
      </c>
      <c r="Q801" s="1" t="s">
        <v>512</v>
      </c>
    </row>
    <row r="802" spans="2:17" x14ac:dyDescent="0.25">
      <c r="B802" s="95" t="s">
        <v>512</v>
      </c>
      <c r="D802" s="1" t="s">
        <v>512</v>
      </c>
      <c r="E802" s="21" t="s">
        <v>512</v>
      </c>
      <c r="F802" s="1" t="s">
        <v>512</v>
      </c>
      <c r="G802" s="1" t="s">
        <v>512</v>
      </c>
      <c r="H802" s="1" t="s">
        <v>512</v>
      </c>
      <c r="I802" s="1" t="s">
        <v>512</v>
      </c>
      <c r="J802" s="1" t="s">
        <v>512</v>
      </c>
      <c r="K802" s="1" t="s">
        <v>512</v>
      </c>
      <c r="L802" s="1" t="s">
        <v>512</v>
      </c>
      <c r="M802" s="1" t="s">
        <v>512</v>
      </c>
      <c r="N802" s="1" t="s">
        <v>512</v>
      </c>
      <c r="O802" s="1" t="s">
        <v>512</v>
      </c>
      <c r="Q802" s="1" t="s">
        <v>512</v>
      </c>
    </row>
    <row r="803" spans="2:17" x14ac:dyDescent="0.25">
      <c r="B803" s="95" t="s">
        <v>512</v>
      </c>
      <c r="D803" s="1" t="s">
        <v>512</v>
      </c>
      <c r="E803" s="21" t="s">
        <v>512</v>
      </c>
      <c r="F803" s="1" t="s">
        <v>512</v>
      </c>
      <c r="G803" s="1" t="s">
        <v>512</v>
      </c>
      <c r="H803" s="1" t="s">
        <v>512</v>
      </c>
      <c r="I803" s="1" t="s">
        <v>512</v>
      </c>
      <c r="J803" s="1" t="s">
        <v>512</v>
      </c>
      <c r="K803" s="1" t="s">
        <v>512</v>
      </c>
      <c r="L803" s="1" t="s">
        <v>512</v>
      </c>
      <c r="M803" s="1" t="s">
        <v>512</v>
      </c>
      <c r="N803" s="1" t="s">
        <v>512</v>
      </c>
      <c r="O803" s="1" t="s">
        <v>512</v>
      </c>
      <c r="Q803" s="1" t="s">
        <v>512</v>
      </c>
    </row>
    <row r="804" spans="2:17" x14ac:dyDescent="0.25">
      <c r="B804" s="95" t="s">
        <v>512</v>
      </c>
      <c r="D804" s="1" t="s">
        <v>512</v>
      </c>
      <c r="E804" s="21" t="s">
        <v>512</v>
      </c>
      <c r="F804" s="1" t="s">
        <v>512</v>
      </c>
      <c r="G804" s="1" t="s">
        <v>512</v>
      </c>
      <c r="H804" s="1" t="s">
        <v>512</v>
      </c>
      <c r="I804" s="1" t="s">
        <v>512</v>
      </c>
      <c r="J804" s="1" t="s">
        <v>512</v>
      </c>
      <c r="K804" s="1" t="s">
        <v>512</v>
      </c>
      <c r="L804" s="1" t="s">
        <v>512</v>
      </c>
      <c r="M804" s="1" t="s">
        <v>512</v>
      </c>
      <c r="N804" s="1" t="s">
        <v>512</v>
      </c>
      <c r="O804" s="1" t="s">
        <v>512</v>
      </c>
      <c r="Q804" s="1" t="s">
        <v>512</v>
      </c>
    </row>
    <row r="805" spans="2:17" x14ac:dyDescent="0.25">
      <c r="B805" s="95" t="s">
        <v>512</v>
      </c>
      <c r="D805" s="1" t="s">
        <v>512</v>
      </c>
      <c r="E805" s="21" t="s">
        <v>512</v>
      </c>
      <c r="F805" s="1" t="s">
        <v>512</v>
      </c>
      <c r="G805" s="1" t="s">
        <v>512</v>
      </c>
      <c r="H805" s="1" t="s">
        <v>512</v>
      </c>
      <c r="I805" s="1" t="s">
        <v>512</v>
      </c>
      <c r="J805" s="1" t="s">
        <v>512</v>
      </c>
      <c r="K805" s="1" t="s">
        <v>512</v>
      </c>
      <c r="L805" s="1" t="s">
        <v>512</v>
      </c>
      <c r="M805" s="1" t="s">
        <v>512</v>
      </c>
      <c r="N805" s="1" t="s">
        <v>512</v>
      </c>
      <c r="O805" s="1" t="s">
        <v>512</v>
      </c>
      <c r="Q805" s="1" t="s">
        <v>512</v>
      </c>
    </row>
    <row r="806" spans="2:17" x14ac:dyDescent="0.25">
      <c r="B806" s="95" t="s">
        <v>512</v>
      </c>
      <c r="D806" s="1" t="s">
        <v>512</v>
      </c>
      <c r="E806" s="21" t="s">
        <v>512</v>
      </c>
      <c r="F806" s="1" t="s">
        <v>512</v>
      </c>
      <c r="G806" s="1" t="s">
        <v>512</v>
      </c>
      <c r="H806" s="1" t="s">
        <v>512</v>
      </c>
      <c r="I806" s="1" t="s">
        <v>512</v>
      </c>
      <c r="J806" s="1" t="s">
        <v>512</v>
      </c>
      <c r="K806" s="1" t="s">
        <v>512</v>
      </c>
      <c r="L806" s="1" t="s">
        <v>512</v>
      </c>
      <c r="M806" s="1" t="s">
        <v>512</v>
      </c>
      <c r="N806" s="1" t="s">
        <v>512</v>
      </c>
      <c r="O806" s="1" t="s">
        <v>512</v>
      </c>
      <c r="Q806" s="1" t="s">
        <v>512</v>
      </c>
    </row>
    <row r="807" spans="2:17" x14ac:dyDescent="0.25">
      <c r="B807" s="95" t="s">
        <v>512</v>
      </c>
      <c r="D807" s="1" t="s">
        <v>512</v>
      </c>
      <c r="E807" s="21" t="s">
        <v>512</v>
      </c>
      <c r="F807" s="1" t="s">
        <v>512</v>
      </c>
      <c r="G807" s="1" t="s">
        <v>512</v>
      </c>
      <c r="H807" s="1" t="s">
        <v>512</v>
      </c>
      <c r="I807" s="1" t="s">
        <v>512</v>
      </c>
      <c r="J807" s="1" t="s">
        <v>512</v>
      </c>
      <c r="K807" s="1" t="s">
        <v>512</v>
      </c>
      <c r="L807" s="1" t="s">
        <v>512</v>
      </c>
      <c r="M807" s="1" t="s">
        <v>512</v>
      </c>
      <c r="N807" s="1" t="s">
        <v>512</v>
      </c>
      <c r="O807" s="1" t="s">
        <v>512</v>
      </c>
      <c r="Q807" s="1" t="s">
        <v>512</v>
      </c>
    </row>
    <row r="808" spans="2:17" x14ac:dyDescent="0.25">
      <c r="B808" s="95" t="s">
        <v>512</v>
      </c>
      <c r="D808" s="1" t="s">
        <v>512</v>
      </c>
      <c r="E808" s="21" t="s">
        <v>512</v>
      </c>
      <c r="F808" s="1" t="s">
        <v>512</v>
      </c>
      <c r="G808" s="1" t="s">
        <v>512</v>
      </c>
      <c r="H808" s="1" t="s">
        <v>512</v>
      </c>
      <c r="I808" s="1" t="s">
        <v>512</v>
      </c>
      <c r="J808" s="1" t="s">
        <v>512</v>
      </c>
      <c r="K808" s="1" t="s">
        <v>512</v>
      </c>
      <c r="L808" s="1" t="s">
        <v>512</v>
      </c>
      <c r="M808" s="1" t="s">
        <v>512</v>
      </c>
      <c r="N808" s="1" t="s">
        <v>512</v>
      </c>
      <c r="O808" s="1" t="s">
        <v>512</v>
      </c>
      <c r="Q808" s="1" t="s">
        <v>512</v>
      </c>
    </row>
    <row r="809" spans="2:17" x14ac:dyDescent="0.25">
      <c r="B809" s="95" t="s">
        <v>512</v>
      </c>
      <c r="D809" s="1" t="s">
        <v>512</v>
      </c>
      <c r="E809" s="21" t="s">
        <v>512</v>
      </c>
      <c r="F809" s="1" t="s">
        <v>512</v>
      </c>
      <c r="G809" s="1" t="s">
        <v>512</v>
      </c>
      <c r="H809" s="1" t="s">
        <v>512</v>
      </c>
      <c r="I809" s="1" t="s">
        <v>512</v>
      </c>
      <c r="J809" s="1" t="s">
        <v>512</v>
      </c>
      <c r="K809" s="1" t="s">
        <v>512</v>
      </c>
      <c r="L809" s="1" t="s">
        <v>512</v>
      </c>
      <c r="M809" s="1" t="s">
        <v>512</v>
      </c>
      <c r="N809" s="1" t="s">
        <v>512</v>
      </c>
      <c r="O809" s="1" t="s">
        <v>512</v>
      </c>
      <c r="Q809" s="1" t="s">
        <v>512</v>
      </c>
    </row>
    <row r="810" spans="2:17" x14ac:dyDescent="0.25">
      <c r="B810" s="95" t="s">
        <v>512</v>
      </c>
      <c r="D810" s="1" t="s">
        <v>512</v>
      </c>
      <c r="E810" s="21" t="s">
        <v>512</v>
      </c>
      <c r="F810" s="1" t="s">
        <v>512</v>
      </c>
      <c r="G810" s="1" t="s">
        <v>512</v>
      </c>
      <c r="H810" s="1" t="s">
        <v>512</v>
      </c>
      <c r="I810" s="1" t="s">
        <v>512</v>
      </c>
      <c r="J810" s="1" t="s">
        <v>512</v>
      </c>
      <c r="K810" s="1" t="s">
        <v>512</v>
      </c>
      <c r="L810" s="1" t="s">
        <v>512</v>
      </c>
      <c r="M810" s="1" t="s">
        <v>512</v>
      </c>
      <c r="N810" s="1" t="s">
        <v>512</v>
      </c>
      <c r="O810" s="1" t="s">
        <v>512</v>
      </c>
      <c r="Q810" s="1" t="s">
        <v>512</v>
      </c>
    </row>
    <row r="811" spans="2:17" x14ac:dyDescent="0.25">
      <c r="B811" s="95" t="s">
        <v>512</v>
      </c>
      <c r="D811" s="1" t="s">
        <v>512</v>
      </c>
      <c r="E811" s="21" t="s">
        <v>512</v>
      </c>
      <c r="F811" s="1" t="s">
        <v>512</v>
      </c>
      <c r="G811" s="1" t="s">
        <v>512</v>
      </c>
      <c r="H811" s="1" t="s">
        <v>512</v>
      </c>
      <c r="I811" s="1" t="s">
        <v>512</v>
      </c>
      <c r="J811" s="1" t="s">
        <v>512</v>
      </c>
      <c r="K811" s="1" t="s">
        <v>512</v>
      </c>
      <c r="L811" s="1" t="s">
        <v>512</v>
      </c>
      <c r="M811" s="1" t="s">
        <v>512</v>
      </c>
      <c r="N811" s="1" t="s">
        <v>512</v>
      </c>
      <c r="O811" s="1" t="s">
        <v>512</v>
      </c>
      <c r="Q811" s="1" t="s">
        <v>512</v>
      </c>
    </row>
    <row r="812" spans="2:17" x14ac:dyDescent="0.25">
      <c r="B812" s="95" t="s">
        <v>512</v>
      </c>
      <c r="D812" s="1" t="s">
        <v>512</v>
      </c>
      <c r="E812" s="21" t="s">
        <v>512</v>
      </c>
      <c r="F812" s="1" t="s">
        <v>512</v>
      </c>
      <c r="G812" s="1" t="s">
        <v>512</v>
      </c>
      <c r="H812" s="1" t="s">
        <v>512</v>
      </c>
      <c r="I812" s="1" t="s">
        <v>512</v>
      </c>
      <c r="J812" s="1" t="s">
        <v>512</v>
      </c>
      <c r="K812" s="1" t="s">
        <v>512</v>
      </c>
      <c r="L812" s="1" t="s">
        <v>512</v>
      </c>
      <c r="M812" s="1" t="s">
        <v>512</v>
      </c>
      <c r="N812" s="1" t="s">
        <v>512</v>
      </c>
      <c r="O812" s="1" t="s">
        <v>512</v>
      </c>
      <c r="Q812" s="1" t="s">
        <v>512</v>
      </c>
    </row>
    <row r="813" spans="2:17" x14ac:dyDescent="0.25">
      <c r="B813" s="95" t="s">
        <v>512</v>
      </c>
      <c r="D813" s="1" t="s">
        <v>512</v>
      </c>
      <c r="E813" s="21" t="s">
        <v>512</v>
      </c>
      <c r="F813" s="1" t="s">
        <v>512</v>
      </c>
      <c r="G813" s="1" t="s">
        <v>512</v>
      </c>
      <c r="H813" s="1" t="s">
        <v>512</v>
      </c>
      <c r="I813" s="1" t="s">
        <v>512</v>
      </c>
      <c r="J813" s="1" t="s">
        <v>512</v>
      </c>
      <c r="K813" s="1" t="s">
        <v>512</v>
      </c>
      <c r="L813" s="1" t="s">
        <v>512</v>
      </c>
      <c r="M813" s="1" t="s">
        <v>512</v>
      </c>
      <c r="N813" s="1" t="s">
        <v>512</v>
      </c>
      <c r="O813" s="1" t="s">
        <v>512</v>
      </c>
      <c r="Q813" s="1" t="s">
        <v>512</v>
      </c>
    </row>
    <row r="814" spans="2:17" x14ac:dyDescent="0.25">
      <c r="B814" s="95" t="s">
        <v>512</v>
      </c>
      <c r="D814" s="1" t="s">
        <v>512</v>
      </c>
      <c r="E814" s="21" t="s">
        <v>512</v>
      </c>
      <c r="F814" s="1" t="s">
        <v>512</v>
      </c>
      <c r="G814" s="1" t="s">
        <v>512</v>
      </c>
      <c r="H814" s="1" t="s">
        <v>512</v>
      </c>
      <c r="I814" s="1" t="s">
        <v>512</v>
      </c>
      <c r="J814" s="1" t="s">
        <v>512</v>
      </c>
      <c r="K814" s="1" t="s">
        <v>512</v>
      </c>
      <c r="L814" s="1" t="s">
        <v>512</v>
      </c>
      <c r="M814" s="1" t="s">
        <v>512</v>
      </c>
      <c r="N814" s="1" t="s">
        <v>512</v>
      </c>
      <c r="O814" s="1" t="s">
        <v>512</v>
      </c>
      <c r="Q814" s="1" t="s">
        <v>512</v>
      </c>
    </row>
    <row r="815" spans="2:17" x14ac:dyDescent="0.25">
      <c r="B815" s="95" t="s">
        <v>512</v>
      </c>
      <c r="D815" s="1" t="s">
        <v>512</v>
      </c>
      <c r="E815" s="21" t="s">
        <v>512</v>
      </c>
      <c r="F815" s="1" t="s">
        <v>512</v>
      </c>
      <c r="G815" s="1" t="s">
        <v>512</v>
      </c>
      <c r="H815" s="1" t="s">
        <v>512</v>
      </c>
      <c r="I815" s="1" t="s">
        <v>512</v>
      </c>
      <c r="J815" s="1" t="s">
        <v>512</v>
      </c>
      <c r="K815" s="1" t="s">
        <v>512</v>
      </c>
      <c r="L815" s="1" t="s">
        <v>512</v>
      </c>
      <c r="M815" s="1" t="s">
        <v>512</v>
      </c>
      <c r="N815" s="1" t="s">
        <v>512</v>
      </c>
      <c r="O815" s="1" t="s">
        <v>512</v>
      </c>
      <c r="Q815" s="1" t="s">
        <v>512</v>
      </c>
    </row>
    <row r="816" spans="2:17" x14ac:dyDescent="0.25">
      <c r="B816" s="95" t="s">
        <v>512</v>
      </c>
      <c r="D816" s="1" t="s">
        <v>512</v>
      </c>
      <c r="E816" s="21" t="s">
        <v>512</v>
      </c>
      <c r="F816" s="1" t="s">
        <v>512</v>
      </c>
      <c r="G816" s="1" t="s">
        <v>512</v>
      </c>
      <c r="H816" s="1" t="s">
        <v>512</v>
      </c>
      <c r="I816" s="1" t="s">
        <v>512</v>
      </c>
      <c r="J816" s="1" t="s">
        <v>512</v>
      </c>
      <c r="K816" s="1" t="s">
        <v>512</v>
      </c>
      <c r="L816" s="1" t="s">
        <v>512</v>
      </c>
      <c r="M816" s="1" t="s">
        <v>512</v>
      </c>
      <c r="N816" s="1" t="s">
        <v>512</v>
      </c>
      <c r="O816" s="1" t="s">
        <v>512</v>
      </c>
      <c r="Q816" s="1" t="s">
        <v>512</v>
      </c>
    </row>
    <row r="817" spans="2:17" x14ac:dyDescent="0.25">
      <c r="B817" s="95" t="s">
        <v>512</v>
      </c>
      <c r="D817" s="1" t="s">
        <v>512</v>
      </c>
      <c r="E817" s="21" t="s">
        <v>512</v>
      </c>
      <c r="F817" s="1" t="s">
        <v>512</v>
      </c>
      <c r="G817" s="1" t="s">
        <v>512</v>
      </c>
      <c r="H817" s="1" t="s">
        <v>512</v>
      </c>
      <c r="I817" s="1" t="s">
        <v>512</v>
      </c>
      <c r="J817" s="1" t="s">
        <v>512</v>
      </c>
      <c r="K817" s="1" t="s">
        <v>512</v>
      </c>
      <c r="L817" s="1" t="s">
        <v>512</v>
      </c>
      <c r="M817" s="1" t="s">
        <v>512</v>
      </c>
      <c r="N817" s="1" t="s">
        <v>512</v>
      </c>
      <c r="O817" s="1" t="s">
        <v>512</v>
      </c>
      <c r="Q817" s="1" t="s">
        <v>512</v>
      </c>
    </row>
    <row r="818" spans="2:17" x14ac:dyDescent="0.25">
      <c r="B818" s="95" t="s">
        <v>512</v>
      </c>
      <c r="D818" s="1" t="s">
        <v>512</v>
      </c>
      <c r="E818" s="21" t="s">
        <v>512</v>
      </c>
      <c r="F818" s="1" t="s">
        <v>512</v>
      </c>
      <c r="G818" s="1" t="s">
        <v>512</v>
      </c>
      <c r="H818" s="1" t="s">
        <v>512</v>
      </c>
      <c r="I818" s="1" t="s">
        <v>512</v>
      </c>
      <c r="J818" s="1" t="s">
        <v>512</v>
      </c>
      <c r="K818" s="1" t="s">
        <v>512</v>
      </c>
      <c r="L818" s="1" t="s">
        <v>512</v>
      </c>
      <c r="M818" s="1" t="s">
        <v>512</v>
      </c>
      <c r="N818" s="1" t="s">
        <v>512</v>
      </c>
      <c r="O818" s="1" t="s">
        <v>512</v>
      </c>
      <c r="Q818" s="1" t="s">
        <v>512</v>
      </c>
    </row>
    <row r="819" spans="2:17" x14ac:dyDescent="0.25">
      <c r="B819" s="95" t="s">
        <v>512</v>
      </c>
      <c r="D819" s="1" t="s">
        <v>512</v>
      </c>
      <c r="E819" s="21" t="s">
        <v>512</v>
      </c>
      <c r="F819" s="1" t="s">
        <v>512</v>
      </c>
      <c r="G819" s="1" t="s">
        <v>512</v>
      </c>
      <c r="H819" s="1" t="s">
        <v>512</v>
      </c>
      <c r="I819" s="1" t="s">
        <v>512</v>
      </c>
      <c r="J819" s="1" t="s">
        <v>512</v>
      </c>
      <c r="K819" s="1" t="s">
        <v>512</v>
      </c>
      <c r="L819" s="1" t="s">
        <v>512</v>
      </c>
      <c r="M819" s="1" t="s">
        <v>512</v>
      </c>
      <c r="N819" s="1" t="s">
        <v>512</v>
      </c>
      <c r="O819" s="1" t="s">
        <v>512</v>
      </c>
      <c r="Q819" s="1" t="s">
        <v>512</v>
      </c>
    </row>
    <row r="820" spans="2:17" x14ac:dyDescent="0.25">
      <c r="B820" s="95" t="s">
        <v>512</v>
      </c>
      <c r="D820" s="1" t="s">
        <v>512</v>
      </c>
      <c r="E820" s="21" t="s">
        <v>512</v>
      </c>
      <c r="F820" s="1" t="s">
        <v>512</v>
      </c>
      <c r="G820" s="1" t="s">
        <v>512</v>
      </c>
      <c r="H820" s="1" t="s">
        <v>512</v>
      </c>
      <c r="I820" s="1" t="s">
        <v>512</v>
      </c>
      <c r="J820" s="1" t="s">
        <v>512</v>
      </c>
      <c r="K820" s="1" t="s">
        <v>512</v>
      </c>
      <c r="L820" s="1" t="s">
        <v>512</v>
      </c>
      <c r="M820" s="1" t="s">
        <v>512</v>
      </c>
      <c r="N820" s="1" t="s">
        <v>512</v>
      </c>
      <c r="O820" s="1" t="s">
        <v>512</v>
      </c>
      <c r="Q820" s="1" t="s">
        <v>512</v>
      </c>
    </row>
    <row r="821" spans="2:17" x14ac:dyDescent="0.25">
      <c r="B821" s="95" t="s">
        <v>512</v>
      </c>
      <c r="D821" s="1" t="s">
        <v>512</v>
      </c>
      <c r="E821" s="21" t="s">
        <v>512</v>
      </c>
      <c r="F821" s="1" t="s">
        <v>512</v>
      </c>
      <c r="G821" s="1" t="s">
        <v>512</v>
      </c>
      <c r="H821" s="1" t="s">
        <v>512</v>
      </c>
      <c r="I821" s="1" t="s">
        <v>512</v>
      </c>
      <c r="J821" s="1" t="s">
        <v>512</v>
      </c>
      <c r="K821" s="1" t="s">
        <v>512</v>
      </c>
      <c r="L821" s="1" t="s">
        <v>512</v>
      </c>
      <c r="M821" s="1" t="s">
        <v>512</v>
      </c>
      <c r="N821" s="1" t="s">
        <v>512</v>
      </c>
      <c r="O821" s="1" t="s">
        <v>512</v>
      </c>
      <c r="Q821" s="1" t="s">
        <v>512</v>
      </c>
    </row>
    <row r="822" spans="2:17" x14ac:dyDescent="0.25">
      <c r="B822" s="95" t="s">
        <v>512</v>
      </c>
      <c r="D822" s="1" t="s">
        <v>512</v>
      </c>
      <c r="E822" s="21" t="s">
        <v>512</v>
      </c>
      <c r="F822" s="1" t="s">
        <v>512</v>
      </c>
      <c r="G822" s="1" t="s">
        <v>512</v>
      </c>
      <c r="H822" s="1" t="s">
        <v>512</v>
      </c>
      <c r="I822" s="1" t="s">
        <v>512</v>
      </c>
      <c r="J822" s="1" t="s">
        <v>512</v>
      </c>
      <c r="K822" s="1" t="s">
        <v>512</v>
      </c>
      <c r="L822" s="1" t="s">
        <v>512</v>
      </c>
      <c r="M822" s="1" t="s">
        <v>512</v>
      </c>
      <c r="N822" s="1" t="s">
        <v>512</v>
      </c>
      <c r="O822" s="1" t="s">
        <v>512</v>
      </c>
      <c r="Q822" s="1" t="s">
        <v>512</v>
      </c>
    </row>
    <row r="823" spans="2:17" x14ac:dyDescent="0.25">
      <c r="B823" s="95" t="s">
        <v>512</v>
      </c>
      <c r="D823" s="1" t="s">
        <v>512</v>
      </c>
      <c r="E823" s="21" t="s">
        <v>512</v>
      </c>
      <c r="F823" s="1" t="s">
        <v>512</v>
      </c>
      <c r="G823" s="1" t="s">
        <v>512</v>
      </c>
      <c r="H823" s="1" t="s">
        <v>512</v>
      </c>
      <c r="I823" s="1" t="s">
        <v>512</v>
      </c>
      <c r="J823" s="1" t="s">
        <v>512</v>
      </c>
      <c r="K823" s="1" t="s">
        <v>512</v>
      </c>
      <c r="L823" s="1" t="s">
        <v>512</v>
      </c>
      <c r="M823" s="1" t="s">
        <v>512</v>
      </c>
      <c r="N823" s="1" t="s">
        <v>512</v>
      </c>
      <c r="O823" s="1" t="s">
        <v>512</v>
      </c>
      <c r="Q823" s="1" t="s">
        <v>512</v>
      </c>
    </row>
    <row r="824" spans="2:17" x14ac:dyDescent="0.25">
      <c r="B824" s="95" t="s">
        <v>512</v>
      </c>
      <c r="D824" s="1" t="s">
        <v>512</v>
      </c>
      <c r="E824" s="21" t="s">
        <v>512</v>
      </c>
      <c r="F824" s="1" t="s">
        <v>512</v>
      </c>
      <c r="G824" s="1" t="s">
        <v>512</v>
      </c>
      <c r="H824" s="1" t="s">
        <v>512</v>
      </c>
      <c r="I824" s="1" t="s">
        <v>512</v>
      </c>
      <c r="J824" s="1" t="s">
        <v>512</v>
      </c>
      <c r="K824" s="1" t="s">
        <v>512</v>
      </c>
      <c r="L824" s="1" t="s">
        <v>512</v>
      </c>
      <c r="M824" s="1" t="s">
        <v>512</v>
      </c>
      <c r="N824" s="1" t="s">
        <v>512</v>
      </c>
      <c r="O824" s="1" t="s">
        <v>512</v>
      </c>
      <c r="Q824" s="1" t="s">
        <v>512</v>
      </c>
    </row>
    <row r="825" spans="2:17" x14ac:dyDescent="0.25">
      <c r="B825" s="95" t="s">
        <v>512</v>
      </c>
      <c r="D825" s="1" t="s">
        <v>512</v>
      </c>
      <c r="E825" s="21" t="s">
        <v>512</v>
      </c>
      <c r="F825" s="1" t="s">
        <v>512</v>
      </c>
      <c r="G825" s="1" t="s">
        <v>512</v>
      </c>
      <c r="H825" s="1" t="s">
        <v>512</v>
      </c>
      <c r="I825" s="1" t="s">
        <v>512</v>
      </c>
      <c r="J825" s="1" t="s">
        <v>512</v>
      </c>
      <c r="K825" s="1" t="s">
        <v>512</v>
      </c>
      <c r="L825" s="1" t="s">
        <v>512</v>
      </c>
      <c r="M825" s="1" t="s">
        <v>512</v>
      </c>
      <c r="N825" s="1" t="s">
        <v>512</v>
      </c>
      <c r="O825" s="1" t="s">
        <v>512</v>
      </c>
      <c r="Q825" s="1" t="s">
        <v>512</v>
      </c>
    </row>
    <row r="826" spans="2:17" x14ac:dyDescent="0.25">
      <c r="B826" s="95" t="s">
        <v>512</v>
      </c>
      <c r="D826" s="1" t="s">
        <v>512</v>
      </c>
      <c r="E826" s="21" t="s">
        <v>512</v>
      </c>
      <c r="F826" s="1" t="s">
        <v>512</v>
      </c>
      <c r="G826" s="1" t="s">
        <v>512</v>
      </c>
      <c r="H826" s="1" t="s">
        <v>512</v>
      </c>
      <c r="I826" s="1" t="s">
        <v>512</v>
      </c>
      <c r="J826" s="1" t="s">
        <v>512</v>
      </c>
      <c r="K826" s="1" t="s">
        <v>512</v>
      </c>
      <c r="L826" s="1" t="s">
        <v>512</v>
      </c>
      <c r="M826" s="1" t="s">
        <v>512</v>
      </c>
      <c r="N826" s="1" t="s">
        <v>512</v>
      </c>
      <c r="O826" s="1" t="s">
        <v>512</v>
      </c>
      <c r="Q826" s="1" t="s">
        <v>512</v>
      </c>
    </row>
    <row r="827" spans="2:17" x14ac:dyDescent="0.25">
      <c r="B827" s="95" t="s">
        <v>512</v>
      </c>
      <c r="D827" s="1" t="s">
        <v>512</v>
      </c>
      <c r="E827" s="21" t="s">
        <v>512</v>
      </c>
      <c r="F827" s="1" t="s">
        <v>512</v>
      </c>
      <c r="G827" s="1" t="s">
        <v>512</v>
      </c>
      <c r="H827" s="1" t="s">
        <v>512</v>
      </c>
      <c r="I827" s="1" t="s">
        <v>512</v>
      </c>
      <c r="J827" s="1" t="s">
        <v>512</v>
      </c>
      <c r="K827" s="1" t="s">
        <v>512</v>
      </c>
      <c r="L827" s="1" t="s">
        <v>512</v>
      </c>
      <c r="M827" s="1" t="s">
        <v>512</v>
      </c>
      <c r="N827" s="1" t="s">
        <v>512</v>
      </c>
      <c r="O827" s="1" t="s">
        <v>512</v>
      </c>
      <c r="Q827" s="1" t="s">
        <v>512</v>
      </c>
    </row>
    <row r="828" spans="2:17" x14ac:dyDescent="0.25">
      <c r="B828" s="95" t="s">
        <v>512</v>
      </c>
      <c r="D828" s="1" t="s">
        <v>512</v>
      </c>
      <c r="E828" s="21" t="s">
        <v>512</v>
      </c>
      <c r="F828" s="1" t="s">
        <v>512</v>
      </c>
      <c r="G828" s="1" t="s">
        <v>512</v>
      </c>
      <c r="H828" s="1" t="s">
        <v>512</v>
      </c>
      <c r="I828" s="1" t="s">
        <v>512</v>
      </c>
      <c r="J828" s="1" t="s">
        <v>512</v>
      </c>
      <c r="K828" s="1" t="s">
        <v>512</v>
      </c>
      <c r="L828" s="1" t="s">
        <v>512</v>
      </c>
      <c r="M828" s="1" t="s">
        <v>512</v>
      </c>
      <c r="N828" s="1" t="s">
        <v>512</v>
      </c>
      <c r="O828" s="1" t="s">
        <v>512</v>
      </c>
      <c r="Q828" s="1" t="s">
        <v>512</v>
      </c>
    </row>
    <row r="829" spans="2:17" x14ac:dyDescent="0.25">
      <c r="B829" s="95" t="s">
        <v>512</v>
      </c>
      <c r="D829" s="1" t="s">
        <v>512</v>
      </c>
      <c r="E829" s="21" t="s">
        <v>512</v>
      </c>
      <c r="F829" s="1" t="s">
        <v>512</v>
      </c>
      <c r="G829" s="1" t="s">
        <v>512</v>
      </c>
      <c r="H829" s="1" t="s">
        <v>512</v>
      </c>
      <c r="I829" s="1" t="s">
        <v>512</v>
      </c>
      <c r="J829" s="1" t="s">
        <v>512</v>
      </c>
      <c r="K829" s="1" t="s">
        <v>512</v>
      </c>
      <c r="L829" s="1" t="s">
        <v>512</v>
      </c>
      <c r="M829" s="1" t="s">
        <v>512</v>
      </c>
      <c r="N829" s="1" t="s">
        <v>512</v>
      </c>
      <c r="O829" s="1" t="s">
        <v>512</v>
      </c>
      <c r="Q829" s="1" t="s">
        <v>512</v>
      </c>
    </row>
    <row r="830" spans="2:17" x14ac:dyDescent="0.25">
      <c r="B830" s="95" t="s">
        <v>512</v>
      </c>
      <c r="D830" s="1" t="s">
        <v>512</v>
      </c>
      <c r="E830" s="21" t="s">
        <v>512</v>
      </c>
      <c r="F830" s="1" t="s">
        <v>512</v>
      </c>
      <c r="G830" s="1" t="s">
        <v>512</v>
      </c>
      <c r="H830" s="1" t="s">
        <v>512</v>
      </c>
      <c r="I830" s="1" t="s">
        <v>512</v>
      </c>
      <c r="J830" s="1" t="s">
        <v>512</v>
      </c>
      <c r="K830" s="1" t="s">
        <v>512</v>
      </c>
      <c r="L830" s="1" t="s">
        <v>512</v>
      </c>
      <c r="M830" s="1" t="s">
        <v>512</v>
      </c>
      <c r="N830" s="1" t="s">
        <v>512</v>
      </c>
      <c r="O830" s="1" t="s">
        <v>512</v>
      </c>
      <c r="Q830" s="1" t="s">
        <v>512</v>
      </c>
    </row>
    <row r="831" spans="2:17" x14ac:dyDescent="0.25">
      <c r="B831" s="95" t="s">
        <v>512</v>
      </c>
      <c r="D831" s="1" t="s">
        <v>512</v>
      </c>
      <c r="E831" s="21" t="s">
        <v>512</v>
      </c>
      <c r="F831" s="1" t="s">
        <v>512</v>
      </c>
      <c r="G831" s="1" t="s">
        <v>512</v>
      </c>
      <c r="H831" s="1" t="s">
        <v>512</v>
      </c>
      <c r="I831" s="1" t="s">
        <v>512</v>
      </c>
      <c r="J831" s="1" t="s">
        <v>512</v>
      </c>
      <c r="K831" s="1" t="s">
        <v>512</v>
      </c>
      <c r="L831" s="1" t="s">
        <v>512</v>
      </c>
      <c r="M831" s="1" t="s">
        <v>512</v>
      </c>
      <c r="N831" s="1" t="s">
        <v>512</v>
      </c>
      <c r="O831" s="1" t="s">
        <v>512</v>
      </c>
      <c r="Q831" s="1" t="s">
        <v>512</v>
      </c>
    </row>
    <row r="832" spans="2:17" x14ac:dyDescent="0.25">
      <c r="B832" s="95" t="s">
        <v>512</v>
      </c>
      <c r="D832" s="1" t="s">
        <v>512</v>
      </c>
      <c r="E832" s="21" t="s">
        <v>512</v>
      </c>
      <c r="F832" s="1" t="s">
        <v>512</v>
      </c>
      <c r="G832" s="1" t="s">
        <v>512</v>
      </c>
      <c r="H832" s="1" t="s">
        <v>512</v>
      </c>
      <c r="I832" s="1" t="s">
        <v>512</v>
      </c>
      <c r="J832" s="1" t="s">
        <v>512</v>
      </c>
      <c r="K832" s="1" t="s">
        <v>512</v>
      </c>
      <c r="L832" s="1" t="s">
        <v>512</v>
      </c>
      <c r="M832" s="1" t="s">
        <v>512</v>
      </c>
      <c r="N832" s="1" t="s">
        <v>512</v>
      </c>
      <c r="O832" s="1" t="s">
        <v>512</v>
      </c>
      <c r="Q832" s="1" t="s">
        <v>512</v>
      </c>
    </row>
    <row r="833" spans="2:17" x14ac:dyDescent="0.25">
      <c r="B833" s="95" t="s">
        <v>512</v>
      </c>
      <c r="D833" s="1" t="s">
        <v>512</v>
      </c>
      <c r="E833" s="21" t="s">
        <v>512</v>
      </c>
      <c r="F833" s="1" t="s">
        <v>512</v>
      </c>
      <c r="G833" s="1" t="s">
        <v>512</v>
      </c>
      <c r="H833" s="1" t="s">
        <v>512</v>
      </c>
      <c r="I833" s="1" t="s">
        <v>512</v>
      </c>
      <c r="J833" s="1" t="s">
        <v>512</v>
      </c>
      <c r="K833" s="1" t="s">
        <v>512</v>
      </c>
      <c r="L833" s="1" t="s">
        <v>512</v>
      </c>
      <c r="M833" s="1" t="s">
        <v>512</v>
      </c>
      <c r="N833" s="1" t="s">
        <v>512</v>
      </c>
      <c r="O833" s="1" t="s">
        <v>512</v>
      </c>
      <c r="Q833" s="1" t="s">
        <v>512</v>
      </c>
    </row>
    <row r="834" spans="2:17" x14ac:dyDescent="0.25">
      <c r="B834" s="95" t="s">
        <v>512</v>
      </c>
      <c r="D834" s="1" t="s">
        <v>512</v>
      </c>
      <c r="E834" s="21" t="s">
        <v>512</v>
      </c>
      <c r="F834" s="1" t="s">
        <v>512</v>
      </c>
      <c r="G834" s="1" t="s">
        <v>512</v>
      </c>
      <c r="H834" s="1" t="s">
        <v>512</v>
      </c>
      <c r="I834" s="1" t="s">
        <v>512</v>
      </c>
      <c r="J834" s="1" t="s">
        <v>512</v>
      </c>
      <c r="K834" s="1" t="s">
        <v>512</v>
      </c>
      <c r="L834" s="1" t="s">
        <v>512</v>
      </c>
      <c r="M834" s="1" t="s">
        <v>512</v>
      </c>
      <c r="N834" s="1" t="s">
        <v>512</v>
      </c>
      <c r="O834" s="1" t="s">
        <v>512</v>
      </c>
      <c r="Q834" s="1" t="s">
        <v>512</v>
      </c>
    </row>
    <row r="835" spans="2:17" x14ac:dyDescent="0.25">
      <c r="B835" s="95" t="s">
        <v>512</v>
      </c>
      <c r="D835" s="1" t="s">
        <v>512</v>
      </c>
      <c r="E835" s="21" t="s">
        <v>512</v>
      </c>
      <c r="F835" s="1" t="s">
        <v>512</v>
      </c>
      <c r="G835" s="1" t="s">
        <v>512</v>
      </c>
      <c r="H835" s="1" t="s">
        <v>512</v>
      </c>
      <c r="I835" s="1" t="s">
        <v>512</v>
      </c>
      <c r="J835" s="1" t="s">
        <v>512</v>
      </c>
      <c r="K835" s="1" t="s">
        <v>512</v>
      </c>
      <c r="L835" s="1" t="s">
        <v>512</v>
      </c>
      <c r="M835" s="1" t="s">
        <v>512</v>
      </c>
      <c r="N835" s="1" t="s">
        <v>512</v>
      </c>
      <c r="O835" s="1" t="s">
        <v>512</v>
      </c>
      <c r="Q835" s="1" t="s">
        <v>512</v>
      </c>
    </row>
    <row r="836" spans="2:17" x14ac:dyDescent="0.25">
      <c r="B836" s="95" t="s">
        <v>512</v>
      </c>
      <c r="D836" s="1" t="s">
        <v>512</v>
      </c>
      <c r="E836" s="21" t="s">
        <v>512</v>
      </c>
      <c r="F836" s="1" t="s">
        <v>512</v>
      </c>
      <c r="G836" s="1" t="s">
        <v>512</v>
      </c>
      <c r="H836" s="1" t="s">
        <v>512</v>
      </c>
      <c r="I836" s="1" t="s">
        <v>512</v>
      </c>
      <c r="J836" s="1" t="s">
        <v>512</v>
      </c>
      <c r="K836" s="1" t="s">
        <v>512</v>
      </c>
      <c r="L836" s="1" t="s">
        <v>512</v>
      </c>
      <c r="M836" s="1" t="s">
        <v>512</v>
      </c>
      <c r="N836" s="1" t="s">
        <v>512</v>
      </c>
      <c r="O836" s="1" t="s">
        <v>512</v>
      </c>
      <c r="Q836" s="1" t="s">
        <v>512</v>
      </c>
    </row>
    <row r="837" spans="2:17" x14ac:dyDescent="0.25">
      <c r="B837" s="95" t="s">
        <v>512</v>
      </c>
      <c r="D837" s="1" t="s">
        <v>512</v>
      </c>
      <c r="E837" s="21" t="s">
        <v>512</v>
      </c>
      <c r="F837" s="1" t="s">
        <v>512</v>
      </c>
      <c r="G837" s="1" t="s">
        <v>512</v>
      </c>
      <c r="H837" s="1" t="s">
        <v>512</v>
      </c>
      <c r="I837" s="1" t="s">
        <v>512</v>
      </c>
      <c r="J837" s="1" t="s">
        <v>512</v>
      </c>
      <c r="K837" s="1" t="s">
        <v>512</v>
      </c>
      <c r="L837" s="1" t="s">
        <v>512</v>
      </c>
      <c r="M837" s="1" t="s">
        <v>512</v>
      </c>
      <c r="N837" s="1" t="s">
        <v>512</v>
      </c>
      <c r="O837" s="1" t="s">
        <v>512</v>
      </c>
      <c r="Q837" s="1" t="s">
        <v>512</v>
      </c>
    </row>
    <row r="838" spans="2:17" x14ac:dyDescent="0.25">
      <c r="B838" s="95" t="s">
        <v>512</v>
      </c>
      <c r="D838" s="1" t="s">
        <v>512</v>
      </c>
      <c r="E838" s="21" t="s">
        <v>512</v>
      </c>
      <c r="F838" s="1" t="s">
        <v>512</v>
      </c>
      <c r="G838" s="1" t="s">
        <v>512</v>
      </c>
      <c r="H838" s="1" t="s">
        <v>512</v>
      </c>
      <c r="I838" s="1" t="s">
        <v>512</v>
      </c>
      <c r="J838" s="1" t="s">
        <v>512</v>
      </c>
      <c r="K838" s="1" t="s">
        <v>512</v>
      </c>
      <c r="L838" s="1" t="s">
        <v>512</v>
      </c>
      <c r="M838" s="1" t="s">
        <v>512</v>
      </c>
      <c r="N838" s="1" t="s">
        <v>512</v>
      </c>
      <c r="O838" s="1" t="s">
        <v>512</v>
      </c>
      <c r="Q838" s="1" t="s">
        <v>512</v>
      </c>
    </row>
    <row r="839" spans="2:17" x14ac:dyDescent="0.25">
      <c r="B839" s="95" t="s">
        <v>512</v>
      </c>
      <c r="D839" s="1" t="s">
        <v>512</v>
      </c>
      <c r="E839" s="21" t="s">
        <v>512</v>
      </c>
      <c r="F839" s="1" t="s">
        <v>512</v>
      </c>
      <c r="G839" s="1" t="s">
        <v>512</v>
      </c>
      <c r="H839" s="1" t="s">
        <v>512</v>
      </c>
      <c r="I839" s="1" t="s">
        <v>512</v>
      </c>
      <c r="J839" s="1" t="s">
        <v>512</v>
      </c>
      <c r="K839" s="1" t="s">
        <v>512</v>
      </c>
      <c r="L839" s="1" t="s">
        <v>512</v>
      </c>
      <c r="M839" s="1" t="s">
        <v>512</v>
      </c>
      <c r="N839" s="1" t="s">
        <v>512</v>
      </c>
      <c r="O839" s="1" t="s">
        <v>512</v>
      </c>
      <c r="Q839" s="1" t="s">
        <v>512</v>
      </c>
    </row>
    <row r="840" spans="2:17" x14ac:dyDescent="0.25">
      <c r="B840" s="95" t="s">
        <v>512</v>
      </c>
      <c r="D840" s="1" t="s">
        <v>512</v>
      </c>
      <c r="E840" s="21" t="s">
        <v>512</v>
      </c>
      <c r="F840" s="1" t="s">
        <v>512</v>
      </c>
      <c r="G840" s="1" t="s">
        <v>512</v>
      </c>
      <c r="H840" s="1" t="s">
        <v>512</v>
      </c>
      <c r="I840" s="1" t="s">
        <v>512</v>
      </c>
      <c r="J840" s="1" t="s">
        <v>512</v>
      </c>
      <c r="K840" s="1" t="s">
        <v>512</v>
      </c>
      <c r="L840" s="1" t="s">
        <v>512</v>
      </c>
      <c r="M840" s="1" t="s">
        <v>512</v>
      </c>
      <c r="N840" s="1" t="s">
        <v>512</v>
      </c>
      <c r="O840" s="1" t="s">
        <v>512</v>
      </c>
      <c r="Q840" s="1" t="s">
        <v>512</v>
      </c>
    </row>
    <row r="841" spans="2:17" x14ac:dyDescent="0.25">
      <c r="B841" s="95" t="s">
        <v>512</v>
      </c>
      <c r="D841" s="1" t="s">
        <v>512</v>
      </c>
      <c r="E841" s="21" t="s">
        <v>512</v>
      </c>
      <c r="F841" s="1" t="s">
        <v>512</v>
      </c>
      <c r="G841" s="1" t="s">
        <v>512</v>
      </c>
      <c r="H841" s="1" t="s">
        <v>512</v>
      </c>
      <c r="I841" s="1" t="s">
        <v>512</v>
      </c>
      <c r="J841" s="1" t="s">
        <v>512</v>
      </c>
      <c r="K841" s="1" t="s">
        <v>512</v>
      </c>
      <c r="L841" s="1" t="s">
        <v>512</v>
      </c>
      <c r="M841" s="1" t="s">
        <v>512</v>
      </c>
      <c r="N841" s="1" t="s">
        <v>512</v>
      </c>
      <c r="O841" s="1" t="s">
        <v>512</v>
      </c>
      <c r="Q841" s="1" t="s">
        <v>512</v>
      </c>
    </row>
    <row r="842" spans="2:17" x14ac:dyDescent="0.25">
      <c r="B842" s="95" t="s">
        <v>512</v>
      </c>
      <c r="D842" s="1" t="s">
        <v>512</v>
      </c>
      <c r="E842" s="21" t="s">
        <v>512</v>
      </c>
      <c r="F842" s="1" t="s">
        <v>512</v>
      </c>
      <c r="G842" s="1" t="s">
        <v>512</v>
      </c>
      <c r="H842" s="1" t="s">
        <v>512</v>
      </c>
      <c r="I842" s="1" t="s">
        <v>512</v>
      </c>
      <c r="J842" s="1" t="s">
        <v>512</v>
      </c>
      <c r="K842" s="1" t="s">
        <v>512</v>
      </c>
      <c r="L842" s="1" t="s">
        <v>512</v>
      </c>
      <c r="M842" s="1" t="s">
        <v>512</v>
      </c>
      <c r="N842" s="1" t="s">
        <v>512</v>
      </c>
      <c r="O842" s="1" t="s">
        <v>512</v>
      </c>
      <c r="Q842" s="1" t="s">
        <v>512</v>
      </c>
    </row>
    <row r="843" spans="2:17" x14ac:dyDescent="0.25">
      <c r="B843" s="95" t="s">
        <v>512</v>
      </c>
      <c r="D843" s="1" t="s">
        <v>512</v>
      </c>
      <c r="E843" s="21" t="s">
        <v>512</v>
      </c>
      <c r="F843" s="1" t="s">
        <v>512</v>
      </c>
      <c r="G843" s="1" t="s">
        <v>512</v>
      </c>
      <c r="H843" s="1" t="s">
        <v>512</v>
      </c>
      <c r="I843" s="1" t="s">
        <v>512</v>
      </c>
      <c r="J843" s="1" t="s">
        <v>512</v>
      </c>
      <c r="K843" s="1" t="s">
        <v>512</v>
      </c>
      <c r="L843" s="1" t="s">
        <v>512</v>
      </c>
      <c r="M843" s="1" t="s">
        <v>512</v>
      </c>
      <c r="N843" s="1" t="s">
        <v>512</v>
      </c>
      <c r="O843" s="1" t="s">
        <v>512</v>
      </c>
      <c r="Q843" s="1" t="s">
        <v>512</v>
      </c>
    </row>
    <row r="844" spans="2:17" x14ac:dyDescent="0.25">
      <c r="B844" s="95" t="s">
        <v>512</v>
      </c>
      <c r="D844" s="1" t="s">
        <v>512</v>
      </c>
      <c r="E844" s="21" t="s">
        <v>512</v>
      </c>
      <c r="F844" s="1" t="s">
        <v>512</v>
      </c>
      <c r="G844" s="1" t="s">
        <v>512</v>
      </c>
      <c r="H844" s="1" t="s">
        <v>512</v>
      </c>
      <c r="I844" s="1" t="s">
        <v>512</v>
      </c>
      <c r="J844" s="1" t="s">
        <v>512</v>
      </c>
      <c r="K844" s="1" t="s">
        <v>512</v>
      </c>
      <c r="L844" s="1" t="s">
        <v>512</v>
      </c>
      <c r="M844" s="1" t="s">
        <v>512</v>
      </c>
      <c r="N844" s="1" t="s">
        <v>512</v>
      </c>
      <c r="O844" s="1" t="s">
        <v>512</v>
      </c>
      <c r="Q844" s="1" t="s">
        <v>512</v>
      </c>
    </row>
    <row r="845" spans="2:17" x14ac:dyDescent="0.25">
      <c r="B845" s="95" t="s">
        <v>512</v>
      </c>
      <c r="D845" s="1" t="s">
        <v>512</v>
      </c>
      <c r="E845" s="21" t="s">
        <v>512</v>
      </c>
      <c r="F845" s="1" t="s">
        <v>512</v>
      </c>
      <c r="G845" s="1" t="s">
        <v>512</v>
      </c>
      <c r="H845" s="1" t="s">
        <v>512</v>
      </c>
      <c r="I845" s="1" t="s">
        <v>512</v>
      </c>
      <c r="J845" s="1" t="s">
        <v>512</v>
      </c>
      <c r="K845" s="1" t="s">
        <v>512</v>
      </c>
      <c r="L845" s="1" t="s">
        <v>512</v>
      </c>
      <c r="M845" s="1" t="s">
        <v>512</v>
      </c>
      <c r="N845" s="1" t="s">
        <v>512</v>
      </c>
      <c r="O845" s="1" t="s">
        <v>512</v>
      </c>
      <c r="Q845" s="1" t="s">
        <v>512</v>
      </c>
    </row>
    <row r="846" spans="2:17" x14ac:dyDescent="0.25">
      <c r="B846" s="95" t="s">
        <v>512</v>
      </c>
      <c r="D846" s="1" t="s">
        <v>512</v>
      </c>
      <c r="E846" s="21" t="s">
        <v>512</v>
      </c>
      <c r="F846" s="1" t="s">
        <v>512</v>
      </c>
      <c r="G846" s="1" t="s">
        <v>512</v>
      </c>
      <c r="H846" s="1" t="s">
        <v>512</v>
      </c>
      <c r="I846" s="1" t="s">
        <v>512</v>
      </c>
      <c r="J846" s="1" t="s">
        <v>512</v>
      </c>
      <c r="K846" s="1" t="s">
        <v>512</v>
      </c>
      <c r="L846" s="1" t="s">
        <v>512</v>
      </c>
      <c r="M846" s="1" t="s">
        <v>512</v>
      </c>
      <c r="N846" s="1" t="s">
        <v>512</v>
      </c>
      <c r="O846" s="1" t="s">
        <v>512</v>
      </c>
      <c r="Q846" s="1" t="s">
        <v>512</v>
      </c>
    </row>
    <row r="847" spans="2:17" x14ac:dyDescent="0.25">
      <c r="B847" s="95" t="s">
        <v>512</v>
      </c>
      <c r="D847" s="1" t="s">
        <v>512</v>
      </c>
      <c r="E847" s="21" t="s">
        <v>512</v>
      </c>
      <c r="F847" s="1" t="s">
        <v>512</v>
      </c>
      <c r="G847" s="1" t="s">
        <v>512</v>
      </c>
      <c r="H847" s="1" t="s">
        <v>512</v>
      </c>
      <c r="I847" s="1" t="s">
        <v>512</v>
      </c>
      <c r="J847" s="1" t="s">
        <v>512</v>
      </c>
      <c r="K847" s="1" t="s">
        <v>512</v>
      </c>
      <c r="L847" s="1" t="s">
        <v>512</v>
      </c>
      <c r="M847" s="1" t="s">
        <v>512</v>
      </c>
      <c r="N847" s="1" t="s">
        <v>512</v>
      </c>
      <c r="O847" s="1" t="s">
        <v>512</v>
      </c>
      <c r="Q847" s="1" t="s">
        <v>512</v>
      </c>
    </row>
    <row r="848" spans="2:17" x14ac:dyDescent="0.25">
      <c r="B848" s="95" t="s">
        <v>512</v>
      </c>
      <c r="D848" s="1" t="s">
        <v>512</v>
      </c>
      <c r="E848" s="21" t="s">
        <v>512</v>
      </c>
      <c r="F848" s="1" t="s">
        <v>512</v>
      </c>
      <c r="G848" s="1" t="s">
        <v>512</v>
      </c>
      <c r="H848" s="1" t="s">
        <v>512</v>
      </c>
      <c r="I848" s="1" t="s">
        <v>512</v>
      </c>
      <c r="J848" s="1" t="s">
        <v>512</v>
      </c>
      <c r="K848" s="1" t="s">
        <v>512</v>
      </c>
      <c r="L848" s="1" t="s">
        <v>512</v>
      </c>
      <c r="M848" s="1" t="s">
        <v>512</v>
      </c>
      <c r="N848" s="1" t="s">
        <v>512</v>
      </c>
      <c r="O848" s="1" t="s">
        <v>512</v>
      </c>
      <c r="Q848" s="1" t="s">
        <v>512</v>
      </c>
    </row>
    <row r="849" spans="2:17" x14ac:dyDescent="0.25">
      <c r="B849" s="95" t="s">
        <v>512</v>
      </c>
      <c r="D849" s="1" t="s">
        <v>512</v>
      </c>
      <c r="E849" s="21" t="s">
        <v>512</v>
      </c>
      <c r="F849" s="1" t="s">
        <v>512</v>
      </c>
      <c r="G849" s="1" t="s">
        <v>512</v>
      </c>
      <c r="H849" s="1" t="s">
        <v>512</v>
      </c>
      <c r="I849" s="1" t="s">
        <v>512</v>
      </c>
      <c r="J849" s="1" t="s">
        <v>512</v>
      </c>
      <c r="K849" s="1" t="s">
        <v>512</v>
      </c>
      <c r="L849" s="1" t="s">
        <v>512</v>
      </c>
      <c r="M849" s="1" t="s">
        <v>512</v>
      </c>
      <c r="N849" s="1" t="s">
        <v>512</v>
      </c>
      <c r="O849" s="1" t="s">
        <v>512</v>
      </c>
      <c r="Q849" s="1" t="s">
        <v>512</v>
      </c>
    </row>
    <row r="850" spans="2:17" x14ac:dyDescent="0.25">
      <c r="B850" s="95" t="s">
        <v>512</v>
      </c>
      <c r="D850" s="1" t="s">
        <v>512</v>
      </c>
      <c r="E850" s="21" t="s">
        <v>512</v>
      </c>
      <c r="F850" s="1" t="s">
        <v>512</v>
      </c>
      <c r="G850" s="1" t="s">
        <v>512</v>
      </c>
      <c r="H850" s="1" t="s">
        <v>512</v>
      </c>
      <c r="I850" s="1" t="s">
        <v>512</v>
      </c>
      <c r="J850" s="1" t="s">
        <v>512</v>
      </c>
      <c r="K850" s="1" t="s">
        <v>512</v>
      </c>
      <c r="L850" s="1" t="s">
        <v>512</v>
      </c>
      <c r="M850" s="1" t="s">
        <v>512</v>
      </c>
      <c r="N850" s="1" t="s">
        <v>512</v>
      </c>
      <c r="O850" s="1" t="s">
        <v>512</v>
      </c>
      <c r="Q850" s="1" t="s">
        <v>512</v>
      </c>
    </row>
    <row r="851" spans="2:17" x14ac:dyDescent="0.25">
      <c r="B851" s="95" t="s">
        <v>512</v>
      </c>
      <c r="D851" s="1" t="s">
        <v>512</v>
      </c>
      <c r="E851" s="21" t="s">
        <v>512</v>
      </c>
      <c r="F851" s="1" t="s">
        <v>512</v>
      </c>
      <c r="G851" s="1" t="s">
        <v>512</v>
      </c>
      <c r="H851" s="1" t="s">
        <v>512</v>
      </c>
      <c r="I851" s="1" t="s">
        <v>512</v>
      </c>
      <c r="J851" s="1" t="s">
        <v>512</v>
      </c>
      <c r="K851" s="1" t="s">
        <v>512</v>
      </c>
      <c r="L851" s="1" t="s">
        <v>512</v>
      </c>
      <c r="M851" s="1" t="s">
        <v>512</v>
      </c>
      <c r="N851" s="1" t="s">
        <v>512</v>
      </c>
      <c r="O851" s="1" t="s">
        <v>512</v>
      </c>
      <c r="Q851" s="1" t="s">
        <v>512</v>
      </c>
    </row>
    <row r="852" spans="2:17" x14ac:dyDescent="0.25">
      <c r="B852" s="95" t="s">
        <v>512</v>
      </c>
      <c r="D852" s="1" t="s">
        <v>512</v>
      </c>
      <c r="E852" s="21" t="s">
        <v>512</v>
      </c>
      <c r="F852" s="1" t="s">
        <v>512</v>
      </c>
      <c r="G852" s="1" t="s">
        <v>512</v>
      </c>
      <c r="H852" s="1" t="s">
        <v>512</v>
      </c>
      <c r="I852" s="1" t="s">
        <v>512</v>
      </c>
      <c r="J852" s="1" t="s">
        <v>512</v>
      </c>
      <c r="K852" s="1" t="s">
        <v>512</v>
      </c>
      <c r="L852" s="1" t="s">
        <v>512</v>
      </c>
      <c r="M852" s="1" t="s">
        <v>512</v>
      </c>
      <c r="N852" s="1" t="s">
        <v>512</v>
      </c>
      <c r="O852" s="1" t="s">
        <v>512</v>
      </c>
      <c r="Q852" s="1" t="s">
        <v>512</v>
      </c>
    </row>
    <row r="853" spans="2:17" x14ac:dyDescent="0.25">
      <c r="B853" s="95" t="s">
        <v>512</v>
      </c>
      <c r="D853" s="1" t="s">
        <v>512</v>
      </c>
      <c r="E853" s="21" t="s">
        <v>512</v>
      </c>
      <c r="F853" s="1" t="s">
        <v>512</v>
      </c>
      <c r="G853" s="1" t="s">
        <v>512</v>
      </c>
      <c r="H853" s="1" t="s">
        <v>512</v>
      </c>
      <c r="I853" s="1" t="s">
        <v>512</v>
      </c>
      <c r="J853" s="1" t="s">
        <v>512</v>
      </c>
      <c r="K853" s="1" t="s">
        <v>512</v>
      </c>
      <c r="L853" s="1" t="s">
        <v>512</v>
      </c>
      <c r="M853" s="1" t="s">
        <v>512</v>
      </c>
      <c r="N853" s="1" t="s">
        <v>512</v>
      </c>
      <c r="O853" s="1" t="s">
        <v>512</v>
      </c>
      <c r="Q853" s="1" t="s">
        <v>512</v>
      </c>
    </row>
    <row r="854" spans="2:17" x14ac:dyDescent="0.25">
      <c r="B854" s="95" t="s">
        <v>512</v>
      </c>
      <c r="D854" s="1" t="s">
        <v>512</v>
      </c>
      <c r="E854" s="21" t="s">
        <v>512</v>
      </c>
      <c r="F854" s="1" t="s">
        <v>512</v>
      </c>
      <c r="G854" s="1" t="s">
        <v>512</v>
      </c>
      <c r="H854" s="1" t="s">
        <v>512</v>
      </c>
      <c r="I854" s="1" t="s">
        <v>512</v>
      </c>
      <c r="J854" s="1" t="s">
        <v>512</v>
      </c>
      <c r="K854" s="1" t="s">
        <v>512</v>
      </c>
      <c r="L854" s="1" t="s">
        <v>512</v>
      </c>
      <c r="M854" s="1" t="s">
        <v>512</v>
      </c>
      <c r="N854" s="1" t="s">
        <v>512</v>
      </c>
      <c r="O854" s="1" t="s">
        <v>512</v>
      </c>
      <c r="Q854" s="1" t="s">
        <v>512</v>
      </c>
    </row>
    <row r="855" spans="2:17" x14ac:dyDescent="0.25">
      <c r="B855" s="95" t="s">
        <v>512</v>
      </c>
      <c r="D855" s="1" t="s">
        <v>512</v>
      </c>
      <c r="E855" s="21" t="s">
        <v>512</v>
      </c>
      <c r="F855" s="1" t="s">
        <v>512</v>
      </c>
      <c r="G855" s="1" t="s">
        <v>512</v>
      </c>
      <c r="H855" s="1" t="s">
        <v>512</v>
      </c>
      <c r="I855" s="1" t="s">
        <v>512</v>
      </c>
      <c r="J855" s="1" t="s">
        <v>512</v>
      </c>
      <c r="K855" s="1" t="s">
        <v>512</v>
      </c>
      <c r="L855" s="1" t="s">
        <v>512</v>
      </c>
      <c r="M855" s="1" t="s">
        <v>512</v>
      </c>
      <c r="N855" s="1" t="s">
        <v>512</v>
      </c>
      <c r="O855" s="1" t="s">
        <v>512</v>
      </c>
      <c r="Q855" s="1" t="s">
        <v>512</v>
      </c>
    </row>
    <row r="856" spans="2:17" x14ac:dyDescent="0.25">
      <c r="B856" s="95" t="s">
        <v>512</v>
      </c>
      <c r="D856" s="1" t="s">
        <v>512</v>
      </c>
      <c r="E856" s="21" t="s">
        <v>512</v>
      </c>
      <c r="F856" s="1" t="s">
        <v>512</v>
      </c>
      <c r="G856" s="1" t="s">
        <v>512</v>
      </c>
      <c r="H856" s="1" t="s">
        <v>512</v>
      </c>
      <c r="I856" s="1" t="s">
        <v>512</v>
      </c>
      <c r="J856" s="1" t="s">
        <v>512</v>
      </c>
      <c r="K856" s="1" t="s">
        <v>512</v>
      </c>
      <c r="L856" s="1" t="s">
        <v>512</v>
      </c>
      <c r="M856" s="1" t="s">
        <v>512</v>
      </c>
      <c r="N856" s="1" t="s">
        <v>512</v>
      </c>
      <c r="O856" s="1" t="s">
        <v>512</v>
      </c>
      <c r="Q856" s="1" t="s">
        <v>512</v>
      </c>
    </row>
    <row r="857" spans="2:17" x14ac:dyDescent="0.25">
      <c r="B857" s="95" t="s">
        <v>512</v>
      </c>
      <c r="D857" s="1" t="s">
        <v>512</v>
      </c>
      <c r="E857" s="21" t="s">
        <v>512</v>
      </c>
      <c r="F857" s="1" t="s">
        <v>512</v>
      </c>
      <c r="G857" s="1" t="s">
        <v>512</v>
      </c>
      <c r="H857" s="1" t="s">
        <v>512</v>
      </c>
      <c r="I857" s="1" t="s">
        <v>512</v>
      </c>
      <c r="J857" s="1" t="s">
        <v>512</v>
      </c>
      <c r="K857" s="1" t="s">
        <v>512</v>
      </c>
      <c r="L857" s="1" t="s">
        <v>512</v>
      </c>
      <c r="M857" s="1" t="s">
        <v>512</v>
      </c>
      <c r="N857" s="1" t="s">
        <v>512</v>
      </c>
      <c r="O857" s="1" t="s">
        <v>512</v>
      </c>
      <c r="Q857" s="1" t="s">
        <v>512</v>
      </c>
    </row>
    <row r="858" spans="2:17" x14ac:dyDescent="0.25">
      <c r="B858" s="95" t="s">
        <v>512</v>
      </c>
      <c r="D858" s="1" t="s">
        <v>512</v>
      </c>
      <c r="E858" s="21" t="s">
        <v>512</v>
      </c>
      <c r="F858" s="1" t="s">
        <v>512</v>
      </c>
      <c r="G858" s="1" t="s">
        <v>512</v>
      </c>
      <c r="H858" s="1" t="s">
        <v>512</v>
      </c>
      <c r="I858" s="1" t="s">
        <v>512</v>
      </c>
      <c r="J858" s="1" t="s">
        <v>512</v>
      </c>
      <c r="K858" s="1" t="s">
        <v>512</v>
      </c>
      <c r="L858" s="1" t="s">
        <v>512</v>
      </c>
      <c r="M858" s="1" t="s">
        <v>512</v>
      </c>
      <c r="N858" s="1" t="s">
        <v>512</v>
      </c>
      <c r="O858" s="1" t="s">
        <v>512</v>
      </c>
      <c r="Q858" s="1" t="s">
        <v>512</v>
      </c>
    </row>
    <row r="859" spans="2:17" x14ac:dyDescent="0.25">
      <c r="B859" s="95" t="s">
        <v>512</v>
      </c>
      <c r="D859" s="1" t="s">
        <v>512</v>
      </c>
      <c r="E859" s="21" t="s">
        <v>512</v>
      </c>
      <c r="F859" s="1" t="s">
        <v>512</v>
      </c>
      <c r="G859" s="1" t="s">
        <v>512</v>
      </c>
      <c r="H859" s="1" t="s">
        <v>512</v>
      </c>
      <c r="I859" s="1" t="s">
        <v>512</v>
      </c>
      <c r="J859" s="1" t="s">
        <v>512</v>
      </c>
      <c r="K859" s="1" t="s">
        <v>512</v>
      </c>
      <c r="L859" s="1" t="s">
        <v>512</v>
      </c>
      <c r="M859" s="1" t="s">
        <v>512</v>
      </c>
      <c r="N859" s="1" t="s">
        <v>512</v>
      </c>
      <c r="O859" s="1" t="s">
        <v>512</v>
      </c>
      <c r="Q859" s="1" t="s">
        <v>512</v>
      </c>
    </row>
    <row r="860" spans="2:17" x14ac:dyDescent="0.25">
      <c r="B860" s="95" t="s">
        <v>512</v>
      </c>
      <c r="D860" s="1" t="s">
        <v>512</v>
      </c>
      <c r="E860" s="21" t="s">
        <v>512</v>
      </c>
      <c r="F860" s="1" t="s">
        <v>512</v>
      </c>
      <c r="G860" s="1" t="s">
        <v>512</v>
      </c>
      <c r="H860" s="1" t="s">
        <v>512</v>
      </c>
      <c r="I860" s="1" t="s">
        <v>512</v>
      </c>
      <c r="J860" s="1" t="s">
        <v>512</v>
      </c>
      <c r="K860" s="1" t="s">
        <v>512</v>
      </c>
      <c r="L860" s="1" t="s">
        <v>512</v>
      </c>
      <c r="M860" s="1" t="s">
        <v>512</v>
      </c>
      <c r="N860" s="1" t="s">
        <v>512</v>
      </c>
      <c r="O860" s="1" t="s">
        <v>512</v>
      </c>
      <c r="Q860" s="1" t="s">
        <v>512</v>
      </c>
    </row>
    <row r="861" spans="2:17" x14ac:dyDescent="0.25">
      <c r="B861" s="95" t="s">
        <v>512</v>
      </c>
      <c r="D861" s="1" t="s">
        <v>512</v>
      </c>
      <c r="E861" s="21" t="s">
        <v>512</v>
      </c>
      <c r="F861" s="1" t="s">
        <v>512</v>
      </c>
      <c r="G861" s="1" t="s">
        <v>512</v>
      </c>
      <c r="H861" s="1" t="s">
        <v>512</v>
      </c>
      <c r="I861" s="1" t="s">
        <v>512</v>
      </c>
      <c r="J861" s="1" t="s">
        <v>512</v>
      </c>
      <c r="K861" s="1" t="s">
        <v>512</v>
      </c>
      <c r="L861" s="1" t="s">
        <v>512</v>
      </c>
      <c r="M861" s="1" t="s">
        <v>512</v>
      </c>
      <c r="N861" s="1" t="s">
        <v>512</v>
      </c>
      <c r="O861" s="1" t="s">
        <v>512</v>
      </c>
      <c r="Q861" s="1" t="s">
        <v>512</v>
      </c>
    </row>
    <row r="862" spans="2:17" x14ac:dyDescent="0.25">
      <c r="B862" s="95" t="s">
        <v>512</v>
      </c>
      <c r="D862" s="1" t="s">
        <v>512</v>
      </c>
      <c r="E862" s="21" t="s">
        <v>512</v>
      </c>
      <c r="F862" s="1" t="s">
        <v>512</v>
      </c>
      <c r="G862" s="1" t="s">
        <v>512</v>
      </c>
      <c r="H862" s="1" t="s">
        <v>512</v>
      </c>
      <c r="I862" s="1" t="s">
        <v>512</v>
      </c>
      <c r="J862" s="1" t="s">
        <v>512</v>
      </c>
      <c r="K862" s="1" t="s">
        <v>512</v>
      </c>
      <c r="L862" s="1" t="s">
        <v>512</v>
      </c>
      <c r="M862" s="1" t="s">
        <v>512</v>
      </c>
      <c r="N862" s="1" t="s">
        <v>512</v>
      </c>
      <c r="O862" s="1" t="s">
        <v>512</v>
      </c>
      <c r="Q862" s="1" t="s">
        <v>512</v>
      </c>
    </row>
    <row r="863" spans="2:17" x14ac:dyDescent="0.25">
      <c r="B863" s="95" t="s">
        <v>512</v>
      </c>
      <c r="D863" s="1" t="s">
        <v>512</v>
      </c>
      <c r="E863" s="21" t="s">
        <v>512</v>
      </c>
      <c r="F863" s="1" t="s">
        <v>512</v>
      </c>
      <c r="G863" s="1" t="s">
        <v>512</v>
      </c>
      <c r="H863" s="1" t="s">
        <v>512</v>
      </c>
      <c r="I863" s="1" t="s">
        <v>512</v>
      </c>
      <c r="J863" s="1" t="s">
        <v>512</v>
      </c>
      <c r="K863" s="1" t="s">
        <v>512</v>
      </c>
      <c r="L863" s="1" t="s">
        <v>512</v>
      </c>
      <c r="M863" s="1" t="s">
        <v>512</v>
      </c>
      <c r="N863" s="1" t="s">
        <v>512</v>
      </c>
      <c r="O863" s="1" t="s">
        <v>512</v>
      </c>
      <c r="Q863" s="1" t="s">
        <v>512</v>
      </c>
    </row>
    <row r="864" spans="2:17" x14ac:dyDescent="0.25">
      <c r="B864" s="95" t="s">
        <v>512</v>
      </c>
      <c r="D864" s="1" t="s">
        <v>512</v>
      </c>
      <c r="E864" s="21" t="s">
        <v>512</v>
      </c>
      <c r="F864" s="1" t="s">
        <v>512</v>
      </c>
      <c r="G864" s="1" t="s">
        <v>512</v>
      </c>
      <c r="H864" s="1" t="s">
        <v>512</v>
      </c>
      <c r="I864" s="1" t="s">
        <v>512</v>
      </c>
      <c r="J864" s="1" t="s">
        <v>512</v>
      </c>
      <c r="K864" s="1" t="s">
        <v>512</v>
      </c>
      <c r="L864" s="1" t="s">
        <v>512</v>
      </c>
      <c r="M864" s="1" t="s">
        <v>512</v>
      </c>
      <c r="N864" s="1" t="s">
        <v>512</v>
      </c>
      <c r="O864" s="1" t="s">
        <v>512</v>
      </c>
      <c r="Q864" s="1" t="s">
        <v>512</v>
      </c>
    </row>
    <row r="865" spans="2:17" x14ac:dyDescent="0.25">
      <c r="B865" s="95" t="s">
        <v>512</v>
      </c>
      <c r="D865" s="1" t="s">
        <v>512</v>
      </c>
      <c r="E865" s="21" t="s">
        <v>512</v>
      </c>
      <c r="F865" s="1" t="s">
        <v>512</v>
      </c>
      <c r="G865" s="1" t="s">
        <v>512</v>
      </c>
      <c r="H865" s="1" t="s">
        <v>512</v>
      </c>
      <c r="I865" s="1" t="s">
        <v>512</v>
      </c>
      <c r="J865" s="1" t="s">
        <v>512</v>
      </c>
      <c r="K865" s="1" t="s">
        <v>512</v>
      </c>
      <c r="L865" s="1" t="s">
        <v>512</v>
      </c>
      <c r="M865" s="1" t="s">
        <v>512</v>
      </c>
      <c r="N865" s="1" t="s">
        <v>512</v>
      </c>
      <c r="O865" s="1" t="s">
        <v>512</v>
      </c>
      <c r="Q865" s="1" t="s">
        <v>512</v>
      </c>
    </row>
    <row r="866" spans="2:17" x14ac:dyDescent="0.25">
      <c r="B866" s="95" t="s">
        <v>512</v>
      </c>
      <c r="D866" s="1" t="s">
        <v>512</v>
      </c>
      <c r="E866" s="21" t="s">
        <v>512</v>
      </c>
      <c r="F866" s="1" t="s">
        <v>512</v>
      </c>
      <c r="G866" s="1" t="s">
        <v>512</v>
      </c>
      <c r="H866" s="1" t="s">
        <v>512</v>
      </c>
      <c r="I866" s="1" t="s">
        <v>512</v>
      </c>
      <c r="J866" s="1" t="s">
        <v>512</v>
      </c>
      <c r="K866" s="1" t="s">
        <v>512</v>
      </c>
      <c r="L866" s="1" t="s">
        <v>512</v>
      </c>
      <c r="M866" s="1" t="s">
        <v>512</v>
      </c>
      <c r="N866" s="1" t="s">
        <v>512</v>
      </c>
      <c r="O866" s="1" t="s">
        <v>512</v>
      </c>
      <c r="Q866" s="1" t="s">
        <v>512</v>
      </c>
    </row>
    <row r="867" spans="2:17" x14ac:dyDescent="0.25">
      <c r="B867" s="95" t="s">
        <v>512</v>
      </c>
      <c r="D867" s="1" t="s">
        <v>512</v>
      </c>
      <c r="E867" s="21" t="s">
        <v>512</v>
      </c>
      <c r="F867" s="1" t="s">
        <v>512</v>
      </c>
      <c r="G867" s="1" t="s">
        <v>512</v>
      </c>
      <c r="H867" s="1" t="s">
        <v>512</v>
      </c>
      <c r="I867" s="1" t="s">
        <v>512</v>
      </c>
      <c r="J867" s="1" t="s">
        <v>512</v>
      </c>
      <c r="K867" s="1" t="s">
        <v>512</v>
      </c>
      <c r="L867" s="1" t="s">
        <v>512</v>
      </c>
      <c r="M867" s="1" t="s">
        <v>512</v>
      </c>
      <c r="N867" s="1" t="s">
        <v>512</v>
      </c>
      <c r="O867" s="1" t="s">
        <v>512</v>
      </c>
      <c r="Q867" s="1" t="s">
        <v>512</v>
      </c>
    </row>
    <row r="868" spans="2:17" x14ac:dyDescent="0.25">
      <c r="B868" s="95" t="s">
        <v>512</v>
      </c>
      <c r="D868" s="1" t="s">
        <v>512</v>
      </c>
      <c r="E868" s="21" t="s">
        <v>512</v>
      </c>
      <c r="F868" s="1" t="s">
        <v>512</v>
      </c>
      <c r="G868" s="1" t="s">
        <v>512</v>
      </c>
      <c r="H868" s="1" t="s">
        <v>512</v>
      </c>
      <c r="I868" s="1" t="s">
        <v>512</v>
      </c>
      <c r="J868" s="1" t="s">
        <v>512</v>
      </c>
      <c r="K868" s="1" t="s">
        <v>512</v>
      </c>
      <c r="L868" s="1" t="s">
        <v>512</v>
      </c>
      <c r="M868" s="1" t="s">
        <v>512</v>
      </c>
      <c r="N868" s="1" t="s">
        <v>512</v>
      </c>
      <c r="O868" s="1" t="s">
        <v>512</v>
      </c>
      <c r="Q868" s="1" t="s">
        <v>512</v>
      </c>
    </row>
    <row r="869" spans="2:17" x14ac:dyDescent="0.25">
      <c r="B869" s="95" t="s">
        <v>512</v>
      </c>
      <c r="D869" s="1" t="s">
        <v>512</v>
      </c>
      <c r="E869" s="21" t="s">
        <v>512</v>
      </c>
      <c r="F869" s="1" t="s">
        <v>512</v>
      </c>
      <c r="G869" s="1" t="s">
        <v>512</v>
      </c>
      <c r="H869" s="1" t="s">
        <v>512</v>
      </c>
      <c r="I869" s="1" t="s">
        <v>512</v>
      </c>
      <c r="J869" s="1" t="s">
        <v>512</v>
      </c>
      <c r="K869" s="1" t="s">
        <v>512</v>
      </c>
      <c r="L869" s="1" t="s">
        <v>512</v>
      </c>
      <c r="M869" s="1" t="s">
        <v>512</v>
      </c>
      <c r="N869" s="1" t="s">
        <v>512</v>
      </c>
      <c r="O869" s="1" t="s">
        <v>512</v>
      </c>
      <c r="Q869" s="1" t="s">
        <v>512</v>
      </c>
    </row>
    <row r="870" spans="2:17" x14ac:dyDescent="0.25">
      <c r="B870" s="95" t="s">
        <v>512</v>
      </c>
      <c r="D870" s="1" t="s">
        <v>512</v>
      </c>
      <c r="E870" s="21" t="s">
        <v>512</v>
      </c>
      <c r="F870" s="1" t="s">
        <v>512</v>
      </c>
      <c r="G870" s="1" t="s">
        <v>512</v>
      </c>
      <c r="H870" s="1" t="s">
        <v>512</v>
      </c>
      <c r="I870" s="1" t="s">
        <v>512</v>
      </c>
      <c r="J870" s="1" t="s">
        <v>512</v>
      </c>
      <c r="K870" s="1" t="s">
        <v>512</v>
      </c>
      <c r="L870" s="1" t="s">
        <v>512</v>
      </c>
      <c r="M870" s="1" t="s">
        <v>512</v>
      </c>
      <c r="N870" s="1" t="s">
        <v>512</v>
      </c>
      <c r="O870" s="1" t="s">
        <v>512</v>
      </c>
      <c r="Q870" s="1" t="s">
        <v>512</v>
      </c>
    </row>
    <row r="871" spans="2:17" x14ac:dyDescent="0.25">
      <c r="B871" s="95" t="s">
        <v>512</v>
      </c>
      <c r="D871" s="1" t="s">
        <v>512</v>
      </c>
      <c r="E871" s="21" t="s">
        <v>512</v>
      </c>
      <c r="F871" s="1" t="s">
        <v>512</v>
      </c>
      <c r="G871" s="1" t="s">
        <v>512</v>
      </c>
      <c r="H871" s="1" t="s">
        <v>512</v>
      </c>
      <c r="I871" s="1" t="s">
        <v>512</v>
      </c>
      <c r="J871" s="1" t="s">
        <v>512</v>
      </c>
      <c r="K871" s="1" t="s">
        <v>512</v>
      </c>
      <c r="L871" s="1" t="s">
        <v>512</v>
      </c>
      <c r="M871" s="1" t="s">
        <v>512</v>
      </c>
      <c r="N871" s="1" t="s">
        <v>512</v>
      </c>
      <c r="O871" s="1" t="s">
        <v>512</v>
      </c>
      <c r="Q871" s="1" t="s">
        <v>512</v>
      </c>
    </row>
    <row r="872" spans="2:17" x14ac:dyDescent="0.25">
      <c r="B872" s="95" t="s">
        <v>512</v>
      </c>
      <c r="D872" s="1" t="s">
        <v>512</v>
      </c>
      <c r="E872" s="21" t="s">
        <v>512</v>
      </c>
      <c r="F872" s="1" t="s">
        <v>512</v>
      </c>
      <c r="G872" s="1" t="s">
        <v>512</v>
      </c>
      <c r="H872" s="1" t="s">
        <v>512</v>
      </c>
      <c r="I872" s="1" t="s">
        <v>512</v>
      </c>
      <c r="J872" s="1" t="s">
        <v>512</v>
      </c>
      <c r="K872" s="1" t="s">
        <v>512</v>
      </c>
      <c r="L872" s="1" t="s">
        <v>512</v>
      </c>
      <c r="M872" s="1" t="s">
        <v>512</v>
      </c>
      <c r="N872" s="1" t="s">
        <v>512</v>
      </c>
      <c r="O872" s="1" t="s">
        <v>512</v>
      </c>
      <c r="Q872" s="1" t="s">
        <v>512</v>
      </c>
    </row>
    <row r="873" spans="2:17" x14ac:dyDescent="0.25">
      <c r="B873" s="95" t="s">
        <v>512</v>
      </c>
      <c r="D873" s="1" t="s">
        <v>512</v>
      </c>
      <c r="E873" s="21" t="s">
        <v>512</v>
      </c>
      <c r="F873" s="1" t="s">
        <v>512</v>
      </c>
      <c r="G873" s="1" t="s">
        <v>512</v>
      </c>
      <c r="H873" s="1" t="s">
        <v>512</v>
      </c>
      <c r="I873" s="1" t="s">
        <v>512</v>
      </c>
      <c r="J873" s="1" t="s">
        <v>512</v>
      </c>
      <c r="K873" s="1" t="s">
        <v>512</v>
      </c>
      <c r="L873" s="1" t="s">
        <v>512</v>
      </c>
      <c r="M873" s="1" t="s">
        <v>512</v>
      </c>
      <c r="N873" s="1" t="s">
        <v>512</v>
      </c>
      <c r="O873" s="1" t="s">
        <v>512</v>
      </c>
      <c r="Q873" s="1" t="s">
        <v>512</v>
      </c>
    </row>
    <row r="874" spans="2:17" x14ac:dyDescent="0.25">
      <c r="B874" s="95" t="s">
        <v>512</v>
      </c>
      <c r="D874" s="1" t="s">
        <v>512</v>
      </c>
      <c r="E874" s="21" t="s">
        <v>512</v>
      </c>
      <c r="F874" s="1" t="s">
        <v>512</v>
      </c>
      <c r="G874" s="1" t="s">
        <v>512</v>
      </c>
      <c r="H874" s="1" t="s">
        <v>512</v>
      </c>
      <c r="I874" s="1" t="s">
        <v>512</v>
      </c>
      <c r="J874" s="1" t="s">
        <v>512</v>
      </c>
      <c r="K874" s="1" t="s">
        <v>512</v>
      </c>
      <c r="L874" s="1" t="s">
        <v>512</v>
      </c>
      <c r="M874" s="1" t="s">
        <v>512</v>
      </c>
      <c r="N874" s="1" t="s">
        <v>512</v>
      </c>
      <c r="O874" s="1" t="s">
        <v>512</v>
      </c>
      <c r="Q874" s="1" t="s">
        <v>512</v>
      </c>
    </row>
    <row r="875" spans="2:17" x14ac:dyDescent="0.25">
      <c r="B875" s="95" t="s">
        <v>512</v>
      </c>
      <c r="D875" s="1" t="s">
        <v>512</v>
      </c>
      <c r="E875" s="21" t="s">
        <v>512</v>
      </c>
      <c r="F875" s="1" t="s">
        <v>512</v>
      </c>
      <c r="G875" s="1" t="s">
        <v>512</v>
      </c>
      <c r="H875" s="1" t="s">
        <v>512</v>
      </c>
      <c r="I875" s="1" t="s">
        <v>512</v>
      </c>
      <c r="J875" s="1" t="s">
        <v>512</v>
      </c>
      <c r="K875" s="1" t="s">
        <v>512</v>
      </c>
      <c r="L875" s="1" t="s">
        <v>512</v>
      </c>
      <c r="M875" s="1" t="s">
        <v>512</v>
      </c>
      <c r="N875" s="1" t="s">
        <v>512</v>
      </c>
      <c r="O875" s="1" t="s">
        <v>512</v>
      </c>
      <c r="Q875" s="1" t="s">
        <v>512</v>
      </c>
    </row>
    <row r="876" spans="2:17" x14ac:dyDescent="0.25">
      <c r="B876" s="95" t="s">
        <v>512</v>
      </c>
      <c r="D876" s="1" t="s">
        <v>512</v>
      </c>
      <c r="E876" s="21" t="s">
        <v>512</v>
      </c>
      <c r="F876" s="1" t="s">
        <v>512</v>
      </c>
      <c r="G876" s="1" t="s">
        <v>512</v>
      </c>
      <c r="H876" s="1" t="s">
        <v>512</v>
      </c>
      <c r="I876" s="1" t="s">
        <v>512</v>
      </c>
      <c r="J876" s="1" t="s">
        <v>512</v>
      </c>
      <c r="K876" s="1" t="s">
        <v>512</v>
      </c>
      <c r="L876" s="1" t="s">
        <v>512</v>
      </c>
      <c r="M876" s="1" t="s">
        <v>512</v>
      </c>
      <c r="N876" s="1" t="s">
        <v>512</v>
      </c>
      <c r="O876" s="1" t="s">
        <v>512</v>
      </c>
      <c r="Q876" s="1" t="s">
        <v>512</v>
      </c>
    </row>
    <row r="877" spans="2:17" x14ac:dyDescent="0.25">
      <c r="B877" s="95" t="s">
        <v>512</v>
      </c>
      <c r="D877" s="1" t="s">
        <v>512</v>
      </c>
      <c r="E877" s="21" t="s">
        <v>512</v>
      </c>
      <c r="F877" s="1" t="s">
        <v>512</v>
      </c>
      <c r="G877" s="1" t="s">
        <v>512</v>
      </c>
      <c r="H877" s="1" t="s">
        <v>512</v>
      </c>
      <c r="I877" s="1" t="s">
        <v>512</v>
      </c>
      <c r="J877" s="1" t="s">
        <v>512</v>
      </c>
      <c r="K877" s="1" t="s">
        <v>512</v>
      </c>
      <c r="L877" s="1" t="s">
        <v>512</v>
      </c>
      <c r="M877" s="1" t="s">
        <v>512</v>
      </c>
      <c r="N877" s="1" t="s">
        <v>512</v>
      </c>
      <c r="O877" s="1" t="s">
        <v>512</v>
      </c>
      <c r="Q877" s="1" t="s">
        <v>512</v>
      </c>
    </row>
    <row r="878" spans="2:17" x14ac:dyDescent="0.25">
      <c r="B878" s="95" t="s">
        <v>512</v>
      </c>
      <c r="D878" s="1" t="s">
        <v>512</v>
      </c>
      <c r="E878" s="21" t="s">
        <v>512</v>
      </c>
      <c r="F878" s="1" t="s">
        <v>512</v>
      </c>
      <c r="G878" s="1" t="s">
        <v>512</v>
      </c>
      <c r="H878" s="1" t="s">
        <v>512</v>
      </c>
      <c r="I878" s="1" t="s">
        <v>512</v>
      </c>
      <c r="J878" s="1" t="s">
        <v>512</v>
      </c>
      <c r="K878" s="1" t="s">
        <v>512</v>
      </c>
      <c r="L878" s="1" t="s">
        <v>512</v>
      </c>
      <c r="M878" s="1" t="s">
        <v>512</v>
      </c>
      <c r="N878" s="1" t="s">
        <v>512</v>
      </c>
      <c r="O878" s="1" t="s">
        <v>512</v>
      </c>
      <c r="Q878" s="1" t="s">
        <v>512</v>
      </c>
    </row>
    <row r="879" spans="2:17" x14ac:dyDescent="0.25">
      <c r="B879" s="95" t="s">
        <v>512</v>
      </c>
      <c r="D879" s="1" t="s">
        <v>512</v>
      </c>
      <c r="E879" s="21" t="s">
        <v>512</v>
      </c>
      <c r="F879" s="1" t="s">
        <v>512</v>
      </c>
      <c r="G879" s="1" t="s">
        <v>512</v>
      </c>
      <c r="H879" s="1" t="s">
        <v>512</v>
      </c>
      <c r="I879" s="1" t="s">
        <v>512</v>
      </c>
      <c r="J879" s="1" t="s">
        <v>512</v>
      </c>
      <c r="K879" s="1" t="s">
        <v>512</v>
      </c>
      <c r="L879" s="1" t="s">
        <v>512</v>
      </c>
      <c r="M879" s="1" t="s">
        <v>512</v>
      </c>
      <c r="N879" s="1" t="s">
        <v>512</v>
      </c>
      <c r="O879" s="1" t="s">
        <v>512</v>
      </c>
      <c r="Q879" s="1" t="s">
        <v>512</v>
      </c>
    </row>
    <row r="880" spans="2:17" x14ac:dyDescent="0.25">
      <c r="B880" s="95" t="s">
        <v>512</v>
      </c>
      <c r="D880" s="1" t="s">
        <v>512</v>
      </c>
      <c r="E880" s="21" t="s">
        <v>512</v>
      </c>
      <c r="F880" s="1" t="s">
        <v>512</v>
      </c>
      <c r="G880" s="1" t="s">
        <v>512</v>
      </c>
      <c r="H880" s="1" t="s">
        <v>512</v>
      </c>
      <c r="I880" s="1" t="s">
        <v>512</v>
      </c>
      <c r="J880" s="1" t="s">
        <v>512</v>
      </c>
      <c r="K880" s="1" t="s">
        <v>512</v>
      </c>
      <c r="L880" s="1" t="s">
        <v>512</v>
      </c>
      <c r="M880" s="1" t="s">
        <v>512</v>
      </c>
      <c r="N880" s="1" t="s">
        <v>512</v>
      </c>
      <c r="O880" s="1" t="s">
        <v>512</v>
      </c>
      <c r="Q880" s="1" t="s">
        <v>512</v>
      </c>
    </row>
    <row r="881" spans="2:17" x14ac:dyDescent="0.25">
      <c r="B881" s="95" t="s">
        <v>512</v>
      </c>
      <c r="D881" s="1" t="s">
        <v>512</v>
      </c>
      <c r="E881" s="21" t="s">
        <v>512</v>
      </c>
      <c r="F881" s="1" t="s">
        <v>512</v>
      </c>
      <c r="G881" s="1" t="s">
        <v>512</v>
      </c>
      <c r="H881" s="1" t="s">
        <v>512</v>
      </c>
      <c r="I881" s="1" t="s">
        <v>512</v>
      </c>
      <c r="J881" s="1" t="s">
        <v>512</v>
      </c>
      <c r="K881" s="1" t="s">
        <v>512</v>
      </c>
      <c r="L881" s="1" t="s">
        <v>512</v>
      </c>
      <c r="M881" s="1" t="s">
        <v>512</v>
      </c>
      <c r="N881" s="1" t="s">
        <v>512</v>
      </c>
      <c r="O881" s="1" t="s">
        <v>512</v>
      </c>
      <c r="Q881" s="1" t="s">
        <v>512</v>
      </c>
    </row>
    <row r="882" spans="2:17" x14ac:dyDescent="0.25">
      <c r="B882" s="95" t="s">
        <v>512</v>
      </c>
      <c r="D882" s="1" t="s">
        <v>512</v>
      </c>
      <c r="E882" s="21" t="s">
        <v>512</v>
      </c>
      <c r="F882" s="1" t="s">
        <v>512</v>
      </c>
      <c r="G882" s="1" t="s">
        <v>512</v>
      </c>
      <c r="H882" s="1" t="s">
        <v>512</v>
      </c>
      <c r="I882" s="1" t="s">
        <v>512</v>
      </c>
      <c r="J882" s="1" t="s">
        <v>512</v>
      </c>
      <c r="K882" s="1" t="s">
        <v>512</v>
      </c>
      <c r="L882" s="1" t="s">
        <v>512</v>
      </c>
      <c r="M882" s="1" t="s">
        <v>512</v>
      </c>
      <c r="N882" s="1" t="s">
        <v>512</v>
      </c>
      <c r="O882" s="1" t="s">
        <v>512</v>
      </c>
      <c r="Q882" s="1" t="s">
        <v>512</v>
      </c>
    </row>
    <row r="883" spans="2:17" x14ac:dyDescent="0.25">
      <c r="B883" s="95" t="s">
        <v>512</v>
      </c>
      <c r="D883" s="1" t="s">
        <v>512</v>
      </c>
      <c r="E883" s="21" t="s">
        <v>512</v>
      </c>
      <c r="F883" s="1" t="s">
        <v>512</v>
      </c>
      <c r="G883" s="1" t="s">
        <v>512</v>
      </c>
      <c r="H883" s="1" t="s">
        <v>512</v>
      </c>
      <c r="I883" s="1" t="s">
        <v>512</v>
      </c>
      <c r="J883" s="1" t="s">
        <v>512</v>
      </c>
      <c r="K883" s="1" t="s">
        <v>512</v>
      </c>
      <c r="L883" s="1" t="s">
        <v>512</v>
      </c>
      <c r="M883" s="1" t="s">
        <v>512</v>
      </c>
      <c r="N883" s="1" t="s">
        <v>512</v>
      </c>
      <c r="O883" s="1" t="s">
        <v>512</v>
      </c>
      <c r="Q883" s="1" t="s">
        <v>512</v>
      </c>
    </row>
    <row r="884" spans="2:17" x14ac:dyDescent="0.25">
      <c r="B884" s="95" t="s">
        <v>512</v>
      </c>
      <c r="D884" s="1" t="s">
        <v>512</v>
      </c>
      <c r="E884" s="21" t="s">
        <v>512</v>
      </c>
      <c r="F884" s="1" t="s">
        <v>512</v>
      </c>
      <c r="G884" s="1" t="s">
        <v>512</v>
      </c>
      <c r="H884" s="1" t="s">
        <v>512</v>
      </c>
      <c r="I884" s="1" t="s">
        <v>512</v>
      </c>
      <c r="J884" s="1" t="s">
        <v>512</v>
      </c>
      <c r="K884" s="1" t="s">
        <v>512</v>
      </c>
      <c r="L884" s="1" t="s">
        <v>512</v>
      </c>
      <c r="M884" s="1" t="s">
        <v>512</v>
      </c>
      <c r="N884" s="1" t="s">
        <v>512</v>
      </c>
      <c r="O884" s="1" t="s">
        <v>512</v>
      </c>
      <c r="Q884" s="1" t="s">
        <v>512</v>
      </c>
    </row>
    <row r="885" spans="2:17" x14ac:dyDescent="0.25">
      <c r="B885" s="95" t="s">
        <v>512</v>
      </c>
      <c r="D885" s="1" t="s">
        <v>512</v>
      </c>
      <c r="E885" s="21" t="s">
        <v>512</v>
      </c>
      <c r="F885" s="1" t="s">
        <v>512</v>
      </c>
      <c r="G885" s="1" t="s">
        <v>512</v>
      </c>
      <c r="H885" s="1" t="s">
        <v>512</v>
      </c>
      <c r="I885" s="1" t="s">
        <v>512</v>
      </c>
      <c r="J885" s="1" t="s">
        <v>512</v>
      </c>
      <c r="K885" s="1" t="s">
        <v>512</v>
      </c>
      <c r="L885" s="1" t="s">
        <v>512</v>
      </c>
      <c r="M885" s="1" t="s">
        <v>512</v>
      </c>
      <c r="N885" s="1" t="s">
        <v>512</v>
      </c>
      <c r="O885" s="1" t="s">
        <v>512</v>
      </c>
      <c r="Q885" s="1" t="s">
        <v>512</v>
      </c>
    </row>
    <row r="886" spans="2:17" x14ac:dyDescent="0.25">
      <c r="B886" s="95" t="s">
        <v>512</v>
      </c>
      <c r="D886" s="1" t="s">
        <v>512</v>
      </c>
      <c r="E886" s="21" t="s">
        <v>512</v>
      </c>
      <c r="F886" s="1" t="s">
        <v>512</v>
      </c>
      <c r="G886" s="1" t="s">
        <v>512</v>
      </c>
      <c r="H886" s="1" t="s">
        <v>512</v>
      </c>
      <c r="I886" s="1" t="s">
        <v>512</v>
      </c>
      <c r="J886" s="1" t="s">
        <v>512</v>
      </c>
      <c r="K886" s="1" t="s">
        <v>512</v>
      </c>
      <c r="L886" s="1" t="s">
        <v>512</v>
      </c>
      <c r="M886" s="1" t="s">
        <v>512</v>
      </c>
      <c r="N886" s="1" t="s">
        <v>512</v>
      </c>
      <c r="O886" s="1" t="s">
        <v>512</v>
      </c>
      <c r="Q886" s="1" t="s">
        <v>512</v>
      </c>
    </row>
    <row r="887" spans="2:17" x14ac:dyDescent="0.25">
      <c r="B887" s="95" t="s">
        <v>512</v>
      </c>
      <c r="D887" s="1" t="s">
        <v>512</v>
      </c>
      <c r="E887" s="21" t="s">
        <v>512</v>
      </c>
      <c r="F887" s="1" t="s">
        <v>512</v>
      </c>
      <c r="G887" s="1" t="s">
        <v>512</v>
      </c>
      <c r="H887" s="1" t="s">
        <v>512</v>
      </c>
      <c r="I887" s="1" t="s">
        <v>512</v>
      </c>
      <c r="J887" s="1" t="s">
        <v>512</v>
      </c>
      <c r="K887" s="1" t="s">
        <v>512</v>
      </c>
      <c r="L887" s="1" t="s">
        <v>512</v>
      </c>
      <c r="M887" s="1" t="s">
        <v>512</v>
      </c>
      <c r="N887" s="1" t="s">
        <v>512</v>
      </c>
      <c r="O887" s="1" t="s">
        <v>512</v>
      </c>
      <c r="Q887" s="1" t="s">
        <v>512</v>
      </c>
    </row>
    <row r="888" spans="2:17" x14ac:dyDescent="0.25">
      <c r="B888" s="95" t="s">
        <v>512</v>
      </c>
      <c r="D888" s="1" t="s">
        <v>512</v>
      </c>
      <c r="E888" s="21" t="s">
        <v>512</v>
      </c>
      <c r="F888" s="1" t="s">
        <v>512</v>
      </c>
      <c r="G888" s="1" t="s">
        <v>512</v>
      </c>
      <c r="H888" s="1" t="s">
        <v>512</v>
      </c>
      <c r="I888" s="1" t="s">
        <v>512</v>
      </c>
      <c r="J888" s="1" t="s">
        <v>512</v>
      </c>
      <c r="K888" s="1" t="s">
        <v>512</v>
      </c>
      <c r="L888" s="1" t="s">
        <v>512</v>
      </c>
      <c r="M888" s="1" t="s">
        <v>512</v>
      </c>
      <c r="N888" s="1" t="s">
        <v>512</v>
      </c>
      <c r="O888" s="1" t="s">
        <v>512</v>
      </c>
      <c r="Q888" s="1" t="s">
        <v>512</v>
      </c>
    </row>
    <row r="889" spans="2:17" x14ac:dyDescent="0.25">
      <c r="B889" s="95" t="s">
        <v>512</v>
      </c>
      <c r="D889" s="1" t="s">
        <v>512</v>
      </c>
      <c r="E889" s="21" t="s">
        <v>512</v>
      </c>
      <c r="F889" s="1" t="s">
        <v>512</v>
      </c>
      <c r="G889" s="1" t="s">
        <v>512</v>
      </c>
      <c r="H889" s="1" t="s">
        <v>512</v>
      </c>
      <c r="I889" s="1" t="s">
        <v>512</v>
      </c>
      <c r="J889" s="1" t="s">
        <v>512</v>
      </c>
      <c r="K889" s="1" t="s">
        <v>512</v>
      </c>
      <c r="L889" s="1" t="s">
        <v>512</v>
      </c>
      <c r="M889" s="1" t="s">
        <v>512</v>
      </c>
      <c r="N889" s="1" t="s">
        <v>512</v>
      </c>
      <c r="O889" s="1" t="s">
        <v>512</v>
      </c>
      <c r="Q889" s="1" t="s">
        <v>512</v>
      </c>
    </row>
    <row r="890" spans="2:17" x14ac:dyDescent="0.25">
      <c r="B890" s="95" t="s">
        <v>512</v>
      </c>
      <c r="D890" s="1" t="s">
        <v>512</v>
      </c>
      <c r="E890" s="21" t="s">
        <v>512</v>
      </c>
      <c r="F890" s="1" t="s">
        <v>512</v>
      </c>
      <c r="G890" s="1" t="s">
        <v>512</v>
      </c>
      <c r="H890" s="1" t="s">
        <v>512</v>
      </c>
      <c r="I890" s="1" t="s">
        <v>512</v>
      </c>
      <c r="J890" s="1" t="s">
        <v>512</v>
      </c>
      <c r="K890" s="1" t="s">
        <v>512</v>
      </c>
      <c r="L890" s="1" t="s">
        <v>512</v>
      </c>
      <c r="M890" s="1" t="s">
        <v>512</v>
      </c>
      <c r="N890" s="1" t="s">
        <v>512</v>
      </c>
      <c r="O890" s="1" t="s">
        <v>512</v>
      </c>
      <c r="Q890" s="1" t="s">
        <v>512</v>
      </c>
    </row>
    <row r="891" spans="2:17" x14ac:dyDescent="0.25">
      <c r="B891" s="95" t="s">
        <v>512</v>
      </c>
      <c r="D891" s="1" t="s">
        <v>512</v>
      </c>
      <c r="E891" s="21" t="s">
        <v>512</v>
      </c>
      <c r="F891" s="1" t="s">
        <v>512</v>
      </c>
      <c r="G891" s="1" t="s">
        <v>512</v>
      </c>
      <c r="H891" s="1" t="s">
        <v>512</v>
      </c>
      <c r="I891" s="1" t="s">
        <v>512</v>
      </c>
      <c r="J891" s="1" t="s">
        <v>512</v>
      </c>
      <c r="K891" s="1" t="s">
        <v>512</v>
      </c>
      <c r="L891" s="1" t="s">
        <v>512</v>
      </c>
      <c r="M891" s="1" t="s">
        <v>512</v>
      </c>
      <c r="N891" s="1" t="s">
        <v>512</v>
      </c>
      <c r="O891" s="1" t="s">
        <v>512</v>
      </c>
      <c r="Q891" s="1" t="s">
        <v>512</v>
      </c>
    </row>
    <row r="892" spans="2:17" x14ac:dyDescent="0.25">
      <c r="B892" s="95" t="s">
        <v>512</v>
      </c>
      <c r="D892" s="1" t="s">
        <v>512</v>
      </c>
      <c r="E892" s="21" t="s">
        <v>512</v>
      </c>
      <c r="F892" s="1" t="s">
        <v>512</v>
      </c>
      <c r="G892" s="1" t="s">
        <v>512</v>
      </c>
      <c r="H892" s="1" t="s">
        <v>512</v>
      </c>
      <c r="I892" s="1" t="s">
        <v>512</v>
      </c>
      <c r="J892" s="1" t="s">
        <v>512</v>
      </c>
      <c r="K892" s="1" t="s">
        <v>512</v>
      </c>
      <c r="L892" s="1" t="s">
        <v>512</v>
      </c>
      <c r="M892" s="1" t="s">
        <v>512</v>
      </c>
      <c r="N892" s="1" t="s">
        <v>512</v>
      </c>
      <c r="O892" s="1" t="s">
        <v>512</v>
      </c>
      <c r="Q892" s="1" t="s">
        <v>512</v>
      </c>
    </row>
    <row r="893" spans="2:17" x14ac:dyDescent="0.25">
      <c r="B893" s="95" t="s">
        <v>512</v>
      </c>
      <c r="D893" s="1" t="s">
        <v>512</v>
      </c>
      <c r="E893" s="21" t="s">
        <v>512</v>
      </c>
      <c r="F893" s="1" t="s">
        <v>512</v>
      </c>
      <c r="G893" s="1" t="s">
        <v>512</v>
      </c>
      <c r="H893" s="1" t="s">
        <v>512</v>
      </c>
      <c r="I893" s="1" t="s">
        <v>512</v>
      </c>
      <c r="J893" s="1" t="s">
        <v>512</v>
      </c>
      <c r="K893" s="1" t="s">
        <v>512</v>
      </c>
      <c r="L893" s="1" t="s">
        <v>512</v>
      </c>
      <c r="M893" s="1" t="s">
        <v>512</v>
      </c>
      <c r="N893" s="1" t="s">
        <v>512</v>
      </c>
      <c r="O893" s="1" t="s">
        <v>512</v>
      </c>
      <c r="Q893" s="1" t="s">
        <v>512</v>
      </c>
    </row>
    <row r="894" spans="2:17" x14ac:dyDescent="0.25">
      <c r="B894" s="95" t="s">
        <v>512</v>
      </c>
      <c r="D894" s="1" t="s">
        <v>512</v>
      </c>
      <c r="E894" s="21" t="s">
        <v>512</v>
      </c>
      <c r="F894" s="1" t="s">
        <v>512</v>
      </c>
      <c r="G894" s="1" t="s">
        <v>512</v>
      </c>
      <c r="H894" s="1" t="s">
        <v>512</v>
      </c>
      <c r="I894" s="1" t="s">
        <v>512</v>
      </c>
      <c r="J894" s="1" t="s">
        <v>512</v>
      </c>
      <c r="K894" s="1" t="s">
        <v>512</v>
      </c>
      <c r="L894" s="1" t="s">
        <v>512</v>
      </c>
      <c r="M894" s="1" t="s">
        <v>512</v>
      </c>
      <c r="N894" s="1" t="s">
        <v>512</v>
      </c>
      <c r="O894" s="1" t="s">
        <v>512</v>
      </c>
      <c r="Q894" s="1" t="s">
        <v>512</v>
      </c>
    </row>
    <row r="895" spans="2:17" x14ac:dyDescent="0.25">
      <c r="B895" s="95" t="s">
        <v>512</v>
      </c>
      <c r="D895" s="1" t="s">
        <v>512</v>
      </c>
      <c r="E895" s="21" t="s">
        <v>512</v>
      </c>
      <c r="F895" s="1" t="s">
        <v>512</v>
      </c>
      <c r="G895" s="1" t="s">
        <v>512</v>
      </c>
      <c r="H895" s="1" t="s">
        <v>512</v>
      </c>
      <c r="I895" s="1" t="s">
        <v>512</v>
      </c>
      <c r="J895" s="1" t="s">
        <v>512</v>
      </c>
      <c r="K895" s="1" t="s">
        <v>512</v>
      </c>
      <c r="L895" s="1" t="s">
        <v>512</v>
      </c>
      <c r="M895" s="1" t="s">
        <v>512</v>
      </c>
      <c r="N895" s="1" t="s">
        <v>512</v>
      </c>
      <c r="O895" s="1" t="s">
        <v>512</v>
      </c>
      <c r="Q895" s="1" t="s">
        <v>512</v>
      </c>
    </row>
    <row r="896" spans="2:17" x14ac:dyDescent="0.25">
      <c r="B896" s="95" t="s">
        <v>512</v>
      </c>
      <c r="D896" s="1" t="s">
        <v>512</v>
      </c>
      <c r="E896" s="21" t="s">
        <v>512</v>
      </c>
      <c r="F896" s="1" t="s">
        <v>512</v>
      </c>
      <c r="G896" s="1" t="s">
        <v>512</v>
      </c>
      <c r="H896" s="1" t="s">
        <v>512</v>
      </c>
      <c r="I896" s="1" t="s">
        <v>512</v>
      </c>
      <c r="J896" s="1" t="s">
        <v>512</v>
      </c>
      <c r="K896" s="1" t="s">
        <v>512</v>
      </c>
      <c r="L896" s="1" t="s">
        <v>512</v>
      </c>
      <c r="M896" s="1" t="s">
        <v>512</v>
      </c>
      <c r="N896" s="1" t="s">
        <v>512</v>
      </c>
      <c r="O896" s="1" t="s">
        <v>512</v>
      </c>
      <c r="Q896" s="1" t="s">
        <v>512</v>
      </c>
    </row>
    <row r="897" spans="2:17" x14ac:dyDescent="0.25">
      <c r="B897" s="95" t="s">
        <v>512</v>
      </c>
      <c r="D897" s="1" t="s">
        <v>512</v>
      </c>
      <c r="E897" s="21" t="s">
        <v>512</v>
      </c>
      <c r="F897" s="1" t="s">
        <v>512</v>
      </c>
      <c r="G897" s="1" t="s">
        <v>512</v>
      </c>
      <c r="H897" s="1" t="s">
        <v>512</v>
      </c>
      <c r="I897" s="1" t="s">
        <v>512</v>
      </c>
      <c r="J897" s="1" t="s">
        <v>512</v>
      </c>
      <c r="K897" s="1" t="s">
        <v>512</v>
      </c>
      <c r="L897" s="1" t="s">
        <v>512</v>
      </c>
      <c r="M897" s="1" t="s">
        <v>512</v>
      </c>
      <c r="N897" s="1" t="s">
        <v>512</v>
      </c>
      <c r="O897" s="1" t="s">
        <v>512</v>
      </c>
      <c r="Q897" s="1" t="s">
        <v>512</v>
      </c>
    </row>
    <row r="898" spans="2:17" x14ac:dyDescent="0.25">
      <c r="B898" s="95" t="s">
        <v>512</v>
      </c>
      <c r="D898" s="1" t="s">
        <v>512</v>
      </c>
      <c r="E898" s="21" t="s">
        <v>512</v>
      </c>
      <c r="F898" s="1" t="s">
        <v>512</v>
      </c>
      <c r="G898" s="1" t="s">
        <v>512</v>
      </c>
      <c r="H898" s="1" t="s">
        <v>512</v>
      </c>
      <c r="I898" s="1" t="s">
        <v>512</v>
      </c>
      <c r="J898" s="1" t="s">
        <v>512</v>
      </c>
      <c r="K898" s="1" t="s">
        <v>512</v>
      </c>
      <c r="L898" s="1" t="s">
        <v>512</v>
      </c>
      <c r="M898" s="1" t="s">
        <v>512</v>
      </c>
      <c r="N898" s="1" t="s">
        <v>512</v>
      </c>
      <c r="O898" s="1" t="s">
        <v>512</v>
      </c>
      <c r="Q898" s="1" t="s">
        <v>512</v>
      </c>
    </row>
    <row r="899" spans="2:17" x14ac:dyDescent="0.25">
      <c r="B899" s="95" t="s">
        <v>512</v>
      </c>
      <c r="D899" s="1" t="s">
        <v>512</v>
      </c>
      <c r="E899" s="21" t="s">
        <v>512</v>
      </c>
      <c r="F899" s="1" t="s">
        <v>512</v>
      </c>
      <c r="G899" s="1" t="s">
        <v>512</v>
      </c>
      <c r="H899" s="1" t="s">
        <v>512</v>
      </c>
      <c r="I899" s="1" t="s">
        <v>512</v>
      </c>
      <c r="J899" s="1" t="s">
        <v>512</v>
      </c>
      <c r="K899" s="1" t="s">
        <v>512</v>
      </c>
      <c r="L899" s="1" t="s">
        <v>512</v>
      </c>
      <c r="M899" s="1" t="s">
        <v>512</v>
      </c>
      <c r="N899" s="1" t="s">
        <v>512</v>
      </c>
      <c r="O899" s="1" t="s">
        <v>512</v>
      </c>
      <c r="Q899" s="1" t="s">
        <v>512</v>
      </c>
    </row>
    <row r="900" spans="2:17" x14ac:dyDescent="0.25">
      <c r="B900" s="95" t="s">
        <v>512</v>
      </c>
      <c r="D900" s="1" t="s">
        <v>512</v>
      </c>
      <c r="E900" s="21" t="s">
        <v>512</v>
      </c>
      <c r="F900" s="1" t="s">
        <v>512</v>
      </c>
      <c r="G900" s="1" t="s">
        <v>512</v>
      </c>
      <c r="H900" s="1" t="s">
        <v>512</v>
      </c>
      <c r="I900" s="1" t="s">
        <v>512</v>
      </c>
      <c r="J900" s="1" t="s">
        <v>512</v>
      </c>
      <c r="K900" s="1" t="s">
        <v>512</v>
      </c>
      <c r="L900" s="1" t="s">
        <v>512</v>
      </c>
      <c r="M900" s="1" t="s">
        <v>512</v>
      </c>
      <c r="N900" s="1" t="s">
        <v>512</v>
      </c>
      <c r="O900" s="1" t="s">
        <v>512</v>
      </c>
      <c r="Q900" s="1" t="s">
        <v>512</v>
      </c>
    </row>
    <row r="901" spans="2:17" x14ac:dyDescent="0.25">
      <c r="B901" s="95" t="s">
        <v>512</v>
      </c>
      <c r="D901" s="1" t="s">
        <v>512</v>
      </c>
      <c r="E901" s="21" t="s">
        <v>512</v>
      </c>
      <c r="F901" s="1" t="s">
        <v>512</v>
      </c>
      <c r="G901" s="1" t="s">
        <v>512</v>
      </c>
      <c r="H901" s="1" t="s">
        <v>512</v>
      </c>
      <c r="I901" s="1" t="s">
        <v>512</v>
      </c>
      <c r="J901" s="1" t="s">
        <v>512</v>
      </c>
      <c r="K901" s="1" t="s">
        <v>512</v>
      </c>
      <c r="L901" s="1" t="s">
        <v>512</v>
      </c>
      <c r="M901" s="1" t="s">
        <v>512</v>
      </c>
      <c r="N901" s="1" t="s">
        <v>512</v>
      </c>
      <c r="O901" s="1" t="s">
        <v>512</v>
      </c>
      <c r="Q901" s="1" t="s">
        <v>512</v>
      </c>
    </row>
    <row r="902" spans="2:17" x14ac:dyDescent="0.25">
      <c r="B902" s="95" t="s">
        <v>512</v>
      </c>
      <c r="D902" s="1" t="s">
        <v>512</v>
      </c>
      <c r="E902" s="21" t="s">
        <v>512</v>
      </c>
      <c r="F902" s="1" t="s">
        <v>512</v>
      </c>
      <c r="G902" s="1" t="s">
        <v>512</v>
      </c>
      <c r="H902" s="1" t="s">
        <v>512</v>
      </c>
      <c r="I902" s="1" t="s">
        <v>512</v>
      </c>
      <c r="J902" s="1" t="s">
        <v>512</v>
      </c>
      <c r="K902" s="1" t="s">
        <v>512</v>
      </c>
      <c r="L902" s="1" t="s">
        <v>512</v>
      </c>
      <c r="M902" s="1" t="s">
        <v>512</v>
      </c>
      <c r="N902" s="1" t="s">
        <v>512</v>
      </c>
      <c r="O902" s="1" t="s">
        <v>512</v>
      </c>
      <c r="Q902" s="1" t="s">
        <v>512</v>
      </c>
    </row>
    <row r="903" spans="2:17" x14ac:dyDescent="0.25">
      <c r="B903" s="95" t="s">
        <v>512</v>
      </c>
      <c r="D903" s="1" t="s">
        <v>512</v>
      </c>
      <c r="E903" s="21" t="s">
        <v>512</v>
      </c>
      <c r="F903" s="1" t="s">
        <v>512</v>
      </c>
      <c r="G903" s="1" t="s">
        <v>512</v>
      </c>
      <c r="H903" s="1" t="s">
        <v>512</v>
      </c>
      <c r="I903" s="1" t="s">
        <v>512</v>
      </c>
      <c r="J903" s="1" t="s">
        <v>512</v>
      </c>
      <c r="K903" s="1" t="s">
        <v>512</v>
      </c>
      <c r="L903" s="1" t="s">
        <v>512</v>
      </c>
      <c r="M903" s="1" t="s">
        <v>512</v>
      </c>
      <c r="N903" s="1" t="s">
        <v>512</v>
      </c>
      <c r="O903" s="1" t="s">
        <v>512</v>
      </c>
      <c r="Q903" s="1" t="s">
        <v>512</v>
      </c>
    </row>
    <row r="904" spans="2:17" x14ac:dyDescent="0.25">
      <c r="B904" s="95" t="s">
        <v>512</v>
      </c>
      <c r="D904" s="1" t="s">
        <v>512</v>
      </c>
      <c r="E904" s="21" t="s">
        <v>512</v>
      </c>
      <c r="F904" s="1" t="s">
        <v>512</v>
      </c>
      <c r="G904" s="1" t="s">
        <v>512</v>
      </c>
      <c r="H904" s="1" t="s">
        <v>512</v>
      </c>
      <c r="I904" s="1" t="s">
        <v>512</v>
      </c>
      <c r="J904" s="1" t="s">
        <v>512</v>
      </c>
      <c r="K904" s="1" t="s">
        <v>512</v>
      </c>
      <c r="L904" s="1" t="s">
        <v>512</v>
      </c>
      <c r="M904" s="1" t="s">
        <v>512</v>
      </c>
      <c r="N904" s="1" t="s">
        <v>512</v>
      </c>
      <c r="O904" s="1" t="s">
        <v>512</v>
      </c>
      <c r="Q904" s="1" t="s">
        <v>512</v>
      </c>
    </row>
    <row r="905" spans="2:17" x14ac:dyDescent="0.25">
      <c r="B905" s="95" t="s">
        <v>512</v>
      </c>
      <c r="D905" s="1" t="s">
        <v>512</v>
      </c>
      <c r="E905" s="21" t="s">
        <v>512</v>
      </c>
      <c r="F905" s="1" t="s">
        <v>512</v>
      </c>
      <c r="G905" s="1" t="s">
        <v>512</v>
      </c>
      <c r="H905" s="1" t="s">
        <v>512</v>
      </c>
      <c r="I905" s="1" t="s">
        <v>512</v>
      </c>
      <c r="J905" s="1" t="s">
        <v>512</v>
      </c>
      <c r="K905" s="1" t="s">
        <v>512</v>
      </c>
      <c r="L905" s="1" t="s">
        <v>512</v>
      </c>
      <c r="M905" s="1" t="s">
        <v>512</v>
      </c>
      <c r="N905" s="1" t="s">
        <v>512</v>
      </c>
      <c r="O905" s="1" t="s">
        <v>512</v>
      </c>
      <c r="Q905" s="1" t="s">
        <v>512</v>
      </c>
    </row>
    <row r="906" spans="2:17" x14ac:dyDescent="0.25">
      <c r="B906" s="95" t="s">
        <v>512</v>
      </c>
      <c r="D906" s="1" t="s">
        <v>512</v>
      </c>
      <c r="E906" s="21" t="s">
        <v>512</v>
      </c>
      <c r="F906" s="1" t="s">
        <v>512</v>
      </c>
      <c r="G906" s="1" t="s">
        <v>512</v>
      </c>
      <c r="H906" s="1" t="s">
        <v>512</v>
      </c>
      <c r="I906" s="1" t="s">
        <v>512</v>
      </c>
      <c r="J906" s="1" t="s">
        <v>512</v>
      </c>
      <c r="K906" s="1" t="s">
        <v>512</v>
      </c>
      <c r="L906" s="1" t="s">
        <v>512</v>
      </c>
      <c r="M906" s="1" t="s">
        <v>512</v>
      </c>
      <c r="N906" s="1" t="s">
        <v>512</v>
      </c>
      <c r="O906" s="1" t="s">
        <v>512</v>
      </c>
      <c r="Q906" s="1" t="s">
        <v>512</v>
      </c>
    </row>
    <row r="907" spans="2:17" x14ac:dyDescent="0.25">
      <c r="B907" s="95" t="s">
        <v>512</v>
      </c>
      <c r="D907" s="1" t="s">
        <v>512</v>
      </c>
      <c r="E907" s="21" t="s">
        <v>512</v>
      </c>
      <c r="F907" s="1" t="s">
        <v>512</v>
      </c>
      <c r="G907" s="1" t="s">
        <v>512</v>
      </c>
      <c r="H907" s="1" t="s">
        <v>512</v>
      </c>
      <c r="I907" s="1" t="s">
        <v>512</v>
      </c>
      <c r="J907" s="1" t="s">
        <v>512</v>
      </c>
      <c r="K907" s="1" t="s">
        <v>512</v>
      </c>
      <c r="L907" s="1" t="s">
        <v>512</v>
      </c>
      <c r="M907" s="1" t="s">
        <v>512</v>
      </c>
      <c r="N907" s="1" t="s">
        <v>512</v>
      </c>
      <c r="O907" s="1" t="s">
        <v>512</v>
      </c>
      <c r="Q907" s="1" t="s">
        <v>512</v>
      </c>
    </row>
    <row r="908" spans="2:17" x14ac:dyDescent="0.25">
      <c r="B908" s="95" t="s">
        <v>512</v>
      </c>
      <c r="D908" s="1" t="s">
        <v>512</v>
      </c>
      <c r="E908" s="21" t="s">
        <v>512</v>
      </c>
      <c r="F908" s="1" t="s">
        <v>512</v>
      </c>
      <c r="G908" s="1" t="s">
        <v>512</v>
      </c>
      <c r="H908" s="1" t="s">
        <v>512</v>
      </c>
      <c r="I908" s="1" t="s">
        <v>512</v>
      </c>
      <c r="J908" s="1" t="s">
        <v>512</v>
      </c>
      <c r="K908" s="1" t="s">
        <v>512</v>
      </c>
      <c r="L908" s="1" t="s">
        <v>512</v>
      </c>
      <c r="M908" s="1" t="s">
        <v>512</v>
      </c>
      <c r="N908" s="1" t="s">
        <v>512</v>
      </c>
      <c r="O908" s="1" t="s">
        <v>512</v>
      </c>
      <c r="Q908" s="1" t="s">
        <v>512</v>
      </c>
    </row>
    <row r="909" spans="2:17" x14ac:dyDescent="0.25">
      <c r="B909" s="95" t="s">
        <v>512</v>
      </c>
      <c r="D909" s="1" t="s">
        <v>512</v>
      </c>
      <c r="E909" s="21" t="s">
        <v>512</v>
      </c>
      <c r="F909" s="1" t="s">
        <v>512</v>
      </c>
      <c r="G909" s="1" t="s">
        <v>512</v>
      </c>
      <c r="H909" s="1" t="s">
        <v>512</v>
      </c>
      <c r="I909" s="1" t="s">
        <v>512</v>
      </c>
      <c r="J909" s="1" t="s">
        <v>512</v>
      </c>
      <c r="K909" s="1" t="s">
        <v>512</v>
      </c>
      <c r="L909" s="1" t="s">
        <v>512</v>
      </c>
      <c r="M909" s="1" t="s">
        <v>512</v>
      </c>
      <c r="N909" s="1" t="s">
        <v>512</v>
      </c>
      <c r="O909" s="1" t="s">
        <v>512</v>
      </c>
      <c r="Q909" s="1" t="s">
        <v>512</v>
      </c>
    </row>
    <row r="910" spans="2:17" x14ac:dyDescent="0.25">
      <c r="B910" s="95" t="s">
        <v>512</v>
      </c>
      <c r="D910" s="1" t="s">
        <v>512</v>
      </c>
      <c r="E910" s="21" t="s">
        <v>512</v>
      </c>
      <c r="F910" s="1" t="s">
        <v>512</v>
      </c>
      <c r="G910" s="1" t="s">
        <v>512</v>
      </c>
      <c r="H910" s="1" t="s">
        <v>512</v>
      </c>
      <c r="I910" s="1" t="s">
        <v>512</v>
      </c>
      <c r="J910" s="1" t="s">
        <v>512</v>
      </c>
      <c r="K910" s="1" t="s">
        <v>512</v>
      </c>
      <c r="L910" s="1" t="s">
        <v>512</v>
      </c>
      <c r="M910" s="1" t="s">
        <v>512</v>
      </c>
      <c r="N910" s="1" t="s">
        <v>512</v>
      </c>
      <c r="O910" s="1" t="s">
        <v>512</v>
      </c>
      <c r="Q910" s="1" t="s">
        <v>512</v>
      </c>
    </row>
    <row r="911" spans="2:17" x14ac:dyDescent="0.25">
      <c r="B911" s="95" t="s">
        <v>512</v>
      </c>
      <c r="D911" s="1" t="s">
        <v>512</v>
      </c>
      <c r="E911" s="21" t="s">
        <v>512</v>
      </c>
      <c r="F911" s="1" t="s">
        <v>512</v>
      </c>
      <c r="G911" s="1" t="s">
        <v>512</v>
      </c>
      <c r="H911" s="1" t="s">
        <v>512</v>
      </c>
      <c r="I911" s="1" t="s">
        <v>512</v>
      </c>
      <c r="J911" s="1" t="s">
        <v>512</v>
      </c>
      <c r="K911" s="1" t="s">
        <v>512</v>
      </c>
      <c r="L911" s="1" t="s">
        <v>512</v>
      </c>
      <c r="M911" s="1" t="s">
        <v>512</v>
      </c>
      <c r="N911" s="1" t="s">
        <v>512</v>
      </c>
      <c r="O911" s="1" t="s">
        <v>512</v>
      </c>
      <c r="Q911" s="1" t="s">
        <v>512</v>
      </c>
    </row>
    <row r="912" spans="2:17" x14ac:dyDescent="0.25">
      <c r="B912" s="95" t="s">
        <v>512</v>
      </c>
      <c r="D912" s="1" t="s">
        <v>512</v>
      </c>
      <c r="E912" s="21" t="s">
        <v>512</v>
      </c>
      <c r="F912" s="1" t="s">
        <v>512</v>
      </c>
      <c r="G912" s="1" t="s">
        <v>512</v>
      </c>
      <c r="H912" s="1" t="s">
        <v>512</v>
      </c>
      <c r="I912" s="1" t="s">
        <v>512</v>
      </c>
      <c r="J912" s="1" t="s">
        <v>512</v>
      </c>
      <c r="K912" s="1" t="s">
        <v>512</v>
      </c>
      <c r="L912" s="1" t="s">
        <v>512</v>
      </c>
      <c r="M912" s="1" t="s">
        <v>512</v>
      </c>
      <c r="N912" s="1" t="s">
        <v>512</v>
      </c>
      <c r="O912" s="1" t="s">
        <v>512</v>
      </c>
      <c r="Q912" s="1" t="s">
        <v>512</v>
      </c>
    </row>
    <row r="913" spans="2:17" x14ac:dyDescent="0.25">
      <c r="B913" s="95" t="s">
        <v>512</v>
      </c>
      <c r="D913" s="1" t="s">
        <v>512</v>
      </c>
      <c r="E913" s="21" t="s">
        <v>512</v>
      </c>
      <c r="F913" s="1" t="s">
        <v>512</v>
      </c>
      <c r="G913" s="1" t="s">
        <v>512</v>
      </c>
      <c r="H913" s="1" t="s">
        <v>512</v>
      </c>
      <c r="I913" s="1" t="s">
        <v>512</v>
      </c>
      <c r="J913" s="1" t="s">
        <v>512</v>
      </c>
      <c r="K913" s="1" t="s">
        <v>512</v>
      </c>
      <c r="L913" s="1" t="s">
        <v>512</v>
      </c>
      <c r="M913" s="1" t="s">
        <v>512</v>
      </c>
      <c r="N913" s="1" t="s">
        <v>512</v>
      </c>
      <c r="O913" s="1" t="s">
        <v>512</v>
      </c>
      <c r="Q913" s="1" t="s">
        <v>512</v>
      </c>
    </row>
    <row r="914" spans="2:17" x14ac:dyDescent="0.25">
      <c r="B914" s="95" t="s">
        <v>512</v>
      </c>
      <c r="D914" s="1" t="s">
        <v>512</v>
      </c>
      <c r="E914" s="21" t="s">
        <v>512</v>
      </c>
      <c r="F914" s="1" t="s">
        <v>512</v>
      </c>
      <c r="G914" s="1" t="s">
        <v>512</v>
      </c>
      <c r="H914" s="1" t="s">
        <v>512</v>
      </c>
      <c r="I914" s="1" t="s">
        <v>512</v>
      </c>
      <c r="J914" s="1" t="s">
        <v>512</v>
      </c>
      <c r="K914" s="1" t="s">
        <v>512</v>
      </c>
      <c r="L914" s="1" t="s">
        <v>512</v>
      </c>
      <c r="M914" s="1" t="s">
        <v>512</v>
      </c>
      <c r="N914" s="1" t="s">
        <v>512</v>
      </c>
      <c r="O914" s="1" t="s">
        <v>512</v>
      </c>
      <c r="Q914" s="1" t="s">
        <v>512</v>
      </c>
    </row>
    <row r="915" spans="2:17" x14ac:dyDescent="0.25">
      <c r="B915" s="95" t="s">
        <v>512</v>
      </c>
      <c r="D915" s="1" t="s">
        <v>512</v>
      </c>
      <c r="E915" s="21" t="s">
        <v>512</v>
      </c>
      <c r="F915" s="1" t="s">
        <v>512</v>
      </c>
      <c r="G915" s="1" t="s">
        <v>512</v>
      </c>
      <c r="H915" s="1" t="s">
        <v>512</v>
      </c>
      <c r="I915" s="1" t="s">
        <v>512</v>
      </c>
      <c r="J915" s="1" t="s">
        <v>512</v>
      </c>
      <c r="K915" s="1" t="s">
        <v>512</v>
      </c>
      <c r="L915" s="1" t="s">
        <v>512</v>
      </c>
      <c r="M915" s="1" t="s">
        <v>512</v>
      </c>
      <c r="N915" s="1" t="s">
        <v>512</v>
      </c>
      <c r="O915" s="1" t="s">
        <v>512</v>
      </c>
      <c r="Q915" s="1" t="s">
        <v>512</v>
      </c>
    </row>
    <row r="916" spans="2:17" x14ac:dyDescent="0.25">
      <c r="B916" s="95" t="s">
        <v>512</v>
      </c>
      <c r="D916" s="1" t="s">
        <v>512</v>
      </c>
      <c r="E916" s="21" t="s">
        <v>512</v>
      </c>
      <c r="F916" s="1" t="s">
        <v>512</v>
      </c>
      <c r="G916" s="1" t="s">
        <v>512</v>
      </c>
      <c r="H916" s="1" t="s">
        <v>512</v>
      </c>
      <c r="I916" s="1" t="s">
        <v>512</v>
      </c>
      <c r="J916" s="1" t="s">
        <v>512</v>
      </c>
      <c r="K916" s="1" t="s">
        <v>512</v>
      </c>
      <c r="L916" s="1" t="s">
        <v>512</v>
      </c>
      <c r="M916" s="1" t="s">
        <v>512</v>
      </c>
      <c r="N916" s="1" t="s">
        <v>512</v>
      </c>
      <c r="O916" s="1" t="s">
        <v>512</v>
      </c>
      <c r="Q916" s="1" t="s">
        <v>512</v>
      </c>
    </row>
    <row r="917" spans="2:17" x14ac:dyDescent="0.25">
      <c r="B917" s="95" t="s">
        <v>512</v>
      </c>
      <c r="D917" s="1" t="s">
        <v>512</v>
      </c>
      <c r="E917" s="21" t="s">
        <v>512</v>
      </c>
      <c r="F917" s="1" t="s">
        <v>512</v>
      </c>
      <c r="G917" s="1" t="s">
        <v>512</v>
      </c>
      <c r="H917" s="1" t="s">
        <v>512</v>
      </c>
      <c r="I917" s="1" t="s">
        <v>512</v>
      </c>
      <c r="J917" s="1" t="s">
        <v>512</v>
      </c>
      <c r="K917" s="1" t="s">
        <v>512</v>
      </c>
      <c r="L917" s="1" t="s">
        <v>512</v>
      </c>
      <c r="M917" s="1" t="s">
        <v>512</v>
      </c>
      <c r="N917" s="1" t="s">
        <v>512</v>
      </c>
      <c r="O917" s="1" t="s">
        <v>512</v>
      </c>
      <c r="Q917" s="1" t="s">
        <v>512</v>
      </c>
    </row>
    <row r="918" spans="2:17" x14ac:dyDescent="0.25">
      <c r="B918" s="95" t="s">
        <v>512</v>
      </c>
      <c r="D918" s="1" t="s">
        <v>512</v>
      </c>
      <c r="E918" s="21" t="s">
        <v>512</v>
      </c>
      <c r="F918" s="1" t="s">
        <v>512</v>
      </c>
      <c r="G918" s="1" t="s">
        <v>512</v>
      </c>
      <c r="H918" s="1" t="s">
        <v>512</v>
      </c>
      <c r="I918" s="1" t="s">
        <v>512</v>
      </c>
      <c r="J918" s="1" t="s">
        <v>512</v>
      </c>
      <c r="K918" s="1" t="s">
        <v>512</v>
      </c>
      <c r="L918" s="1" t="s">
        <v>512</v>
      </c>
      <c r="M918" s="1" t="s">
        <v>512</v>
      </c>
      <c r="N918" s="1" t="s">
        <v>512</v>
      </c>
      <c r="O918" s="1" t="s">
        <v>512</v>
      </c>
      <c r="Q918" s="1" t="s">
        <v>512</v>
      </c>
    </row>
    <row r="919" spans="2:17" x14ac:dyDescent="0.25">
      <c r="B919" s="95" t="s">
        <v>512</v>
      </c>
      <c r="D919" s="1" t="s">
        <v>512</v>
      </c>
      <c r="E919" s="21" t="s">
        <v>512</v>
      </c>
      <c r="F919" s="1" t="s">
        <v>512</v>
      </c>
      <c r="G919" s="1" t="s">
        <v>512</v>
      </c>
      <c r="H919" s="1" t="s">
        <v>512</v>
      </c>
      <c r="I919" s="1" t="s">
        <v>512</v>
      </c>
      <c r="J919" s="1" t="s">
        <v>512</v>
      </c>
      <c r="K919" s="1" t="s">
        <v>512</v>
      </c>
      <c r="L919" s="1" t="s">
        <v>512</v>
      </c>
      <c r="M919" s="1" t="s">
        <v>512</v>
      </c>
      <c r="N919" s="1" t="s">
        <v>512</v>
      </c>
      <c r="O919" s="1" t="s">
        <v>512</v>
      </c>
      <c r="Q919" s="1" t="s">
        <v>512</v>
      </c>
    </row>
    <row r="920" spans="2:17" x14ac:dyDescent="0.25">
      <c r="B920" s="95" t="s">
        <v>512</v>
      </c>
      <c r="D920" s="1" t="s">
        <v>512</v>
      </c>
      <c r="E920" s="21" t="s">
        <v>512</v>
      </c>
      <c r="F920" s="1" t="s">
        <v>512</v>
      </c>
      <c r="G920" s="1" t="s">
        <v>512</v>
      </c>
      <c r="H920" s="1" t="s">
        <v>512</v>
      </c>
      <c r="I920" s="1" t="s">
        <v>512</v>
      </c>
      <c r="J920" s="1" t="s">
        <v>512</v>
      </c>
      <c r="K920" s="1" t="s">
        <v>512</v>
      </c>
      <c r="L920" s="1" t="s">
        <v>512</v>
      </c>
      <c r="M920" s="1" t="s">
        <v>512</v>
      </c>
      <c r="N920" s="1" t="s">
        <v>512</v>
      </c>
      <c r="O920" s="1" t="s">
        <v>512</v>
      </c>
      <c r="Q920" s="1" t="s">
        <v>512</v>
      </c>
    </row>
    <row r="921" spans="2:17" x14ac:dyDescent="0.25">
      <c r="B921" s="95" t="s">
        <v>512</v>
      </c>
      <c r="D921" s="1" t="s">
        <v>512</v>
      </c>
      <c r="E921" s="21" t="s">
        <v>512</v>
      </c>
      <c r="F921" s="1" t="s">
        <v>512</v>
      </c>
      <c r="G921" s="1" t="s">
        <v>512</v>
      </c>
      <c r="H921" s="1" t="s">
        <v>512</v>
      </c>
      <c r="I921" s="1" t="s">
        <v>512</v>
      </c>
      <c r="J921" s="1" t="s">
        <v>512</v>
      </c>
      <c r="K921" s="1" t="s">
        <v>512</v>
      </c>
      <c r="L921" s="1" t="s">
        <v>512</v>
      </c>
      <c r="M921" s="1" t="s">
        <v>512</v>
      </c>
      <c r="N921" s="1" t="s">
        <v>512</v>
      </c>
      <c r="O921" s="1" t="s">
        <v>512</v>
      </c>
      <c r="Q921" s="1" t="s">
        <v>512</v>
      </c>
    </row>
    <row r="922" spans="2:17" x14ac:dyDescent="0.25">
      <c r="B922" s="95" t="s">
        <v>512</v>
      </c>
      <c r="D922" s="1" t="s">
        <v>512</v>
      </c>
      <c r="E922" s="21" t="s">
        <v>512</v>
      </c>
      <c r="F922" s="1" t="s">
        <v>512</v>
      </c>
      <c r="G922" s="1" t="s">
        <v>512</v>
      </c>
      <c r="H922" s="1" t="s">
        <v>512</v>
      </c>
      <c r="I922" s="1" t="s">
        <v>512</v>
      </c>
      <c r="J922" s="1" t="s">
        <v>512</v>
      </c>
      <c r="K922" s="1" t="s">
        <v>512</v>
      </c>
      <c r="L922" s="1" t="s">
        <v>512</v>
      </c>
      <c r="M922" s="1" t="s">
        <v>512</v>
      </c>
      <c r="N922" s="1" t="s">
        <v>512</v>
      </c>
      <c r="O922" s="1" t="s">
        <v>512</v>
      </c>
      <c r="Q922" s="1" t="s">
        <v>512</v>
      </c>
    </row>
    <row r="923" spans="2:17" x14ac:dyDescent="0.25">
      <c r="B923" s="95" t="s">
        <v>512</v>
      </c>
      <c r="D923" s="1" t="s">
        <v>512</v>
      </c>
      <c r="E923" s="21" t="s">
        <v>512</v>
      </c>
      <c r="F923" s="1" t="s">
        <v>512</v>
      </c>
      <c r="G923" s="1" t="s">
        <v>512</v>
      </c>
      <c r="H923" s="1" t="s">
        <v>512</v>
      </c>
      <c r="I923" s="1" t="s">
        <v>512</v>
      </c>
      <c r="J923" s="1" t="s">
        <v>512</v>
      </c>
      <c r="K923" s="1" t="s">
        <v>512</v>
      </c>
      <c r="L923" s="1" t="s">
        <v>512</v>
      </c>
      <c r="M923" s="1" t="s">
        <v>512</v>
      </c>
      <c r="N923" s="1" t="s">
        <v>512</v>
      </c>
      <c r="O923" s="1" t="s">
        <v>512</v>
      </c>
      <c r="Q923" s="1" t="s">
        <v>512</v>
      </c>
    </row>
    <row r="924" spans="2:17" x14ac:dyDescent="0.25">
      <c r="B924" s="95" t="s">
        <v>512</v>
      </c>
      <c r="D924" s="1" t="s">
        <v>512</v>
      </c>
      <c r="E924" s="21" t="s">
        <v>512</v>
      </c>
      <c r="F924" s="1" t="s">
        <v>512</v>
      </c>
      <c r="G924" s="1" t="s">
        <v>512</v>
      </c>
      <c r="H924" s="1" t="s">
        <v>512</v>
      </c>
      <c r="I924" s="1" t="s">
        <v>512</v>
      </c>
      <c r="J924" s="1" t="s">
        <v>512</v>
      </c>
      <c r="K924" s="1" t="s">
        <v>512</v>
      </c>
      <c r="L924" s="1" t="s">
        <v>512</v>
      </c>
      <c r="M924" s="1" t="s">
        <v>512</v>
      </c>
      <c r="N924" s="1" t="s">
        <v>512</v>
      </c>
      <c r="O924" s="1" t="s">
        <v>512</v>
      </c>
      <c r="Q924" s="1" t="s">
        <v>512</v>
      </c>
    </row>
    <row r="925" spans="2:17" x14ac:dyDescent="0.25">
      <c r="B925" s="95" t="s">
        <v>512</v>
      </c>
      <c r="D925" s="1" t="s">
        <v>512</v>
      </c>
      <c r="E925" s="21" t="s">
        <v>512</v>
      </c>
      <c r="F925" s="1" t="s">
        <v>512</v>
      </c>
      <c r="G925" s="1" t="s">
        <v>512</v>
      </c>
      <c r="H925" s="1" t="s">
        <v>512</v>
      </c>
      <c r="I925" s="1" t="s">
        <v>512</v>
      </c>
      <c r="J925" s="1" t="s">
        <v>512</v>
      </c>
      <c r="K925" s="1" t="s">
        <v>512</v>
      </c>
      <c r="L925" s="1" t="s">
        <v>512</v>
      </c>
      <c r="M925" s="1" t="s">
        <v>512</v>
      </c>
      <c r="N925" s="1" t="s">
        <v>512</v>
      </c>
      <c r="O925" s="1" t="s">
        <v>512</v>
      </c>
      <c r="Q925" s="1" t="s">
        <v>512</v>
      </c>
    </row>
    <row r="926" spans="2:17" x14ac:dyDescent="0.25">
      <c r="B926" s="95" t="s">
        <v>512</v>
      </c>
      <c r="D926" s="1" t="s">
        <v>512</v>
      </c>
      <c r="E926" s="21" t="s">
        <v>512</v>
      </c>
      <c r="F926" s="1" t="s">
        <v>512</v>
      </c>
      <c r="G926" s="1" t="s">
        <v>512</v>
      </c>
      <c r="H926" s="1" t="s">
        <v>512</v>
      </c>
      <c r="I926" s="1" t="s">
        <v>512</v>
      </c>
      <c r="J926" s="1" t="s">
        <v>512</v>
      </c>
      <c r="K926" s="1" t="s">
        <v>512</v>
      </c>
      <c r="L926" s="1" t="s">
        <v>512</v>
      </c>
      <c r="M926" s="1" t="s">
        <v>512</v>
      </c>
      <c r="N926" s="1" t="s">
        <v>512</v>
      </c>
      <c r="O926" s="1" t="s">
        <v>512</v>
      </c>
      <c r="Q926" s="1" t="s">
        <v>512</v>
      </c>
    </row>
    <row r="927" spans="2:17" x14ac:dyDescent="0.25">
      <c r="B927" s="95" t="s">
        <v>512</v>
      </c>
      <c r="D927" s="1" t="s">
        <v>512</v>
      </c>
      <c r="E927" s="21" t="s">
        <v>512</v>
      </c>
      <c r="F927" s="1" t="s">
        <v>512</v>
      </c>
      <c r="G927" s="1" t="s">
        <v>512</v>
      </c>
      <c r="H927" s="1" t="s">
        <v>512</v>
      </c>
      <c r="I927" s="1" t="s">
        <v>512</v>
      </c>
      <c r="J927" s="1" t="s">
        <v>512</v>
      </c>
      <c r="K927" s="1" t="s">
        <v>512</v>
      </c>
      <c r="L927" s="1" t="s">
        <v>512</v>
      </c>
      <c r="M927" s="1" t="s">
        <v>512</v>
      </c>
      <c r="N927" s="1" t="s">
        <v>512</v>
      </c>
      <c r="O927" s="1" t="s">
        <v>512</v>
      </c>
      <c r="Q927" s="1" t="s">
        <v>512</v>
      </c>
    </row>
    <row r="928" spans="2:17" x14ac:dyDescent="0.25">
      <c r="B928" s="95" t="s">
        <v>512</v>
      </c>
      <c r="D928" s="1" t="s">
        <v>512</v>
      </c>
      <c r="E928" s="21" t="s">
        <v>512</v>
      </c>
      <c r="F928" s="1" t="s">
        <v>512</v>
      </c>
      <c r="G928" s="1" t="s">
        <v>512</v>
      </c>
      <c r="H928" s="1" t="s">
        <v>512</v>
      </c>
      <c r="I928" s="1" t="s">
        <v>512</v>
      </c>
      <c r="J928" s="1" t="s">
        <v>512</v>
      </c>
      <c r="K928" s="1" t="s">
        <v>512</v>
      </c>
      <c r="L928" s="1" t="s">
        <v>512</v>
      </c>
      <c r="M928" s="1" t="s">
        <v>512</v>
      </c>
      <c r="N928" s="1" t="s">
        <v>512</v>
      </c>
      <c r="O928" s="1" t="s">
        <v>512</v>
      </c>
      <c r="Q928" s="1" t="s">
        <v>512</v>
      </c>
    </row>
    <row r="929" spans="2:17" x14ac:dyDescent="0.25">
      <c r="B929" s="95" t="s">
        <v>512</v>
      </c>
      <c r="D929" s="1" t="s">
        <v>512</v>
      </c>
      <c r="E929" s="21" t="s">
        <v>512</v>
      </c>
      <c r="F929" s="1" t="s">
        <v>512</v>
      </c>
      <c r="G929" s="1" t="s">
        <v>512</v>
      </c>
      <c r="H929" s="1" t="s">
        <v>512</v>
      </c>
      <c r="I929" s="1" t="s">
        <v>512</v>
      </c>
      <c r="J929" s="1" t="s">
        <v>512</v>
      </c>
      <c r="K929" s="1" t="s">
        <v>512</v>
      </c>
      <c r="L929" s="1" t="s">
        <v>512</v>
      </c>
      <c r="M929" s="1" t="s">
        <v>512</v>
      </c>
      <c r="N929" s="1" t="s">
        <v>512</v>
      </c>
      <c r="O929" s="1" t="s">
        <v>512</v>
      </c>
      <c r="Q929" s="1" t="s">
        <v>512</v>
      </c>
    </row>
    <row r="930" spans="2:17" x14ac:dyDescent="0.25">
      <c r="B930" s="95" t="s">
        <v>512</v>
      </c>
      <c r="D930" s="1" t="s">
        <v>512</v>
      </c>
      <c r="E930" s="21" t="s">
        <v>512</v>
      </c>
      <c r="F930" s="1" t="s">
        <v>512</v>
      </c>
      <c r="G930" s="1" t="s">
        <v>512</v>
      </c>
      <c r="H930" s="1" t="s">
        <v>512</v>
      </c>
      <c r="I930" s="1" t="s">
        <v>512</v>
      </c>
      <c r="J930" s="1" t="s">
        <v>512</v>
      </c>
      <c r="K930" s="1" t="s">
        <v>512</v>
      </c>
      <c r="L930" s="1" t="s">
        <v>512</v>
      </c>
      <c r="M930" s="1" t="s">
        <v>512</v>
      </c>
      <c r="N930" s="1" t="s">
        <v>512</v>
      </c>
      <c r="O930" s="1" t="s">
        <v>512</v>
      </c>
      <c r="Q930" s="1" t="s">
        <v>512</v>
      </c>
    </row>
    <row r="931" spans="2:17" x14ac:dyDescent="0.25">
      <c r="B931" s="95" t="s">
        <v>512</v>
      </c>
      <c r="D931" s="1" t="s">
        <v>512</v>
      </c>
      <c r="E931" s="21" t="s">
        <v>512</v>
      </c>
      <c r="F931" s="1" t="s">
        <v>512</v>
      </c>
      <c r="G931" s="1" t="s">
        <v>512</v>
      </c>
      <c r="H931" s="1" t="s">
        <v>512</v>
      </c>
      <c r="I931" s="1" t="s">
        <v>512</v>
      </c>
      <c r="J931" s="1" t="s">
        <v>512</v>
      </c>
      <c r="K931" s="1" t="s">
        <v>512</v>
      </c>
      <c r="L931" s="1" t="s">
        <v>512</v>
      </c>
      <c r="M931" s="1" t="s">
        <v>512</v>
      </c>
      <c r="N931" s="1" t="s">
        <v>512</v>
      </c>
      <c r="O931" s="1" t="s">
        <v>512</v>
      </c>
      <c r="Q931" s="1" t="s">
        <v>512</v>
      </c>
    </row>
    <row r="932" spans="2:17" x14ac:dyDescent="0.25">
      <c r="B932" s="95" t="s">
        <v>512</v>
      </c>
      <c r="D932" s="1" t="s">
        <v>512</v>
      </c>
      <c r="E932" s="21" t="s">
        <v>512</v>
      </c>
      <c r="F932" s="1" t="s">
        <v>512</v>
      </c>
      <c r="G932" s="1" t="s">
        <v>512</v>
      </c>
      <c r="H932" s="1" t="s">
        <v>512</v>
      </c>
      <c r="I932" s="1" t="s">
        <v>512</v>
      </c>
      <c r="J932" s="1" t="s">
        <v>512</v>
      </c>
      <c r="K932" s="1" t="s">
        <v>512</v>
      </c>
      <c r="L932" s="1" t="s">
        <v>512</v>
      </c>
      <c r="M932" s="1" t="s">
        <v>512</v>
      </c>
      <c r="N932" s="1" t="s">
        <v>512</v>
      </c>
      <c r="O932" s="1" t="s">
        <v>512</v>
      </c>
      <c r="Q932" s="1" t="s">
        <v>512</v>
      </c>
    </row>
    <row r="933" spans="2:17" x14ac:dyDescent="0.25">
      <c r="B933" s="95" t="s">
        <v>512</v>
      </c>
      <c r="D933" s="1" t="s">
        <v>512</v>
      </c>
      <c r="E933" s="21" t="s">
        <v>512</v>
      </c>
      <c r="F933" s="1" t="s">
        <v>512</v>
      </c>
      <c r="G933" s="1" t="s">
        <v>512</v>
      </c>
      <c r="H933" s="1" t="s">
        <v>512</v>
      </c>
      <c r="I933" s="1" t="s">
        <v>512</v>
      </c>
      <c r="J933" s="1" t="s">
        <v>512</v>
      </c>
      <c r="K933" s="1" t="s">
        <v>512</v>
      </c>
      <c r="L933" s="1" t="s">
        <v>512</v>
      </c>
      <c r="M933" s="1" t="s">
        <v>512</v>
      </c>
      <c r="N933" s="1" t="s">
        <v>512</v>
      </c>
      <c r="O933" s="1" t="s">
        <v>512</v>
      </c>
      <c r="Q933" s="1" t="s">
        <v>512</v>
      </c>
    </row>
    <row r="934" spans="2:17" x14ac:dyDescent="0.25">
      <c r="B934" s="95" t="s">
        <v>512</v>
      </c>
      <c r="D934" s="1" t="s">
        <v>512</v>
      </c>
      <c r="E934" s="21" t="s">
        <v>512</v>
      </c>
      <c r="F934" s="1" t="s">
        <v>512</v>
      </c>
      <c r="G934" s="1" t="s">
        <v>512</v>
      </c>
      <c r="H934" s="1" t="s">
        <v>512</v>
      </c>
      <c r="I934" s="1" t="s">
        <v>512</v>
      </c>
      <c r="J934" s="1" t="s">
        <v>512</v>
      </c>
      <c r="K934" s="1" t="s">
        <v>512</v>
      </c>
      <c r="L934" s="1" t="s">
        <v>512</v>
      </c>
      <c r="M934" s="1" t="s">
        <v>512</v>
      </c>
      <c r="N934" s="1" t="s">
        <v>512</v>
      </c>
      <c r="O934" s="1" t="s">
        <v>512</v>
      </c>
      <c r="Q934" s="1" t="s">
        <v>512</v>
      </c>
    </row>
    <row r="935" spans="2:17" x14ac:dyDescent="0.25">
      <c r="B935" s="95" t="s">
        <v>512</v>
      </c>
      <c r="D935" s="1" t="s">
        <v>512</v>
      </c>
      <c r="E935" s="21" t="s">
        <v>512</v>
      </c>
      <c r="F935" s="1" t="s">
        <v>512</v>
      </c>
      <c r="G935" s="1" t="s">
        <v>512</v>
      </c>
      <c r="H935" s="1" t="s">
        <v>512</v>
      </c>
      <c r="I935" s="1" t="s">
        <v>512</v>
      </c>
      <c r="J935" s="1" t="s">
        <v>512</v>
      </c>
      <c r="K935" s="1" t="s">
        <v>512</v>
      </c>
      <c r="L935" s="1" t="s">
        <v>512</v>
      </c>
      <c r="M935" s="1" t="s">
        <v>512</v>
      </c>
      <c r="N935" s="1" t="s">
        <v>512</v>
      </c>
      <c r="O935" s="1" t="s">
        <v>512</v>
      </c>
      <c r="Q935" s="1" t="s">
        <v>512</v>
      </c>
    </row>
    <row r="936" spans="2:17" x14ac:dyDescent="0.25">
      <c r="B936" s="95" t="s">
        <v>512</v>
      </c>
      <c r="D936" s="1" t="s">
        <v>512</v>
      </c>
      <c r="E936" s="21" t="s">
        <v>512</v>
      </c>
      <c r="F936" s="1" t="s">
        <v>512</v>
      </c>
      <c r="G936" s="1" t="s">
        <v>512</v>
      </c>
      <c r="H936" s="1" t="s">
        <v>512</v>
      </c>
      <c r="I936" s="1" t="s">
        <v>512</v>
      </c>
      <c r="J936" s="1" t="s">
        <v>512</v>
      </c>
      <c r="K936" s="1" t="s">
        <v>512</v>
      </c>
      <c r="L936" s="1" t="s">
        <v>512</v>
      </c>
      <c r="M936" s="1" t="s">
        <v>512</v>
      </c>
      <c r="N936" s="1" t="s">
        <v>512</v>
      </c>
      <c r="O936" s="1" t="s">
        <v>512</v>
      </c>
      <c r="Q936" s="1" t="s">
        <v>512</v>
      </c>
    </row>
    <row r="937" spans="2:17" x14ac:dyDescent="0.25">
      <c r="B937" s="95" t="s">
        <v>512</v>
      </c>
      <c r="D937" s="1" t="s">
        <v>512</v>
      </c>
      <c r="E937" s="21" t="s">
        <v>512</v>
      </c>
      <c r="F937" s="1" t="s">
        <v>512</v>
      </c>
      <c r="G937" s="1" t="s">
        <v>512</v>
      </c>
      <c r="H937" s="1" t="s">
        <v>512</v>
      </c>
      <c r="I937" s="1" t="s">
        <v>512</v>
      </c>
      <c r="J937" s="1" t="s">
        <v>512</v>
      </c>
      <c r="K937" s="1" t="s">
        <v>512</v>
      </c>
      <c r="L937" s="1" t="s">
        <v>512</v>
      </c>
      <c r="M937" s="1" t="s">
        <v>512</v>
      </c>
      <c r="N937" s="1" t="s">
        <v>512</v>
      </c>
      <c r="O937" s="1" t="s">
        <v>512</v>
      </c>
      <c r="Q937" s="1" t="s">
        <v>512</v>
      </c>
    </row>
    <row r="938" spans="2:17" x14ac:dyDescent="0.25">
      <c r="B938" s="95" t="s">
        <v>512</v>
      </c>
      <c r="D938" s="1" t="s">
        <v>512</v>
      </c>
      <c r="E938" s="21" t="s">
        <v>512</v>
      </c>
      <c r="F938" s="1" t="s">
        <v>512</v>
      </c>
      <c r="G938" s="1" t="s">
        <v>512</v>
      </c>
      <c r="H938" s="1" t="s">
        <v>512</v>
      </c>
      <c r="I938" s="1" t="s">
        <v>512</v>
      </c>
      <c r="J938" s="1" t="s">
        <v>512</v>
      </c>
      <c r="K938" s="1" t="s">
        <v>512</v>
      </c>
      <c r="L938" s="1" t="s">
        <v>512</v>
      </c>
      <c r="M938" s="1" t="s">
        <v>512</v>
      </c>
      <c r="N938" s="1" t="s">
        <v>512</v>
      </c>
      <c r="O938" s="1" t="s">
        <v>512</v>
      </c>
      <c r="Q938" s="1" t="s">
        <v>512</v>
      </c>
    </row>
    <row r="939" spans="2:17" x14ac:dyDescent="0.25">
      <c r="B939" s="95" t="s">
        <v>512</v>
      </c>
      <c r="D939" s="1" t="s">
        <v>512</v>
      </c>
      <c r="E939" s="21" t="s">
        <v>512</v>
      </c>
      <c r="F939" s="1" t="s">
        <v>512</v>
      </c>
      <c r="G939" s="1" t="s">
        <v>512</v>
      </c>
      <c r="H939" s="1" t="s">
        <v>512</v>
      </c>
      <c r="I939" s="1" t="s">
        <v>512</v>
      </c>
      <c r="J939" s="1" t="s">
        <v>512</v>
      </c>
      <c r="K939" s="1" t="s">
        <v>512</v>
      </c>
      <c r="L939" s="1" t="s">
        <v>512</v>
      </c>
      <c r="M939" s="1" t="s">
        <v>512</v>
      </c>
      <c r="N939" s="1" t="s">
        <v>512</v>
      </c>
      <c r="O939" s="1" t="s">
        <v>512</v>
      </c>
      <c r="Q939" s="1" t="s">
        <v>512</v>
      </c>
    </row>
    <row r="940" spans="2:17" x14ac:dyDescent="0.25">
      <c r="B940" s="95" t="s">
        <v>512</v>
      </c>
      <c r="D940" s="1" t="s">
        <v>512</v>
      </c>
      <c r="E940" s="21" t="s">
        <v>512</v>
      </c>
      <c r="F940" s="1" t="s">
        <v>512</v>
      </c>
      <c r="G940" s="1" t="s">
        <v>512</v>
      </c>
      <c r="H940" s="1" t="s">
        <v>512</v>
      </c>
      <c r="I940" s="1" t="s">
        <v>512</v>
      </c>
      <c r="J940" s="1" t="s">
        <v>512</v>
      </c>
      <c r="K940" s="1" t="s">
        <v>512</v>
      </c>
      <c r="L940" s="1" t="s">
        <v>512</v>
      </c>
      <c r="M940" s="1" t="s">
        <v>512</v>
      </c>
      <c r="N940" s="1" t="s">
        <v>512</v>
      </c>
      <c r="O940" s="1" t="s">
        <v>512</v>
      </c>
      <c r="Q940" s="1" t="s">
        <v>512</v>
      </c>
    </row>
    <row r="941" spans="2:17" x14ac:dyDescent="0.25">
      <c r="B941" s="95" t="s">
        <v>512</v>
      </c>
      <c r="D941" s="1" t="s">
        <v>512</v>
      </c>
      <c r="E941" s="21" t="s">
        <v>512</v>
      </c>
      <c r="F941" s="1" t="s">
        <v>512</v>
      </c>
      <c r="G941" s="1" t="s">
        <v>512</v>
      </c>
      <c r="H941" s="1" t="s">
        <v>512</v>
      </c>
      <c r="I941" s="1" t="s">
        <v>512</v>
      </c>
      <c r="J941" s="1" t="s">
        <v>512</v>
      </c>
      <c r="K941" s="1" t="s">
        <v>512</v>
      </c>
      <c r="L941" s="1" t="s">
        <v>512</v>
      </c>
      <c r="M941" s="1" t="s">
        <v>512</v>
      </c>
      <c r="N941" s="1" t="s">
        <v>512</v>
      </c>
      <c r="O941" s="1" t="s">
        <v>512</v>
      </c>
      <c r="Q941" s="1" t="s">
        <v>512</v>
      </c>
    </row>
    <row r="942" spans="2:17" x14ac:dyDescent="0.25">
      <c r="B942" s="95" t="s">
        <v>512</v>
      </c>
      <c r="D942" s="1" t="s">
        <v>512</v>
      </c>
      <c r="E942" s="21" t="s">
        <v>512</v>
      </c>
      <c r="F942" s="1" t="s">
        <v>512</v>
      </c>
      <c r="G942" s="1" t="s">
        <v>512</v>
      </c>
      <c r="H942" s="1" t="s">
        <v>512</v>
      </c>
      <c r="I942" s="1" t="s">
        <v>512</v>
      </c>
      <c r="J942" s="1" t="s">
        <v>512</v>
      </c>
      <c r="K942" s="1" t="s">
        <v>512</v>
      </c>
      <c r="L942" s="1" t="s">
        <v>512</v>
      </c>
      <c r="M942" s="1" t="s">
        <v>512</v>
      </c>
      <c r="N942" s="1" t="s">
        <v>512</v>
      </c>
      <c r="O942" s="1" t="s">
        <v>512</v>
      </c>
      <c r="Q942" s="1" t="s">
        <v>512</v>
      </c>
    </row>
    <row r="943" spans="2:17" x14ac:dyDescent="0.25">
      <c r="B943" s="95" t="s">
        <v>512</v>
      </c>
      <c r="D943" s="1" t="s">
        <v>512</v>
      </c>
      <c r="E943" s="21" t="s">
        <v>512</v>
      </c>
      <c r="F943" s="1" t="s">
        <v>512</v>
      </c>
      <c r="G943" s="1" t="s">
        <v>512</v>
      </c>
      <c r="H943" s="1" t="s">
        <v>512</v>
      </c>
      <c r="I943" s="1" t="s">
        <v>512</v>
      </c>
      <c r="J943" s="1" t="s">
        <v>512</v>
      </c>
      <c r="K943" s="1" t="s">
        <v>512</v>
      </c>
      <c r="L943" s="1" t="s">
        <v>512</v>
      </c>
      <c r="M943" s="1" t="s">
        <v>512</v>
      </c>
      <c r="N943" s="1" t="s">
        <v>512</v>
      </c>
      <c r="O943" s="1" t="s">
        <v>512</v>
      </c>
      <c r="Q943" s="1" t="s">
        <v>512</v>
      </c>
    </row>
    <row r="944" spans="2:17" x14ac:dyDescent="0.25">
      <c r="B944" s="95" t="s">
        <v>512</v>
      </c>
      <c r="D944" s="1" t="s">
        <v>512</v>
      </c>
      <c r="E944" s="21" t="s">
        <v>512</v>
      </c>
      <c r="F944" s="1" t="s">
        <v>512</v>
      </c>
      <c r="G944" s="1" t="s">
        <v>512</v>
      </c>
      <c r="H944" s="1" t="s">
        <v>512</v>
      </c>
      <c r="I944" s="1" t="s">
        <v>512</v>
      </c>
      <c r="J944" s="1" t="s">
        <v>512</v>
      </c>
      <c r="K944" s="1" t="s">
        <v>512</v>
      </c>
      <c r="L944" s="1" t="s">
        <v>512</v>
      </c>
      <c r="M944" s="1" t="s">
        <v>512</v>
      </c>
      <c r="N944" s="1" t="s">
        <v>512</v>
      </c>
      <c r="O944" s="1" t="s">
        <v>512</v>
      </c>
      <c r="Q944" s="1" t="s">
        <v>512</v>
      </c>
    </row>
    <row r="945" spans="2:17" x14ac:dyDescent="0.25">
      <c r="B945" s="95" t="s">
        <v>512</v>
      </c>
      <c r="D945" s="1" t="s">
        <v>512</v>
      </c>
      <c r="E945" s="21" t="s">
        <v>512</v>
      </c>
      <c r="F945" s="1" t="s">
        <v>512</v>
      </c>
      <c r="G945" s="1" t="s">
        <v>512</v>
      </c>
      <c r="H945" s="1" t="s">
        <v>512</v>
      </c>
      <c r="I945" s="1" t="s">
        <v>512</v>
      </c>
      <c r="J945" s="1" t="s">
        <v>512</v>
      </c>
      <c r="K945" s="1" t="s">
        <v>512</v>
      </c>
      <c r="L945" s="1" t="s">
        <v>512</v>
      </c>
      <c r="M945" s="1" t="s">
        <v>512</v>
      </c>
      <c r="N945" s="1" t="s">
        <v>512</v>
      </c>
      <c r="O945" s="1" t="s">
        <v>512</v>
      </c>
      <c r="Q945" s="1" t="s">
        <v>512</v>
      </c>
    </row>
    <row r="946" spans="2:17" x14ac:dyDescent="0.25">
      <c r="B946" s="95" t="s">
        <v>512</v>
      </c>
      <c r="D946" s="1" t="s">
        <v>512</v>
      </c>
      <c r="E946" s="21" t="s">
        <v>512</v>
      </c>
      <c r="F946" s="1" t="s">
        <v>512</v>
      </c>
      <c r="G946" s="1" t="s">
        <v>512</v>
      </c>
      <c r="H946" s="1" t="s">
        <v>512</v>
      </c>
      <c r="I946" s="1" t="s">
        <v>512</v>
      </c>
      <c r="J946" s="1" t="s">
        <v>512</v>
      </c>
      <c r="K946" s="1" t="s">
        <v>512</v>
      </c>
      <c r="L946" s="1" t="s">
        <v>512</v>
      </c>
      <c r="M946" s="1" t="s">
        <v>512</v>
      </c>
      <c r="N946" s="1" t="s">
        <v>512</v>
      </c>
      <c r="O946" s="1" t="s">
        <v>512</v>
      </c>
      <c r="Q946" s="1" t="s">
        <v>512</v>
      </c>
    </row>
    <row r="947" spans="2:17" x14ac:dyDescent="0.25">
      <c r="B947" s="95" t="s">
        <v>512</v>
      </c>
      <c r="D947" s="1" t="s">
        <v>512</v>
      </c>
      <c r="E947" s="21" t="s">
        <v>512</v>
      </c>
      <c r="F947" s="1" t="s">
        <v>512</v>
      </c>
      <c r="G947" s="1" t="s">
        <v>512</v>
      </c>
      <c r="H947" s="1" t="s">
        <v>512</v>
      </c>
      <c r="I947" s="1" t="s">
        <v>512</v>
      </c>
      <c r="J947" s="1" t="s">
        <v>512</v>
      </c>
      <c r="K947" s="1" t="s">
        <v>512</v>
      </c>
      <c r="L947" s="1" t="s">
        <v>512</v>
      </c>
      <c r="M947" s="1" t="s">
        <v>512</v>
      </c>
      <c r="N947" s="1" t="s">
        <v>512</v>
      </c>
      <c r="O947" s="1" t="s">
        <v>512</v>
      </c>
      <c r="Q947" s="1" t="s">
        <v>512</v>
      </c>
    </row>
    <row r="948" spans="2:17" x14ac:dyDescent="0.25">
      <c r="B948" s="95" t="s">
        <v>512</v>
      </c>
      <c r="D948" s="1" t="s">
        <v>512</v>
      </c>
      <c r="E948" s="21" t="s">
        <v>512</v>
      </c>
      <c r="F948" s="1" t="s">
        <v>512</v>
      </c>
      <c r="G948" s="1" t="s">
        <v>512</v>
      </c>
      <c r="H948" s="1" t="s">
        <v>512</v>
      </c>
      <c r="I948" s="1" t="s">
        <v>512</v>
      </c>
      <c r="J948" s="1" t="s">
        <v>512</v>
      </c>
      <c r="K948" s="1" t="s">
        <v>512</v>
      </c>
      <c r="L948" s="1" t="s">
        <v>512</v>
      </c>
      <c r="M948" s="1" t="s">
        <v>512</v>
      </c>
      <c r="N948" s="1" t="s">
        <v>512</v>
      </c>
      <c r="O948" s="1" t="s">
        <v>512</v>
      </c>
      <c r="Q948" s="1" t="s">
        <v>512</v>
      </c>
    </row>
    <row r="949" spans="2:17" x14ac:dyDescent="0.25">
      <c r="B949" s="95" t="s">
        <v>512</v>
      </c>
      <c r="D949" s="1" t="s">
        <v>512</v>
      </c>
      <c r="E949" s="21" t="s">
        <v>512</v>
      </c>
      <c r="F949" s="1" t="s">
        <v>512</v>
      </c>
      <c r="G949" s="1" t="s">
        <v>512</v>
      </c>
      <c r="H949" s="1" t="s">
        <v>512</v>
      </c>
      <c r="I949" s="1" t="s">
        <v>512</v>
      </c>
      <c r="J949" s="1" t="s">
        <v>512</v>
      </c>
      <c r="K949" s="1" t="s">
        <v>512</v>
      </c>
      <c r="L949" s="1" t="s">
        <v>512</v>
      </c>
      <c r="M949" s="1" t="s">
        <v>512</v>
      </c>
      <c r="N949" s="1" t="s">
        <v>512</v>
      </c>
      <c r="O949" s="1" t="s">
        <v>512</v>
      </c>
      <c r="Q949" s="1" t="s">
        <v>512</v>
      </c>
    </row>
    <row r="950" spans="2:17" x14ac:dyDescent="0.25">
      <c r="B950" s="95" t="s">
        <v>512</v>
      </c>
      <c r="D950" s="1" t="s">
        <v>512</v>
      </c>
      <c r="E950" s="21" t="s">
        <v>512</v>
      </c>
      <c r="F950" s="1" t="s">
        <v>512</v>
      </c>
      <c r="G950" s="1" t="s">
        <v>512</v>
      </c>
      <c r="H950" s="1" t="s">
        <v>512</v>
      </c>
      <c r="I950" s="1" t="s">
        <v>512</v>
      </c>
      <c r="J950" s="1" t="s">
        <v>512</v>
      </c>
      <c r="K950" s="1" t="s">
        <v>512</v>
      </c>
      <c r="L950" s="1" t="s">
        <v>512</v>
      </c>
      <c r="M950" s="1" t="s">
        <v>512</v>
      </c>
      <c r="N950" s="1" t="s">
        <v>512</v>
      </c>
      <c r="O950" s="1" t="s">
        <v>512</v>
      </c>
      <c r="Q950" s="1" t="s">
        <v>512</v>
      </c>
    </row>
    <row r="951" spans="2:17" x14ac:dyDescent="0.25">
      <c r="B951" s="95" t="s">
        <v>512</v>
      </c>
      <c r="D951" s="1" t="s">
        <v>512</v>
      </c>
      <c r="E951" s="21" t="s">
        <v>512</v>
      </c>
      <c r="F951" s="1" t="s">
        <v>512</v>
      </c>
      <c r="G951" s="1" t="s">
        <v>512</v>
      </c>
      <c r="H951" s="1" t="s">
        <v>512</v>
      </c>
      <c r="I951" s="1" t="s">
        <v>512</v>
      </c>
      <c r="J951" s="1" t="s">
        <v>512</v>
      </c>
      <c r="K951" s="1" t="s">
        <v>512</v>
      </c>
      <c r="L951" s="1" t="s">
        <v>512</v>
      </c>
      <c r="M951" s="1" t="s">
        <v>512</v>
      </c>
      <c r="N951" s="1" t="s">
        <v>512</v>
      </c>
      <c r="O951" s="1" t="s">
        <v>512</v>
      </c>
      <c r="Q951" s="1" t="s">
        <v>512</v>
      </c>
    </row>
    <row r="952" spans="2:17" x14ac:dyDescent="0.25">
      <c r="B952" s="95" t="s">
        <v>512</v>
      </c>
      <c r="D952" s="1" t="s">
        <v>512</v>
      </c>
      <c r="E952" s="21" t="s">
        <v>512</v>
      </c>
      <c r="F952" s="1" t="s">
        <v>512</v>
      </c>
      <c r="G952" s="1" t="s">
        <v>512</v>
      </c>
      <c r="H952" s="1" t="s">
        <v>512</v>
      </c>
      <c r="I952" s="1" t="s">
        <v>512</v>
      </c>
      <c r="J952" s="1" t="s">
        <v>512</v>
      </c>
      <c r="K952" s="1" t="s">
        <v>512</v>
      </c>
      <c r="L952" s="1" t="s">
        <v>512</v>
      </c>
      <c r="M952" s="1" t="s">
        <v>512</v>
      </c>
      <c r="N952" s="1" t="s">
        <v>512</v>
      </c>
      <c r="O952" s="1" t="s">
        <v>512</v>
      </c>
      <c r="Q952" s="1" t="s">
        <v>512</v>
      </c>
    </row>
    <row r="953" spans="2:17" x14ac:dyDescent="0.25">
      <c r="B953" s="95" t="s">
        <v>512</v>
      </c>
      <c r="D953" s="1" t="s">
        <v>512</v>
      </c>
      <c r="E953" s="21" t="s">
        <v>512</v>
      </c>
      <c r="F953" s="1" t="s">
        <v>512</v>
      </c>
      <c r="G953" s="1" t="s">
        <v>512</v>
      </c>
      <c r="H953" s="1" t="s">
        <v>512</v>
      </c>
      <c r="I953" s="1" t="s">
        <v>512</v>
      </c>
      <c r="J953" s="1" t="s">
        <v>512</v>
      </c>
      <c r="K953" s="1" t="s">
        <v>512</v>
      </c>
      <c r="L953" s="1" t="s">
        <v>512</v>
      </c>
      <c r="M953" s="1" t="s">
        <v>512</v>
      </c>
      <c r="N953" s="1" t="s">
        <v>512</v>
      </c>
      <c r="O953" s="1" t="s">
        <v>512</v>
      </c>
      <c r="Q953" s="1" t="s">
        <v>512</v>
      </c>
    </row>
    <row r="954" spans="2:17" x14ac:dyDescent="0.25">
      <c r="B954" s="95" t="s">
        <v>512</v>
      </c>
      <c r="D954" s="1" t="s">
        <v>512</v>
      </c>
      <c r="E954" s="21" t="s">
        <v>512</v>
      </c>
      <c r="F954" s="1" t="s">
        <v>512</v>
      </c>
      <c r="G954" s="1" t="s">
        <v>512</v>
      </c>
      <c r="H954" s="1" t="s">
        <v>512</v>
      </c>
      <c r="I954" s="1" t="s">
        <v>512</v>
      </c>
      <c r="J954" s="1" t="s">
        <v>512</v>
      </c>
      <c r="K954" s="1" t="s">
        <v>512</v>
      </c>
      <c r="L954" s="1" t="s">
        <v>512</v>
      </c>
      <c r="M954" s="1" t="s">
        <v>512</v>
      </c>
      <c r="N954" s="1" t="s">
        <v>512</v>
      </c>
      <c r="O954" s="1" t="s">
        <v>512</v>
      </c>
      <c r="Q954" s="1" t="s">
        <v>512</v>
      </c>
    </row>
    <row r="955" spans="2:17" x14ac:dyDescent="0.25">
      <c r="B955" s="95" t="s">
        <v>512</v>
      </c>
      <c r="D955" s="1" t="s">
        <v>512</v>
      </c>
      <c r="E955" s="21" t="s">
        <v>512</v>
      </c>
      <c r="F955" s="1" t="s">
        <v>512</v>
      </c>
      <c r="G955" s="1" t="s">
        <v>512</v>
      </c>
      <c r="H955" s="1" t="s">
        <v>512</v>
      </c>
      <c r="I955" s="1" t="s">
        <v>512</v>
      </c>
      <c r="J955" s="1" t="s">
        <v>512</v>
      </c>
      <c r="K955" s="1" t="s">
        <v>512</v>
      </c>
      <c r="L955" s="1" t="s">
        <v>512</v>
      </c>
      <c r="M955" s="1" t="s">
        <v>512</v>
      </c>
      <c r="N955" s="1" t="s">
        <v>512</v>
      </c>
      <c r="O955" s="1" t="s">
        <v>512</v>
      </c>
      <c r="Q955" s="1" t="s">
        <v>512</v>
      </c>
    </row>
    <row r="956" spans="2:17" x14ac:dyDescent="0.25">
      <c r="B956" s="95" t="s">
        <v>512</v>
      </c>
      <c r="D956" s="1" t="s">
        <v>512</v>
      </c>
      <c r="E956" s="21" t="s">
        <v>512</v>
      </c>
      <c r="F956" s="1" t="s">
        <v>512</v>
      </c>
      <c r="G956" s="1" t="s">
        <v>512</v>
      </c>
      <c r="H956" s="1" t="s">
        <v>512</v>
      </c>
      <c r="I956" s="1" t="s">
        <v>512</v>
      </c>
      <c r="J956" s="1" t="s">
        <v>512</v>
      </c>
      <c r="K956" s="1" t="s">
        <v>512</v>
      </c>
      <c r="L956" s="1" t="s">
        <v>512</v>
      </c>
      <c r="M956" s="1" t="s">
        <v>512</v>
      </c>
      <c r="N956" s="1" t="s">
        <v>512</v>
      </c>
      <c r="O956" s="1" t="s">
        <v>512</v>
      </c>
      <c r="Q956" s="1" t="s">
        <v>512</v>
      </c>
    </row>
    <row r="957" spans="2:17" x14ac:dyDescent="0.25">
      <c r="B957" s="95" t="s">
        <v>512</v>
      </c>
      <c r="D957" s="1" t="s">
        <v>512</v>
      </c>
      <c r="E957" s="21" t="s">
        <v>512</v>
      </c>
      <c r="F957" s="1" t="s">
        <v>512</v>
      </c>
      <c r="G957" s="1" t="s">
        <v>512</v>
      </c>
      <c r="H957" s="1" t="s">
        <v>512</v>
      </c>
      <c r="I957" s="1" t="s">
        <v>512</v>
      </c>
      <c r="J957" s="1" t="s">
        <v>512</v>
      </c>
      <c r="K957" s="1" t="s">
        <v>512</v>
      </c>
      <c r="L957" s="1" t="s">
        <v>512</v>
      </c>
      <c r="M957" s="1" t="s">
        <v>512</v>
      </c>
      <c r="N957" s="1" t="s">
        <v>512</v>
      </c>
      <c r="O957" s="1" t="s">
        <v>512</v>
      </c>
      <c r="Q957" s="1" t="s">
        <v>512</v>
      </c>
    </row>
    <row r="958" spans="2:17" x14ac:dyDescent="0.25">
      <c r="B958" s="95" t="s">
        <v>512</v>
      </c>
      <c r="D958" s="1" t="s">
        <v>512</v>
      </c>
      <c r="E958" s="21" t="s">
        <v>512</v>
      </c>
      <c r="F958" s="1" t="s">
        <v>512</v>
      </c>
      <c r="G958" s="1" t="s">
        <v>512</v>
      </c>
      <c r="H958" s="1" t="s">
        <v>512</v>
      </c>
      <c r="I958" s="1" t="s">
        <v>512</v>
      </c>
      <c r="J958" s="1" t="s">
        <v>512</v>
      </c>
      <c r="K958" s="1" t="s">
        <v>512</v>
      </c>
      <c r="L958" s="1" t="s">
        <v>512</v>
      </c>
      <c r="M958" s="1" t="s">
        <v>512</v>
      </c>
      <c r="N958" s="1" t="s">
        <v>512</v>
      </c>
      <c r="O958" s="1" t="s">
        <v>512</v>
      </c>
      <c r="Q958" s="1" t="s">
        <v>512</v>
      </c>
    </row>
    <row r="959" spans="2:17" x14ac:dyDescent="0.25">
      <c r="B959" s="95" t="s">
        <v>512</v>
      </c>
      <c r="D959" s="1" t="s">
        <v>512</v>
      </c>
      <c r="E959" s="21" t="s">
        <v>512</v>
      </c>
      <c r="F959" s="1" t="s">
        <v>512</v>
      </c>
      <c r="G959" s="1" t="s">
        <v>512</v>
      </c>
      <c r="H959" s="1" t="s">
        <v>512</v>
      </c>
      <c r="I959" s="1" t="s">
        <v>512</v>
      </c>
      <c r="J959" s="1" t="s">
        <v>512</v>
      </c>
      <c r="K959" s="1" t="s">
        <v>512</v>
      </c>
      <c r="L959" s="1" t="s">
        <v>512</v>
      </c>
      <c r="M959" s="1" t="s">
        <v>512</v>
      </c>
      <c r="N959" s="1" t="s">
        <v>512</v>
      </c>
      <c r="O959" s="1" t="s">
        <v>512</v>
      </c>
      <c r="Q959" s="1" t="s">
        <v>512</v>
      </c>
    </row>
    <row r="960" spans="2:17" x14ac:dyDescent="0.25">
      <c r="B960" s="95" t="s">
        <v>512</v>
      </c>
      <c r="D960" s="1" t="s">
        <v>512</v>
      </c>
      <c r="E960" s="21" t="s">
        <v>512</v>
      </c>
      <c r="F960" s="1" t="s">
        <v>512</v>
      </c>
      <c r="G960" s="1" t="s">
        <v>512</v>
      </c>
      <c r="H960" s="1" t="s">
        <v>512</v>
      </c>
      <c r="I960" s="1" t="s">
        <v>512</v>
      </c>
      <c r="J960" s="1" t="s">
        <v>512</v>
      </c>
      <c r="K960" s="1" t="s">
        <v>512</v>
      </c>
      <c r="L960" s="1" t="s">
        <v>512</v>
      </c>
      <c r="M960" s="1" t="s">
        <v>512</v>
      </c>
      <c r="N960" s="1" t="s">
        <v>512</v>
      </c>
      <c r="O960" s="1" t="s">
        <v>512</v>
      </c>
      <c r="Q960" s="1" t="s">
        <v>512</v>
      </c>
    </row>
    <row r="961" spans="2:17" x14ac:dyDescent="0.25">
      <c r="B961" s="95" t="s">
        <v>512</v>
      </c>
      <c r="D961" s="1" t="s">
        <v>512</v>
      </c>
      <c r="E961" s="21" t="s">
        <v>512</v>
      </c>
      <c r="F961" s="1" t="s">
        <v>512</v>
      </c>
      <c r="G961" s="1" t="s">
        <v>512</v>
      </c>
      <c r="H961" s="1" t="s">
        <v>512</v>
      </c>
      <c r="I961" s="1" t="s">
        <v>512</v>
      </c>
      <c r="J961" s="1" t="s">
        <v>512</v>
      </c>
      <c r="K961" s="1" t="s">
        <v>512</v>
      </c>
      <c r="L961" s="1" t="s">
        <v>512</v>
      </c>
      <c r="M961" s="1" t="s">
        <v>512</v>
      </c>
      <c r="N961" s="1" t="s">
        <v>512</v>
      </c>
      <c r="O961" s="1" t="s">
        <v>512</v>
      </c>
      <c r="Q961" s="1" t="s">
        <v>512</v>
      </c>
    </row>
    <row r="962" spans="2:17" x14ac:dyDescent="0.25">
      <c r="B962" s="95" t="s">
        <v>512</v>
      </c>
      <c r="D962" s="1" t="s">
        <v>512</v>
      </c>
      <c r="E962" s="21" t="s">
        <v>512</v>
      </c>
      <c r="F962" s="1" t="s">
        <v>512</v>
      </c>
      <c r="G962" s="1" t="s">
        <v>512</v>
      </c>
      <c r="H962" s="1" t="s">
        <v>512</v>
      </c>
      <c r="I962" s="1" t="s">
        <v>512</v>
      </c>
      <c r="J962" s="1" t="s">
        <v>512</v>
      </c>
      <c r="K962" s="1" t="s">
        <v>512</v>
      </c>
      <c r="L962" s="1" t="s">
        <v>512</v>
      </c>
      <c r="M962" s="1" t="s">
        <v>512</v>
      </c>
      <c r="N962" s="1" t="s">
        <v>512</v>
      </c>
      <c r="O962" s="1" t="s">
        <v>512</v>
      </c>
      <c r="Q962" s="1" t="s">
        <v>512</v>
      </c>
    </row>
    <row r="963" spans="2:17" x14ac:dyDescent="0.25">
      <c r="B963" s="95" t="s">
        <v>512</v>
      </c>
      <c r="D963" s="1" t="s">
        <v>512</v>
      </c>
      <c r="E963" s="21" t="s">
        <v>512</v>
      </c>
      <c r="F963" s="1" t="s">
        <v>512</v>
      </c>
      <c r="G963" s="1" t="s">
        <v>512</v>
      </c>
      <c r="H963" s="1" t="s">
        <v>512</v>
      </c>
      <c r="I963" s="1" t="s">
        <v>512</v>
      </c>
      <c r="J963" s="1" t="s">
        <v>512</v>
      </c>
      <c r="K963" s="1" t="s">
        <v>512</v>
      </c>
      <c r="L963" s="1" t="s">
        <v>512</v>
      </c>
      <c r="M963" s="1" t="s">
        <v>512</v>
      </c>
      <c r="N963" s="1" t="s">
        <v>512</v>
      </c>
      <c r="O963" s="1" t="s">
        <v>512</v>
      </c>
      <c r="Q963" s="1" t="s">
        <v>512</v>
      </c>
    </row>
    <row r="964" spans="2:17" x14ac:dyDescent="0.25">
      <c r="B964" s="95" t="s">
        <v>512</v>
      </c>
      <c r="D964" s="1" t="s">
        <v>512</v>
      </c>
      <c r="E964" s="21" t="s">
        <v>512</v>
      </c>
      <c r="F964" s="1" t="s">
        <v>512</v>
      </c>
      <c r="G964" s="1" t="s">
        <v>512</v>
      </c>
      <c r="H964" s="1" t="s">
        <v>512</v>
      </c>
      <c r="I964" s="1" t="s">
        <v>512</v>
      </c>
      <c r="J964" s="1" t="s">
        <v>512</v>
      </c>
      <c r="K964" s="1" t="s">
        <v>512</v>
      </c>
      <c r="L964" s="1" t="s">
        <v>512</v>
      </c>
      <c r="M964" s="1" t="s">
        <v>512</v>
      </c>
      <c r="N964" s="1" t="s">
        <v>512</v>
      </c>
      <c r="O964" s="1" t="s">
        <v>512</v>
      </c>
      <c r="Q964" s="1" t="s">
        <v>512</v>
      </c>
    </row>
    <row r="965" spans="2:17" x14ac:dyDescent="0.25">
      <c r="B965" s="95" t="s">
        <v>512</v>
      </c>
      <c r="D965" s="1" t="s">
        <v>512</v>
      </c>
      <c r="E965" s="21" t="s">
        <v>512</v>
      </c>
      <c r="F965" s="1" t="s">
        <v>512</v>
      </c>
      <c r="G965" s="1" t="s">
        <v>512</v>
      </c>
      <c r="H965" s="1" t="s">
        <v>512</v>
      </c>
      <c r="I965" s="1" t="s">
        <v>512</v>
      </c>
      <c r="J965" s="1" t="s">
        <v>512</v>
      </c>
      <c r="K965" s="1" t="s">
        <v>512</v>
      </c>
      <c r="L965" s="1" t="s">
        <v>512</v>
      </c>
      <c r="M965" s="1" t="s">
        <v>512</v>
      </c>
      <c r="N965" s="1" t="s">
        <v>512</v>
      </c>
      <c r="O965" s="1" t="s">
        <v>512</v>
      </c>
      <c r="Q965" s="1" t="s">
        <v>512</v>
      </c>
    </row>
    <row r="966" spans="2:17" x14ac:dyDescent="0.25">
      <c r="B966" s="95" t="s">
        <v>512</v>
      </c>
      <c r="D966" s="1" t="s">
        <v>512</v>
      </c>
      <c r="E966" s="21" t="s">
        <v>512</v>
      </c>
      <c r="F966" s="1" t="s">
        <v>512</v>
      </c>
      <c r="G966" s="1" t="s">
        <v>512</v>
      </c>
      <c r="H966" s="1" t="s">
        <v>512</v>
      </c>
      <c r="I966" s="1" t="s">
        <v>512</v>
      </c>
      <c r="J966" s="1" t="s">
        <v>512</v>
      </c>
      <c r="K966" s="1" t="s">
        <v>512</v>
      </c>
      <c r="L966" s="1" t="s">
        <v>512</v>
      </c>
      <c r="M966" s="1" t="s">
        <v>512</v>
      </c>
      <c r="N966" s="1" t="s">
        <v>512</v>
      </c>
      <c r="O966" s="1" t="s">
        <v>512</v>
      </c>
      <c r="Q966" s="1" t="s">
        <v>512</v>
      </c>
    </row>
    <row r="967" spans="2:17" x14ac:dyDescent="0.25">
      <c r="B967" s="95" t="s">
        <v>512</v>
      </c>
      <c r="D967" s="1" t="s">
        <v>512</v>
      </c>
      <c r="E967" s="21" t="s">
        <v>512</v>
      </c>
      <c r="F967" s="1" t="s">
        <v>512</v>
      </c>
      <c r="G967" s="1" t="s">
        <v>512</v>
      </c>
      <c r="H967" s="1" t="s">
        <v>512</v>
      </c>
      <c r="I967" s="1" t="s">
        <v>512</v>
      </c>
      <c r="J967" s="1" t="s">
        <v>512</v>
      </c>
      <c r="K967" s="1" t="s">
        <v>512</v>
      </c>
      <c r="L967" s="1" t="s">
        <v>512</v>
      </c>
      <c r="M967" s="1" t="s">
        <v>512</v>
      </c>
      <c r="N967" s="1" t="s">
        <v>512</v>
      </c>
      <c r="O967" s="1" t="s">
        <v>512</v>
      </c>
      <c r="Q967" s="1" t="s">
        <v>512</v>
      </c>
    </row>
    <row r="968" spans="2:17" x14ac:dyDescent="0.25">
      <c r="B968" s="95" t="s">
        <v>512</v>
      </c>
      <c r="D968" s="1" t="s">
        <v>512</v>
      </c>
      <c r="E968" s="21" t="s">
        <v>512</v>
      </c>
      <c r="F968" s="1" t="s">
        <v>512</v>
      </c>
      <c r="G968" s="1" t="s">
        <v>512</v>
      </c>
      <c r="H968" s="1" t="s">
        <v>512</v>
      </c>
      <c r="I968" s="1" t="s">
        <v>512</v>
      </c>
      <c r="J968" s="1" t="s">
        <v>512</v>
      </c>
      <c r="K968" s="1" t="s">
        <v>512</v>
      </c>
      <c r="L968" s="1" t="s">
        <v>512</v>
      </c>
      <c r="M968" s="1" t="s">
        <v>512</v>
      </c>
      <c r="N968" s="1" t="s">
        <v>512</v>
      </c>
      <c r="O968" s="1" t="s">
        <v>512</v>
      </c>
      <c r="Q968" s="1" t="s">
        <v>512</v>
      </c>
    </row>
    <row r="969" spans="2:17" x14ac:dyDescent="0.25">
      <c r="B969" s="95" t="s">
        <v>512</v>
      </c>
      <c r="D969" s="1" t="s">
        <v>512</v>
      </c>
      <c r="E969" s="21" t="s">
        <v>512</v>
      </c>
      <c r="F969" s="1" t="s">
        <v>512</v>
      </c>
      <c r="G969" s="1" t="s">
        <v>512</v>
      </c>
      <c r="H969" s="1" t="s">
        <v>512</v>
      </c>
      <c r="I969" s="1" t="s">
        <v>512</v>
      </c>
      <c r="J969" s="1" t="s">
        <v>512</v>
      </c>
      <c r="K969" s="1" t="s">
        <v>512</v>
      </c>
      <c r="L969" s="1" t="s">
        <v>512</v>
      </c>
      <c r="M969" s="1" t="s">
        <v>512</v>
      </c>
      <c r="N969" s="1" t="s">
        <v>512</v>
      </c>
      <c r="O969" s="1" t="s">
        <v>512</v>
      </c>
      <c r="Q969" s="1" t="s">
        <v>512</v>
      </c>
    </row>
    <row r="970" spans="2:17" x14ac:dyDescent="0.25">
      <c r="B970" s="95" t="s">
        <v>512</v>
      </c>
      <c r="D970" s="1" t="s">
        <v>512</v>
      </c>
      <c r="E970" s="21" t="s">
        <v>512</v>
      </c>
      <c r="F970" s="1" t="s">
        <v>512</v>
      </c>
      <c r="G970" s="1" t="s">
        <v>512</v>
      </c>
      <c r="H970" s="1" t="s">
        <v>512</v>
      </c>
      <c r="I970" s="1" t="s">
        <v>512</v>
      </c>
      <c r="J970" s="1" t="s">
        <v>512</v>
      </c>
      <c r="K970" s="1" t="s">
        <v>512</v>
      </c>
      <c r="L970" s="1" t="s">
        <v>512</v>
      </c>
      <c r="M970" s="1" t="s">
        <v>512</v>
      </c>
      <c r="N970" s="1" t="s">
        <v>512</v>
      </c>
      <c r="O970" s="1" t="s">
        <v>512</v>
      </c>
      <c r="Q970" s="1" t="s">
        <v>512</v>
      </c>
    </row>
    <row r="971" spans="2:17" x14ac:dyDescent="0.25">
      <c r="B971" s="95" t="s">
        <v>512</v>
      </c>
      <c r="D971" s="1" t="s">
        <v>512</v>
      </c>
      <c r="E971" s="21" t="s">
        <v>512</v>
      </c>
      <c r="F971" s="1" t="s">
        <v>512</v>
      </c>
      <c r="G971" s="1" t="s">
        <v>512</v>
      </c>
      <c r="H971" s="1" t="s">
        <v>512</v>
      </c>
      <c r="I971" s="1" t="s">
        <v>512</v>
      </c>
      <c r="J971" s="1" t="s">
        <v>512</v>
      </c>
      <c r="K971" s="1" t="s">
        <v>512</v>
      </c>
      <c r="L971" s="1" t="s">
        <v>512</v>
      </c>
      <c r="M971" s="1" t="s">
        <v>512</v>
      </c>
      <c r="N971" s="1" t="s">
        <v>512</v>
      </c>
      <c r="O971" s="1" t="s">
        <v>512</v>
      </c>
      <c r="Q971" s="1" t="s">
        <v>512</v>
      </c>
    </row>
    <row r="972" spans="2:17" x14ac:dyDescent="0.25">
      <c r="B972" s="95" t="s">
        <v>512</v>
      </c>
      <c r="D972" s="1" t="s">
        <v>512</v>
      </c>
      <c r="E972" s="21" t="s">
        <v>512</v>
      </c>
      <c r="F972" s="1" t="s">
        <v>512</v>
      </c>
      <c r="G972" s="1" t="s">
        <v>512</v>
      </c>
      <c r="H972" s="1" t="s">
        <v>512</v>
      </c>
      <c r="I972" s="1" t="s">
        <v>512</v>
      </c>
      <c r="J972" s="1" t="s">
        <v>512</v>
      </c>
      <c r="K972" s="1" t="s">
        <v>512</v>
      </c>
      <c r="L972" s="1" t="s">
        <v>512</v>
      </c>
      <c r="M972" s="1" t="s">
        <v>512</v>
      </c>
      <c r="N972" s="1" t="s">
        <v>512</v>
      </c>
      <c r="O972" s="1" t="s">
        <v>512</v>
      </c>
      <c r="Q972" s="1" t="s">
        <v>512</v>
      </c>
    </row>
    <row r="973" spans="2:17" x14ac:dyDescent="0.25">
      <c r="B973" s="95" t="s">
        <v>512</v>
      </c>
      <c r="D973" s="1" t="s">
        <v>512</v>
      </c>
      <c r="E973" s="21" t="s">
        <v>512</v>
      </c>
      <c r="F973" s="1" t="s">
        <v>512</v>
      </c>
      <c r="G973" s="1" t="s">
        <v>512</v>
      </c>
      <c r="H973" s="1" t="s">
        <v>512</v>
      </c>
      <c r="I973" s="1" t="s">
        <v>512</v>
      </c>
      <c r="J973" s="1" t="s">
        <v>512</v>
      </c>
      <c r="K973" s="1" t="s">
        <v>512</v>
      </c>
      <c r="L973" s="1" t="s">
        <v>512</v>
      </c>
      <c r="M973" s="1" t="s">
        <v>512</v>
      </c>
      <c r="N973" s="1" t="s">
        <v>512</v>
      </c>
      <c r="O973" s="1" t="s">
        <v>512</v>
      </c>
      <c r="Q973" s="1" t="s">
        <v>512</v>
      </c>
    </row>
    <row r="974" spans="2:17" x14ac:dyDescent="0.25">
      <c r="B974" s="95" t="s">
        <v>512</v>
      </c>
      <c r="D974" s="1" t="s">
        <v>512</v>
      </c>
      <c r="E974" s="21" t="s">
        <v>512</v>
      </c>
      <c r="F974" s="1" t="s">
        <v>512</v>
      </c>
      <c r="G974" s="1" t="s">
        <v>512</v>
      </c>
      <c r="H974" s="1" t="s">
        <v>512</v>
      </c>
      <c r="I974" s="1" t="s">
        <v>512</v>
      </c>
      <c r="J974" s="1" t="s">
        <v>512</v>
      </c>
      <c r="K974" s="1" t="s">
        <v>512</v>
      </c>
      <c r="L974" s="1" t="s">
        <v>512</v>
      </c>
      <c r="M974" s="1" t="s">
        <v>512</v>
      </c>
      <c r="N974" s="1" t="s">
        <v>512</v>
      </c>
      <c r="O974" s="1" t="s">
        <v>512</v>
      </c>
      <c r="Q974" s="1" t="s">
        <v>512</v>
      </c>
    </row>
    <row r="975" spans="2:17" x14ac:dyDescent="0.25">
      <c r="D975" s="1" t="s">
        <v>512</v>
      </c>
      <c r="E975" s="21" t="s">
        <v>512</v>
      </c>
      <c r="F975" s="1" t="s">
        <v>512</v>
      </c>
      <c r="G975" s="1" t="s">
        <v>512</v>
      </c>
      <c r="H975" s="1" t="s">
        <v>512</v>
      </c>
      <c r="I975" s="1" t="s">
        <v>512</v>
      </c>
      <c r="J975" s="1" t="s">
        <v>512</v>
      </c>
      <c r="K975" s="1" t="s">
        <v>512</v>
      </c>
      <c r="L975" s="1" t="s">
        <v>512</v>
      </c>
      <c r="M975" s="1" t="s">
        <v>512</v>
      </c>
      <c r="N975" s="1" t="s">
        <v>512</v>
      </c>
      <c r="O975" s="1" t="s">
        <v>512</v>
      </c>
      <c r="Q975" s="1" t="s">
        <v>512</v>
      </c>
    </row>
    <row r="976" spans="2:17" x14ac:dyDescent="0.25">
      <c r="D976" s="1" t="s">
        <v>512</v>
      </c>
      <c r="E976" s="21" t="s">
        <v>512</v>
      </c>
      <c r="F976" s="1" t="s">
        <v>512</v>
      </c>
      <c r="G976" s="1" t="s">
        <v>512</v>
      </c>
      <c r="H976" s="1" t="s">
        <v>512</v>
      </c>
      <c r="I976" s="1" t="s">
        <v>512</v>
      </c>
      <c r="J976" s="1" t="s">
        <v>512</v>
      </c>
      <c r="K976" s="1" t="s">
        <v>512</v>
      </c>
      <c r="L976" s="1" t="s">
        <v>512</v>
      </c>
      <c r="M976" s="1" t="s">
        <v>512</v>
      </c>
      <c r="N976" s="1" t="s">
        <v>512</v>
      </c>
      <c r="O976" s="1" t="s">
        <v>512</v>
      </c>
      <c r="Q976" s="1" t="s">
        <v>512</v>
      </c>
    </row>
    <row r="977" spans="4:17" x14ac:dyDescent="0.25">
      <c r="D977" s="1" t="s">
        <v>512</v>
      </c>
      <c r="E977" s="21" t="s">
        <v>512</v>
      </c>
      <c r="F977" s="1" t="s">
        <v>512</v>
      </c>
      <c r="G977" s="1" t="s">
        <v>512</v>
      </c>
      <c r="H977" s="1" t="s">
        <v>512</v>
      </c>
      <c r="I977" s="1" t="s">
        <v>512</v>
      </c>
      <c r="J977" s="1" t="s">
        <v>512</v>
      </c>
      <c r="K977" s="1" t="s">
        <v>512</v>
      </c>
      <c r="L977" s="1" t="s">
        <v>512</v>
      </c>
      <c r="M977" s="1" t="s">
        <v>512</v>
      </c>
      <c r="N977" s="1" t="s">
        <v>512</v>
      </c>
      <c r="O977" s="1" t="s">
        <v>512</v>
      </c>
      <c r="Q977" s="1" t="s">
        <v>512</v>
      </c>
    </row>
    <row r="978" spans="4:17" x14ac:dyDescent="0.25">
      <c r="D978" s="1" t="s">
        <v>512</v>
      </c>
      <c r="E978" s="21" t="s">
        <v>512</v>
      </c>
      <c r="F978" s="1" t="s">
        <v>512</v>
      </c>
      <c r="G978" s="1" t="s">
        <v>512</v>
      </c>
      <c r="H978" s="1" t="s">
        <v>512</v>
      </c>
      <c r="I978" s="1" t="s">
        <v>512</v>
      </c>
      <c r="J978" s="1" t="s">
        <v>512</v>
      </c>
      <c r="K978" s="1" t="s">
        <v>512</v>
      </c>
      <c r="L978" s="1" t="s">
        <v>512</v>
      </c>
      <c r="M978" s="1" t="s">
        <v>512</v>
      </c>
      <c r="N978" s="1" t="s">
        <v>512</v>
      </c>
      <c r="O978" s="1" t="s">
        <v>512</v>
      </c>
      <c r="Q978" s="1" t="s">
        <v>512</v>
      </c>
    </row>
    <row r="979" spans="4:17" x14ac:dyDescent="0.25">
      <c r="D979" s="1" t="s">
        <v>512</v>
      </c>
      <c r="E979" s="21" t="s">
        <v>512</v>
      </c>
      <c r="F979" s="1" t="s">
        <v>512</v>
      </c>
      <c r="G979" s="1" t="s">
        <v>512</v>
      </c>
      <c r="H979" s="1" t="s">
        <v>512</v>
      </c>
      <c r="I979" s="1" t="s">
        <v>512</v>
      </c>
      <c r="J979" s="1" t="s">
        <v>512</v>
      </c>
      <c r="K979" s="1" t="s">
        <v>512</v>
      </c>
      <c r="L979" s="1" t="s">
        <v>512</v>
      </c>
      <c r="M979" s="1" t="s">
        <v>512</v>
      </c>
      <c r="N979" s="1" t="s">
        <v>512</v>
      </c>
      <c r="O979" s="1" t="s">
        <v>512</v>
      </c>
      <c r="Q979" s="1" t="s">
        <v>512</v>
      </c>
    </row>
    <row r="980" spans="4:17" x14ac:dyDescent="0.25">
      <c r="D980" s="1" t="s">
        <v>512</v>
      </c>
      <c r="E980" s="21" t="s">
        <v>512</v>
      </c>
      <c r="F980" s="1" t="s">
        <v>512</v>
      </c>
      <c r="G980" s="1" t="s">
        <v>512</v>
      </c>
      <c r="H980" s="1" t="s">
        <v>512</v>
      </c>
      <c r="I980" s="1" t="s">
        <v>512</v>
      </c>
      <c r="J980" s="1" t="s">
        <v>512</v>
      </c>
      <c r="K980" s="1" t="s">
        <v>512</v>
      </c>
      <c r="L980" s="1" t="s">
        <v>512</v>
      </c>
      <c r="M980" s="1" t="s">
        <v>512</v>
      </c>
      <c r="N980" s="1" t="s">
        <v>512</v>
      </c>
      <c r="O980" s="1" t="s">
        <v>512</v>
      </c>
      <c r="Q980" s="1" t="s">
        <v>512</v>
      </c>
    </row>
    <row r="981" spans="4:17" x14ac:dyDescent="0.25">
      <c r="D981" s="1" t="s">
        <v>512</v>
      </c>
      <c r="E981" s="21" t="s">
        <v>512</v>
      </c>
      <c r="F981" s="1" t="s">
        <v>512</v>
      </c>
      <c r="G981" s="1" t="s">
        <v>512</v>
      </c>
      <c r="H981" s="1" t="s">
        <v>512</v>
      </c>
      <c r="I981" s="1" t="s">
        <v>512</v>
      </c>
      <c r="J981" s="1" t="s">
        <v>512</v>
      </c>
      <c r="K981" s="1" t="s">
        <v>512</v>
      </c>
      <c r="L981" s="1" t="s">
        <v>512</v>
      </c>
      <c r="M981" s="1" t="s">
        <v>512</v>
      </c>
      <c r="N981" s="1" t="s">
        <v>512</v>
      </c>
      <c r="O981" s="1" t="s">
        <v>512</v>
      </c>
      <c r="Q981" s="1" t="s">
        <v>512</v>
      </c>
    </row>
    <row r="982" spans="4:17" x14ac:dyDescent="0.25">
      <c r="D982" s="1" t="s">
        <v>512</v>
      </c>
      <c r="E982" s="21" t="s">
        <v>512</v>
      </c>
      <c r="F982" s="1" t="s">
        <v>512</v>
      </c>
      <c r="G982" s="1" t="s">
        <v>512</v>
      </c>
      <c r="H982" s="1" t="s">
        <v>512</v>
      </c>
      <c r="I982" s="1" t="s">
        <v>512</v>
      </c>
      <c r="J982" s="1" t="s">
        <v>512</v>
      </c>
      <c r="K982" s="1" t="s">
        <v>512</v>
      </c>
      <c r="L982" s="1" t="s">
        <v>512</v>
      </c>
      <c r="M982" s="1" t="s">
        <v>512</v>
      </c>
      <c r="N982" s="1" t="s">
        <v>512</v>
      </c>
      <c r="O982" s="1" t="s">
        <v>512</v>
      </c>
      <c r="Q982" s="1" t="s">
        <v>512</v>
      </c>
    </row>
    <row r="983" spans="4:17" x14ac:dyDescent="0.25">
      <c r="D983" s="1" t="s">
        <v>512</v>
      </c>
      <c r="E983" s="21" t="s">
        <v>512</v>
      </c>
      <c r="F983" s="1" t="s">
        <v>512</v>
      </c>
      <c r="G983" s="1" t="s">
        <v>512</v>
      </c>
      <c r="H983" s="1" t="s">
        <v>512</v>
      </c>
      <c r="I983" s="1" t="s">
        <v>512</v>
      </c>
      <c r="J983" s="1" t="s">
        <v>512</v>
      </c>
      <c r="K983" s="1" t="s">
        <v>512</v>
      </c>
      <c r="L983" s="1" t="s">
        <v>512</v>
      </c>
      <c r="M983" s="1" t="s">
        <v>512</v>
      </c>
      <c r="N983" s="1" t="s">
        <v>512</v>
      </c>
      <c r="O983" s="1" t="s">
        <v>512</v>
      </c>
      <c r="Q983" s="1" t="s">
        <v>512</v>
      </c>
    </row>
    <row r="984" spans="4:17" x14ac:dyDescent="0.25">
      <c r="D984" s="1" t="s">
        <v>512</v>
      </c>
      <c r="E984" s="21" t="s">
        <v>512</v>
      </c>
      <c r="F984" s="1" t="s">
        <v>512</v>
      </c>
      <c r="G984" s="1" t="s">
        <v>512</v>
      </c>
      <c r="H984" s="1" t="s">
        <v>512</v>
      </c>
      <c r="I984" s="1" t="s">
        <v>512</v>
      </c>
      <c r="J984" s="1" t="s">
        <v>512</v>
      </c>
      <c r="K984" s="1" t="s">
        <v>512</v>
      </c>
      <c r="L984" s="1" t="s">
        <v>512</v>
      </c>
      <c r="M984" s="1" t="s">
        <v>512</v>
      </c>
      <c r="N984" s="1" t="s">
        <v>512</v>
      </c>
      <c r="O984" s="1" t="s">
        <v>512</v>
      </c>
      <c r="Q984" s="1" t="s">
        <v>512</v>
      </c>
    </row>
    <row r="985" spans="4:17" x14ac:dyDescent="0.25">
      <c r="D985" s="1" t="s">
        <v>512</v>
      </c>
      <c r="E985" s="21" t="s">
        <v>512</v>
      </c>
      <c r="F985" s="1" t="s">
        <v>512</v>
      </c>
      <c r="G985" s="1" t="s">
        <v>512</v>
      </c>
      <c r="H985" s="1" t="s">
        <v>512</v>
      </c>
      <c r="I985" s="1" t="s">
        <v>512</v>
      </c>
      <c r="J985" s="1" t="s">
        <v>512</v>
      </c>
      <c r="K985" s="1" t="s">
        <v>512</v>
      </c>
      <c r="L985" s="1" t="s">
        <v>512</v>
      </c>
      <c r="M985" s="1" t="s">
        <v>512</v>
      </c>
      <c r="N985" s="1" t="s">
        <v>512</v>
      </c>
      <c r="O985" s="1" t="s">
        <v>512</v>
      </c>
      <c r="Q985" s="1" t="s">
        <v>512</v>
      </c>
    </row>
    <row r="986" spans="4:17" x14ac:dyDescent="0.25">
      <c r="D986" s="1" t="s">
        <v>512</v>
      </c>
      <c r="E986" s="21" t="s">
        <v>512</v>
      </c>
      <c r="F986" s="1" t="s">
        <v>512</v>
      </c>
      <c r="G986" s="1" t="s">
        <v>512</v>
      </c>
      <c r="H986" s="1" t="s">
        <v>512</v>
      </c>
      <c r="I986" s="1" t="s">
        <v>512</v>
      </c>
      <c r="J986" s="1" t="s">
        <v>512</v>
      </c>
      <c r="K986" s="1" t="s">
        <v>512</v>
      </c>
      <c r="L986" s="1" t="s">
        <v>512</v>
      </c>
      <c r="M986" s="1" t="s">
        <v>512</v>
      </c>
      <c r="N986" s="1" t="s">
        <v>512</v>
      </c>
      <c r="O986" s="1" t="s">
        <v>512</v>
      </c>
      <c r="Q986" s="1" t="s">
        <v>512</v>
      </c>
    </row>
    <row r="987" spans="4:17" x14ac:dyDescent="0.25">
      <c r="D987" s="1" t="s">
        <v>512</v>
      </c>
      <c r="E987" s="21" t="s">
        <v>512</v>
      </c>
      <c r="F987" s="1" t="s">
        <v>512</v>
      </c>
      <c r="G987" s="1" t="s">
        <v>512</v>
      </c>
      <c r="H987" s="1" t="s">
        <v>512</v>
      </c>
      <c r="I987" s="1" t="s">
        <v>512</v>
      </c>
      <c r="J987" s="1" t="s">
        <v>512</v>
      </c>
      <c r="K987" s="1" t="s">
        <v>512</v>
      </c>
      <c r="L987" s="1" t="s">
        <v>512</v>
      </c>
      <c r="M987" s="1" t="s">
        <v>512</v>
      </c>
      <c r="N987" s="1" t="s">
        <v>512</v>
      </c>
      <c r="O987" s="1" t="s">
        <v>512</v>
      </c>
      <c r="Q987" s="1" t="s">
        <v>512</v>
      </c>
    </row>
    <row r="988" spans="4:17" x14ac:dyDescent="0.25">
      <c r="D988" s="1" t="s">
        <v>512</v>
      </c>
      <c r="E988" s="21" t="s">
        <v>512</v>
      </c>
      <c r="F988" s="1" t="s">
        <v>512</v>
      </c>
      <c r="G988" s="1" t="s">
        <v>512</v>
      </c>
      <c r="H988" s="1" t="s">
        <v>512</v>
      </c>
      <c r="I988" s="1" t="s">
        <v>512</v>
      </c>
      <c r="J988" s="1" t="s">
        <v>512</v>
      </c>
      <c r="K988" s="1" t="s">
        <v>512</v>
      </c>
      <c r="L988" s="1" t="s">
        <v>512</v>
      </c>
      <c r="M988" s="1" t="s">
        <v>512</v>
      </c>
      <c r="N988" s="1" t="s">
        <v>512</v>
      </c>
      <c r="O988" s="1" t="s">
        <v>512</v>
      </c>
      <c r="Q988" s="1" t="s">
        <v>512</v>
      </c>
    </row>
    <row r="989" spans="4:17" x14ac:dyDescent="0.25">
      <c r="D989" s="1" t="s">
        <v>512</v>
      </c>
      <c r="E989" s="21" t="s">
        <v>512</v>
      </c>
      <c r="F989" s="1" t="s">
        <v>512</v>
      </c>
      <c r="G989" s="1" t="s">
        <v>512</v>
      </c>
      <c r="H989" s="1" t="s">
        <v>512</v>
      </c>
      <c r="I989" s="1" t="s">
        <v>512</v>
      </c>
      <c r="J989" s="1" t="s">
        <v>512</v>
      </c>
      <c r="K989" s="1" t="s">
        <v>512</v>
      </c>
      <c r="L989" s="1" t="s">
        <v>512</v>
      </c>
      <c r="M989" s="1" t="s">
        <v>512</v>
      </c>
      <c r="N989" s="1" t="s">
        <v>512</v>
      </c>
      <c r="O989" s="1" t="s">
        <v>512</v>
      </c>
      <c r="Q989" s="1" t="s">
        <v>512</v>
      </c>
    </row>
    <row r="990" spans="4:17" x14ac:dyDescent="0.25">
      <c r="D990" s="1" t="s">
        <v>512</v>
      </c>
      <c r="E990" s="21" t="s">
        <v>512</v>
      </c>
      <c r="F990" s="1" t="s">
        <v>512</v>
      </c>
      <c r="G990" s="1" t="s">
        <v>512</v>
      </c>
      <c r="H990" s="1" t="s">
        <v>512</v>
      </c>
      <c r="I990" s="1" t="s">
        <v>512</v>
      </c>
      <c r="J990" s="1" t="s">
        <v>512</v>
      </c>
      <c r="K990" s="1" t="s">
        <v>512</v>
      </c>
      <c r="L990" s="1" t="s">
        <v>512</v>
      </c>
      <c r="M990" s="1" t="s">
        <v>512</v>
      </c>
      <c r="N990" s="1" t="s">
        <v>512</v>
      </c>
      <c r="O990" s="1" t="s">
        <v>512</v>
      </c>
      <c r="Q990" s="1" t="s">
        <v>512</v>
      </c>
    </row>
    <row r="991" spans="4:17" x14ac:dyDescent="0.25">
      <c r="D991" s="1" t="s">
        <v>512</v>
      </c>
      <c r="E991" s="21" t="s">
        <v>512</v>
      </c>
      <c r="F991" s="1" t="s">
        <v>512</v>
      </c>
      <c r="G991" s="1" t="s">
        <v>512</v>
      </c>
      <c r="H991" s="1" t="s">
        <v>512</v>
      </c>
      <c r="I991" s="1" t="s">
        <v>512</v>
      </c>
      <c r="J991" s="1" t="s">
        <v>512</v>
      </c>
      <c r="K991" s="1" t="s">
        <v>512</v>
      </c>
      <c r="L991" s="1" t="s">
        <v>512</v>
      </c>
      <c r="M991" s="1" t="s">
        <v>512</v>
      </c>
      <c r="N991" s="1" t="s">
        <v>512</v>
      </c>
      <c r="O991" s="1" t="s">
        <v>512</v>
      </c>
      <c r="Q991" s="1" t="s">
        <v>512</v>
      </c>
    </row>
    <row r="992" spans="4:17" x14ac:dyDescent="0.25">
      <c r="D992" s="1" t="s">
        <v>512</v>
      </c>
      <c r="E992" s="21" t="s">
        <v>512</v>
      </c>
      <c r="F992" s="1" t="s">
        <v>512</v>
      </c>
      <c r="G992" s="1" t="s">
        <v>512</v>
      </c>
      <c r="H992" s="1" t="s">
        <v>512</v>
      </c>
      <c r="I992" s="1" t="s">
        <v>512</v>
      </c>
      <c r="J992" s="1" t="s">
        <v>512</v>
      </c>
      <c r="K992" s="1" t="s">
        <v>512</v>
      </c>
      <c r="L992" s="1" t="s">
        <v>512</v>
      </c>
      <c r="M992" s="1" t="s">
        <v>512</v>
      </c>
      <c r="N992" s="1" t="s">
        <v>512</v>
      </c>
      <c r="O992" s="1" t="s">
        <v>512</v>
      </c>
      <c r="Q992" s="1" t="s">
        <v>512</v>
      </c>
    </row>
    <row r="993" spans="4:17" x14ac:dyDescent="0.25">
      <c r="D993" s="1" t="s">
        <v>512</v>
      </c>
      <c r="E993" s="21" t="s">
        <v>512</v>
      </c>
      <c r="F993" s="1" t="s">
        <v>512</v>
      </c>
      <c r="G993" s="1" t="s">
        <v>512</v>
      </c>
      <c r="H993" s="1" t="s">
        <v>512</v>
      </c>
      <c r="I993" s="1" t="s">
        <v>512</v>
      </c>
      <c r="J993" s="1" t="s">
        <v>512</v>
      </c>
      <c r="K993" s="1" t="s">
        <v>512</v>
      </c>
      <c r="L993" s="1" t="s">
        <v>512</v>
      </c>
      <c r="M993" s="1" t="s">
        <v>512</v>
      </c>
      <c r="N993" s="1" t="s">
        <v>512</v>
      </c>
      <c r="O993" s="1" t="s">
        <v>512</v>
      </c>
      <c r="Q993" s="1" t="s">
        <v>512</v>
      </c>
    </row>
    <row r="994" spans="4:17" x14ac:dyDescent="0.25">
      <c r="D994" s="1" t="s">
        <v>512</v>
      </c>
      <c r="E994" s="21" t="s">
        <v>512</v>
      </c>
      <c r="F994" s="1" t="s">
        <v>512</v>
      </c>
      <c r="G994" s="1" t="s">
        <v>512</v>
      </c>
      <c r="H994" s="1" t="s">
        <v>512</v>
      </c>
      <c r="I994" s="1" t="s">
        <v>512</v>
      </c>
      <c r="J994" s="1" t="s">
        <v>512</v>
      </c>
      <c r="K994" s="1" t="s">
        <v>512</v>
      </c>
      <c r="L994" s="1" t="s">
        <v>512</v>
      </c>
      <c r="M994" s="1" t="s">
        <v>512</v>
      </c>
      <c r="N994" s="1" t="s">
        <v>512</v>
      </c>
      <c r="O994" s="1" t="s">
        <v>512</v>
      </c>
      <c r="Q994" s="1" t="s">
        <v>512</v>
      </c>
    </row>
    <row r="995" spans="4:17" x14ac:dyDescent="0.25">
      <c r="D995" s="1" t="s">
        <v>512</v>
      </c>
      <c r="E995" s="21" t="s">
        <v>512</v>
      </c>
      <c r="F995" s="1" t="s">
        <v>512</v>
      </c>
      <c r="G995" s="1" t="s">
        <v>512</v>
      </c>
      <c r="H995" s="1" t="s">
        <v>512</v>
      </c>
      <c r="I995" s="1" t="s">
        <v>512</v>
      </c>
      <c r="J995" s="1" t="s">
        <v>512</v>
      </c>
      <c r="K995" s="1" t="s">
        <v>512</v>
      </c>
      <c r="L995" s="1" t="s">
        <v>512</v>
      </c>
      <c r="M995" s="1" t="s">
        <v>512</v>
      </c>
      <c r="N995" s="1" t="s">
        <v>512</v>
      </c>
      <c r="O995" s="1" t="s">
        <v>512</v>
      </c>
      <c r="Q995" s="1" t="s">
        <v>512</v>
      </c>
    </row>
    <row r="996" spans="4:17" x14ac:dyDescent="0.25">
      <c r="D996" s="1" t="s">
        <v>512</v>
      </c>
      <c r="E996" s="21" t="s">
        <v>512</v>
      </c>
      <c r="F996" s="1" t="s">
        <v>512</v>
      </c>
      <c r="G996" s="1" t="s">
        <v>512</v>
      </c>
      <c r="H996" s="1" t="s">
        <v>512</v>
      </c>
      <c r="I996" s="1" t="s">
        <v>512</v>
      </c>
      <c r="J996" s="1" t="s">
        <v>512</v>
      </c>
      <c r="K996" s="1" t="s">
        <v>512</v>
      </c>
      <c r="L996" s="1" t="s">
        <v>512</v>
      </c>
      <c r="M996" s="1" t="s">
        <v>512</v>
      </c>
      <c r="N996" s="1" t="s">
        <v>512</v>
      </c>
      <c r="O996" s="1" t="s">
        <v>512</v>
      </c>
      <c r="Q996" s="1" t="s">
        <v>512</v>
      </c>
    </row>
    <row r="997" spans="4:17" x14ac:dyDescent="0.25">
      <c r="D997" s="1" t="s">
        <v>512</v>
      </c>
      <c r="E997" s="21" t="s">
        <v>512</v>
      </c>
      <c r="F997" s="1" t="s">
        <v>512</v>
      </c>
      <c r="G997" s="1" t="s">
        <v>512</v>
      </c>
      <c r="H997" s="1" t="s">
        <v>512</v>
      </c>
      <c r="I997" s="1" t="s">
        <v>512</v>
      </c>
      <c r="J997" s="1" t="s">
        <v>512</v>
      </c>
      <c r="K997" s="1" t="s">
        <v>512</v>
      </c>
      <c r="L997" s="1" t="s">
        <v>512</v>
      </c>
      <c r="M997" s="1" t="s">
        <v>512</v>
      </c>
      <c r="N997" s="1" t="s">
        <v>512</v>
      </c>
      <c r="O997" s="1" t="s">
        <v>512</v>
      </c>
      <c r="Q997" s="1" t="s">
        <v>512</v>
      </c>
    </row>
    <row r="998" spans="4:17" x14ac:dyDescent="0.25">
      <c r="D998" s="1" t="s">
        <v>512</v>
      </c>
      <c r="E998" s="21" t="s">
        <v>512</v>
      </c>
      <c r="F998" s="1" t="s">
        <v>512</v>
      </c>
      <c r="G998" s="1" t="s">
        <v>512</v>
      </c>
      <c r="H998" s="1" t="s">
        <v>512</v>
      </c>
      <c r="I998" s="1" t="s">
        <v>512</v>
      </c>
      <c r="J998" s="1" t="s">
        <v>512</v>
      </c>
      <c r="K998" s="1" t="s">
        <v>512</v>
      </c>
      <c r="L998" s="1" t="s">
        <v>512</v>
      </c>
      <c r="M998" s="1" t="s">
        <v>512</v>
      </c>
      <c r="N998" s="1" t="s">
        <v>512</v>
      </c>
      <c r="O998" s="1" t="s">
        <v>512</v>
      </c>
      <c r="Q998" s="1" t="s">
        <v>512</v>
      </c>
    </row>
    <row r="999" spans="4:17" x14ac:dyDescent="0.25">
      <c r="D999" s="1" t="s">
        <v>512</v>
      </c>
      <c r="E999" s="21" t="s">
        <v>512</v>
      </c>
      <c r="F999" s="1" t="s">
        <v>512</v>
      </c>
      <c r="G999" s="1" t="s">
        <v>512</v>
      </c>
      <c r="H999" s="1" t="s">
        <v>512</v>
      </c>
      <c r="I999" s="1" t="s">
        <v>512</v>
      </c>
      <c r="J999" s="1" t="s">
        <v>512</v>
      </c>
      <c r="K999" s="1" t="s">
        <v>512</v>
      </c>
      <c r="L999" s="1" t="s">
        <v>512</v>
      </c>
      <c r="M999" s="1" t="s">
        <v>512</v>
      </c>
      <c r="N999" s="1" t="s">
        <v>512</v>
      </c>
      <c r="O999" s="1" t="s">
        <v>512</v>
      </c>
      <c r="Q999" s="1" t="s">
        <v>512</v>
      </c>
    </row>
    <row r="1000" spans="4:17" x14ac:dyDescent="0.25">
      <c r="D1000" s="1" t="s">
        <v>512</v>
      </c>
      <c r="E1000" s="21" t="s">
        <v>512</v>
      </c>
      <c r="F1000" s="1" t="s">
        <v>512</v>
      </c>
      <c r="G1000" s="1" t="s">
        <v>512</v>
      </c>
      <c r="H1000" s="1" t="s">
        <v>512</v>
      </c>
      <c r="I1000" s="1" t="s">
        <v>512</v>
      </c>
      <c r="J1000" s="1" t="s">
        <v>512</v>
      </c>
      <c r="K1000" s="1" t="s">
        <v>512</v>
      </c>
      <c r="L1000" s="1" t="s">
        <v>512</v>
      </c>
      <c r="M1000" s="1" t="s">
        <v>512</v>
      </c>
      <c r="N1000" s="1" t="s">
        <v>512</v>
      </c>
      <c r="O1000" s="1" t="s">
        <v>512</v>
      </c>
      <c r="Q1000" s="1" t="s">
        <v>512</v>
      </c>
    </row>
    <row r="1001" spans="4:17" x14ac:dyDescent="0.25">
      <c r="D1001" s="1" t="s">
        <v>512</v>
      </c>
      <c r="E1001" s="21" t="s">
        <v>512</v>
      </c>
      <c r="F1001" s="1" t="s">
        <v>512</v>
      </c>
      <c r="G1001" s="1" t="s">
        <v>512</v>
      </c>
      <c r="H1001" s="1" t="s">
        <v>512</v>
      </c>
      <c r="I1001" s="1" t="s">
        <v>512</v>
      </c>
      <c r="J1001" s="1" t="s">
        <v>512</v>
      </c>
      <c r="K1001" s="1" t="s">
        <v>512</v>
      </c>
      <c r="L1001" s="1" t="s">
        <v>512</v>
      </c>
      <c r="M1001" s="1" t="s">
        <v>512</v>
      </c>
      <c r="N1001" s="1" t="s">
        <v>512</v>
      </c>
      <c r="O1001" s="1" t="s">
        <v>512</v>
      </c>
      <c r="Q1001" s="1" t="s">
        <v>512</v>
      </c>
    </row>
    <row r="1002" spans="4:17" x14ac:dyDescent="0.25">
      <c r="D1002" s="1" t="s">
        <v>512</v>
      </c>
      <c r="E1002" s="21" t="s">
        <v>512</v>
      </c>
      <c r="F1002" s="1" t="s">
        <v>512</v>
      </c>
      <c r="G1002" s="1" t="s">
        <v>512</v>
      </c>
      <c r="H1002" s="1" t="s">
        <v>512</v>
      </c>
      <c r="I1002" s="1" t="s">
        <v>512</v>
      </c>
      <c r="J1002" s="1" t="s">
        <v>512</v>
      </c>
      <c r="K1002" s="1" t="s">
        <v>512</v>
      </c>
      <c r="L1002" s="1" t="s">
        <v>512</v>
      </c>
      <c r="M1002" s="1" t="s">
        <v>512</v>
      </c>
      <c r="N1002" s="1" t="s">
        <v>512</v>
      </c>
      <c r="O1002" s="1" t="s">
        <v>512</v>
      </c>
      <c r="Q1002" s="1" t="s">
        <v>512</v>
      </c>
    </row>
    <row r="1003" spans="4:17" x14ac:dyDescent="0.25">
      <c r="D1003" s="1" t="s">
        <v>512</v>
      </c>
      <c r="E1003" s="21" t="s">
        <v>512</v>
      </c>
      <c r="F1003" s="1" t="s">
        <v>512</v>
      </c>
      <c r="G1003" s="1" t="s">
        <v>512</v>
      </c>
      <c r="H1003" s="1" t="s">
        <v>512</v>
      </c>
      <c r="I1003" s="1" t="s">
        <v>512</v>
      </c>
      <c r="J1003" s="1" t="s">
        <v>512</v>
      </c>
      <c r="K1003" s="1" t="s">
        <v>512</v>
      </c>
      <c r="L1003" s="1" t="s">
        <v>512</v>
      </c>
      <c r="M1003" s="1" t="s">
        <v>512</v>
      </c>
      <c r="N1003" s="1" t="s">
        <v>512</v>
      </c>
      <c r="O1003" s="1" t="s">
        <v>512</v>
      </c>
      <c r="Q1003" s="1" t="s">
        <v>512</v>
      </c>
    </row>
    <row r="1004" spans="4:17" x14ac:dyDescent="0.25">
      <c r="D1004" s="1" t="s">
        <v>512</v>
      </c>
      <c r="E1004" s="21" t="s">
        <v>512</v>
      </c>
      <c r="F1004" s="1" t="s">
        <v>512</v>
      </c>
      <c r="G1004" s="1" t="s">
        <v>512</v>
      </c>
      <c r="H1004" s="1" t="s">
        <v>512</v>
      </c>
      <c r="I1004" s="1" t="s">
        <v>512</v>
      </c>
      <c r="J1004" s="1" t="s">
        <v>512</v>
      </c>
      <c r="K1004" s="1" t="s">
        <v>512</v>
      </c>
      <c r="L1004" s="1" t="s">
        <v>512</v>
      </c>
      <c r="M1004" s="1" t="s">
        <v>512</v>
      </c>
      <c r="N1004" s="1" t="s">
        <v>512</v>
      </c>
      <c r="O1004" s="1" t="s">
        <v>512</v>
      </c>
      <c r="Q1004" s="1" t="s">
        <v>512</v>
      </c>
    </row>
    <row r="1005" spans="4:17" x14ac:dyDescent="0.25">
      <c r="D1005" s="1" t="s">
        <v>512</v>
      </c>
      <c r="E1005" s="21" t="s">
        <v>512</v>
      </c>
      <c r="F1005" s="1" t="s">
        <v>512</v>
      </c>
      <c r="G1005" s="1" t="s">
        <v>512</v>
      </c>
      <c r="H1005" s="1" t="s">
        <v>512</v>
      </c>
      <c r="I1005" s="1" t="s">
        <v>512</v>
      </c>
      <c r="J1005" s="1" t="s">
        <v>512</v>
      </c>
      <c r="K1005" s="1" t="s">
        <v>512</v>
      </c>
      <c r="L1005" s="1" t="s">
        <v>512</v>
      </c>
      <c r="M1005" s="1" t="s">
        <v>512</v>
      </c>
      <c r="N1005" s="1" t="s">
        <v>512</v>
      </c>
      <c r="O1005" s="1" t="s">
        <v>512</v>
      </c>
      <c r="Q1005" s="1" t="s">
        <v>512</v>
      </c>
    </row>
    <row r="1006" spans="4:17" x14ac:dyDescent="0.25">
      <c r="D1006" s="1" t="s">
        <v>512</v>
      </c>
      <c r="E1006" s="21" t="s">
        <v>512</v>
      </c>
      <c r="F1006" s="1" t="s">
        <v>512</v>
      </c>
      <c r="G1006" s="1" t="s">
        <v>512</v>
      </c>
      <c r="H1006" s="1" t="s">
        <v>512</v>
      </c>
      <c r="I1006" s="1" t="s">
        <v>512</v>
      </c>
      <c r="J1006" s="1" t="s">
        <v>512</v>
      </c>
      <c r="K1006" s="1" t="s">
        <v>512</v>
      </c>
      <c r="L1006" s="1" t="s">
        <v>512</v>
      </c>
      <c r="M1006" s="1" t="s">
        <v>512</v>
      </c>
      <c r="N1006" s="1" t="s">
        <v>512</v>
      </c>
      <c r="O1006" s="1" t="s">
        <v>512</v>
      </c>
      <c r="Q1006" s="1" t="s">
        <v>512</v>
      </c>
    </row>
    <row r="1007" spans="4:17" x14ac:dyDescent="0.25">
      <c r="D1007" s="1" t="s">
        <v>512</v>
      </c>
      <c r="E1007" s="21" t="s">
        <v>512</v>
      </c>
      <c r="F1007" s="1" t="s">
        <v>512</v>
      </c>
      <c r="G1007" s="1" t="s">
        <v>512</v>
      </c>
      <c r="H1007" s="1" t="s">
        <v>512</v>
      </c>
      <c r="I1007" s="1" t="s">
        <v>512</v>
      </c>
      <c r="J1007" s="1" t="s">
        <v>512</v>
      </c>
      <c r="K1007" s="1" t="s">
        <v>512</v>
      </c>
      <c r="L1007" s="1" t="s">
        <v>512</v>
      </c>
      <c r="M1007" s="1" t="s">
        <v>512</v>
      </c>
      <c r="N1007" s="1" t="s">
        <v>512</v>
      </c>
      <c r="O1007" s="1" t="s">
        <v>512</v>
      </c>
      <c r="Q1007" s="1" t="s">
        <v>512</v>
      </c>
    </row>
    <row r="1008" spans="4:17" x14ac:dyDescent="0.25">
      <c r="D1008" s="1" t="s">
        <v>512</v>
      </c>
      <c r="E1008" s="21" t="s">
        <v>512</v>
      </c>
      <c r="F1008" s="1" t="s">
        <v>512</v>
      </c>
      <c r="G1008" s="1" t="s">
        <v>512</v>
      </c>
      <c r="H1008" s="1" t="s">
        <v>512</v>
      </c>
      <c r="I1008" s="1" t="s">
        <v>512</v>
      </c>
      <c r="J1008" s="1" t="s">
        <v>512</v>
      </c>
      <c r="K1008" s="1" t="s">
        <v>512</v>
      </c>
      <c r="L1008" s="1" t="s">
        <v>512</v>
      </c>
      <c r="M1008" s="1" t="s">
        <v>512</v>
      </c>
      <c r="N1008" s="1" t="s">
        <v>512</v>
      </c>
      <c r="O1008" s="1" t="s">
        <v>512</v>
      </c>
      <c r="Q1008" s="1" t="s">
        <v>512</v>
      </c>
    </row>
    <row r="1009" spans="4:17" x14ac:dyDescent="0.25">
      <c r="D1009" s="1" t="s">
        <v>512</v>
      </c>
      <c r="E1009" s="21" t="s">
        <v>512</v>
      </c>
      <c r="F1009" s="1" t="s">
        <v>512</v>
      </c>
      <c r="G1009" s="1" t="s">
        <v>512</v>
      </c>
      <c r="H1009" s="1" t="s">
        <v>512</v>
      </c>
      <c r="I1009" s="1" t="s">
        <v>512</v>
      </c>
      <c r="J1009" s="1" t="s">
        <v>512</v>
      </c>
      <c r="K1009" s="1" t="s">
        <v>512</v>
      </c>
      <c r="L1009" s="1" t="s">
        <v>512</v>
      </c>
      <c r="M1009" s="1" t="s">
        <v>512</v>
      </c>
      <c r="N1009" s="1" t="s">
        <v>512</v>
      </c>
      <c r="O1009" s="1" t="s">
        <v>512</v>
      </c>
      <c r="Q1009" s="1" t="s">
        <v>512</v>
      </c>
    </row>
    <row r="1010" spans="4:17" x14ac:dyDescent="0.25">
      <c r="D1010" s="1" t="s">
        <v>512</v>
      </c>
      <c r="E1010" s="21" t="s">
        <v>512</v>
      </c>
      <c r="F1010" s="1" t="s">
        <v>512</v>
      </c>
      <c r="G1010" s="1" t="s">
        <v>512</v>
      </c>
      <c r="H1010" s="1" t="s">
        <v>512</v>
      </c>
      <c r="I1010" s="1" t="s">
        <v>512</v>
      </c>
      <c r="J1010" s="1" t="s">
        <v>512</v>
      </c>
      <c r="K1010" s="1" t="s">
        <v>512</v>
      </c>
      <c r="L1010" s="1" t="s">
        <v>512</v>
      </c>
      <c r="M1010" s="1" t="s">
        <v>512</v>
      </c>
      <c r="N1010" s="1" t="s">
        <v>512</v>
      </c>
      <c r="O1010" s="1" t="s">
        <v>512</v>
      </c>
      <c r="Q1010" s="1" t="s">
        <v>512</v>
      </c>
    </row>
    <row r="1011" spans="4:17" x14ac:dyDescent="0.25">
      <c r="D1011" s="1" t="s">
        <v>512</v>
      </c>
      <c r="E1011" s="21" t="s">
        <v>512</v>
      </c>
      <c r="F1011" s="1" t="s">
        <v>512</v>
      </c>
      <c r="G1011" s="1" t="s">
        <v>512</v>
      </c>
      <c r="H1011" s="1" t="s">
        <v>512</v>
      </c>
      <c r="I1011" s="1" t="s">
        <v>512</v>
      </c>
      <c r="J1011" s="1" t="s">
        <v>512</v>
      </c>
      <c r="K1011" s="1" t="s">
        <v>512</v>
      </c>
      <c r="L1011" s="1" t="s">
        <v>512</v>
      </c>
      <c r="M1011" s="1" t="s">
        <v>512</v>
      </c>
      <c r="N1011" s="1" t="s">
        <v>512</v>
      </c>
      <c r="O1011" s="1" t="s">
        <v>512</v>
      </c>
      <c r="Q1011" s="1" t="s">
        <v>512</v>
      </c>
    </row>
    <row r="1012" spans="4:17" x14ac:dyDescent="0.25">
      <c r="D1012" s="1" t="s">
        <v>512</v>
      </c>
      <c r="E1012" s="21" t="s">
        <v>512</v>
      </c>
      <c r="F1012" s="1" t="s">
        <v>512</v>
      </c>
      <c r="G1012" s="1" t="s">
        <v>512</v>
      </c>
      <c r="H1012" s="1" t="s">
        <v>512</v>
      </c>
      <c r="I1012" s="1" t="s">
        <v>512</v>
      </c>
      <c r="J1012" s="1" t="s">
        <v>512</v>
      </c>
      <c r="K1012" s="1" t="s">
        <v>512</v>
      </c>
      <c r="L1012" s="1" t="s">
        <v>512</v>
      </c>
      <c r="M1012" s="1" t="s">
        <v>512</v>
      </c>
      <c r="N1012" s="1" t="s">
        <v>512</v>
      </c>
      <c r="O1012" s="1" t="s">
        <v>512</v>
      </c>
      <c r="Q1012" s="1" t="s">
        <v>512</v>
      </c>
    </row>
    <row r="1013" spans="4:17" x14ac:dyDescent="0.25">
      <c r="D1013" s="1" t="s">
        <v>512</v>
      </c>
      <c r="E1013" s="21" t="s">
        <v>512</v>
      </c>
      <c r="F1013" s="1" t="s">
        <v>512</v>
      </c>
      <c r="G1013" s="1" t="s">
        <v>512</v>
      </c>
      <c r="H1013" s="1" t="s">
        <v>512</v>
      </c>
      <c r="I1013" s="1" t="s">
        <v>512</v>
      </c>
      <c r="J1013" s="1" t="s">
        <v>512</v>
      </c>
      <c r="K1013" s="1" t="s">
        <v>512</v>
      </c>
      <c r="L1013" s="1" t="s">
        <v>512</v>
      </c>
      <c r="M1013" s="1" t="s">
        <v>512</v>
      </c>
      <c r="N1013" s="1" t="s">
        <v>512</v>
      </c>
      <c r="O1013" s="1" t="s">
        <v>512</v>
      </c>
      <c r="Q1013" s="1" t="s">
        <v>512</v>
      </c>
    </row>
    <row r="1014" spans="4:17" x14ac:dyDescent="0.25">
      <c r="D1014" s="1" t="s">
        <v>512</v>
      </c>
      <c r="E1014" s="21" t="s">
        <v>512</v>
      </c>
      <c r="F1014" s="1" t="s">
        <v>512</v>
      </c>
      <c r="G1014" s="1" t="s">
        <v>512</v>
      </c>
      <c r="H1014" s="1" t="s">
        <v>512</v>
      </c>
      <c r="I1014" s="1" t="s">
        <v>512</v>
      </c>
      <c r="J1014" s="1" t="s">
        <v>512</v>
      </c>
      <c r="K1014" s="1" t="s">
        <v>512</v>
      </c>
      <c r="L1014" s="1" t="s">
        <v>512</v>
      </c>
      <c r="M1014" s="1" t="s">
        <v>512</v>
      </c>
      <c r="N1014" s="1" t="s">
        <v>512</v>
      </c>
      <c r="O1014" s="1" t="s">
        <v>512</v>
      </c>
      <c r="Q1014" s="1" t="s">
        <v>512</v>
      </c>
    </row>
    <row r="1015" spans="4:17" x14ac:dyDescent="0.25">
      <c r="D1015" s="1" t="s">
        <v>512</v>
      </c>
      <c r="E1015" s="21" t="s">
        <v>512</v>
      </c>
      <c r="F1015" s="1" t="s">
        <v>512</v>
      </c>
      <c r="G1015" s="1" t="s">
        <v>512</v>
      </c>
      <c r="H1015" s="1" t="s">
        <v>512</v>
      </c>
      <c r="I1015" s="1" t="s">
        <v>512</v>
      </c>
      <c r="J1015" s="1" t="s">
        <v>512</v>
      </c>
      <c r="K1015" s="1" t="s">
        <v>512</v>
      </c>
      <c r="L1015" s="1" t="s">
        <v>512</v>
      </c>
      <c r="M1015" s="1" t="s">
        <v>512</v>
      </c>
      <c r="N1015" s="1" t="s">
        <v>512</v>
      </c>
      <c r="O1015" s="1" t="s">
        <v>512</v>
      </c>
      <c r="Q1015" s="1" t="s">
        <v>512</v>
      </c>
    </row>
    <row r="1016" spans="4:17" x14ac:dyDescent="0.25">
      <c r="D1016" s="1" t="s">
        <v>512</v>
      </c>
      <c r="E1016" s="21" t="s">
        <v>512</v>
      </c>
      <c r="F1016" s="1" t="s">
        <v>512</v>
      </c>
      <c r="G1016" s="1" t="s">
        <v>512</v>
      </c>
      <c r="H1016" s="1" t="s">
        <v>512</v>
      </c>
      <c r="I1016" s="1" t="s">
        <v>512</v>
      </c>
      <c r="J1016" s="1" t="s">
        <v>512</v>
      </c>
      <c r="K1016" s="1" t="s">
        <v>512</v>
      </c>
      <c r="L1016" s="1" t="s">
        <v>512</v>
      </c>
      <c r="M1016" s="1" t="s">
        <v>512</v>
      </c>
      <c r="N1016" s="1" t="s">
        <v>512</v>
      </c>
      <c r="O1016" s="1" t="s">
        <v>512</v>
      </c>
      <c r="Q1016" s="1" t="s">
        <v>512</v>
      </c>
    </row>
    <row r="1017" spans="4:17" x14ac:dyDescent="0.25">
      <c r="D1017" s="1" t="s">
        <v>512</v>
      </c>
      <c r="E1017" s="21" t="s">
        <v>512</v>
      </c>
      <c r="F1017" s="1" t="s">
        <v>512</v>
      </c>
      <c r="G1017" s="1" t="s">
        <v>512</v>
      </c>
      <c r="H1017" s="1" t="s">
        <v>512</v>
      </c>
      <c r="I1017" s="1" t="s">
        <v>512</v>
      </c>
      <c r="J1017" s="1" t="s">
        <v>512</v>
      </c>
      <c r="K1017" s="1" t="s">
        <v>512</v>
      </c>
      <c r="L1017" s="1" t="s">
        <v>512</v>
      </c>
      <c r="M1017" s="1" t="s">
        <v>512</v>
      </c>
      <c r="N1017" s="1" t="s">
        <v>512</v>
      </c>
      <c r="O1017" s="1" t="s">
        <v>512</v>
      </c>
      <c r="Q1017" s="1" t="s">
        <v>512</v>
      </c>
    </row>
    <row r="1018" spans="4:17" x14ac:dyDescent="0.25">
      <c r="D1018" s="1" t="s">
        <v>512</v>
      </c>
      <c r="E1018" s="21" t="s">
        <v>512</v>
      </c>
      <c r="F1018" s="1" t="s">
        <v>512</v>
      </c>
      <c r="G1018" s="1" t="s">
        <v>512</v>
      </c>
      <c r="H1018" s="1" t="s">
        <v>512</v>
      </c>
      <c r="I1018" s="1" t="s">
        <v>512</v>
      </c>
      <c r="J1018" s="1" t="s">
        <v>512</v>
      </c>
      <c r="K1018" s="1" t="s">
        <v>512</v>
      </c>
      <c r="L1018" s="1" t="s">
        <v>512</v>
      </c>
      <c r="M1018" s="1" t="s">
        <v>512</v>
      </c>
      <c r="N1018" s="1" t="s">
        <v>512</v>
      </c>
      <c r="O1018" s="1" t="s">
        <v>512</v>
      </c>
      <c r="Q1018" s="1" t="s">
        <v>512</v>
      </c>
    </row>
    <row r="1019" spans="4:17" x14ac:dyDescent="0.25">
      <c r="D1019" s="1" t="s">
        <v>512</v>
      </c>
      <c r="E1019" s="21" t="s">
        <v>512</v>
      </c>
      <c r="F1019" s="1" t="s">
        <v>512</v>
      </c>
      <c r="G1019" s="1" t="s">
        <v>512</v>
      </c>
      <c r="H1019" s="1" t="s">
        <v>512</v>
      </c>
      <c r="I1019" s="1" t="s">
        <v>512</v>
      </c>
      <c r="J1019" s="1" t="s">
        <v>512</v>
      </c>
      <c r="K1019" s="1" t="s">
        <v>512</v>
      </c>
      <c r="L1019" s="1" t="s">
        <v>512</v>
      </c>
      <c r="M1019" s="1" t="s">
        <v>512</v>
      </c>
      <c r="N1019" s="1" t="s">
        <v>512</v>
      </c>
      <c r="O1019" s="1" t="s">
        <v>512</v>
      </c>
      <c r="Q1019" s="1" t="s">
        <v>512</v>
      </c>
    </row>
    <row r="1020" spans="4:17" x14ac:dyDescent="0.25">
      <c r="D1020" s="1" t="s">
        <v>512</v>
      </c>
      <c r="E1020" s="21" t="s">
        <v>512</v>
      </c>
      <c r="F1020" s="1" t="s">
        <v>512</v>
      </c>
      <c r="G1020" s="1" t="s">
        <v>512</v>
      </c>
      <c r="H1020" s="1" t="s">
        <v>512</v>
      </c>
      <c r="I1020" s="1" t="s">
        <v>512</v>
      </c>
      <c r="J1020" s="1" t="s">
        <v>512</v>
      </c>
      <c r="K1020" s="1" t="s">
        <v>512</v>
      </c>
      <c r="L1020" s="1" t="s">
        <v>512</v>
      </c>
      <c r="M1020" s="1" t="s">
        <v>512</v>
      </c>
      <c r="N1020" s="1" t="s">
        <v>512</v>
      </c>
      <c r="O1020" s="1" t="s">
        <v>512</v>
      </c>
      <c r="Q1020" s="1" t="s">
        <v>512</v>
      </c>
    </row>
    <row r="1021" spans="4:17" x14ac:dyDescent="0.25">
      <c r="D1021" s="1" t="s">
        <v>512</v>
      </c>
      <c r="E1021" s="21" t="s">
        <v>512</v>
      </c>
      <c r="F1021" s="1" t="s">
        <v>512</v>
      </c>
      <c r="G1021" s="1" t="s">
        <v>512</v>
      </c>
      <c r="H1021" s="1" t="s">
        <v>512</v>
      </c>
      <c r="I1021" s="1" t="s">
        <v>512</v>
      </c>
      <c r="J1021" s="1" t="s">
        <v>512</v>
      </c>
      <c r="K1021" s="1" t="s">
        <v>512</v>
      </c>
      <c r="L1021" s="1" t="s">
        <v>512</v>
      </c>
      <c r="M1021" s="1" t="s">
        <v>512</v>
      </c>
      <c r="N1021" s="1" t="s">
        <v>512</v>
      </c>
      <c r="O1021" s="1" t="s">
        <v>512</v>
      </c>
      <c r="Q1021" s="1" t="s">
        <v>512</v>
      </c>
    </row>
    <row r="1022" spans="4:17" x14ac:dyDescent="0.25">
      <c r="D1022" s="1" t="s">
        <v>512</v>
      </c>
      <c r="E1022" s="21" t="s">
        <v>512</v>
      </c>
      <c r="F1022" s="1" t="s">
        <v>512</v>
      </c>
      <c r="G1022" s="1" t="s">
        <v>512</v>
      </c>
      <c r="H1022" s="1" t="s">
        <v>512</v>
      </c>
      <c r="I1022" s="1" t="s">
        <v>512</v>
      </c>
      <c r="J1022" s="1" t="s">
        <v>512</v>
      </c>
      <c r="K1022" s="1" t="s">
        <v>512</v>
      </c>
      <c r="L1022" s="1" t="s">
        <v>512</v>
      </c>
      <c r="M1022" s="1" t="s">
        <v>512</v>
      </c>
      <c r="N1022" s="1" t="s">
        <v>512</v>
      </c>
      <c r="O1022" s="1" t="s">
        <v>512</v>
      </c>
      <c r="Q1022" s="1" t="s">
        <v>512</v>
      </c>
    </row>
    <row r="1023" spans="4:17" x14ac:dyDescent="0.25">
      <c r="D1023" s="1" t="s">
        <v>512</v>
      </c>
      <c r="E1023" s="21" t="s">
        <v>512</v>
      </c>
      <c r="F1023" s="1" t="s">
        <v>512</v>
      </c>
      <c r="G1023" s="1" t="s">
        <v>512</v>
      </c>
      <c r="H1023" s="1" t="s">
        <v>512</v>
      </c>
      <c r="I1023" s="1" t="s">
        <v>512</v>
      </c>
      <c r="J1023" s="1" t="s">
        <v>512</v>
      </c>
      <c r="K1023" s="1" t="s">
        <v>512</v>
      </c>
      <c r="L1023" s="1" t="s">
        <v>512</v>
      </c>
      <c r="M1023" s="1" t="s">
        <v>512</v>
      </c>
      <c r="N1023" s="1" t="s">
        <v>512</v>
      </c>
      <c r="O1023" s="1" t="s">
        <v>512</v>
      </c>
      <c r="Q1023" s="1" t="s">
        <v>512</v>
      </c>
    </row>
    <row r="1024" spans="4:17" x14ac:dyDescent="0.25">
      <c r="D1024" s="1" t="s">
        <v>512</v>
      </c>
      <c r="E1024" s="21" t="s">
        <v>512</v>
      </c>
      <c r="F1024" s="1" t="s">
        <v>512</v>
      </c>
      <c r="G1024" s="1" t="s">
        <v>512</v>
      </c>
      <c r="H1024" s="1" t="s">
        <v>512</v>
      </c>
      <c r="I1024" s="1" t="s">
        <v>512</v>
      </c>
      <c r="J1024" s="1" t="s">
        <v>512</v>
      </c>
      <c r="K1024" s="1" t="s">
        <v>512</v>
      </c>
      <c r="L1024" s="1" t="s">
        <v>512</v>
      </c>
      <c r="M1024" s="1" t="s">
        <v>512</v>
      </c>
      <c r="N1024" s="1" t="s">
        <v>512</v>
      </c>
      <c r="O1024" s="1" t="s">
        <v>512</v>
      </c>
      <c r="Q1024" s="1" t="s">
        <v>512</v>
      </c>
    </row>
    <row r="1025" spans="4:17" x14ac:dyDescent="0.25">
      <c r="D1025" s="1" t="s">
        <v>512</v>
      </c>
      <c r="E1025" s="21" t="s">
        <v>512</v>
      </c>
      <c r="F1025" s="1" t="s">
        <v>512</v>
      </c>
      <c r="G1025" s="1" t="s">
        <v>512</v>
      </c>
      <c r="H1025" s="1" t="s">
        <v>512</v>
      </c>
      <c r="I1025" s="1" t="s">
        <v>512</v>
      </c>
      <c r="J1025" s="1" t="s">
        <v>512</v>
      </c>
      <c r="K1025" s="1" t="s">
        <v>512</v>
      </c>
      <c r="L1025" s="1" t="s">
        <v>512</v>
      </c>
      <c r="M1025" s="1" t="s">
        <v>512</v>
      </c>
      <c r="N1025" s="1" t="s">
        <v>512</v>
      </c>
      <c r="O1025" s="1" t="s">
        <v>512</v>
      </c>
      <c r="Q1025" s="1" t="s">
        <v>512</v>
      </c>
    </row>
    <row r="1026" spans="4:17" x14ac:dyDescent="0.25">
      <c r="D1026" s="1" t="s">
        <v>512</v>
      </c>
      <c r="E1026" s="21" t="s">
        <v>512</v>
      </c>
      <c r="F1026" s="1" t="s">
        <v>512</v>
      </c>
      <c r="G1026" s="1" t="s">
        <v>512</v>
      </c>
      <c r="H1026" s="1" t="s">
        <v>512</v>
      </c>
      <c r="I1026" s="1" t="s">
        <v>512</v>
      </c>
      <c r="J1026" s="1" t="s">
        <v>512</v>
      </c>
      <c r="K1026" s="1" t="s">
        <v>512</v>
      </c>
      <c r="L1026" s="1" t="s">
        <v>512</v>
      </c>
      <c r="M1026" s="1" t="s">
        <v>512</v>
      </c>
      <c r="N1026" s="1" t="s">
        <v>512</v>
      </c>
      <c r="O1026" s="1" t="s">
        <v>512</v>
      </c>
      <c r="Q1026" s="1" t="s">
        <v>512</v>
      </c>
    </row>
    <row r="1027" spans="4:17" x14ac:dyDescent="0.25">
      <c r="D1027" s="1" t="s">
        <v>512</v>
      </c>
      <c r="E1027" s="21" t="s">
        <v>512</v>
      </c>
      <c r="F1027" s="1" t="s">
        <v>512</v>
      </c>
      <c r="G1027" s="1" t="s">
        <v>512</v>
      </c>
      <c r="H1027" s="1" t="s">
        <v>512</v>
      </c>
      <c r="I1027" s="1" t="s">
        <v>512</v>
      </c>
      <c r="J1027" s="1" t="s">
        <v>512</v>
      </c>
      <c r="K1027" s="1" t="s">
        <v>512</v>
      </c>
      <c r="L1027" s="1" t="s">
        <v>512</v>
      </c>
      <c r="M1027" s="1" t="s">
        <v>512</v>
      </c>
      <c r="N1027" s="1" t="s">
        <v>512</v>
      </c>
      <c r="O1027" s="1" t="s">
        <v>512</v>
      </c>
      <c r="Q1027" s="1" t="s">
        <v>512</v>
      </c>
    </row>
    <row r="1028" spans="4:17" x14ac:dyDescent="0.25">
      <c r="D1028" s="1" t="s">
        <v>512</v>
      </c>
      <c r="E1028" s="21" t="s">
        <v>512</v>
      </c>
      <c r="F1028" s="1" t="s">
        <v>512</v>
      </c>
      <c r="G1028" s="1" t="s">
        <v>512</v>
      </c>
      <c r="H1028" s="1" t="s">
        <v>512</v>
      </c>
      <c r="I1028" s="1" t="s">
        <v>512</v>
      </c>
      <c r="J1028" s="1" t="s">
        <v>512</v>
      </c>
      <c r="K1028" s="1" t="s">
        <v>512</v>
      </c>
      <c r="L1028" s="1" t="s">
        <v>512</v>
      </c>
      <c r="M1028" s="1" t="s">
        <v>512</v>
      </c>
      <c r="N1028" s="1" t="s">
        <v>512</v>
      </c>
      <c r="O1028" s="1" t="s">
        <v>512</v>
      </c>
      <c r="Q1028" s="1" t="s">
        <v>512</v>
      </c>
    </row>
    <row r="1029" spans="4:17" x14ac:dyDescent="0.25">
      <c r="D1029" s="1" t="s">
        <v>512</v>
      </c>
      <c r="E1029" s="21" t="s">
        <v>512</v>
      </c>
      <c r="F1029" s="1" t="s">
        <v>512</v>
      </c>
      <c r="G1029" s="1" t="s">
        <v>512</v>
      </c>
      <c r="H1029" s="1" t="s">
        <v>512</v>
      </c>
      <c r="I1029" s="1" t="s">
        <v>512</v>
      </c>
      <c r="J1029" s="1" t="s">
        <v>512</v>
      </c>
      <c r="K1029" s="1" t="s">
        <v>512</v>
      </c>
      <c r="L1029" s="1" t="s">
        <v>512</v>
      </c>
      <c r="M1029" s="1" t="s">
        <v>512</v>
      </c>
      <c r="N1029" s="1" t="s">
        <v>512</v>
      </c>
      <c r="O1029" s="1" t="s">
        <v>512</v>
      </c>
      <c r="Q1029" s="1" t="s">
        <v>512</v>
      </c>
    </row>
    <row r="1030" spans="4:17" x14ac:dyDescent="0.25">
      <c r="D1030" s="1" t="s">
        <v>512</v>
      </c>
      <c r="E1030" s="21" t="s">
        <v>512</v>
      </c>
      <c r="F1030" s="1" t="s">
        <v>512</v>
      </c>
      <c r="G1030" s="1" t="s">
        <v>512</v>
      </c>
      <c r="H1030" s="1" t="s">
        <v>512</v>
      </c>
      <c r="I1030" s="1" t="s">
        <v>512</v>
      </c>
      <c r="J1030" s="1" t="s">
        <v>512</v>
      </c>
      <c r="K1030" s="1" t="s">
        <v>512</v>
      </c>
      <c r="L1030" s="1" t="s">
        <v>512</v>
      </c>
      <c r="M1030" s="1" t="s">
        <v>512</v>
      </c>
      <c r="N1030" s="1" t="s">
        <v>512</v>
      </c>
      <c r="O1030" s="1" t="s">
        <v>512</v>
      </c>
      <c r="Q1030" s="1" t="s">
        <v>512</v>
      </c>
    </row>
    <row r="1031" spans="4:17" x14ac:dyDescent="0.25">
      <c r="D1031" s="1" t="s">
        <v>512</v>
      </c>
      <c r="E1031" s="21" t="s">
        <v>512</v>
      </c>
      <c r="F1031" s="1" t="s">
        <v>512</v>
      </c>
      <c r="G1031" s="1" t="s">
        <v>512</v>
      </c>
      <c r="H1031" s="1" t="s">
        <v>512</v>
      </c>
      <c r="I1031" s="1" t="s">
        <v>512</v>
      </c>
      <c r="J1031" s="1" t="s">
        <v>512</v>
      </c>
      <c r="K1031" s="1" t="s">
        <v>512</v>
      </c>
      <c r="L1031" s="1" t="s">
        <v>512</v>
      </c>
      <c r="M1031" s="1" t="s">
        <v>512</v>
      </c>
      <c r="N1031" s="1" t="s">
        <v>512</v>
      </c>
      <c r="O1031" s="1" t="s">
        <v>512</v>
      </c>
      <c r="Q1031" s="1" t="s">
        <v>512</v>
      </c>
    </row>
    <row r="1032" spans="4:17" x14ac:dyDescent="0.25">
      <c r="D1032" s="1" t="s">
        <v>512</v>
      </c>
      <c r="E1032" s="21" t="s">
        <v>512</v>
      </c>
      <c r="F1032" s="1" t="s">
        <v>512</v>
      </c>
      <c r="G1032" s="1" t="s">
        <v>512</v>
      </c>
      <c r="H1032" s="1" t="s">
        <v>512</v>
      </c>
      <c r="I1032" s="1" t="s">
        <v>512</v>
      </c>
      <c r="J1032" s="1" t="s">
        <v>512</v>
      </c>
      <c r="K1032" s="1" t="s">
        <v>512</v>
      </c>
      <c r="L1032" s="1" t="s">
        <v>512</v>
      </c>
      <c r="M1032" s="1" t="s">
        <v>512</v>
      </c>
      <c r="N1032" s="1" t="s">
        <v>512</v>
      </c>
      <c r="O1032" s="1" t="s">
        <v>512</v>
      </c>
      <c r="Q1032" s="1" t="s">
        <v>512</v>
      </c>
    </row>
    <row r="1033" spans="4:17" x14ac:dyDescent="0.25">
      <c r="D1033" s="1" t="s">
        <v>512</v>
      </c>
      <c r="E1033" s="21" t="s">
        <v>512</v>
      </c>
      <c r="F1033" s="1" t="s">
        <v>512</v>
      </c>
      <c r="G1033" s="1" t="s">
        <v>512</v>
      </c>
      <c r="H1033" s="1" t="s">
        <v>512</v>
      </c>
      <c r="I1033" s="1" t="s">
        <v>512</v>
      </c>
      <c r="J1033" s="1" t="s">
        <v>512</v>
      </c>
      <c r="K1033" s="1" t="s">
        <v>512</v>
      </c>
      <c r="L1033" s="1" t="s">
        <v>512</v>
      </c>
      <c r="M1033" s="1" t="s">
        <v>512</v>
      </c>
      <c r="N1033" s="1" t="s">
        <v>512</v>
      </c>
      <c r="O1033" s="1" t="s">
        <v>512</v>
      </c>
      <c r="Q1033" s="1" t="s">
        <v>512</v>
      </c>
    </row>
    <row r="1034" spans="4:17" x14ac:dyDescent="0.25">
      <c r="D1034" s="1" t="s">
        <v>512</v>
      </c>
      <c r="E1034" s="21" t="s">
        <v>512</v>
      </c>
      <c r="F1034" s="1" t="s">
        <v>512</v>
      </c>
      <c r="G1034" s="1" t="s">
        <v>512</v>
      </c>
      <c r="H1034" s="1" t="s">
        <v>512</v>
      </c>
      <c r="I1034" s="1" t="s">
        <v>512</v>
      </c>
      <c r="J1034" s="1" t="s">
        <v>512</v>
      </c>
      <c r="K1034" s="1" t="s">
        <v>512</v>
      </c>
      <c r="L1034" s="1" t="s">
        <v>512</v>
      </c>
      <c r="M1034" s="1" t="s">
        <v>512</v>
      </c>
      <c r="N1034" s="1" t="s">
        <v>512</v>
      </c>
      <c r="O1034" s="1" t="s">
        <v>512</v>
      </c>
      <c r="Q1034" s="1" t="s">
        <v>512</v>
      </c>
    </row>
    <row r="1035" spans="4:17" x14ac:dyDescent="0.25">
      <c r="D1035" s="1" t="s">
        <v>512</v>
      </c>
      <c r="E1035" s="21" t="s">
        <v>512</v>
      </c>
      <c r="F1035" s="1" t="s">
        <v>512</v>
      </c>
      <c r="G1035" s="1" t="s">
        <v>512</v>
      </c>
      <c r="H1035" s="1" t="s">
        <v>512</v>
      </c>
      <c r="I1035" s="1" t="s">
        <v>512</v>
      </c>
      <c r="J1035" s="1" t="s">
        <v>512</v>
      </c>
      <c r="K1035" s="1" t="s">
        <v>512</v>
      </c>
      <c r="L1035" s="1" t="s">
        <v>512</v>
      </c>
      <c r="M1035" s="1" t="s">
        <v>512</v>
      </c>
      <c r="N1035" s="1" t="s">
        <v>512</v>
      </c>
      <c r="O1035" s="1" t="s">
        <v>512</v>
      </c>
      <c r="Q1035" s="1" t="s">
        <v>512</v>
      </c>
    </row>
    <row r="1036" spans="4:17" x14ac:dyDescent="0.25">
      <c r="D1036" s="1" t="s">
        <v>512</v>
      </c>
      <c r="E1036" s="21" t="s">
        <v>512</v>
      </c>
      <c r="F1036" s="1" t="s">
        <v>512</v>
      </c>
      <c r="G1036" s="1" t="s">
        <v>512</v>
      </c>
      <c r="H1036" s="1" t="s">
        <v>512</v>
      </c>
      <c r="I1036" s="1" t="s">
        <v>512</v>
      </c>
      <c r="J1036" s="1" t="s">
        <v>512</v>
      </c>
      <c r="K1036" s="1" t="s">
        <v>512</v>
      </c>
      <c r="L1036" s="1" t="s">
        <v>512</v>
      </c>
      <c r="M1036" s="1" t="s">
        <v>512</v>
      </c>
      <c r="N1036" s="1" t="s">
        <v>512</v>
      </c>
      <c r="O1036" s="1" t="s">
        <v>512</v>
      </c>
      <c r="Q1036" s="1" t="s">
        <v>512</v>
      </c>
    </row>
    <row r="1037" spans="4:17" x14ac:dyDescent="0.25">
      <c r="D1037" s="1" t="s">
        <v>512</v>
      </c>
      <c r="E1037" s="21" t="s">
        <v>512</v>
      </c>
      <c r="F1037" s="1" t="s">
        <v>512</v>
      </c>
      <c r="G1037" s="1" t="s">
        <v>512</v>
      </c>
      <c r="H1037" s="1" t="s">
        <v>512</v>
      </c>
      <c r="I1037" s="1" t="s">
        <v>512</v>
      </c>
      <c r="J1037" s="1" t="s">
        <v>512</v>
      </c>
      <c r="K1037" s="1" t="s">
        <v>512</v>
      </c>
      <c r="L1037" s="1" t="s">
        <v>512</v>
      </c>
      <c r="M1037" s="1" t="s">
        <v>512</v>
      </c>
      <c r="N1037" s="1" t="s">
        <v>512</v>
      </c>
      <c r="O1037" s="1" t="s">
        <v>512</v>
      </c>
      <c r="Q1037" s="1" t="s">
        <v>512</v>
      </c>
    </row>
    <row r="1038" spans="4:17" x14ac:dyDescent="0.25">
      <c r="D1038" s="1" t="s">
        <v>512</v>
      </c>
      <c r="E1038" s="21" t="s">
        <v>512</v>
      </c>
      <c r="F1038" s="1" t="s">
        <v>512</v>
      </c>
      <c r="G1038" s="1" t="s">
        <v>512</v>
      </c>
      <c r="H1038" s="1" t="s">
        <v>512</v>
      </c>
      <c r="I1038" s="1" t="s">
        <v>512</v>
      </c>
      <c r="J1038" s="1" t="s">
        <v>512</v>
      </c>
      <c r="K1038" s="1" t="s">
        <v>512</v>
      </c>
      <c r="L1038" s="1" t="s">
        <v>512</v>
      </c>
      <c r="M1038" s="1" t="s">
        <v>512</v>
      </c>
      <c r="N1038" s="1" t="s">
        <v>512</v>
      </c>
      <c r="O1038" s="1" t="s">
        <v>512</v>
      </c>
      <c r="Q1038" s="1" t="s">
        <v>512</v>
      </c>
    </row>
    <row r="1039" spans="4:17" x14ac:dyDescent="0.25">
      <c r="D1039" s="1" t="s">
        <v>512</v>
      </c>
      <c r="E1039" s="21" t="s">
        <v>512</v>
      </c>
      <c r="F1039" s="1" t="s">
        <v>512</v>
      </c>
      <c r="G1039" s="1" t="s">
        <v>512</v>
      </c>
      <c r="H1039" s="1" t="s">
        <v>512</v>
      </c>
      <c r="I1039" s="1" t="s">
        <v>512</v>
      </c>
      <c r="J1039" s="1" t="s">
        <v>512</v>
      </c>
      <c r="K1039" s="1" t="s">
        <v>512</v>
      </c>
      <c r="L1039" s="1" t="s">
        <v>512</v>
      </c>
      <c r="M1039" s="1" t="s">
        <v>512</v>
      </c>
      <c r="N1039" s="1" t="s">
        <v>512</v>
      </c>
      <c r="O1039" s="1" t="s">
        <v>512</v>
      </c>
      <c r="Q1039" s="1" t="s">
        <v>512</v>
      </c>
    </row>
    <row r="1040" spans="4:17" x14ac:dyDescent="0.25">
      <c r="D1040" s="1" t="s">
        <v>512</v>
      </c>
      <c r="E1040" s="21" t="s">
        <v>512</v>
      </c>
      <c r="F1040" s="1" t="s">
        <v>512</v>
      </c>
      <c r="G1040" s="1" t="s">
        <v>512</v>
      </c>
      <c r="H1040" s="1" t="s">
        <v>512</v>
      </c>
      <c r="I1040" s="1" t="s">
        <v>512</v>
      </c>
      <c r="J1040" s="1" t="s">
        <v>512</v>
      </c>
      <c r="K1040" s="1" t="s">
        <v>512</v>
      </c>
      <c r="L1040" s="1" t="s">
        <v>512</v>
      </c>
      <c r="M1040" s="1" t="s">
        <v>512</v>
      </c>
      <c r="N1040" s="1" t="s">
        <v>512</v>
      </c>
      <c r="O1040" s="1" t="s">
        <v>512</v>
      </c>
      <c r="Q1040" s="1" t="s">
        <v>512</v>
      </c>
    </row>
    <row r="1041" spans="4:17" x14ac:dyDescent="0.25">
      <c r="D1041" s="1" t="s">
        <v>512</v>
      </c>
      <c r="E1041" s="21" t="s">
        <v>512</v>
      </c>
      <c r="F1041" s="1" t="s">
        <v>512</v>
      </c>
      <c r="G1041" s="1" t="s">
        <v>512</v>
      </c>
      <c r="H1041" s="1" t="s">
        <v>512</v>
      </c>
      <c r="I1041" s="1" t="s">
        <v>512</v>
      </c>
      <c r="J1041" s="1" t="s">
        <v>512</v>
      </c>
      <c r="K1041" s="1" t="s">
        <v>512</v>
      </c>
      <c r="L1041" s="1" t="s">
        <v>512</v>
      </c>
      <c r="M1041" s="1" t="s">
        <v>512</v>
      </c>
      <c r="N1041" s="1" t="s">
        <v>512</v>
      </c>
      <c r="O1041" s="1" t="s">
        <v>512</v>
      </c>
      <c r="Q1041" s="1" t="s">
        <v>512</v>
      </c>
    </row>
    <row r="1042" spans="4:17" x14ac:dyDescent="0.25">
      <c r="D1042" s="1" t="s">
        <v>512</v>
      </c>
      <c r="E1042" s="21" t="s">
        <v>512</v>
      </c>
      <c r="F1042" s="1" t="s">
        <v>512</v>
      </c>
      <c r="G1042" s="1" t="s">
        <v>512</v>
      </c>
      <c r="H1042" s="1" t="s">
        <v>512</v>
      </c>
      <c r="I1042" s="1" t="s">
        <v>512</v>
      </c>
      <c r="J1042" s="1" t="s">
        <v>512</v>
      </c>
      <c r="K1042" s="1" t="s">
        <v>512</v>
      </c>
      <c r="L1042" s="1" t="s">
        <v>512</v>
      </c>
      <c r="M1042" s="1" t="s">
        <v>512</v>
      </c>
      <c r="N1042" s="1" t="s">
        <v>512</v>
      </c>
      <c r="O1042" s="1" t="s">
        <v>512</v>
      </c>
      <c r="Q1042" s="1" t="s">
        <v>512</v>
      </c>
    </row>
    <row r="1043" spans="4:17" x14ac:dyDescent="0.25">
      <c r="D1043" s="1" t="s">
        <v>512</v>
      </c>
      <c r="E1043" s="21" t="s">
        <v>512</v>
      </c>
      <c r="F1043" s="1" t="s">
        <v>512</v>
      </c>
      <c r="G1043" s="1" t="s">
        <v>512</v>
      </c>
      <c r="H1043" s="1" t="s">
        <v>512</v>
      </c>
      <c r="I1043" s="1" t="s">
        <v>512</v>
      </c>
      <c r="J1043" s="1" t="s">
        <v>512</v>
      </c>
      <c r="K1043" s="1" t="s">
        <v>512</v>
      </c>
      <c r="L1043" s="1" t="s">
        <v>512</v>
      </c>
      <c r="M1043" s="1" t="s">
        <v>512</v>
      </c>
      <c r="N1043" s="1" t="s">
        <v>512</v>
      </c>
      <c r="O1043" s="1" t="s">
        <v>512</v>
      </c>
      <c r="Q1043" s="1" t="s">
        <v>512</v>
      </c>
    </row>
    <row r="1044" spans="4:17" x14ac:dyDescent="0.25">
      <c r="D1044" s="1" t="s">
        <v>512</v>
      </c>
      <c r="E1044" s="21" t="s">
        <v>512</v>
      </c>
      <c r="F1044" s="1" t="s">
        <v>512</v>
      </c>
      <c r="G1044" s="1" t="s">
        <v>512</v>
      </c>
      <c r="H1044" s="1" t="s">
        <v>512</v>
      </c>
      <c r="I1044" s="1" t="s">
        <v>512</v>
      </c>
      <c r="J1044" s="1" t="s">
        <v>512</v>
      </c>
      <c r="K1044" s="1" t="s">
        <v>512</v>
      </c>
      <c r="L1044" s="1" t="s">
        <v>512</v>
      </c>
      <c r="M1044" s="1" t="s">
        <v>512</v>
      </c>
      <c r="N1044" s="1" t="s">
        <v>512</v>
      </c>
      <c r="O1044" s="1" t="s">
        <v>512</v>
      </c>
      <c r="Q1044" s="1" t="s">
        <v>512</v>
      </c>
    </row>
    <row r="1045" spans="4:17" x14ac:dyDescent="0.25">
      <c r="D1045" s="1" t="s">
        <v>512</v>
      </c>
      <c r="E1045" s="21" t="s">
        <v>512</v>
      </c>
      <c r="F1045" s="1" t="s">
        <v>512</v>
      </c>
      <c r="G1045" s="1" t="s">
        <v>512</v>
      </c>
      <c r="H1045" s="1" t="s">
        <v>512</v>
      </c>
      <c r="I1045" s="1" t="s">
        <v>512</v>
      </c>
      <c r="J1045" s="1" t="s">
        <v>512</v>
      </c>
      <c r="K1045" s="1" t="s">
        <v>512</v>
      </c>
      <c r="L1045" s="1" t="s">
        <v>512</v>
      </c>
      <c r="M1045" s="1" t="s">
        <v>512</v>
      </c>
      <c r="N1045" s="1" t="s">
        <v>512</v>
      </c>
      <c r="O1045" s="1" t="s">
        <v>512</v>
      </c>
      <c r="Q1045" s="1" t="s">
        <v>512</v>
      </c>
    </row>
    <row r="1046" spans="4:17" x14ac:dyDescent="0.25">
      <c r="D1046" s="1" t="s">
        <v>512</v>
      </c>
      <c r="E1046" s="21" t="s">
        <v>512</v>
      </c>
      <c r="F1046" s="1" t="s">
        <v>512</v>
      </c>
      <c r="G1046" s="1" t="s">
        <v>512</v>
      </c>
      <c r="H1046" s="1" t="s">
        <v>512</v>
      </c>
      <c r="I1046" s="1" t="s">
        <v>512</v>
      </c>
      <c r="J1046" s="1" t="s">
        <v>512</v>
      </c>
      <c r="K1046" s="1" t="s">
        <v>512</v>
      </c>
      <c r="L1046" s="1" t="s">
        <v>512</v>
      </c>
      <c r="M1046" s="1" t="s">
        <v>512</v>
      </c>
      <c r="N1046" s="1" t="s">
        <v>512</v>
      </c>
      <c r="O1046" s="1" t="s">
        <v>512</v>
      </c>
      <c r="Q1046" s="1" t="s">
        <v>512</v>
      </c>
    </row>
    <row r="1047" spans="4:17" x14ac:dyDescent="0.25">
      <c r="D1047" s="1" t="s">
        <v>512</v>
      </c>
      <c r="E1047" s="21" t="s">
        <v>512</v>
      </c>
      <c r="F1047" s="1" t="s">
        <v>512</v>
      </c>
      <c r="G1047" s="1" t="s">
        <v>512</v>
      </c>
      <c r="H1047" s="1" t="s">
        <v>512</v>
      </c>
      <c r="I1047" s="1" t="s">
        <v>512</v>
      </c>
      <c r="J1047" s="1" t="s">
        <v>512</v>
      </c>
      <c r="K1047" s="1" t="s">
        <v>512</v>
      </c>
      <c r="L1047" s="1" t="s">
        <v>512</v>
      </c>
      <c r="M1047" s="1" t="s">
        <v>512</v>
      </c>
      <c r="N1047" s="1" t="s">
        <v>512</v>
      </c>
      <c r="O1047" s="1" t="s">
        <v>512</v>
      </c>
      <c r="Q1047" s="1" t="s">
        <v>512</v>
      </c>
    </row>
    <row r="1048" spans="4:17" x14ac:dyDescent="0.25">
      <c r="D1048" s="1" t="s">
        <v>512</v>
      </c>
      <c r="E1048" s="21" t="s">
        <v>512</v>
      </c>
      <c r="F1048" s="1" t="s">
        <v>512</v>
      </c>
      <c r="G1048" s="1" t="s">
        <v>512</v>
      </c>
      <c r="H1048" s="1" t="s">
        <v>512</v>
      </c>
      <c r="I1048" s="1" t="s">
        <v>512</v>
      </c>
      <c r="J1048" s="1" t="s">
        <v>512</v>
      </c>
      <c r="K1048" s="1" t="s">
        <v>512</v>
      </c>
      <c r="L1048" s="1" t="s">
        <v>512</v>
      </c>
      <c r="M1048" s="1" t="s">
        <v>512</v>
      </c>
      <c r="N1048" s="1" t="s">
        <v>512</v>
      </c>
      <c r="O1048" s="1" t="s">
        <v>512</v>
      </c>
      <c r="Q1048" s="1" t="s">
        <v>512</v>
      </c>
    </row>
    <row r="1049" spans="4:17" x14ac:dyDescent="0.25">
      <c r="D1049" s="1" t="s">
        <v>512</v>
      </c>
      <c r="E1049" s="21" t="s">
        <v>512</v>
      </c>
      <c r="F1049" s="1" t="s">
        <v>512</v>
      </c>
      <c r="G1049" s="1" t="s">
        <v>512</v>
      </c>
      <c r="H1049" s="1" t="s">
        <v>512</v>
      </c>
      <c r="I1049" s="1" t="s">
        <v>512</v>
      </c>
      <c r="J1049" s="1" t="s">
        <v>512</v>
      </c>
      <c r="K1049" s="1" t="s">
        <v>512</v>
      </c>
      <c r="L1049" s="1" t="s">
        <v>512</v>
      </c>
      <c r="M1049" s="1" t="s">
        <v>512</v>
      </c>
      <c r="N1049" s="1" t="s">
        <v>512</v>
      </c>
      <c r="O1049" s="1" t="s">
        <v>512</v>
      </c>
      <c r="Q1049" s="1" t="s">
        <v>512</v>
      </c>
    </row>
    <row r="1050" spans="4:17" x14ac:dyDescent="0.25">
      <c r="D1050" s="1" t="s">
        <v>512</v>
      </c>
      <c r="E1050" s="21" t="s">
        <v>512</v>
      </c>
      <c r="F1050" s="1" t="s">
        <v>512</v>
      </c>
      <c r="G1050" s="1" t="s">
        <v>512</v>
      </c>
      <c r="H1050" s="1" t="s">
        <v>512</v>
      </c>
      <c r="I1050" s="1" t="s">
        <v>512</v>
      </c>
      <c r="J1050" s="1" t="s">
        <v>512</v>
      </c>
      <c r="K1050" s="1" t="s">
        <v>512</v>
      </c>
      <c r="L1050" s="1" t="s">
        <v>512</v>
      </c>
      <c r="M1050" s="1" t="s">
        <v>512</v>
      </c>
      <c r="N1050" s="1" t="s">
        <v>512</v>
      </c>
      <c r="O1050" s="1" t="s">
        <v>512</v>
      </c>
      <c r="Q1050" s="1" t="s">
        <v>512</v>
      </c>
    </row>
    <row r="1051" spans="4:17" x14ac:dyDescent="0.25">
      <c r="D1051" s="1" t="s">
        <v>512</v>
      </c>
      <c r="E1051" s="21" t="s">
        <v>512</v>
      </c>
      <c r="F1051" s="1" t="s">
        <v>512</v>
      </c>
      <c r="G1051" s="1" t="s">
        <v>512</v>
      </c>
      <c r="H1051" s="1" t="s">
        <v>512</v>
      </c>
      <c r="I1051" s="1" t="s">
        <v>512</v>
      </c>
      <c r="J1051" s="1" t="s">
        <v>512</v>
      </c>
      <c r="K1051" s="1" t="s">
        <v>512</v>
      </c>
      <c r="L1051" s="1" t="s">
        <v>512</v>
      </c>
      <c r="M1051" s="1" t="s">
        <v>512</v>
      </c>
      <c r="N1051" s="1" t="s">
        <v>512</v>
      </c>
      <c r="O1051" s="1" t="s">
        <v>512</v>
      </c>
      <c r="Q1051" s="1" t="s">
        <v>512</v>
      </c>
    </row>
    <row r="1052" spans="4:17" x14ac:dyDescent="0.25">
      <c r="D1052" s="1" t="s">
        <v>512</v>
      </c>
      <c r="E1052" s="21" t="s">
        <v>512</v>
      </c>
      <c r="F1052" s="1" t="s">
        <v>512</v>
      </c>
      <c r="G1052" s="1" t="s">
        <v>512</v>
      </c>
      <c r="H1052" s="1" t="s">
        <v>512</v>
      </c>
      <c r="I1052" s="1" t="s">
        <v>512</v>
      </c>
      <c r="J1052" s="1" t="s">
        <v>512</v>
      </c>
      <c r="K1052" s="1" t="s">
        <v>512</v>
      </c>
      <c r="L1052" s="1" t="s">
        <v>512</v>
      </c>
      <c r="M1052" s="1" t="s">
        <v>512</v>
      </c>
      <c r="N1052" s="1" t="s">
        <v>512</v>
      </c>
      <c r="O1052" s="1" t="s">
        <v>512</v>
      </c>
      <c r="Q1052" s="1" t="s">
        <v>512</v>
      </c>
    </row>
    <row r="1053" spans="4:17" x14ac:dyDescent="0.25">
      <c r="D1053" s="1" t="s">
        <v>512</v>
      </c>
      <c r="E1053" s="21" t="s">
        <v>512</v>
      </c>
      <c r="F1053" s="1" t="s">
        <v>512</v>
      </c>
      <c r="G1053" s="1" t="s">
        <v>512</v>
      </c>
      <c r="H1053" s="1" t="s">
        <v>512</v>
      </c>
      <c r="I1053" s="1" t="s">
        <v>512</v>
      </c>
      <c r="J1053" s="1" t="s">
        <v>512</v>
      </c>
      <c r="K1053" s="1" t="s">
        <v>512</v>
      </c>
      <c r="L1053" s="1" t="s">
        <v>512</v>
      </c>
      <c r="M1053" s="1" t="s">
        <v>512</v>
      </c>
      <c r="N1053" s="1" t="s">
        <v>512</v>
      </c>
      <c r="O1053" s="1" t="s">
        <v>512</v>
      </c>
      <c r="Q1053" s="1" t="s">
        <v>512</v>
      </c>
    </row>
    <row r="1054" spans="4:17" x14ac:dyDescent="0.25">
      <c r="D1054" s="1" t="s">
        <v>512</v>
      </c>
      <c r="E1054" s="21" t="s">
        <v>512</v>
      </c>
      <c r="F1054" s="1" t="s">
        <v>512</v>
      </c>
      <c r="G1054" s="1" t="s">
        <v>512</v>
      </c>
      <c r="H1054" s="1" t="s">
        <v>512</v>
      </c>
      <c r="I1054" s="1" t="s">
        <v>512</v>
      </c>
      <c r="J1054" s="1" t="s">
        <v>512</v>
      </c>
      <c r="K1054" s="1" t="s">
        <v>512</v>
      </c>
      <c r="L1054" s="1" t="s">
        <v>512</v>
      </c>
      <c r="M1054" s="1" t="s">
        <v>512</v>
      </c>
      <c r="N1054" s="1" t="s">
        <v>512</v>
      </c>
      <c r="O1054" s="1" t="s">
        <v>512</v>
      </c>
      <c r="Q1054" s="1" t="s">
        <v>512</v>
      </c>
    </row>
    <row r="1055" spans="4:17" x14ac:dyDescent="0.25">
      <c r="D1055" s="1" t="s">
        <v>512</v>
      </c>
      <c r="E1055" s="21" t="s">
        <v>512</v>
      </c>
      <c r="F1055" s="1" t="s">
        <v>512</v>
      </c>
      <c r="G1055" s="1" t="s">
        <v>512</v>
      </c>
      <c r="H1055" s="1" t="s">
        <v>512</v>
      </c>
      <c r="I1055" s="1" t="s">
        <v>512</v>
      </c>
      <c r="J1055" s="1" t="s">
        <v>512</v>
      </c>
      <c r="K1055" s="1" t="s">
        <v>512</v>
      </c>
      <c r="L1055" s="1" t="s">
        <v>512</v>
      </c>
      <c r="M1055" s="1" t="s">
        <v>512</v>
      </c>
      <c r="N1055" s="1" t="s">
        <v>512</v>
      </c>
      <c r="O1055" s="1" t="s">
        <v>512</v>
      </c>
      <c r="Q1055" s="1" t="s">
        <v>512</v>
      </c>
    </row>
    <row r="1056" spans="4:17" x14ac:dyDescent="0.25">
      <c r="D1056" s="1" t="s">
        <v>512</v>
      </c>
      <c r="E1056" s="21" t="s">
        <v>512</v>
      </c>
      <c r="F1056" s="1" t="s">
        <v>512</v>
      </c>
      <c r="G1056" s="1" t="s">
        <v>512</v>
      </c>
      <c r="H1056" s="1" t="s">
        <v>512</v>
      </c>
      <c r="I1056" s="1" t="s">
        <v>512</v>
      </c>
      <c r="J1056" s="1" t="s">
        <v>512</v>
      </c>
      <c r="K1056" s="1" t="s">
        <v>512</v>
      </c>
      <c r="L1056" s="1" t="s">
        <v>512</v>
      </c>
      <c r="M1056" s="1" t="s">
        <v>512</v>
      </c>
      <c r="N1056" s="1" t="s">
        <v>512</v>
      </c>
      <c r="O1056" s="1" t="s">
        <v>512</v>
      </c>
      <c r="Q1056" s="1" t="s">
        <v>512</v>
      </c>
    </row>
    <row r="1057" spans="4:17" x14ac:dyDescent="0.25">
      <c r="D1057" s="1" t="s">
        <v>512</v>
      </c>
      <c r="E1057" s="21" t="s">
        <v>512</v>
      </c>
      <c r="F1057" s="1" t="s">
        <v>512</v>
      </c>
      <c r="G1057" s="1" t="s">
        <v>512</v>
      </c>
      <c r="H1057" s="1" t="s">
        <v>512</v>
      </c>
      <c r="I1057" s="1" t="s">
        <v>512</v>
      </c>
      <c r="J1057" s="1" t="s">
        <v>512</v>
      </c>
      <c r="K1057" s="1" t="s">
        <v>512</v>
      </c>
      <c r="L1057" s="1" t="s">
        <v>512</v>
      </c>
      <c r="M1057" s="1" t="s">
        <v>512</v>
      </c>
      <c r="N1057" s="1" t="s">
        <v>512</v>
      </c>
      <c r="O1057" s="1" t="s">
        <v>512</v>
      </c>
      <c r="Q1057" s="1" t="s">
        <v>512</v>
      </c>
    </row>
    <row r="1058" spans="4:17" x14ac:dyDescent="0.25">
      <c r="D1058" s="1" t="s">
        <v>512</v>
      </c>
      <c r="E1058" s="21" t="s">
        <v>512</v>
      </c>
      <c r="F1058" s="1" t="s">
        <v>512</v>
      </c>
      <c r="G1058" s="1" t="s">
        <v>512</v>
      </c>
      <c r="H1058" s="1" t="s">
        <v>512</v>
      </c>
      <c r="I1058" s="1" t="s">
        <v>512</v>
      </c>
      <c r="J1058" s="1" t="s">
        <v>512</v>
      </c>
      <c r="K1058" s="1" t="s">
        <v>512</v>
      </c>
      <c r="L1058" s="1" t="s">
        <v>512</v>
      </c>
      <c r="M1058" s="1" t="s">
        <v>512</v>
      </c>
      <c r="N1058" s="1" t="s">
        <v>512</v>
      </c>
      <c r="O1058" s="1" t="s">
        <v>512</v>
      </c>
      <c r="Q1058" s="1" t="s">
        <v>512</v>
      </c>
    </row>
    <row r="1059" spans="4:17" x14ac:dyDescent="0.25">
      <c r="D1059" s="1" t="s">
        <v>512</v>
      </c>
      <c r="E1059" s="21" t="s">
        <v>512</v>
      </c>
      <c r="F1059" s="1" t="s">
        <v>512</v>
      </c>
      <c r="G1059" s="1" t="s">
        <v>512</v>
      </c>
      <c r="H1059" s="1" t="s">
        <v>512</v>
      </c>
      <c r="I1059" s="1" t="s">
        <v>512</v>
      </c>
      <c r="J1059" s="1" t="s">
        <v>512</v>
      </c>
      <c r="K1059" s="1" t="s">
        <v>512</v>
      </c>
      <c r="L1059" s="1" t="s">
        <v>512</v>
      </c>
      <c r="M1059" s="1" t="s">
        <v>512</v>
      </c>
      <c r="N1059" s="1" t="s">
        <v>512</v>
      </c>
      <c r="O1059" s="1" t="s">
        <v>512</v>
      </c>
      <c r="Q1059" s="1" t="s">
        <v>512</v>
      </c>
    </row>
    <row r="1060" spans="4:17" x14ac:dyDescent="0.25">
      <c r="D1060" s="1" t="s">
        <v>512</v>
      </c>
      <c r="E1060" s="21" t="s">
        <v>512</v>
      </c>
      <c r="F1060" s="1" t="s">
        <v>512</v>
      </c>
      <c r="G1060" s="1" t="s">
        <v>512</v>
      </c>
      <c r="H1060" s="1" t="s">
        <v>512</v>
      </c>
      <c r="I1060" s="1" t="s">
        <v>512</v>
      </c>
      <c r="J1060" s="1" t="s">
        <v>512</v>
      </c>
      <c r="K1060" s="1" t="s">
        <v>512</v>
      </c>
      <c r="L1060" s="1" t="s">
        <v>512</v>
      </c>
      <c r="M1060" s="1" t="s">
        <v>512</v>
      </c>
      <c r="N1060" s="1" t="s">
        <v>512</v>
      </c>
      <c r="O1060" s="1" t="s">
        <v>512</v>
      </c>
      <c r="Q1060" s="1" t="s">
        <v>512</v>
      </c>
    </row>
    <row r="1061" spans="4:17" x14ac:dyDescent="0.25">
      <c r="D1061" s="1" t="s">
        <v>512</v>
      </c>
      <c r="E1061" s="21" t="s">
        <v>512</v>
      </c>
      <c r="F1061" s="1" t="s">
        <v>512</v>
      </c>
      <c r="G1061" s="1" t="s">
        <v>512</v>
      </c>
      <c r="H1061" s="1" t="s">
        <v>512</v>
      </c>
      <c r="I1061" s="1" t="s">
        <v>512</v>
      </c>
      <c r="J1061" s="1" t="s">
        <v>512</v>
      </c>
      <c r="K1061" s="1" t="s">
        <v>512</v>
      </c>
      <c r="L1061" s="1" t="s">
        <v>512</v>
      </c>
      <c r="M1061" s="1" t="s">
        <v>512</v>
      </c>
      <c r="N1061" s="1" t="s">
        <v>512</v>
      </c>
      <c r="O1061" s="1" t="s">
        <v>512</v>
      </c>
      <c r="Q1061" s="1" t="s">
        <v>512</v>
      </c>
    </row>
    <row r="1062" spans="4:17" x14ac:dyDescent="0.25">
      <c r="D1062" s="1" t="s">
        <v>512</v>
      </c>
      <c r="E1062" s="21" t="s">
        <v>512</v>
      </c>
      <c r="F1062" s="1" t="s">
        <v>512</v>
      </c>
      <c r="G1062" s="1" t="s">
        <v>512</v>
      </c>
      <c r="H1062" s="1" t="s">
        <v>512</v>
      </c>
      <c r="I1062" s="1" t="s">
        <v>512</v>
      </c>
      <c r="J1062" s="1" t="s">
        <v>512</v>
      </c>
      <c r="K1062" s="1" t="s">
        <v>512</v>
      </c>
      <c r="L1062" s="1" t="s">
        <v>512</v>
      </c>
      <c r="M1062" s="1" t="s">
        <v>512</v>
      </c>
      <c r="N1062" s="1" t="s">
        <v>512</v>
      </c>
      <c r="O1062" s="1" t="s">
        <v>512</v>
      </c>
      <c r="Q1062" s="1" t="s">
        <v>512</v>
      </c>
    </row>
    <row r="1063" spans="4:17" x14ac:dyDescent="0.25">
      <c r="D1063" s="1" t="s">
        <v>512</v>
      </c>
      <c r="E1063" s="21" t="s">
        <v>512</v>
      </c>
      <c r="F1063" s="1" t="s">
        <v>512</v>
      </c>
      <c r="G1063" s="1" t="s">
        <v>512</v>
      </c>
      <c r="H1063" s="1" t="s">
        <v>512</v>
      </c>
      <c r="I1063" s="1" t="s">
        <v>512</v>
      </c>
      <c r="J1063" s="1" t="s">
        <v>512</v>
      </c>
      <c r="K1063" s="1" t="s">
        <v>512</v>
      </c>
      <c r="L1063" s="1" t="s">
        <v>512</v>
      </c>
      <c r="M1063" s="1" t="s">
        <v>512</v>
      </c>
      <c r="N1063" s="1" t="s">
        <v>512</v>
      </c>
      <c r="O1063" s="1" t="s">
        <v>512</v>
      </c>
      <c r="Q1063" s="1" t="s">
        <v>512</v>
      </c>
    </row>
    <row r="1064" spans="4:17" x14ac:dyDescent="0.25">
      <c r="D1064" s="1" t="s">
        <v>512</v>
      </c>
      <c r="E1064" s="21" t="s">
        <v>512</v>
      </c>
      <c r="F1064" s="1" t="s">
        <v>512</v>
      </c>
      <c r="G1064" s="1" t="s">
        <v>512</v>
      </c>
      <c r="H1064" s="1" t="s">
        <v>512</v>
      </c>
      <c r="I1064" s="1" t="s">
        <v>512</v>
      </c>
      <c r="J1064" s="1" t="s">
        <v>512</v>
      </c>
      <c r="K1064" s="1" t="s">
        <v>512</v>
      </c>
      <c r="L1064" s="1" t="s">
        <v>512</v>
      </c>
      <c r="M1064" s="1" t="s">
        <v>512</v>
      </c>
      <c r="N1064" s="1" t="s">
        <v>512</v>
      </c>
      <c r="O1064" s="1" t="s">
        <v>512</v>
      </c>
      <c r="Q1064" s="1" t="s">
        <v>512</v>
      </c>
    </row>
    <row r="1065" spans="4:17" x14ac:dyDescent="0.25">
      <c r="D1065" s="1" t="s">
        <v>512</v>
      </c>
      <c r="E1065" s="21" t="s">
        <v>512</v>
      </c>
      <c r="F1065" s="1" t="s">
        <v>512</v>
      </c>
      <c r="G1065" s="1" t="s">
        <v>512</v>
      </c>
      <c r="H1065" s="1" t="s">
        <v>512</v>
      </c>
      <c r="I1065" s="1" t="s">
        <v>512</v>
      </c>
      <c r="J1065" s="1" t="s">
        <v>512</v>
      </c>
      <c r="K1065" s="1" t="s">
        <v>512</v>
      </c>
      <c r="L1065" s="1" t="s">
        <v>512</v>
      </c>
      <c r="M1065" s="1" t="s">
        <v>512</v>
      </c>
      <c r="N1065" s="1" t="s">
        <v>512</v>
      </c>
      <c r="O1065" s="1" t="s">
        <v>512</v>
      </c>
      <c r="Q1065" s="1" t="s">
        <v>512</v>
      </c>
    </row>
    <row r="1066" spans="4:17" x14ac:dyDescent="0.25">
      <c r="D1066" s="1" t="s">
        <v>512</v>
      </c>
      <c r="E1066" s="21" t="s">
        <v>512</v>
      </c>
      <c r="F1066" s="1" t="s">
        <v>512</v>
      </c>
      <c r="G1066" s="1" t="s">
        <v>512</v>
      </c>
      <c r="H1066" s="1" t="s">
        <v>512</v>
      </c>
      <c r="I1066" s="1" t="s">
        <v>512</v>
      </c>
      <c r="J1066" s="1" t="s">
        <v>512</v>
      </c>
      <c r="K1066" s="1" t="s">
        <v>512</v>
      </c>
      <c r="L1066" s="1" t="s">
        <v>512</v>
      </c>
      <c r="M1066" s="1" t="s">
        <v>512</v>
      </c>
      <c r="N1066" s="1" t="s">
        <v>512</v>
      </c>
      <c r="O1066" s="1" t="s">
        <v>512</v>
      </c>
      <c r="Q1066" s="1" t="s">
        <v>512</v>
      </c>
    </row>
    <row r="1067" spans="4:17" x14ac:dyDescent="0.25">
      <c r="D1067" s="1" t="s">
        <v>512</v>
      </c>
      <c r="E1067" s="21" t="s">
        <v>512</v>
      </c>
      <c r="F1067" s="1" t="s">
        <v>512</v>
      </c>
      <c r="G1067" s="1" t="s">
        <v>512</v>
      </c>
      <c r="H1067" s="1" t="s">
        <v>512</v>
      </c>
      <c r="I1067" s="1" t="s">
        <v>512</v>
      </c>
      <c r="J1067" s="1" t="s">
        <v>512</v>
      </c>
      <c r="K1067" s="1" t="s">
        <v>512</v>
      </c>
      <c r="L1067" s="1" t="s">
        <v>512</v>
      </c>
      <c r="M1067" s="1" t="s">
        <v>512</v>
      </c>
      <c r="N1067" s="1" t="s">
        <v>512</v>
      </c>
      <c r="O1067" s="1" t="s">
        <v>512</v>
      </c>
      <c r="Q1067" s="1" t="s">
        <v>512</v>
      </c>
    </row>
    <row r="1068" spans="4:17" x14ac:dyDescent="0.25">
      <c r="D1068" s="1" t="s">
        <v>512</v>
      </c>
      <c r="E1068" s="21" t="s">
        <v>512</v>
      </c>
      <c r="F1068" s="1" t="s">
        <v>512</v>
      </c>
      <c r="G1068" s="1" t="s">
        <v>512</v>
      </c>
      <c r="H1068" s="1" t="s">
        <v>512</v>
      </c>
      <c r="I1068" s="1" t="s">
        <v>512</v>
      </c>
      <c r="J1068" s="1" t="s">
        <v>512</v>
      </c>
      <c r="K1068" s="1" t="s">
        <v>512</v>
      </c>
      <c r="L1068" s="1" t="s">
        <v>512</v>
      </c>
      <c r="M1068" s="1" t="s">
        <v>512</v>
      </c>
      <c r="N1068" s="1" t="s">
        <v>512</v>
      </c>
      <c r="O1068" s="1" t="s">
        <v>512</v>
      </c>
      <c r="Q1068" s="1" t="s">
        <v>512</v>
      </c>
    </row>
    <row r="1069" spans="4:17" x14ac:dyDescent="0.25">
      <c r="D1069" s="1" t="s">
        <v>512</v>
      </c>
      <c r="E1069" s="21" t="s">
        <v>512</v>
      </c>
      <c r="F1069" s="1" t="s">
        <v>512</v>
      </c>
      <c r="G1069" s="1" t="s">
        <v>512</v>
      </c>
      <c r="H1069" s="1" t="s">
        <v>512</v>
      </c>
      <c r="I1069" s="1" t="s">
        <v>512</v>
      </c>
      <c r="J1069" s="1" t="s">
        <v>512</v>
      </c>
      <c r="K1069" s="1" t="s">
        <v>512</v>
      </c>
      <c r="L1069" s="1" t="s">
        <v>512</v>
      </c>
      <c r="M1069" s="1" t="s">
        <v>512</v>
      </c>
      <c r="N1069" s="1" t="s">
        <v>512</v>
      </c>
      <c r="O1069" s="1" t="s">
        <v>512</v>
      </c>
      <c r="Q1069" s="1" t="s">
        <v>512</v>
      </c>
    </row>
    <row r="1070" spans="4:17" x14ac:dyDescent="0.25">
      <c r="D1070" s="1" t="s">
        <v>512</v>
      </c>
      <c r="E1070" s="21" t="s">
        <v>512</v>
      </c>
      <c r="F1070" s="1" t="s">
        <v>512</v>
      </c>
      <c r="G1070" s="1" t="s">
        <v>512</v>
      </c>
      <c r="H1070" s="1" t="s">
        <v>512</v>
      </c>
      <c r="I1070" s="1" t="s">
        <v>512</v>
      </c>
      <c r="J1070" s="1" t="s">
        <v>512</v>
      </c>
      <c r="K1070" s="1" t="s">
        <v>512</v>
      </c>
      <c r="L1070" s="1" t="s">
        <v>512</v>
      </c>
      <c r="M1070" s="1" t="s">
        <v>512</v>
      </c>
      <c r="N1070" s="1" t="s">
        <v>512</v>
      </c>
      <c r="O1070" s="1" t="s">
        <v>512</v>
      </c>
      <c r="Q1070" s="1" t="s">
        <v>512</v>
      </c>
    </row>
    <row r="1071" spans="4:17" x14ac:dyDescent="0.25">
      <c r="D1071" s="1" t="s">
        <v>512</v>
      </c>
      <c r="E1071" s="21" t="s">
        <v>512</v>
      </c>
      <c r="F1071" s="1" t="s">
        <v>512</v>
      </c>
      <c r="G1071" s="1" t="s">
        <v>512</v>
      </c>
      <c r="H1071" s="1" t="s">
        <v>512</v>
      </c>
      <c r="I1071" s="1" t="s">
        <v>512</v>
      </c>
      <c r="J1071" s="1" t="s">
        <v>512</v>
      </c>
      <c r="K1071" s="1" t="s">
        <v>512</v>
      </c>
      <c r="L1071" s="1" t="s">
        <v>512</v>
      </c>
      <c r="M1071" s="1" t="s">
        <v>512</v>
      </c>
      <c r="N1071" s="1" t="s">
        <v>512</v>
      </c>
      <c r="O1071" s="1" t="s">
        <v>512</v>
      </c>
      <c r="Q1071" s="1" t="s">
        <v>512</v>
      </c>
    </row>
    <row r="1072" spans="4:17" x14ac:dyDescent="0.25">
      <c r="D1072" s="1" t="s">
        <v>512</v>
      </c>
      <c r="E1072" s="21" t="s">
        <v>512</v>
      </c>
      <c r="F1072" s="1" t="s">
        <v>512</v>
      </c>
      <c r="G1072" s="1" t="s">
        <v>512</v>
      </c>
      <c r="H1072" s="1" t="s">
        <v>512</v>
      </c>
      <c r="I1072" s="1" t="s">
        <v>512</v>
      </c>
      <c r="J1072" s="1" t="s">
        <v>512</v>
      </c>
      <c r="K1072" s="1" t="s">
        <v>512</v>
      </c>
      <c r="L1072" s="1" t="s">
        <v>512</v>
      </c>
      <c r="M1072" s="1" t="s">
        <v>512</v>
      </c>
      <c r="N1072" s="1" t="s">
        <v>512</v>
      </c>
      <c r="O1072" s="1" t="s">
        <v>512</v>
      </c>
      <c r="Q1072" s="1" t="s">
        <v>512</v>
      </c>
    </row>
    <row r="1073" spans="4:17" x14ac:dyDescent="0.25">
      <c r="D1073" s="1" t="s">
        <v>512</v>
      </c>
      <c r="E1073" s="21" t="s">
        <v>512</v>
      </c>
      <c r="F1073" s="1" t="s">
        <v>512</v>
      </c>
      <c r="G1073" s="1" t="s">
        <v>512</v>
      </c>
      <c r="H1073" s="1" t="s">
        <v>512</v>
      </c>
      <c r="I1073" s="1" t="s">
        <v>512</v>
      </c>
      <c r="J1073" s="1" t="s">
        <v>512</v>
      </c>
      <c r="K1073" s="1" t="s">
        <v>512</v>
      </c>
      <c r="L1073" s="1" t="s">
        <v>512</v>
      </c>
      <c r="M1073" s="1" t="s">
        <v>512</v>
      </c>
      <c r="N1073" s="1" t="s">
        <v>512</v>
      </c>
      <c r="O1073" s="1" t="s">
        <v>512</v>
      </c>
      <c r="Q1073" s="1" t="s">
        <v>512</v>
      </c>
    </row>
    <row r="1074" spans="4:17" x14ac:dyDescent="0.25">
      <c r="D1074" s="1" t="s">
        <v>512</v>
      </c>
      <c r="E1074" s="21" t="s">
        <v>512</v>
      </c>
      <c r="F1074" s="1" t="s">
        <v>512</v>
      </c>
      <c r="G1074" s="1" t="s">
        <v>512</v>
      </c>
      <c r="H1074" s="1" t="s">
        <v>512</v>
      </c>
      <c r="I1074" s="1" t="s">
        <v>512</v>
      </c>
      <c r="J1074" s="1" t="s">
        <v>512</v>
      </c>
      <c r="K1074" s="1" t="s">
        <v>512</v>
      </c>
      <c r="L1074" s="1" t="s">
        <v>512</v>
      </c>
      <c r="M1074" s="1" t="s">
        <v>512</v>
      </c>
      <c r="N1074" s="1" t="s">
        <v>512</v>
      </c>
      <c r="O1074" s="1" t="s">
        <v>512</v>
      </c>
      <c r="Q1074" s="1" t="s">
        <v>512</v>
      </c>
    </row>
    <row r="1075" spans="4:17" x14ac:dyDescent="0.25">
      <c r="D1075" s="1" t="s">
        <v>512</v>
      </c>
      <c r="E1075" s="21" t="s">
        <v>512</v>
      </c>
      <c r="F1075" s="1" t="s">
        <v>512</v>
      </c>
      <c r="G1075" s="1" t="s">
        <v>512</v>
      </c>
      <c r="H1075" s="1" t="s">
        <v>512</v>
      </c>
      <c r="I1075" s="1" t="s">
        <v>512</v>
      </c>
      <c r="J1075" s="1" t="s">
        <v>512</v>
      </c>
      <c r="K1075" s="1" t="s">
        <v>512</v>
      </c>
      <c r="L1075" s="1" t="s">
        <v>512</v>
      </c>
      <c r="M1075" s="1" t="s">
        <v>512</v>
      </c>
      <c r="N1075" s="1" t="s">
        <v>512</v>
      </c>
      <c r="O1075" s="1" t="s">
        <v>512</v>
      </c>
      <c r="Q1075" s="1" t="s">
        <v>512</v>
      </c>
    </row>
    <row r="1076" spans="4:17" x14ac:dyDescent="0.25">
      <c r="D1076" s="1" t="s">
        <v>512</v>
      </c>
      <c r="E1076" s="21" t="s">
        <v>512</v>
      </c>
      <c r="F1076" s="1" t="s">
        <v>512</v>
      </c>
      <c r="G1076" s="1" t="s">
        <v>512</v>
      </c>
      <c r="H1076" s="1" t="s">
        <v>512</v>
      </c>
      <c r="I1076" s="1" t="s">
        <v>512</v>
      </c>
      <c r="J1076" s="1" t="s">
        <v>512</v>
      </c>
      <c r="K1076" s="1" t="s">
        <v>512</v>
      </c>
      <c r="L1076" s="1" t="s">
        <v>512</v>
      </c>
      <c r="M1076" s="1" t="s">
        <v>512</v>
      </c>
      <c r="N1076" s="1" t="s">
        <v>512</v>
      </c>
      <c r="O1076" s="1" t="s">
        <v>512</v>
      </c>
      <c r="Q1076" s="1" t="s">
        <v>512</v>
      </c>
    </row>
    <row r="1077" spans="4:17" x14ac:dyDescent="0.25">
      <c r="D1077" s="1" t="s">
        <v>512</v>
      </c>
      <c r="E1077" s="21" t="s">
        <v>512</v>
      </c>
      <c r="F1077" s="1" t="s">
        <v>512</v>
      </c>
      <c r="G1077" s="1" t="s">
        <v>512</v>
      </c>
      <c r="H1077" s="1" t="s">
        <v>512</v>
      </c>
      <c r="I1077" s="1" t="s">
        <v>512</v>
      </c>
      <c r="J1077" s="1" t="s">
        <v>512</v>
      </c>
      <c r="K1077" s="1" t="s">
        <v>512</v>
      </c>
      <c r="L1077" s="1" t="s">
        <v>512</v>
      </c>
      <c r="M1077" s="1" t="s">
        <v>512</v>
      </c>
      <c r="N1077" s="1" t="s">
        <v>512</v>
      </c>
      <c r="O1077" s="1" t="s">
        <v>512</v>
      </c>
      <c r="Q1077" s="1" t="s">
        <v>512</v>
      </c>
    </row>
    <row r="1078" spans="4:17" x14ac:dyDescent="0.25">
      <c r="D1078" s="1" t="s">
        <v>512</v>
      </c>
      <c r="E1078" s="21" t="s">
        <v>512</v>
      </c>
      <c r="F1078" s="1" t="s">
        <v>512</v>
      </c>
      <c r="G1078" s="1" t="s">
        <v>512</v>
      </c>
      <c r="H1078" s="1" t="s">
        <v>512</v>
      </c>
      <c r="I1078" s="1" t="s">
        <v>512</v>
      </c>
      <c r="J1078" s="1" t="s">
        <v>512</v>
      </c>
      <c r="K1078" s="1" t="s">
        <v>512</v>
      </c>
      <c r="L1078" s="1" t="s">
        <v>512</v>
      </c>
      <c r="M1078" s="1" t="s">
        <v>512</v>
      </c>
      <c r="N1078" s="1" t="s">
        <v>512</v>
      </c>
      <c r="O1078" s="1" t="s">
        <v>512</v>
      </c>
      <c r="Q1078" s="1" t="s">
        <v>512</v>
      </c>
    </row>
    <row r="1079" spans="4:17" x14ac:dyDescent="0.25">
      <c r="D1079" s="1" t="s">
        <v>512</v>
      </c>
      <c r="E1079" s="21" t="s">
        <v>512</v>
      </c>
      <c r="F1079" s="1" t="s">
        <v>512</v>
      </c>
      <c r="G1079" s="1" t="s">
        <v>512</v>
      </c>
      <c r="H1079" s="1" t="s">
        <v>512</v>
      </c>
      <c r="I1079" s="1" t="s">
        <v>512</v>
      </c>
      <c r="J1079" s="1" t="s">
        <v>512</v>
      </c>
      <c r="K1079" s="1" t="s">
        <v>512</v>
      </c>
      <c r="L1079" s="1" t="s">
        <v>512</v>
      </c>
      <c r="M1079" s="1" t="s">
        <v>512</v>
      </c>
      <c r="N1079" s="1" t="s">
        <v>512</v>
      </c>
      <c r="O1079" s="1" t="s">
        <v>512</v>
      </c>
      <c r="Q1079" s="1" t="s">
        <v>512</v>
      </c>
    </row>
    <row r="1080" spans="4:17" x14ac:dyDescent="0.25">
      <c r="D1080" s="1" t="s">
        <v>512</v>
      </c>
      <c r="E1080" s="21" t="s">
        <v>512</v>
      </c>
      <c r="F1080" s="1" t="s">
        <v>512</v>
      </c>
      <c r="G1080" s="1" t="s">
        <v>512</v>
      </c>
      <c r="H1080" s="1" t="s">
        <v>512</v>
      </c>
      <c r="I1080" s="1" t="s">
        <v>512</v>
      </c>
      <c r="J1080" s="1" t="s">
        <v>512</v>
      </c>
      <c r="K1080" s="1" t="s">
        <v>512</v>
      </c>
      <c r="L1080" s="1" t="s">
        <v>512</v>
      </c>
      <c r="M1080" s="1" t="s">
        <v>512</v>
      </c>
      <c r="N1080" s="1" t="s">
        <v>512</v>
      </c>
      <c r="O1080" s="1" t="s">
        <v>512</v>
      </c>
      <c r="Q1080" s="1" t="s">
        <v>512</v>
      </c>
    </row>
    <row r="1081" spans="4:17" x14ac:dyDescent="0.25">
      <c r="D1081" s="1" t="s">
        <v>512</v>
      </c>
      <c r="E1081" s="21" t="s">
        <v>512</v>
      </c>
      <c r="F1081" s="1" t="s">
        <v>512</v>
      </c>
      <c r="G1081" s="1" t="s">
        <v>512</v>
      </c>
      <c r="H1081" s="1" t="s">
        <v>512</v>
      </c>
      <c r="I1081" s="1" t="s">
        <v>512</v>
      </c>
      <c r="J1081" s="1" t="s">
        <v>512</v>
      </c>
      <c r="K1081" s="1" t="s">
        <v>512</v>
      </c>
      <c r="L1081" s="1" t="s">
        <v>512</v>
      </c>
      <c r="M1081" s="1" t="s">
        <v>512</v>
      </c>
      <c r="N1081" s="1" t="s">
        <v>512</v>
      </c>
      <c r="O1081" s="1" t="s">
        <v>512</v>
      </c>
      <c r="Q1081" s="1" t="s">
        <v>512</v>
      </c>
    </row>
    <row r="1082" spans="4:17" x14ac:dyDescent="0.25">
      <c r="D1082" s="1" t="s">
        <v>512</v>
      </c>
      <c r="E1082" s="21" t="s">
        <v>512</v>
      </c>
      <c r="F1082" s="1" t="s">
        <v>512</v>
      </c>
      <c r="G1082" s="1" t="s">
        <v>512</v>
      </c>
      <c r="H1082" s="1" t="s">
        <v>512</v>
      </c>
      <c r="I1082" s="1" t="s">
        <v>512</v>
      </c>
      <c r="J1082" s="1" t="s">
        <v>512</v>
      </c>
      <c r="K1082" s="1" t="s">
        <v>512</v>
      </c>
      <c r="L1082" s="1" t="s">
        <v>512</v>
      </c>
      <c r="M1082" s="1" t="s">
        <v>512</v>
      </c>
      <c r="N1082" s="1" t="s">
        <v>512</v>
      </c>
      <c r="O1082" s="1" t="s">
        <v>512</v>
      </c>
      <c r="Q1082" s="1" t="s">
        <v>512</v>
      </c>
    </row>
    <row r="1083" spans="4:17" x14ac:dyDescent="0.25">
      <c r="D1083" s="1" t="s">
        <v>512</v>
      </c>
      <c r="E1083" s="21" t="s">
        <v>512</v>
      </c>
      <c r="F1083" s="1" t="s">
        <v>512</v>
      </c>
      <c r="G1083" s="1" t="s">
        <v>512</v>
      </c>
      <c r="H1083" s="1" t="s">
        <v>512</v>
      </c>
      <c r="I1083" s="1" t="s">
        <v>512</v>
      </c>
      <c r="J1083" s="1" t="s">
        <v>512</v>
      </c>
      <c r="K1083" s="1" t="s">
        <v>512</v>
      </c>
      <c r="L1083" s="1" t="s">
        <v>512</v>
      </c>
      <c r="M1083" s="1" t="s">
        <v>512</v>
      </c>
      <c r="N1083" s="1" t="s">
        <v>512</v>
      </c>
      <c r="O1083" s="1" t="s">
        <v>512</v>
      </c>
      <c r="Q1083" s="1" t="s">
        <v>512</v>
      </c>
    </row>
    <row r="1084" spans="4:17" x14ac:dyDescent="0.25">
      <c r="D1084" s="1" t="s">
        <v>512</v>
      </c>
      <c r="E1084" s="21" t="s">
        <v>512</v>
      </c>
      <c r="F1084" s="1" t="s">
        <v>512</v>
      </c>
      <c r="G1084" s="1" t="s">
        <v>512</v>
      </c>
      <c r="H1084" s="1" t="s">
        <v>512</v>
      </c>
      <c r="I1084" s="1" t="s">
        <v>512</v>
      </c>
      <c r="J1084" s="1" t="s">
        <v>512</v>
      </c>
      <c r="K1084" s="1" t="s">
        <v>512</v>
      </c>
      <c r="L1084" s="1" t="s">
        <v>512</v>
      </c>
      <c r="M1084" s="1" t="s">
        <v>512</v>
      </c>
      <c r="N1084" s="1" t="s">
        <v>512</v>
      </c>
      <c r="O1084" s="1" t="s">
        <v>512</v>
      </c>
      <c r="Q1084" s="1" t="s">
        <v>512</v>
      </c>
    </row>
    <row r="1085" spans="4:17" x14ac:dyDescent="0.25">
      <c r="D1085" s="1" t="s">
        <v>512</v>
      </c>
      <c r="E1085" s="21" t="s">
        <v>512</v>
      </c>
      <c r="F1085" s="1" t="s">
        <v>512</v>
      </c>
      <c r="G1085" s="1" t="s">
        <v>512</v>
      </c>
      <c r="H1085" s="1" t="s">
        <v>512</v>
      </c>
      <c r="I1085" s="1" t="s">
        <v>512</v>
      </c>
      <c r="J1085" s="1" t="s">
        <v>512</v>
      </c>
      <c r="K1085" s="1" t="s">
        <v>512</v>
      </c>
      <c r="L1085" s="1" t="s">
        <v>512</v>
      </c>
      <c r="M1085" s="1" t="s">
        <v>512</v>
      </c>
      <c r="N1085" s="1" t="s">
        <v>512</v>
      </c>
      <c r="O1085" s="1" t="s">
        <v>512</v>
      </c>
      <c r="Q1085" s="1" t="s">
        <v>512</v>
      </c>
    </row>
    <row r="1086" spans="4:17" x14ac:dyDescent="0.25">
      <c r="D1086" s="1" t="s">
        <v>512</v>
      </c>
      <c r="E1086" s="21" t="s">
        <v>512</v>
      </c>
      <c r="F1086" s="1" t="s">
        <v>512</v>
      </c>
      <c r="G1086" s="1" t="s">
        <v>512</v>
      </c>
      <c r="H1086" s="1" t="s">
        <v>512</v>
      </c>
      <c r="I1086" s="1" t="s">
        <v>512</v>
      </c>
      <c r="J1086" s="1" t="s">
        <v>512</v>
      </c>
      <c r="K1086" s="1" t="s">
        <v>512</v>
      </c>
      <c r="L1086" s="1" t="s">
        <v>512</v>
      </c>
      <c r="M1086" s="1" t="s">
        <v>512</v>
      </c>
      <c r="N1086" s="1" t="s">
        <v>512</v>
      </c>
      <c r="O1086" s="1" t="s">
        <v>512</v>
      </c>
      <c r="Q1086" s="1" t="s">
        <v>512</v>
      </c>
    </row>
    <row r="1087" spans="4:17" x14ac:dyDescent="0.25">
      <c r="D1087" s="1" t="s">
        <v>512</v>
      </c>
      <c r="E1087" s="21" t="s">
        <v>512</v>
      </c>
      <c r="F1087" s="1" t="s">
        <v>512</v>
      </c>
      <c r="G1087" s="1" t="s">
        <v>512</v>
      </c>
      <c r="H1087" s="1" t="s">
        <v>512</v>
      </c>
      <c r="I1087" s="1" t="s">
        <v>512</v>
      </c>
      <c r="J1087" s="1" t="s">
        <v>512</v>
      </c>
      <c r="K1087" s="1" t="s">
        <v>512</v>
      </c>
      <c r="L1087" s="1" t="s">
        <v>512</v>
      </c>
      <c r="M1087" s="1" t="s">
        <v>512</v>
      </c>
      <c r="N1087" s="1" t="s">
        <v>512</v>
      </c>
      <c r="O1087" s="1" t="s">
        <v>512</v>
      </c>
      <c r="Q1087" s="1" t="s">
        <v>512</v>
      </c>
    </row>
    <row r="1088" spans="4:17" x14ac:dyDescent="0.25">
      <c r="D1088" s="1" t="s">
        <v>512</v>
      </c>
      <c r="E1088" s="21" t="s">
        <v>512</v>
      </c>
      <c r="F1088" s="1" t="s">
        <v>512</v>
      </c>
      <c r="G1088" s="1" t="s">
        <v>512</v>
      </c>
      <c r="H1088" s="1" t="s">
        <v>512</v>
      </c>
      <c r="I1088" s="1" t="s">
        <v>512</v>
      </c>
      <c r="J1088" s="1" t="s">
        <v>512</v>
      </c>
      <c r="K1088" s="1" t="s">
        <v>512</v>
      </c>
      <c r="L1088" s="1" t="s">
        <v>512</v>
      </c>
      <c r="M1088" s="1" t="s">
        <v>512</v>
      </c>
      <c r="N1088" s="1" t="s">
        <v>512</v>
      </c>
      <c r="O1088" s="1" t="s">
        <v>512</v>
      </c>
      <c r="Q1088" s="1" t="s">
        <v>512</v>
      </c>
    </row>
    <row r="1089" spans="4:17" x14ac:dyDescent="0.25">
      <c r="D1089" s="1" t="s">
        <v>512</v>
      </c>
      <c r="E1089" s="21" t="s">
        <v>512</v>
      </c>
      <c r="F1089" s="1" t="s">
        <v>512</v>
      </c>
      <c r="G1089" s="1" t="s">
        <v>512</v>
      </c>
      <c r="H1089" s="1" t="s">
        <v>512</v>
      </c>
      <c r="I1089" s="1" t="s">
        <v>512</v>
      </c>
      <c r="J1089" s="1" t="s">
        <v>512</v>
      </c>
      <c r="K1089" s="1" t="s">
        <v>512</v>
      </c>
      <c r="L1089" s="1" t="s">
        <v>512</v>
      </c>
      <c r="M1089" s="1" t="s">
        <v>512</v>
      </c>
      <c r="N1089" s="1" t="s">
        <v>512</v>
      </c>
      <c r="O1089" s="1" t="s">
        <v>512</v>
      </c>
      <c r="Q1089" s="1" t="s">
        <v>512</v>
      </c>
    </row>
    <row r="1090" spans="4:17" x14ac:dyDescent="0.25">
      <c r="D1090" s="1" t="s">
        <v>512</v>
      </c>
      <c r="E1090" s="21" t="s">
        <v>512</v>
      </c>
      <c r="F1090" s="1" t="s">
        <v>512</v>
      </c>
      <c r="G1090" s="1" t="s">
        <v>512</v>
      </c>
      <c r="H1090" s="1" t="s">
        <v>512</v>
      </c>
      <c r="I1090" s="1" t="s">
        <v>512</v>
      </c>
      <c r="J1090" s="1" t="s">
        <v>512</v>
      </c>
      <c r="K1090" s="1" t="s">
        <v>512</v>
      </c>
      <c r="L1090" s="1" t="s">
        <v>512</v>
      </c>
      <c r="M1090" s="1" t="s">
        <v>512</v>
      </c>
      <c r="N1090" s="1" t="s">
        <v>512</v>
      </c>
      <c r="O1090" s="1" t="s">
        <v>512</v>
      </c>
      <c r="Q1090" s="1" t="s">
        <v>512</v>
      </c>
    </row>
    <row r="1091" spans="4:17" x14ac:dyDescent="0.25">
      <c r="D1091" s="1" t="s">
        <v>512</v>
      </c>
      <c r="E1091" s="21" t="s">
        <v>512</v>
      </c>
      <c r="F1091" s="1" t="s">
        <v>512</v>
      </c>
      <c r="G1091" s="1" t="s">
        <v>512</v>
      </c>
      <c r="H1091" s="1" t="s">
        <v>512</v>
      </c>
      <c r="I1091" s="1" t="s">
        <v>512</v>
      </c>
      <c r="J1091" s="1" t="s">
        <v>512</v>
      </c>
      <c r="K1091" s="1" t="s">
        <v>512</v>
      </c>
      <c r="L1091" s="1" t="s">
        <v>512</v>
      </c>
      <c r="M1091" s="1" t="s">
        <v>512</v>
      </c>
      <c r="N1091" s="1" t="s">
        <v>512</v>
      </c>
      <c r="O1091" s="1" t="s">
        <v>512</v>
      </c>
      <c r="Q1091" s="1" t="s">
        <v>512</v>
      </c>
    </row>
    <row r="1092" spans="4:17" x14ac:dyDescent="0.25">
      <c r="D1092" s="1" t="s">
        <v>512</v>
      </c>
      <c r="E1092" s="21" t="s">
        <v>512</v>
      </c>
      <c r="F1092" s="1" t="s">
        <v>512</v>
      </c>
      <c r="G1092" s="1" t="s">
        <v>512</v>
      </c>
      <c r="H1092" s="1" t="s">
        <v>512</v>
      </c>
      <c r="I1092" s="1" t="s">
        <v>512</v>
      </c>
      <c r="J1092" s="1" t="s">
        <v>512</v>
      </c>
      <c r="K1092" s="1" t="s">
        <v>512</v>
      </c>
      <c r="L1092" s="1" t="s">
        <v>512</v>
      </c>
      <c r="M1092" s="1" t="s">
        <v>512</v>
      </c>
      <c r="N1092" s="1" t="s">
        <v>512</v>
      </c>
      <c r="O1092" s="1" t="s">
        <v>512</v>
      </c>
      <c r="Q1092" s="1" t="s">
        <v>512</v>
      </c>
    </row>
    <row r="1093" spans="4:17" x14ac:dyDescent="0.25">
      <c r="D1093" s="1" t="s">
        <v>512</v>
      </c>
      <c r="E1093" s="21" t="s">
        <v>512</v>
      </c>
      <c r="F1093" s="1" t="s">
        <v>512</v>
      </c>
      <c r="G1093" s="1" t="s">
        <v>512</v>
      </c>
      <c r="H1093" s="1" t="s">
        <v>512</v>
      </c>
      <c r="I1093" s="1" t="s">
        <v>512</v>
      </c>
      <c r="J1093" s="1" t="s">
        <v>512</v>
      </c>
      <c r="K1093" s="1" t="s">
        <v>512</v>
      </c>
      <c r="L1093" s="1" t="s">
        <v>512</v>
      </c>
      <c r="M1093" s="1" t="s">
        <v>512</v>
      </c>
      <c r="N1093" s="1" t="s">
        <v>512</v>
      </c>
      <c r="O1093" s="1" t="s">
        <v>512</v>
      </c>
      <c r="Q1093" s="1" t="s">
        <v>512</v>
      </c>
    </row>
    <row r="1094" spans="4:17" x14ac:dyDescent="0.25">
      <c r="D1094" s="1" t="s">
        <v>512</v>
      </c>
      <c r="E1094" s="21" t="s">
        <v>512</v>
      </c>
      <c r="F1094" s="1" t="s">
        <v>512</v>
      </c>
      <c r="G1094" s="1" t="s">
        <v>512</v>
      </c>
      <c r="H1094" s="1" t="s">
        <v>512</v>
      </c>
      <c r="I1094" s="1" t="s">
        <v>512</v>
      </c>
      <c r="J1094" s="1" t="s">
        <v>512</v>
      </c>
      <c r="K1094" s="1" t="s">
        <v>512</v>
      </c>
      <c r="L1094" s="1" t="s">
        <v>512</v>
      </c>
      <c r="M1094" s="1" t="s">
        <v>512</v>
      </c>
      <c r="N1094" s="1" t="s">
        <v>512</v>
      </c>
      <c r="O1094" s="1" t="s">
        <v>512</v>
      </c>
      <c r="Q1094" s="1" t="s">
        <v>512</v>
      </c>
    </row>
    <row r="1095" spans="4:17" x14ac:dyDescent="0.25">
      <c r="D1095" s="1" t="s">
        <v>512</v>
      </c>
      <c r="E1095" s="21" t="s">
        <v>512</v>
      </c>
      <c r="F1095" s="1" t="s">
        <v>512</v>
      </c>
      <c r="G1095" s="1" t="s">
        <v>512</v>
      </c>
      <c r="H1095" s="1" t="s">
        <v>512</v>
      </c>
      <c r="I1095" s="1" t="s">
        <v>512</v>
      </c>
      <c r="J1095" s="1" t="s">
        <v>512</v>
      </c>
      <c r="K1095" s="1" t="s">
        <v>512</v>
      </c>
      <c r="L1095" s="1" t="s">
        <v>512</v>
      </c>
      <c r="M1095" s="1" t="s">
        <v>512</v>
      </c>
      <c r="N1095" s="1" t="s">
        <v>512</v>
      </c>
      <c r="O1095" s="1" t="s">
        <v>512</v>
      </c>
      <c r="Q1095" s="1" t="s">
        <v>512</v>
      </c>
    </row>
    <row r="1096" spans="4:17" x14ac:dyDescent="0.25">
      <c r="D1096" s="1" t="s">
        <v>512</v>
      </c>
      <c r="E1096" s="21" t="s">
        <v>512</v>
      </c>
      <c r="F1096" s="1" t="s">
        <v>512</v>
      </c>
      <c r="G1096" s="1" t="s">
        <v>512</v>
      </c>
      <c r="H1096" s="1" t="s">
        <v>512</v>
      </c>
      <c r="I1096" s="1" t="s">
        <v>512</v>
      </c>
      <c r="J1096" s="1" t="s">
        <v>512</v>
      </c>
      <c r="K1096" s="1" t="s">
        <v>512</v>
      </c>
      <c r="L1096" s="1" t="s">
        <v>512</v>
      </c>
      <c r="M1096" s="1" t="s">
        <v>512</v>
      </c>
      <c r="N1096" s="1" t="s">
        <v>512</v>
      </c>
      <c r="O1096" s="1" t="s">
        <v>512</v>
      </c>
      <c r="Q1096" s="1" t="s">
        <v>512</v>
      </c>
    </row>
    <row r="1097" spans="4:17" x14ac:dyDescent="0.25">
      <c r="D1097" s="1" t="s">
        <v>512</v>
      </c>
      <c r="E1097" s="21" t="s">
        <v>512</v>
      </c>
      <c r="F1097" s="1" t="s">
        <v>512</v>
      </c>
      <c r="G1097" s="1" t="s">
        <v>512</v>
      </c>
      <c r="H1097" s="1" t="s">
        <v>512</v>
      </c>
      <c r="I1097" s="1" t="s">
        <v>512</v>
      </c>
      <c r="J1097" s="1" t="s">
        <v>512</v>
      </c>
      <c r="K1097" s="1" t="s">
        <v>512</v>
      </c>
      <c r="L1097" s="1" t="s">
        <v>512</v>
      </c>
      <c r="M1097" s="1" t="s">
        <v>512</v>
      </c>
      <c r="N1097" s="1" t="s">
        <v>512</v>
      </c>
      <c r="O1097" s="1" t="s">
        <v>512</v>
      </c>
      <c r="Q1097" s="1" t="s">
        <v>512</v>
      </c>
    </row>
    <row r="1098" spans="4:17" x14ac:dyDescent="0.25">
      <c r="D1098" s="1" t="s">
        <v>512</v>
      </c>
      <c r="E1098" s="21" t="s">
        <v>512</v>
      </c>
      <c r="F1098" s="1" t="s">
        <v>512</v>
      </c>
      <c r="G1098" s="1" t="s">
        <v>512</v>
      </c>
      <c r="H1098" s="1" t="s">
        <v>512</v>
      </c>
      <c r="I1098" s="1" t="s">
        <v>512</v>
      </c>
      <c r="J1098" s="1" t="s">
        <v>512</v>
      </c>
      <c r="K1098" s="1" t="s">
        <v>512</v>
      </c>
      <c r="L1098" s="1" t="s">
        <v>512</v>
      </c>
      <c r="M1098" s="1" t="s">
        <v>512</v>
      </c>
      <c r="N1098" s="1" t="s">
        <v>512</v>
      </c>
      <c r="O1098" s="1" t="s">
        <v>512</v>
      </c>
      <c r="Q1098" s="1" t="s">
        <v>512</v>
      </c>
    </row>
    <row r="1099" spans="4:17" x14ac:dyDescent="0.25">
      <c r="D1099" s="1" t="s">
        <v>512</v>
      </c>
      <c r="E1099" s="21" t="s">
        <v>512</v>
      </c>
      <c r="F1099" s="1" t="s">
        <v>512</v>
      </c>
      <c r="G1099" s="1" t="s">
        <v>512</v>
      </c>
      <c r="H1099" s="1" t="s">
        <v>512</v>
      </c>
      <c r="I1099" s="1" t="s">
        <v>512</v>
      </c>
      <c r="J1099" s="1" t="s">
        <v>512</v>
      </c>
      <c r="K1099" s="1" t="s">
        <v>512</v>
      </c>
      <c r="L1099" s="1" t="s">
        <v>512</v>
      </c>
      <c r="M1099" s="1" t="s">
        <v>512</v>
      </c>
      <c r="N1099" s="1" t="s">
        <v>512</v>
      </c>
      <c r="O1099" s="1" t="s">
        <v>512</v>
      </c>
      <c r="Q1099" s="1" t="s">
        <v>512</v>
      </c>
    </row>
    <row r="1100" spans="4:17" x14ac:dyDescent="0.25">
      <c r="D1100" s="1" t="s">
        <v>512</v>
      </c>
      <c r="E1100" s="21" t="s">
        <v>512</v>
      </c>
      <c r="F1100" s="1" t="s">
        <v>512</v>
      </c>
      <c r="G1100" s="1" t="s">
        <v>512</v>
      </c>
      <c r="H1100" s="1" t="s">
        <v>512</v>
      </c>
      <c r="I1100" s="1" t="s">
        <v>512</v>
      </c>
      <c r="J1100" s="1" t="s">
        <v>512</v>
      </c>
      <c r="K1100" s="1" t="s">
        <v>512</v>
      </c>
      <c r="L1100" s="1" t="s">
        <v>512</v>
      </c>
      <c r="M1100" s="1" t="s">
        <v>512</v>
      </c>
      <c r="N1100" s="1" t="s">
        <v>512</v>
      </c>
      <c r="O1100" s="1" t="s">
        <v>512</v>
      </c>
      <c r="Q1100" s="1" t="s">
        <v>512</v>
      </c>
    </row>
    <row r="1101" spans="4:17" x14ac:dyDescent="0.25">
      <c r="D1101" s="1" t="s">
        <v>512</v>
      </c>
      <c r="E1101" s="21" t="s">
        <v>512</v>
      </c>
      <c r="F1101" s="1" t="s">
        <v>512</v>
      </c>
      <c r="G1101" s="1" t="s">
        <v>512</v>
      </c>
      <c r="H1101" s="1" t="s">
        <v>512</v>
      </c>
      <c r="I1101" s="1" t="s">
        <v>512</v>
      </c>
      <c r="J1101" s="1" t="s">
        <v>512</v>
      </c>
      <c r="K1101" s="1" t="s">
        <v>512</v>
      </c>
      <c r="L1101" s="1" t="s">
        <v>512</v>
      </c>
      <c r="M1101" s="1" t="s">
        <v>512</v>
      </c>
      <c r="N1101" s="1" t="s">
        <v>512</v>
      </c>
      <c r="O1101" s="1" t="s">
        <v>512</v>
      </c>
      <c r="Q1101" s="1" t="s">
        <v>512</v>
      </c>
    </row>
    <row r="1102" spans="4:17" x14ac:dyDescent="0.25">
      <c r="D1102" s="1" t="s">
        <v>512</v>
      </c>
      <c r="E1102" s="21" t="s">
        <v>512</v>
      </c>
      <c r="F1102" s="1" t="s">
        <v>512</v>
      </c>
      <c r="G1102" s="1" t="s">
        <v>512</v>
      </c>
      <c r="H1102" s="1" t="s">
        <v>512</v>
      </c>
      <c r="I1102" s="1" t="s">
        <v>512</v>
      </c>
      <c r="J1102" s="1" t="s">
        <v>512</v>
      </c>
      <c r="K1102" s="1" t="s">
        <v>512</v>
      </c>
      <c r="L1102" s="1" t="s">
        <v>512</v>
      </c>
      <c r="M1102" s="1" t="s">
        <v>512</v>
      </c>
      <c r="N1102" s="1" t="s">
        <v>512</v>
      </c>
      <c r="O1102" s="1" t="s">
        <v>512</v>
      </c>
      <c r="Q1102" s="1" t="s">
        <v>512</v>
      </c>
    </row>
    <row r="1103" spans="4:17" x14ac:dyDescent="0.25">
      <c r="D1103" s="1" t="s">
        <v>512</v>
      </c>
      <c r="E1103" s="21" t="s">
        <v>512</v>
      </c>
      <c r="F1103" s="1" t="s">
        <v>512</v>
      </c>
      <c r="G1103" s="1" t="s">
        <v>512</v>
      </c>
      <c r="H1103" s="1" t="s">
        <v>512</v>
      </c>
      <c r="I1103" s="1" t="s">
        <v>512</v>
      </c>
      <c r="J1103" s="1" t="s">
        <v>512</v>
      </c>
      <c r="K1103" s="1" t="s">
        <v>512</v>
      </c>
      <c r="L1103" s="1" t="s">
        <v>512</v>
      </c>
      <c r="M1103" s="1" t="s">
        <v>512</v>
      </c>
      <c r="N1103" s="1" t="s">
        <v>512</v>
      </c>
      <c r="O1103" s="1" t="s">
        <v>512</v>
      </c>
      <c r="Q1103" s="1" t="s">
        <v>512</v>
      </c>
    </row>
    <row r="1104" spans="4:17" x14ac:dyDescent="0.25">
      <c r="D1104" s="1" t="s">
        <v>512</v>
      </c>
      <c r="E1104" s="21" t="s">
        <v>512</v>
      </c>
      <c r="F1104" s="1" t="s">
        <v>512</v>
      </c>
      <c r="G1104" s="1" t="s">
        <v>512</v>
      </c>
      <c r="H1104" s="1" t="s">
        <v>512</v>
      </c>
      <c r="I1104" s="1" t="s">
        <v>512</v>
      </c>
      <c r="J1104" s="1" t="s">
        <v>512</v>
      </c>
      <c r="K1104" s="1" t="s">
        <v>512</v>
      </c>
      <c r="L1104" s="1" t="s">
        <v>512</v>
      </c>
      <c r="M1104" s="1" t="s">
        <v>512</v>
      </c>
      <c r="N1104" s="1" t="s">
        <v>512</v>
      </c>
      <c r="O1104" s="1" t="s">
        <v>512</v>
      </c>
      <c r="Q1104" s="1" t="s">
        <v>512</v>
      </c>
    </row>
    <row r="1105" spans="4:17" x14ac:dyDescent="0.25">
      <c r="D1105" s="1" t="s">
        <v>512</v>
      </c>
      <c r="E1105" s="21" t="s">
        <v>512</v>
      </c>
      <c r="F1105" s="1" t="s">
        <v>512</v>
      </c>
      <c r="G1105" s="1" t="s">
        <v>512</v>
      </c>
      <c r="H1105" s="1" t="s">
        <v>512</v>
      </c>
      <c r="I1105" s="1" t="s">
        <v>512</v>
      </c>
      <c r="J1105" s="1" t="s">
        <v>512</v>
      </c>
      <c r="K1105" s="1" t="s">
        <v>512</v>
      </c>
      <c r="L1105" s="1" t="s">
        <v>512</v>
      </c>
      <c r="M1105" s="1" t="s">
        <v>512</v>
      </c>
      <c r="N1105" s="1" t="s">
        <v>512</v>
      </c>
      <c r="O1105" s="1" t="s">
        <v>512</v>
      </c>
      <c r="Q1105" s="1" t="s">
        <v>512</v>
      </c>
    </row>
    <row r="1106" spans="4:17" x14ac:dyDescent="0.25">
      <c r="D1106" s="1" t="s">
        <v>512</v>
      </c>
      <c r="E1106" s="21" t="s">
        <v>512</v>
      </c>
      <c r="F1106" s="1" t="s">
        <v>512</v>
      </c>
      <c r="G1106" s="1" t="s">
        <v>512</v>
      </c>
      <c r="H1106" s="1" t="s">
        <v>512</v>
      </c>
      <c r="I1106" s="1" t="s">
        <v>512</v>
      </c>
      <c r="J1106" s="1" t="s">
        <v>512</v>
      </c>
      <c r="K1106" s="1" t="s">
        <v>512</v>
      </c>
      <c r="L1106" s="1" t="s">
        <v>512</v>
      </c>
      <c r="M1106" s="1" t="s">
        <v>512</v>
      </c>
      <c r="N1106" s="1" t="s">
        <v>512</v>
      </c>
      <c r="O1106" s="1" t="s">
        <v>512</v>
      </c>
      <c r="Q1106" s="1" t="s">
        <v>512</v>
      </c>
    </row>
    <row r="1107" spans="4:17" x14ac:dyDescent="0.25">
      <c r="D1107" s="1" t="s">
        <v>512</v>
      </c>
      <c r="E1107" s="21" t="s">
        <v>512</v>
      </c>
      <c r="F1107" s="1" t="s">
        <v>512</v>
      </c>
      <c r="G1107" s="1" t="s">
        <v>512</v>
      </c>
      <c r="H1107" s="1" t="s">
        <v>512</v>
      </c>
      <c r="I1107" s="1" t="s">
        <v>512</v>
      </c>
      <c r="J1107" s="1" t="s">
        <v>512</v>
      </c>
      <c r="K1107" s="1" t="s">
        <v>512</v>
      </c>
      <c r="L1107" s="1" t="s">
        <v>512</v>
      </c>
      <c r="M1107" s="1" t="s">
        <v>512</v>
      </c>
      <c r="N1107" s="1" t="s">
        <v>512</v>
      </c>
      <c r="O1107" s="1" t="s">
        <v>512</v>
      </c>
      <c r="Q1107" s="1" t="s">
        <v>512</v>
      </c>
    </row>
    <row r="1108" spans="4:17" x14ac:dyDescent="0.25">
      <c r="D1108" s="1" t="s">
        <v>512</v>
      </c>
      <c r="E1108" s="21" t="s">
        <v>512</v>
      </c>
      <c r="F1108" s="1" t="s">
        <v>512</v>
      </c>
      <c r="G1108" s="1" t="s">
        <v>512</v>
      </c>
      <c r="H1108" s="1" t="s">
        <v>512</v>
      </c>
      <c r="I1108" s="1" t="s">
        <v>512</v>
      </c>
      <c r="J1108" s="1" t="s">
        <v>512</v>
      </c>
      <c r="K1108" s="1" t="s">
        <v>512</v>
      </c>
      <c r="L1108" s="1" t="s">
        <v>512</v>
      </c>
      <c r="M1108" s="1" t="s">
        <v>512</v>
      </c>
      <c r="N1108" s="1" t="s">
        <v>512</v>
      </c>
      <c r="O1108" s="1" t="s">
        <v>512</v>
      </c>
      <c r="Q1108" s="1" t="s">
        <v>512</v>
      </c>
    </row>
    <row r="1109" spans="4:17" x14ac:dyDescent="0.25">
      <c r="D1109" s="1" t="s">
        <v>512</v>
      </c>
      <c r="E1109" s="21" t="s">
        <v>512</v>
      </c>
      <c r="F1109" s="1" t="s">
        <v>512</v>
      </c>
      <c r="G1109" s="1" t="s">
        <v>512</v>
      </c>
      <c r="H1109" s="1" t="s">
        <v>512</v>
      </c>
      <c r="I1109" s="1" t="s">
        <v>512</v>
      </c>
      <c r="J1109" s="1" t="s">
        <v>512</v>
      </c>
      <c r="K1109" s="1" t="s">
        <v>512</v>
      </c>
      <c r="L1109" s="1" t="s">
        <v>512</v>
      </c>
      <c r="M1109" s="1" t="s">
        <v>512</v>
      </c>
      <c r="N1109" s="1" t="s">
        <v>512</v>
      </c>
      <c r="O1109" s="1" t="s">
        <v>512</v>
      </c>
      <c r="Q1109" s="1" t="s">
        <v>512</v>
      </c>
    </row>
    <row r="1110" spans="4:17" x14ac:dyDescent="0.25">
      <c r="D1110" s="1" t="s">
        <v>512</v>
      </c>
      <c r="E1110" s="21" t="s">
        <v>512</v>
      </c>
      <c r="F1110" s="1" t="s">
        <v>512</v>
      </c>
      <c r="G1110" s="1" t="s">
        <v>512</v>
      </c>
      <c r="H1110" s="1" t="s">
        <v>512</v>
      </c>
      <c r="I1110" s="1" t="s">
        <v>512</v>
      </c>
      <c r="J1110" s="1" t="s">
        <v>512</v>
      </c>
      <c r="K1110" s="1" t="s">
        <v>512</v>
      </c>
      <c r="L1110" s="1" t="s">
        <v>512</v>
      </c>
      <c r="M1110" s="1" t="s">
        <v>512</v>
      </c>
      <c r="N1110" s="1" t="s">
        <v>512</v>
      </c>
      <c r="O1110" s="1" t="s">
        <v>512</v>
      </c>
      <c r="Q1110" s="1" t="s">
        <v>512</v>
      </c>
    </row>
    <row r="1111" spans="4:17" x14ac:dyDescent="0.25">
      <c r="D1111" s="1" t="s">
        <v>512</v>
      </c>
      <c r="E1111" s="21" t="s">
        <v>512</v>
      </c>
      <c r="F1111" s="1" t="s">
        <v>512</v>
      </c>
      <c r="G1111" s="1" t="s">
        <v>512</v>
      </c>
      <c r="H1111" s="1" t="s">
        <v>512</v>
      </c>
      <c r="I1111" s="1" t="s">
        <v>512</v>
      </c>
      <c r="J1111" s="1" t="s">
        <v>512</v>
      </c>
      <c r="K1111" s="1" t="s">
        <v>512</v>
      </c>
      <c r="L1111" s="1" t="s">
        <v>512</v>
      </c>
      <c r="M1111" s="1" t="s">
        <v>512</v>
      </c>
      <c r="N1111" s="1" t="s">
        <v>512</v>
      </c>
      <c r="O1111" s="1" t="s">
        <v>512</v>
      </c>
      <c r="Q1111" s="1" t="s">
        <v>512</v>
      </c>
    </row>
    <row r="1112" spans="4:17" x14ac:dyDescent="0.25">
      <c r="D1112" s="1" t="s">
        <v>512</v>
      </c>
      <c r="E1112" s="21" t="s">
        <v>512</v>
      </c>
      <c r="F1112" s="1" t="s">
        <v>512</v>
      </c>
      <c r="G1112" s="1" t="s">
        <v>512</v>
      </c>
      <c r="H1112" s="1" t="s">
        <v>512</v>
      </c>
      <c r="I1112" s="1" t="s">
        <v>512</v>
      </c>
      <c r="J1112" s="1" t="s">
        <v>512</v>
      </c>
      <c r="K1112" s="1" t="s">
        <v>512</v>
      </c>
      <c r="L1112" s="1" t="s">
        <v>512</v>
      </c>
      <c r="M1112" s="1" t="s">
        <v>512</v>
      </c>
      <c r="N1112" s="1" t="s">
        <v>512</v>
      </c>
      <c r="O1112" s="1" t="s">
        <v>512</v>
      </c>
      <c r="Q1112" s="1" t="s">
        <v>512</v>
      </c>
    </row>
    <row r="1113" spans="4:17" x14ac:dyDescent="0.25">
      <c r="D1113" s="1" t="s">
        <v>512</v>
      </c>
      <c r="E1113" s="21" t="s">
        <v>512</v>
      </c>
      <c r="F1113" s="1" t="s">
        <v>512</v>
      </c>
      <c r="G1113" s="1" t="s">
        <v>512</v>
      </c>
      <c r="H1113" s="1" t="s">
        <v>512</v>
      </c>
      <c r="I1113" s="1" t="s">
        <v>512</v>
      </c>
      <c r="J1113" s="1" t="s">
        <v>512</v>
      </c>
      <c r="K1113" s="1" t="s">
        <v>512</v>
      </c>
      <c r="L1113" s="1" t="s">
        <v>512</v>
      </c>
      <c r="M1113" s="1" t="s">
        <v>512</v>
      </c>
      <c r="N1113" s="1" t="s">
        <v>512</v>
      </c>
      <c r="O1113" s="1" t="s">
        <v>512</v>
      </c>
      <c r="Q1113" s="1" t="s">
        <v>512</v>
      </c>
    </row>
    <row r="1114" spans="4:17" x14ac:dyDescent="0.25">
      <c r="D1114" s="1" t="s">
        <v>512</v>
      </c>
      <c r="E1114" s="21" t="s">
        <v>512</v>
      </c>
      <c r="F1114" s="1" t="s">
        <v>512</v>
      </c>
      <c r="G1114" s="1" t="s">
        <v>512</v>
      </c>
      <c r="H1114" s="1" t="s">
        <v>512</v>
      </c>
      <c r="I1114" s="1" t="s">
        <v>512</v>
      </c>
      <c r="J1114" s="1" t="s">
        <v>512</v>
      </c>
      <c r="K1114" s="1" t="s">
        <v>512</v>
      </c>
      <c r="L1114" s="1" t="s">
        <v>512</v>
      </c>
      <c r="M1114" s="1" t="s">
        <v>512</v>
      </c>
      <c r="N1114" s="1" t="s">
        <v>512</v>
      </c>
      <c r="O1114" s="1" t="s">
        <v>512</v>
      </c>
      <c r="Q1114" s="1" t="s">
        <v>512</v>
      </c>
    </row>
    <row r="1115" spans="4:17" x14ac:dyDescent="0.25">
      <c r="D1115" s="1" t="s">
        <v>512</v>
      </c>
      <c r="E1115" s="21" t="s">
        <v>512</v>
      </c>
      <c r="F1115" s="1" t="s">
        <v>512</v>
      </c>
      <c r="G1115" s="1" t="s">
        <v>512</v>
      </c>
      <c r="H1115" s="1" t="s">
        <v>512</v>
      </c>
      <c r="I1115" s="1" t="s">
        <v>512</v>
      </c>
      <c r="J1115" s="1" t="s">
        <v>512</v>
      </c>
      <c r="K1115" s="1" t="s">
        <v>512</v>
      </c>
      <c r="L1115" s="1" t="s">
        <v>512</v>
      </c>
      <c r="M1115" s="1" t="s">
        <v>512</v>
      </c>
      <c r="N1115" s="1" t="s">
        <v>512</v>
      </c>
      <c r="O1115" s="1" t="s">
        <v>512</v>
      </c>
      <c r="Q1115" s="1" t="s">
        <v>512</v>
      </c>
    </row>
    <row r="1116" spans="4:17" x14ac:dyDescent="0.25">
      <c r="D1116" s="1" t="s">
        <v>512</v>
      </c>
      <c r="E1116" s="21" t="s">
        <v>512</v>
      </c>
      <c r="F1116" s="1" t="s">
        <v>512</v>
      </c>
      <c r="G1116" s="1" t="s">
        <v>512</v>
      </c>
      <c r="H1116" s="1" t="s">
        <v>512</v>
      </c>
      <c r="I1116" s="1" t="s">
        <v>512</v>
      </c>
      <c r="J1116" s="1" t="s">
        <v>512</v>
      </c>
      <c r="K1116" s="1" t="s">
        <v>512</v>
      </c>
      <c r="L1116" s="1" t="s">
        <v>512</v>
      </c>
      <c r="M1116" s="1" t="s">
        <v>512</v>
      </c>
      <c r="N1116" s="1" t="s">
        <v>512</v>
      </c>
      <c r="O1116" s="1" t="s">
        <v>512</v>
      </c>
      <c r="Q1116" s="1" t="s">
        <v>512</v>
      </c>
    </row>
    <row r="1117" spans="4:17" x14ac:dyDescent="0.25">
      <c r="D1117" s="1" t="s">
        <v>512</v>
      </c>
      <c r="E1117" s="21" t="s">
        <v>512</v>
      </c>
      <c r="F1117" s="1" t="s">
        <v>512</v>
      </c>
      <c r="G1117" s="1" t="s">
        <v>512</v>
      </c>
      <c r="H1117" s="1" t="s">
        <v>512</v>
      </c>
      <c r="I1117" s="1" t="s">
        <v>512</v>
      </c>
      <c r="J1117" s="1" t="s">
        <v>512</v>
      </c>
      <c r="K1117" s="1" t="s">
        <v>512</v>
      </c>
      <c r="L1117" s="1" t="s">
        <v>512</v>
      </c>
      <c r="M1117" s="1" t="s">
        <v>512</v>
      </c>
      <c r="N1117" s="1" t="s">
        <v>512</v>
      </c>
      <c r="O1117" s="1" t="s">
        <v>512</v>
      </c>
      <c r="Q1117" s="1" t="s">
        <v>512</v>
      </c>
    </row>
    <row r="1118" spans="4:17" x14ac:dyDescent="0.25">
      <c r="D1118" s="1" t="s">
        <v>512</v>
      </c>
      <c r="E1118" s="21" t="s">
        <v>512</v>
      </c>
      <c r="F1118" s="1" t="s">
        <v>512</v>
      </c>
      <c r="G1118" s="1" t="s">
        <v>512</v>
      </c>
      <c r="H1118" s="1" t="s">
        <v>512</v>
      </c>
      <c r="I1118" s="1" t="s">
        <v>512</v>
      </c>
      <c r="J1118" s="1" t="s">
        <v>512</v>
      </c>
      <c r="K1118" s="1" t="s">
        <v>512</v>
      </c>
      <c r="L1118" s="1" t="s">
        <v>512</v>
      </c>
      <c r="M1118" s="1" t="s">
        <v>512</v>
      </c>
      <c r="N1118" s="1" t="s">
        <v>512</v>
      </c>
      <c r="O1118" s="1" t="s">
        <v>512</v>
      </c>
      <c r="Q1118" s="1" t="s">
        <v>512</v>
      </c>
    </row>
    <row r="1119" spans="4:17" x14ac:dyDescent="0.25">
      <c r="D1119" s="1" t="s">
        <v>512</v>
      </c>
      <c r="E1119" s="21" t="s">
        <v>512</v>
      </c>
      <c r="F1119" s="1" t="s">
        <v>512</v>
      </c>
      <c r="G1119" s="1" t="s">
        <v>512</v>
      </c>
      <c r="H1119" s="1" t="s">
        <v>512</v>
      </c>
      <c r="I1119" s="1" t="s">
        <v>512</v>
      </c>
      <c r="J1119" s="1" t="s">
        <v>512</v>
      </c>
      <c r="K1119" s="1" t="s">
        <v>512</v>
      </c>
      <c r="L1119" s="1" t="s">
        <v>512</v>
      </c>
      <c r="M1119" s="1" t="s">
        <v>512</v>
      </c>
      <c r="N1119" s="1" t="s">
        <v>512</v>
      </c>
      <c r="O1119" s="1" t="s">
        <v>512</v>
      </c>
      <c r="Q1119" s="1" t="s">
        <v>512</v>
      </c>
    </row>
    <row r="1120" spans="4:17" x14ac:dyDescent="0.25">
      <c r="D1120" s="1" t="s">
        <v>512</v>
      </c>
      <c r="E1120" s="21" t="s">
        <v>512</v>
      </c>
      <c r="F1120" s="1" t="s">
        <v>512</v>
      </c>
      <c r="G1120" s="1" t="s">
        <v>512</v>
      </c>
      <c r="H1120" s="1" t="s">
        <v>512</v>
      </c>
      <c r="I1120" s="1" t="s">
        <v>512</v>
      </c>
      <c r="J1120" s="1" t="s">
        <v>512</v>
      </c>
      <c r="K1120" s="1" t="s">
        <v>512</v>
      </c>
      <c r="L1120" s="1" t="s">
        <v>512</v>
      </c>
      <c r="M1120" s="1" t="s">
        <v>512</v>
      </c>
      <c r="N1120" s="1" t="s">
        <v>512</v>
      </c>
      <c r="O1120" s="1" t="s">
        <v>512</v>
      </c>
      <c r="Q1120" s="1" t="s">
        <v>512</v>
      </c>
    </row>
    <row r="1121" spans="4:17" x14ac:dyDescent="0.25">
      <c r="D1121" s="1" t="s">
        <v>512</v>
      </c>
      <c r="E1121" s="21" t="s">
        <v>512</v>
      </c>
      <c r="F1121" s="1" t="s">
        <v>512</v>
      </c>
      <c r="G1121" s="1" t="s">
        <v>512</v>
      </c>
      <c r="H1121" s="1" t="s">
        <v>512</v>
      </c>
      <c r="I1121" s="1" t="s">
        <v>512</v>
      </c>
      <c r="J1121" s="1" t="s">
        <v>512</v>
      </c>
      <c r="K1121" s="1" t="s">
        <v>512</v>
      </c>
      <c r="L1121" s="1" t="s">
        <v>512</v>
      </c>
      <c r="M1121" s="1" t="s">
        <v>512</v>
      </c>
      <c r="N1121" s="1" t="s">
        <v>512</v>
      </c>
      <c r="O1121" s="1" t="s">
        <v>512</v>
      </c>
      <c r="Q1121" s="1" t="s">
        <v>512</v>
      </c>
    </row>
    <row r="1122" spans="4:17" x14ac:dyDescent="0.25">
      <c r="D1122" s="1" t="s">
        <v>512</v>
      </c>
      <c r="E1122" s="21" t="s">
        <v>512</v>
      </c>
      <c r="F1122" s="1" t="s">
        <v>512</v>
      </c>
      <c r="G1122" s="1" t="s">
        <v>512</v>
      </c>
      <c r="H1122" s="1" t="s">
        <v>512</v>
      </c>
      <c r="I1122" s="1" t="s">
        <v>512</v>
      </c>
      <c r="J1122" s="1" t="s">
        <v>512</v>
      </c>
      <c r="K1122" s="1" t="s">
        <v>512</v>
      </c>
      <c r="L1122" s="1" t="s">
        <v>512</v>
      </c>
      <c r="M1122" s="1" t="s">
        <v>512</v>
      </c>
      <c r="N1122" s="1" t="s">
        <v>512</v>
      </c>
      <c r="O1122" s="1" t="s">
        <v>512</v>
      </c>
      <c r="Q1122" s="1" t="s">
        <v>512</v>
      </c>
    </row>
    <row r="1123" spans="4:17" x14ac:dyDescent="0.25">
      <c r="D1123" s="1" t="s">
        <v>512</v>
      </c>
      <c r="E1123" s="21" t="s">
        <v>512</v>
      </c>
      <c r="F1123" s="1" t="s">
        <v>512</v>
      </c>
      <c r="G1123" s="1" t="s">
        <v>512</v>
      </c>
      <c r="H1123" s="1" t="s">
        <v>512</v>
      </c>
      <c r="I1123" s="1" t="s">
        <v>512</v>
      </c>
      <c r="J1123" s="1" t="s">
        <v>512</v>
      </c>
      <c r="K1123" s="1" t="s">
        <v>512</v>
      </c>
      <c r="L1123" s="1" t="s">
        <v>512</v>
      </c>
      <c r="M1123" s="1" t="s">
        <v>512</v>
      </c>
      <c r="N1123" s="1" t="s">
        <v>512</v>
      </c>
      <c r="O1123" s="1" t="s">
        <v>512</v>
      </c>
      <c r="Q1123" s="1" t="s">
        <v>512</v>
      </c>
    </row>
    <row r="1124" spans="4:17" x14ac:dyDescent="0.25">
      <c r="D1124" s="1" t="s">
        <v>512</v>
      </c>
      <c r="E1124" s="21" t="s">
        <v>512</v>
      </c>
      <c r="F1124" s="1" t="s">
        <v>512</v>
      </c>
      <c r="G1124" s="1" t="s">
        <v>512</v>
      </c>
      <c r="H1124" s="1" t="s">
        <v>512</v>
      </c>
      <c r="I1124" s="1" t="s">
        <v>512</v>
      </c>
      <c r="J1124" s="1" t="s">
        <v>512</v>
      </c>
      <c r="K1124" s="1" t="s">
        <v>512</v>
      </c>
      <c r="L1124" s="1" t="s">
        <v>512</v>
      </c>
      <c r="M1124" s="1" t="s">
        <v>512</v>
      </c>
      <c r="N1124" s="1" t="s">
        <v>512</v>
      </c>
      <c r="O1124" s="1" t="s">
        <v>512</v>
      </c>
      <c r="Q1124" s="1" t="s">
        <v>512</v>
      </c>
    </row>
    <row r="1125" spans="4:17" x14ac:dyDescent="0.25">
      <c r="D1125" s="1" t="s">
        <v>512</v>
      </c>
      <c r="E1125" s="21" t="s">
        <v>512</v>
      </c>
      <c r="F1125" s="1" t="s">
        <v>512</v>
      </c>
      <c r="G1125" s="1" t="s">
        <v>512</v>
      </c>
      <c r="H1125" s="1" t="s">
        <v>512</v>
      </c>
      <c r="I1125" s="1" t="s">
        <v>512</v>
      </c>
      <c r="J1125" s="1" t="s">
        <v>512</v>
      </c>
      <c r="K1125" s="1" t="s">
        <v>512</v>
      </c>
      <c r="L1125" s="1" t="s">
        <v>512</v>
      </c>
      <c r="M1125" s="1" t="s">
        <v>512</v>
      </c>
      <c r="N1125" s="1" t="s">
        <v>512</v>
      </c>
      <c r="O1125" s="1" t="s">
        <v>512</v>
      </c>
      <c r="Q1125" s="1" t="s">
        <v>512</v>
      </c>
    </row>
    <row r="1126" spans="4:17" x14ac:dyDescent="0.25">
      <c r="D1126" s="1" t="s">
        <v>512</v>
      </c>
      <c r="E1126" s="21" t="s">
        <v>512</v>
      </c>
      <c r="F1126" s="1" t="s">
        <v>512</v>
      </c>
      <c r="G1126" s="1" t="s">
        <v>512</v>
      </c>
      <c r="H1126" s="1" t="s">
        <v>512</v>
      </c>
      <c r="I1126" s="1" t="s">
        <v>512</v>
      </c>
      <c r="J1126" s="1" t="s">
        <v>512</v>
      </c>
      <c r="K1126" s="1" t="s">
        <v>512</v>
      </c>
      <c r="L1126" s="1" t="s">
        <v>512</v>
      </c>
      <c r="M1126" s="1" t="s">
        <v>512</v>
      </c>
      <c r="N1126" s="1" t="s">
        <v>512</v>
      </c>
      <c r="O1126" s="1" t="s">
        <v>512</v>
      </c>
      <c r="Q1126" s="1" t="s">
        <v>512</v>
      </c>
    </row>
    <row r="1127" spans="4:17" x14ac:dyDescent="0.25">
      <c r="D1127" s="1" t="s">
        <v>512</v>
      </c>
      <c r="E1127" s="21" t="s">
        <v>512</v>
      </c>
      <c r="F1127" s="1" t="s">
        <v>512</v>
      </c>
      <c r="G1127" s="1" t="s">
        <v>512</v>
      </c>
      <c r="H1127" s="1" t="s">
        <v>512</v>
      </c>
      <c r="I1127" s="1" t="s">
        <v>512</v>
      </c>
      <c r="J1127" s="1" t="s">
        <v>512</v>
      </c>
      <c r="K1127" s="1" t="s">
        <v>512</v>
      </c>
      <c r="L1127" s="1" t="s">
        <v>512</v>
      </c>
      <c r="M1127" s="1" t="s">
        <v>512</v>
      </c>
      <c r="N1127" s="1" t="s">
        <v>512</v>
      </c>
      <c r="O1127" s="1" t="s">
        <v>512</v>
      </c>
      <c r="Q1127" s="1" t="s">
        <v>512</v>
      </c>
    </row>
    <row r="1128" spans="4:17" x14ac:dyDescent="0.25">
      <c r="D1128" s="1" t="s">
        <v>512</v>
      </c>
      <c r="E1128" s="21" t="s">
        <v>512</v>
      </c>
      <c r="F1128" s="1" t="s">
        <v>512</v>
      </c>
      <c r="G1128" s="1" t="s">
        <v>512</v>
      </c>
      <c r="H1128" s="1" t="s">
        <v>512</v>
      </c>
      <c r="I1128" s="1" t="s">
        <v>512</v>
      </c>
      <c r="J1128" s="1" t="s">
        <v>512</v>
      </c>
      <c r="K1128" s="1" t="s">
        <v>512</v>
      </c>
      <c r="L1128" s="1" t="s">
        <v>512</v>
      </c>
      <c r="M1128" s="1" t="s">
        <v>512</v>
      </c>
      <c r="N1128" s="1" t="s">
        <v>512</v>
      </c>
      <c r="O1128" s="1" t="s">
        <v>512</v>
      </c>
      <c r="Q1128" s="1" t="s">
        <v>512</v>
      </c>
    </row>
    <row r="1129" spans="4:17" x14ac:dyDescent="0.25">
      <c r="D1129" s="1" t="s">
        <v>512</v>
      </c>
      <c r="E1129" s="21" t="s">
        <v>512</v>
      </c>
      <c r="F1129" s="1" t="s">
        <v>512</v>
      </c>
      <c r="G1129" s="1" t="s">
        <v>512</v>
      </c>
      <c r="H1129" s="1" t="s">
        <v>512</v>
      </c>
      <c r="I1129" s="1" t="s">
        <v>512</v>
      </c>
      <c r="J1129" s="1" t="s">
        <v>512</v>
      </c>
      <c r="K1129" s="1" t="s">
        <v>512</v>
      </c>
      <c r="L1129" s="1" t="s">
        <v>512</v>
      </c>
      <c r="M1129" s="1" t="s">
        <v>512</v>
      </c>
      <c r="N1129" s="1" t="s">
        <v>512</v>
      </c>
      <c r="O1129" s="1" t="s">
        <v>512</v>
      </c>
      <c r="Q1129" s="1" t="s">
        <v>512</v>
      </c>
    </row>
    <row r="1130" spans="4:17" x14ac:dyDescent="0.25">
      <c r="D1130" s="1" t="s">
        <v>512</v>
      </c>
      <c r="E1130" s="21" t="s">
        <v>512</v>
      </c>
      <c r="F1130" s="1" t="s">
        <v>512</v>
      </c>
      <c r="G1130" s="1" t="s">
        <v>512</v>
      </c>
      <c r="H1130" s="1" t="s">
        <v>512</v>
      </c>
      <c r="I1130" s="1" t="s">
        <v>512</v>
      </c>
      <c r="J1130" s="1" t="s">
        <v>512</v>
      </c>
      <c r="K1130" s="1" t="s">
        <v>512</v>
      </c>
      <c r="L1130" s="1" t="s">
        <v>512</v>
      </c>
      <c r="M1130" s="1" t="s">
        <v>512</v>
      </c>
      <c r="N1130" s="1" t="s">
        <v>512</v>
      </c>
      <c r="O1130" s="1" t="s">
        <v>512</v>
      </c>
      <c r="Q1130" s="1" t="s">
        <v>512</v>
      </c>
    </row>
    <row r="1131" spans="4:17" x14ac:dyDescent="0.25">
      <c r="D1131" s="1" t="s">
        <v>512</v>
      </c>
      <c r="E1131" s="21" t="s">
        <v>512</v>
      </c>
      <c r="F1131" s="1" t="s">
        <v>512</v>
      </c>
      <c r="G1131" s="1" t="s">
        <v>512</v>
      </c>
      <c r="H1131" s="1" t="s">
        <v>512</v>
      </c>
      <c r="I1131" s="1" t="s">
        <v>512</v>
      </c>
      <c r="J1131" s="1" t="s">
        <v>512</v>
      </c>
      <c r="K1131" s="1" t="s">
        <v>512</v>
      </c>
      <c r="L1131" s="1" t="s">
        <v>512</v>
      </c>
      <c r="M1131" s="1" t="s">
        <v>512</v>
      </c>
      <c r="N1131" s="1" t="s">
        <v>512</v>
      </c>
      <c r="O1131" s="1" t="s">
        <v>512</v>
      </c>
      <c r="Q1131" s="1" t="s">
        <v>512</v>
      </c>
    </row>
    <row r="1132" spans="4:17" x14ac:dyDescent="0.25">
      <c r="D1132" s="1" t="s">
        <v>512</v>
      </c>
      <c r="E1132" s="21" t="s">
        <v>512</v>
      </c>
      <c r="F1132" s="1" t="s">
        <v>512</v>
      </c>
      <c r="G1132" s="1" t="s">
        <v>512</v>
      </c>
      <c r="H1132" s="1" t="s">
        <v>512</v>
      </c>
      <c r="I1132" s="1" t="s">
        <v>512</v>
      </c>
      <c r="J1132" s="1" t="s">
        <v>512</v>
      </c>
      <c r="K1132" s="1" t="s">
        <v>512</v>
      </c>
      <c r="L1132" s="1" t="s">
        <v>512</v>
      </c>
      <c r="M1132" s="1" t="s">
        <v>512</v>
      </c>
      <c r="N1132" s="1" t="s">
        <v>512</v>
      </c>
      <c r="O1132" s="1" t="s">
        <v>512</v>
      </c>
      <c r="Q1132" s="1" t="s">
        <v>512</v>
      </c>
    </row>
    <row r="1133" spans="4:17" x14ac:dyDescent="0.25">
      <c r="D1133" s="1" t="s">
        <v>512</v>
      </c>
      <c r="E1133" s="21" t="s">
        <v>512</v>
      </c>
      <c r="F1133" s="1" t="s">
        <v>512</v>
      </c>
      <c r="G1133" s="1" t="s">
        <v>512</v>
      </c>
      <c r="H1133" s="1" t="s">
        <v>512</v>
      </c>
      <c r="I1133" s="1" t="s">
        <v>512</v>
      </c>
      <c r="J1133" s="1" t="s">
        <v>512</v>
      </c>
      <c r="K1133" s="1" t="s">
        <v>512</v>
      </c>
      <c r="L1133" s="1" t="s">
        <v>512</v>
      </c>
      <c r="M1133" s="1" t="s">
        <v>512</v>
      </c>
      <c r="N1133" s="1" t="s">
        <v>512</v>
      </c>
      <c r="O1133" s="1" t="s">
        <v>512</v>
      </c>
      <c r="Q1133" s="1" t="s">
        <v>512</v>
      </c>
    </row>
    <row r="1134" spans="4:17" x14ac:dyDescent="0.25">
      <c r="D1134" s="1" t="s">
        <v>512</v>
      </c>
      <c r="E1134" s="21" t="s">
        <v>512</v>
      </c>
      <c r="F1134" s="1" t="s">
        <v>512</v>
      </c>
      <c r="G1134" s="1" t="s">
        <v>512</v>
      </c>
      <c r="H1134" s="1" t="s">
        <v>512</v>
      </c>
      <c r="I1134" s="1" t="s">
        <v>512</v>
      </c>
      <c r="J1134" s="1" t="s">
        <v>512</v>
      </c>
      <c r="K1134" s="1" t="s">
        <v>512</v>
      </c>
      <c r="L1134" s="1" t="s">
        <v>512</v>
      </c>
      <c r="M1134" s="1" t="s">
        <v>512</v>
      </c>
      <c r="N1134" s="1" t="s">
        <v>512</v>
      </c>
      <c r="O1134" s="1" t="s">
        <v>512</v>
      </c>
      <c r="Q1134" s="1" t="s">
        <v>512</v>
      </c>
    </row>
    <row r="1135" spans="4:17" x14ac:dyDescent="0.25">
      <c r="D1135" s="1" t="s">
        <v>512</v>
      </c>
      <c r="E1135" s="21" t="s">
        <v>512</v>
      </c>
      <c r="F1135" s="1" t="s">
        <v>512</v>
      </c>
      <c r="G1135" s="1" t="s">
        <v>512</v>
      </c>
      <c r="H1135" s="1" t="s">
        <v>512</v>
      </c>
      <c r="I1135" s="1" t="s">
        <v>512</v>
      </c>
      <c r="J1135" s="1" t="s">
        <v>512</v>
      </c>
      <c r="K1135" s="1" t="s">
        <v>512</v>
      </c>
      <c r="L1135" s="1" t="s">
        <v>512</v>
      </c>
      <c r="M1135" s="1" t="s">
        <v>512</v>
      </c>
      <c r="N1135" s="1" t="s">
        <v>512</v>
      </c>
      <c r="O1135" s="1" t="s">
        <v>512</v>
      </c>
      <c r="Q1135" s="1" t="s">
        <v>512</v>
      </c>
    </row>
    <row r="1136" spans="4:17" x14ac:dyDescent="0.25">
      <c r="D1136" s="1" t="s">
        <v>512</v>
      </c>
      <c r="E1136" s="21" t="s">
        <v>512</v>
      </c>
      <c r="F1136" s="1" t="s">
        <v>512</v>
      </c>
      <c r="G1136" s="1" t="s">
        <v>512</v>
      </c>
      <c r="H1136" s="1" t="s">
        <v>512</v>
      </c>
      <c r="I1136" s="1" t="s">
        <v>512</v>
      </c>
      <c r="J1136" s="1" t="s">
        <v>512</v>
      </c>
      <c r="K1136" s="1" t="s">
        <v>512</v>
      </c>
      <c r="L1136" s="1" t="s">
        <v>512</v>
      </c>
      <c r="M1136" s="1" t="s">
        <v>512</v>
      </c>
      <c r="N1136" s="1" t="s">
        <v>512</v>
      </c>
      <c r="O1136" s="1" t="s">
        <v>512</v>
      </c>
      <c r="Q1136" s="1" t="s">
        <v>512</v>
      </c>
    </row>
    <row r="1137" spans="4:17" x14ac:dyDescent="0.25">
      <c r="D1137" s="1" t="s">
        <v>512</v>
      </c>
      <c r="E1137" s="21" t="s">
        <v>512</v>
      </c>
      <c r="F1137" s="1" t="s">
        <v>512</v>
      </c>
      <c r="G1137" s="1" t="s">
        <v>512</v>
      </c>
      <c r="H1137" s="1" t="s">
        <v>512</v>
      </c>
      <c r="I1137" s="1" t="s">
        <v>512</v>
      </c>
      <c r="J1137" s="1" t="s">
        <v>512</v>
      </c>
      <c r="K1137" s="1" t="s">
        <v>512</v>
      </c>
      <c r="L1137" s="1" t="s">
        <v>512</v>
      </c>
      <c r="M1137" s="1" t="s">
        <v>512</v>
      </c>
      <c r="N1137" s="1" t="s">
        <v>512</v>
      </c>
      <c r="O1137" s="1" t="s">
        <v>512</v>
      </c>
      <c r="Q1137" s="1" t="s">
        <v>512</v>
      </c>
    </row>
    <row r="1138" spans="4:17" x14ac:dyDescent="0.25">
      <c r="D1138" s="1" t="s">
        <v>512</v>
      </c>
      <c r="E1138" s="21" t="s">
        <v>512</v>
      </c>
      <c r="F1138" s="1" t="s">
        <v>512</v>
      </c>
      <c r="G1138" s="1" t="s">
        <v>512</v>
      </c>
      <c r="H1138" s="1" t="s">
        <v>512</v>
      </c>
      <c r="I1138" s="1" t="s">
        <v>512</v>
      </c>
      <c r="J1138" s="1" t="s">
        <v>512</v>
      </c>
      <c r="K1138" s="1" t="s">
        <v>512</v>
      </c>
      <c r="L1138" s="1" t="s">
        <v>512</v>
      </c>
      <c r="M1138" s="1" t="s">
        <v>512</v>
      </c>
      <c r="N1138" s="1" t="s">
        <v>512</v>
      </c>
      <c r="O1138" s="1" t="s">
        <v>512</v>
      </c>
      <c r="Q1138" s="1" t="s">
        <v>512</v>
      </c>
    </row>
    <row r="1139" spans="4:17" x14ac:dyDescent="0.25">
      <c r="D1139" s="1" t="s">
        <v>512</v>
      </c>
      <c r="E1139" s="21" t="s">
        <v>512</v>
      </c>
      <c r="F1139" s="1" t="s">
        <v>512</v>
      </c>
      <c r="G1139" s="1" t="s">
        <v>512</v>
      </c>
      <c r="H1139" s="1" t="s">
        <v>512</v>
      </c>
      <c r="I1139" s="1" t="s">
        <v>512</v>
      </c>
      <c r="J1139" s="1" t="s">
        <v>512</v>
      </c>
      <c r="K1139" s="1" t="s">
        <v>512</v>
      </c>
      <c r="L1139" s="1" t="s">
        <v>512</v>
      </c>
      <c r="M1139" s="1" t="s">
        <v>512</v>
      </c>
      <c r="N1139" s="1" t="s">
        <v>512</v>
      </c>
      <c r="O1139" s="1" t="s">
        <v>512</v>
      </c>
      <c r="Q1139" s="1" t="s">
        <v>512</v>
      </c>
    </row>
    <row r="1140" spans="4:17" x14ac:dyDescent="0.25">
      <c r="D1140" s="1" t="s">
        <v>512</v>
      </c>
      <c r="E1140" s="21" t="s">
        <v>512</v>
      </c>
      <c r="F1140" s="1" t="s">
        <v>512</v>
      </c>
      <c r="G1140" s="1" t="s">
        <v>512</v>
      </c>
      <c r="H1140" s="1" t="s">
        <v>512</v>
      </c>
      <c r="I1140" s="1" t="s">
        <v>512</v>
      </c>
      <c r="J1140" s="1" t="s">
        <v>512</v>
      </c>
      <c r="K1140" s="1" t="s">
        <v>512</v>
      </c>
      <c r="L1140" s="1" t="s">
        <v>512</v>
      </c>
      <c r="M1140" s="1" t="s">
        <v>512</v>
      </c>
      <c r="N1140" s="1" t="s">
        <v>512</v>
      </c>
      <c r="O1140" s="1" t="s">
        <v>512</v>
      </c>
      <c r="Q1140" s="1" t="s">
        <v>512</v>
      </c>
    </row>
    <row r="1141" spans="4:17" x14ac:dyDescent="0.25">
      <c r="D1141" s="1" t="s">
        <v>512</v>
      </c>
      <c r="E1141" s="21" t="s">
        <v>512</v>
      </c>
      <c r="F1141" s="1" t="s">
        <v>512</v>
      </c>
      <c r="G1141" s="1" t="s">
        <v>512</v>
      </c>
      <c r="H1141" s="1" t="s">
        <v>512</v>
      </c>
      <c r="I1141" s="1" t="s">
        <v>512</v>
      </c>
      <c r="J1141" s="1" t="s">
        <v>512</v>
      </c>
      <c r="K1141" s="1" t="s">
        <v>512</v>
      </c>
      <c r="L1141" s="1" t="s">
        <v>512</v>
      </c>
      <c r="M1141" s="1" t="s">
        <v>512</v>
      </c>
      <c r="N1141" s="1" t="s">
        <v>512</v>
      </c>
      <c r="O1141" s="1" t="s">
        <v>512</v>
      </c>
      <c r="Q1141" s="1" t="s">
        <v>512</v>
      </c>
    </row>
    <row r="1142" spans="4:17" x14ac:dyDescent="0.25">
      <c r="D1142" s="1" t="s">
        <v>512</v>
      </c>
      <c r="E1142" s="21" t="s">
        <v>512</v>
      </c>
      <c r="F1142" s="1" t="s">
        <v>512</v>
      </c>
      <c r="G1142" s="1" t="s">
        <v>512</v>
      </c>
      <c r="H1142" s="1" t="s">
        <v>512</v>
      </c>
      <c r="I1142" s="1" t="s">
        <v>512</v>
      </c>
      <c r="J1142" s="1" t="s">
        <v>512</v>
      </c>
      <c r="K1142" s="1" t="s">
        <v>512</v>
      </c>
      <c r="L1142" s="1" t="s">
        <v>512</v>
      </c>
      <c r="M1142" s="1" t="s">
        <v>512</v>
      </c>
      <c r="N1142" s="1" t="s">
        <v>512</v>
      </c>
      <c r="O1142" s="1" t="s">
        <v>512</v>
      </c>
      <c r="Q1142" s="1" t="s">
        <v>512</v>
      </c>
    </row>
    <row r="1143" spans="4:17" x14ac:dyDescent="0.25">
      <c r="D1143" s="1" t="s">
        <v>512</v>
      </c>
      <c r="E1143" s="21" t="s">
        <v>512</v>
      </c>
      <c r="F1143" s="1" t="s">
        <v>512</v>
      </c>
      <c r="G1143" s="1" t="s">
        <v>512</v>
      </c>
      <c r="H1143" s="1" t="s">
        <v>512</v>
      </c>
      <c r="I1143" s="1" t="s">
        <v>512</v>
      </c>
      <c r="J1143" s="1" t="s">
        <v>512</v>
      </c>
      <c r="K1143" s="1" t="s">
        <v>512</v>
      </c>
      <c r="L1143" s="1" t="s">
        <v>512</v>
      </c>
      <c r="M1143" s="1" t="s">
        <v>512</v>
      </c>
      <c r="N1143" s="1" t="s">
        <v>512</v>
      </c>
      <c r="O1143" s="1" t="s">
        <v>512</v>
      </c>
      <c r="Q1143" s="1" t="s">
        <v>512</v>
      </c>
    </row>
    <row r="1144" spans="4:17" x14ac:dyDescent="0.25">
      <c r="D1144" s="1" t="s">
        <v>512</v>
      </c>
      <c r="E1144" s="21" t="s">
        <v>512</v>
      </c>
      <c r="F1144" s="1" t="s">
        <v>512</v>
      </c>
      <c r="G1144" s="1" t="s">
        <v>512</v>
      </c>
      <c r="H1144" s="1" t="s">
        <v>512</v>
      </c>
      <c r="I1144" s="1" t="s">
        <v>512</v>
      </c>
      <c r="J1144" s="1" t="s">
        <v>512</v>
      </c>
      <c r="K1144" s="1" t="s">
        <v>512</v>
      </c>
      <c r="L1144" s="1" t="s">
        <v>512</v>
      </c>
      <c r="M1144" s="1" t="s">
        <v>512</v>
      </c>
      <c r="N1144" s="1" t="s">
        <v>512</v>
      </c>
      <c r="O1144" s="1" t="s">
        <v>512</v>
      </c>
      <c r="Q1144" s="1" t="s">
        <v>512</v>
      </c>
    </row>
    <row r="1145" spans="4:17" x14ac:dyDescent="0.25">
      <c r="D1145" s="1" t="s">
        <v>512</v>
      </c>
      <c r="E1145" s="21" t="s">
        <v>512</v>
      </c>
      <c r="F1145" s="1" t="s">
        <v>512</v>
      </c>
      <c r="G1145" s="1" t="s">
        <v>512</v>
      </c>
      <c r="H1145" s="1" t="s">
        <v>512</v>
      </c>
      <c r="I1145" s="1" t="s">
        <v>512</v>
      </c>
      <c r="J1145" s="1" t="s">
        <v>512</v>
      </c>
      <c r="K1145" s="1" t="s">
        <v>512</v>
      </c>
      <c r="L1145" s="1" t="s">
        <v>512</v>
      </c>
      <c r="M1145" s="1" t="s">
        <v>512</v>
      </c>
      <c r="N1145" s="1" t="s">
        <v>512</v>
      </c>
      <c r="O1145" s="1" t="s">
        <v>512</v>
      </c>
      <c r="Q1145" s="1" t="s">
        <v>512</v>
      </c>
    </row>
    <row r="1146" spans="4:17" x14ac:dyDescent="0.25">
      <c r="D1146" s="1" t="s">
        <v>512</v>
      </c>
      <c r="E1146" s="21" t="s">
        <v>512</v>
      </c>
      <c r="F1146" s="1" t="s">
        <v>512</v>
      </c>
      <c r="G1146" s="1" t="s">
        <v>512</v>
      </c>
      <c r="H1146" s="1" t="s">
        <v>512</v>
      </c>
      <c r="I1146" s="1" t="s">
        <v>512</v>
      </c>
      <c r="J1146" s="1" t="s">
        <v>512</v>
      </c>
      <c r="K1146" s="1" t="s">
        <v>512</v>
      </c>
      <c r="L1146" s="1" t="s">
        <v>512</v>
      </c>
      <c r="M1146" s="1" t="s">
        <v>512</v>
      </c>
      <c r="N1146" s="1" t="s">
        <v>512</v>
      </c>
      <c r="O1146" s="1" t="s">
        <v>512</v>
      </c>
      <c r="Q1146" s="1" t="s">
        <v>512</v>
      </c>
    </row>
    <row r="1147" spans="4:17" x14ac:dyDescent="0.25">
      <c r="D1147" s="1" t="s">
        <v>512</v>
      </c>
      <c r="E1147" s="21" t="s">
        <v>512</v>
      </c>
      <c r="F1147" s="1" t="s">
        <v>512</v>
      </c>
      <c r="G1147" s="1" t="s">
        <v>512</v>
      </c>
      <c r="H1147" s="1" t="s">
        <v>512</v>
      </c>
      <c r="I1147" s="1" t="s">
        <v>512</v>
      </c>
      <c r="J1147" s="1" t="s">
        <v>512</v>
      </c>
      <c r="K1147" s="1" t="s">
        <v>512</v>
      </c>
      <c r="L1147" s="1" t="s">
        <v>512</v>
      </c>
      <c r="M1147" s="1" t="s">
        <v>512</v>
      </c>
      <c r="N1147" s="1" t="s">
        <v>512</v>
      </c>
      <c r="O1147" s="1" t="s">
        <v>512</v>
      </c>
      <c r="Q1147" s="1" t="s">
        <v>512</v>
      </c>
    </row>
    <row r="1148" spans="4:17" x14ac:dyDescent="0.25">
      <c r="D1148" s="1" t="s">
        <v>512</v>
      </c>
      <c r="E1148" s="21" t="s">
        <v>512</v>
      </c>
      <c r="F1148" s="1" t="s">
        <v>512</v>
      </c>
      <c r="G1148" s="1" t="s">
        <v>512</v>
      </c>
      <c r="H1148" s="1" t="s">
        <v>512</v>
      </c>
      <c r="I1148" s="1" t="s">
        <v>512</v>
      </c>
      <c r="J1148" s="1" t="s">
        <v>512</v>
      </c>
      <c r="K1148" s="1" t="s">
        <v>512</v>
      </c>
      <c r="L1148" s="1" t="s">
        <v>512</v>
      </c>
      <c r="M1148" s="1" t="s">
        <v>512</v>
      </c>
      <c r="N1148" s="1" t="s">
        <v>512</v>
      </c>
      <c r="O1148" s="1" t="s">
        <v>512</v>
      </c>
      <c r="Q1148" s="1" t="s">
        <v>512</v>
      </c>
    </row>
    <row r="1149" spans="4:17" x14ac:dyDescent="0.25">
      <c r="D1149" s="1" t="s">
        <v>512</v>
      </c>
      <c r="E1149" s="21" t="s">
        <v>512</v>
      </c>
      <c r="F1149" s="1" t="s">
        <v>512</v>
      </c>
      <c r="G1149" s="1" t="s">
        <v>512</v>
      </c>
      <c r="H1149" s="1" t="s">
        <v>512</v>
      </c>
      <c r="I1149" s="1" t="s">
        <v>512</v>
      </c>
      <c r="J1149" s="1" t="s">
        <v>512</v>
      </c>
      <c r="K1149" s="1" t="s">
        <v>512</v>
      </c>
      <c r="L1149" s="1" t="s">
        <v>512</v>
      </c>
      <c r="M1149" s="1" t="s">
        <v>512</v>
      </c>
      <c r="N1149" s="1" t="s">
        <v>512</v>
      </c>
      <c r="O1149" s="1" t="s">
        <v>512</v>
      </c>
      <c r="Q1149" s="1" t="s">
        <v>512</v>
      </c>
    </row>
    <row r="1150" spans="4:17" x14ac:dyDescent="0.25">
      <c r="D1150" s="1" t="s">
        <v>512</v>
      </c>
      <c r="E1150" s="21" t="s">
        <v>512</v>
      </c>
      <c r="F1150" s="1" t="s">
        <v>512</v>
      </c>
      <c r="G1150" s="1" t="s">
        <v>512</v>
      </c>
      <c r="H1150" s="1" t="s">
        <v>512</v>
      </c>
      <c r="I1150" s="1" t="s">
        <v>512</v>
      </c>
      <c r="J1150" s="1" t="s">
        <v>512</v>
      </c>
      <c r="K1150" s="1" t="s">
        <v>512</v>
      </c>
      <c r="L1150" s="1" t="s">
        <v>512</v>
      </c>
      <c r="M1150" s="1" t="s">
        <v>512</v>
      </c>
      <c r="N1150" s="1" t="s">
        <v>512</v>
      </c>
      <c r="O1150" s="1" t="s">
        <v>512</v>
      </c>
      <c r="Q1150" s="1" t="s">
        <v>512</v>
      </c>
    </row>
    <row r="1151" spans="4:17" x14ac:dyDescent="0.25">
      <c r="D1151" s="1" t="s">
        <v>512</v>
      </c>
      <c r="E1151" s="21" t="s">
        <v>512</v>
      </c>
      <c r="F1151" s="1" t="s">
        <v>512</v>
      </c>
      <c r="G1151" s="1" t="s">
        <v>512</v>
      </c>
      <c r="H1151" s="1" t="s">
        <v>512</v>
      </c>
      <c r="I1151" s="1" t="s">
        <v>512</v>
      </c>
      <c r="J1151" s="1" t="s">
        <v>512</v>
      </c>
      <c r="K1151" s="1" t="s">
        <v>512</v>
      </c>
      <c r="L1151" s="1" t="s">
        <v>512</v>
      </c>
      <c r="M1151" s="1" t="s">
        <v>512</v>
      </c>
      <c r="N1151" s="1" t="s">
        <v>512</v>
      </c>
      <c r="O1151" s="1" t="s">
        <v>512</v>
      </c>
      <c r="Q1151" s="1" t="s">
        <v>512</v>
      </c>
    </row>
    <row r="1152" spans="4:17" x14ac:dyDescent="0.25">
      <c r="D1152" s="1" t="s">
        <v>512</v>
      </c>
      <c r="E1152" s="21" t="s">
        <v>512</v>
      </c>
      <c r="F1152" s="1" t="s">
        <v>512</v>
      </c>
      <c r="G1152" s="1" t="s">
        <v>512</v>
      </c>
      <c r="H1152" s="1" t="s">
        <v>512</v>
      </c>
      <c r="I1152" s="1" t="s">
        <v>512</v>
      </c>
      <c r="J1152" s="1" t="s">
        <v>512</v>
      </c>
      <c r="K1152" s="1" t="s">
        <v>512</v>
      </c>
      <c r="L1152" s="1" t="s">
        <v>512</v>
      </c>
      <c r="M1152" s="1" t="s">
        <v>512</v>
      </c>
      <c r="N1152" s="1" t="s">
        <v>512</v>
      </c>
      <c r="O1152" s="1" t="s">
        <v>512</v>
      </c>
      <c r="Q1152" s="1" t="s">
        <v>512</v>
      </c>
    </row>
    <row r="1153" spans="4:17" x14ac:dyDescent="0.25">
      <c r="D1153" s="1" t="s">
        <v>512</v>
      </c>
      <c r="E1153" s="21" t="s">
        <v>512</v>
      </c>
      <c r="F1153" s="1" t="s">
        <v>512</v>
      </c>
      <c r="G1153" s="1" t="s">
        <v>512</v>
      </c>
      <c r="H1153" s="1" t="s">
        <v>512</v>
      </c>
      <c r="I1153" s="1" t="s">
        <v>512</v>
      </c>
      <c r="J1153" s="1" t="s">
        <v>512</v>
      </c>
      <c r="K1153" s="1" t="s">
        <v>512</v>
      </c>
      <c r="L1153" s="1" t="s">
        <v>512</v>
      </c>
      <c r="M1153" s="1" t="s">
        <v>512</v>
      </c>
      <c r="N1153" s="1" t="s">
        <v>512</v>
      </c>
      <c r="O1153" s="1" t="s">
        <v>512</v>
      </c>
      <c r="Q1153" s="1" t="s">
        <v>512</v>
      </c>
    </row>
    <row r="1154" spans="4:17" x14ac:dyDescent="0.25">
      <c r="D1154" s="1" t="s">
        <v>512</v>
      </c>
      <c r="E1154" s="21" t="s">
        <v>512</v>
      </c>
      <c r="F1154" s="1" t="s">
        <v>512</v>
      </c>
      <c r="G1154" s="1" t="s">
        <v>512</v>
      </c>
      <c r="H1154" s="1" t="s">
        <v>512</v>
      </c>
      <c r="I1154" s="1" t="s">
        <v>512</v>
      </c>
      <c r="J1154" s="1" t="s">
        <v>512</v>
      </c>
      <c r="K1154" s="1" t="s">
        <v>512</v>
      </c>
      <c r="L1154" s="1" t="s">
        <v>512</v>
      </c>
      <c r="M1154" s="1" t="s">
        <v>512</v>
      </c>
      <c r="N1154" s="1" t="s">
        <v>512</v>
      </c>
      <c r="O1154" s="1" t="s">
        <v>512</v>
      </c>
      <c r="Q1154" s="1" t="s">
        <v>512</v>
      </c>
    </row>
    <row r="1155" spans="4:17" x14ac:dyDescent="0.25">
      <c r="D1155" s="1" t="s">
        <v>512</v>
      </c>
      <c r="E1155" s="21" t="s">
        <v>512</v>
      </c>
      <c r="F1155" s="1" t="s">
        <v>512</v>
      </c>
      <c r="G1155" s="1" t="s">
        <v>512</v>
      </c>
      <c r="H1155" s="1" t="s">
        <v>512</v>
      </c>
      <c r="I1155" s="1" t="s">
        <v>512</v>
      </c>
      <c r="J1155" s="1" t="s">
        <v>512</v>
      </c>
      <c r="K1155" s="1" t="s">
        <v>512</v>
      </c>
      <c r="L1155" s="1" t="s">
        <v>512</v>
      </c>
      <c r="M1155" s="1" t="s">
        <v>512</v>
      </c>
      <c r="N1155" s="1" t="s">
        <v>512</v>
      </c>
      <c r="O1155" s="1" t="s">
        <v>512</v>
      </c>
      <c r="Q1155" s="1" t="s">
        <v>512</v>
      </c>
    </row>
    <row r="1156" spans="4:17" x14ac:dyDescent="0.25">
      <c r="D1156" s="1" t="s">
        <v>512</v>
      </c>
      <c r="E1156" s="21" t="s">
        <v>512</v>
      </c>
      <c r="F1156" s="1" t="s">
        <v>512</v>
      </c>
      <c r="G1156" s="1" t="s">
        <v>512</v>
      </c>
      <c r="H1156" s="1" t="s">
        <v>512</v>
      </c>
      <c r="I1156" s="1" t="s">
        <v>512</v>
      </c>
      <c r="J1156" s="1" t="s">
        <v>512</v>
      </c>
      <c r="K1156" s="1" t="s">
        <v>512</v>
      </c>
      <c r="L1156" s="1" t="s">
        <v>512</v>
      </c>
      <c r="M1156" s="1" t="s">
        <v>512</v>
      </c>
      <c r="N1156" s="1" t="s">
        <v>512</v>
      </c>
      <c r="O1156" s="1" t="s">
        <v>512</v>
      </c>
      <c r="Q1156" s="1" t="s">
        <v>512</v>
      </c>
    </row>
    <row r="1157" spans="4:17" x14ac:dyDescent="0.25">
      <c r="D1157" s="1" t="s">
        <v>512</v>
      </c>
      <c r="E1157" s="21" t="s">
        <v>512</v>
      </c>
      <c r="F1157" s="1" t="s">
        <v>512</v>
      </c>
      <c r="G1157" s="1" t="s">
        <v>512</v>
      </c>
      <c r="H1157" s="1" t="s">
        <v>512</v>
      </c>
      <c r="I1157" s="1" t="s">
        <v>512</v>
      </c>
      <c r="J1157" s="1" t="s">
        <v>512</v>
      </c>
      <c r="K1157" s="1" t="s">
        <v>512</v>
      </c>
      <c r="L1157" s="1" t="s">
        <v>512</v>
      </c>
      <c r="M1157" s="1" t="s">
        <v>512</v>
      </c>
      <c r="N1157" s="1" t="s">
        <v>512</v>
      </c>
      <c r="O1157" s="1" t="s">
        <v>512</v>
      </c>
      <c r="Q1157" s="1" t="s">
        <v>512</v>
      </c>
    </row>
    <row r="1158" spans="4:17" x14ac:dyDescent="0.25">
      <c r="D1158" s="1" t="s">
        <v>512</v>
      </c>
      <c r="E1158" s="21" t="s">
        <v>512</v>
      </c>
      <c r="F1158" s="1" t="s">
        <v>512</v>
      </c>
      <c r="G1158" s="1" t="s">
        <v>512</v>
      </c>
      <c r="H1158" s="1" t="s">
        <v>512</v>
      </c>
      <c r="I1158" s="1" t="s">
        <v>512</v>
      </c>
      <c r="J1158" s="1" t="s">
        <v>512</v>
      </c>
      <c r="K1158" s="1" t="s">
        <v>512</v>
      </c>
      <c r="L1158" s="1" t="s">
        <v>512</v>
      </c>
      <c r="M1158" s="1" t="s">
        <v>512</v>
      </c>
      <c r="N1158" s="1" t="s">
        <v>512</v>
      </c>
      <c r="O1158" s="1" t="s">
        <v>512</v>
      </c>
      <c r="Q1158" s="1" t="s">
        <v>512</v>
      </c>
    </row>
    <row r="1159" spans="4:17" x14ac:dyDescent="0.25">
      <c r="D1159" s="1" t="s">
        <v>512</v>
      </c>
      <c r="E1159" s="21" t="s">
        <v>512</v>
      </c>
      <c r="F1159" s="1" t="s">
        <v>512</v>
      </c>
      <c r="G1159" s="1" t="s">
        <v>512</v>
      </c>
      <c r="H1159" s="1" t="s">
        <v>512</v>
      </c>
      <c r="I1159" s="1" t="s">
        <v>512</v>
      </c>
      <c r="J1159" s="1" t="s">
        <v>512</v>
      </c>
      <c r="K1159" s="1" t="s">
        <v>512</v>
      </c>
      <c r="L1159" s="1" t="s">
        <v>512</v>
      </c>
      <c r="M1159" s="1" t="s">
        <v>512</v>
      </c>
      <c r="N1159" s="1" t="s">
        <v>512</v>
      </c>
      <c r="O1159" s="1" t="s">
        <v>512</v>
      </c>
      <c r="Q1159" s="1" t="s">
        <v>512</v>
      </c>
    </row>
    <row r="1160" spans="4:17" x14ac:dyDescent="0.25">
      <c r="D1160" s="1" t="s">
        <v>512</v>
      </c>
      <c r="E1160" s="21" t="s">
        <v>512</v>
      </c>
      <c r="F1160" s="1" t="s">
        <v>512</v>
      </c>
      <c r="G1160" s="1" t="s">
        <v>512</v>
      </c>
      <c r="H1160" s="1" t="s">
        <v>512</v>
      </c>
      <c r="I1160" s="1" t="s">
        <v>512</v>
      </c>
      <c r="J1160" s="1" t="s">
        <v>512</v>
      </c>
      <c r="K1160" s="1" t="s">
        <v>512</v>
      </c>
      <c r="L1160" s="1" t="s">
        <v>512</v>
      </c>
      <c r="M1160" s="1" t="s">
        <v>512</v>
      </c>
      <c r="N1160" s="1" t="s">
        <v>512</v>
      </c>
      <c r="O1160" s="1" t="s">
        <v>512</v>
      </c>
      <c r="Q1160" s="1" t="s">
        <v>512</v>
      </c>
    </row>
    <row r="1161" spans="4:17" x14ac:dyDescent="0.25">
      <c r="D1161" s="1" t="s">
        <v>512</v>
      </c>
      <c r="E1161" s="21" t="s">
        <v>512</v>
      </c>
      <c r="F1161" s="1" t="s">
        <v>512</v>
      </c>
      <c r="G1161" s="1" t="s">
        <v>512</v>
      </c>
      <c r="H1161" s="1" t="s">
        <v>512</v>
      </c>
      <c r="I1161" s="1" t="s">
        <v>512</v>
      </c>
      <c r="J1161" s="1" t="s">
        <v>512</v>
      </c>
      <c r="K1161" s="1" t="s">
        <v>512</v>
      </c>
      <c r="L1161" s="1" t="s">
        <v>512</v>
      </c>
      <c r="M1161" s="1" t="s">
        <v>512</v>
      </c>
      <c r="N1161" s="1" t="s">
        <v>512</v>
      </c>
      <c r="O1161" s="1" t="s">
        <v>512</v>
      </c>
      <c r="Q1161" s="1" t="s">
        <v>512</v>
      </c>
    </row>
    <row r="1162" spans="4:17" x14ac:dyDescent="0.25">
      <c r="D1162" s="1" t="s">
        <v>512</v>
      </c>
      <c r="E1162" s="21" t="s">
        <v>512</v>
      </c>
      <c r="F1162" s="1" t="s">
        <v>512</v>
      </c>
      <c r="G1162" s="1" t="s">
        <v>512</v>
      </c>
      <c r="H1162" s="1" t="s">
        <v>512</v>
      </c>
      <c r="I1162" s="1" t="s">
        <v>512</v>
      </c>
      <c r="J1162" s="1" t="s">
        <v>512</v>
      </c>
      <c r="K1162" s="1" t="s">
        <v>512</v>
      </c>
      <c r="L1162" s="1" t="s">
        <v>512</v>
      </c>
      <c r="M1162" s="1" t="s">
        <v>512</v>
      </c>
      <c r="N1162" s="1" t="s">
        <v>512</v>
      </c>
      <c r="O1162" s="1" t="s">
        <v>512</v>
      </c>
      <c r="Q1162" s="1" t="s">
        <v>512</v>
      </c>
    </row>
    <row r="1163" spans="4:17" x14ac:dyDescent="0.25">
      <c r="D1163" s="1" t="s">
        <v>512</v>
      </c>
      <c r="E1163" s="21" t="s">
        <v>512</v>
      </c>
      <c r="F1163" s="1" t="s">
        <v>512</v>
      </c>
      <c r="G1163" s="1" t="s">
        <v>512</v>
      </c>
      <c r="H1163" s="1" t="s">
        <v>512</v>
      </c>
      <c r="I1163" s="1" t="s">
        <v>512</v>
      </c>
      <c r="J1163" s="1" t="s">
        <v>512</v>
      </c>
      <c r="K1163" s="1" t="s">
        <v>512</v>
      </c>
      <c r="L1163" s="1" t="s">
        <v>512</v>
      </c>
      <c r="M1163" s="1" t="s">
        <v>512</v>
      </c>
      <c r="N1163" s="1" t="s">
        <v>512</v>
      </c>
      <c r="O1163" s="1" t="s">
        <v>512</v>
      </c>
      <c r="Q1163" s="1" t="s">
        <v>512</v>
      </c>
    </row>
    <row r="1164" spans="4:17" x14ac:dyDescent="0.25">
      <c r="D1164" s="1" t="s">
        <v>512</v>
      </c>
      <c r="E1164" s="21" t="s">
        <v>512</v>
      </c>
      <c r="F1164" s="1" t="s">
        <v>512</v>
      </c>
      <c r="G1164" s="1" t="s">
        <v>512</v>
      </c>
      <c r="H1164" s="1" t="s">
        <v>512</v>
      </c>
      <c r="I1164" s="1" t="s">
        <v>512</v>
      </c>
      <c r="J1164" s="1" t="s">
        <v>512</v>
      </c>
      <c r="K1164" s="1" t="s">
        <v>512</v>
      </c>
      <c r="L1164" s="1" t="s">
        <v>512</v>
      </c>
      <c r="M1164" s="1" t="s">
        <v>512</v>
      </c>
      <c r="N1164" s="1" t="s">
        <v>512</v>
      </c>
      <c r="O1164" s="1" t="s">
        <v>512</v>
      </c>
      <c r="Q1164" s="1" t="s">
        <v>512</v>
      </c>
    </row>
    <row r="1165" spans="4:17" x14ac:dyDescent="0.25">
      <c r="D1165" s="1" t="s">
        <v>512</v>
      </c>
      <c r="E1165" s="21" t="s">
        <v>512</v>
      </c>
      <c r="F1165" s="1" t="s">
        <v>512</v>
      </c>
      <c r="G1165" s="1" t="s">
        <v>512</v>
      </c>
      <c r="H1165" s="1" t="s">
        <v>512</v>
      </c>
      <c r="I1165" s="1" t="s">
        <v>512</v>
      </c>
      <c r="J1165" s="1" t="s">
        <v>512</v>
      </c>
      <c r="K1165" s="1" t="s">
        <v>512</v>
      </c>
      <c r="L1165" s="1" t="s">
        <v>512</v>
      </c>
      <c r="M1165" s="1" t="s">
        <v>512</v>
      </c>
      <c r="N1165" s="1" t="s">
        <v>512</v>
      </c>
      <c r="O1165" s="1" t="s">
        <v>512</v>
      </c>
      <c r="Q1165" s="1" t="s">
        <v>512</v>
      </c>
    </row>
    <row r="1166" spans="4:17" x14ac:dyDescent="0.25">
      <c r="D1166" s="1" t="s">
        <v>512</v>
      </c>
      <c r="E1166" s="21" t="s">
        <v>512</v>
      </c>
      <c r="F1166" s="1" t="s">
        <v>512</v>
      </c>
      <c r="G1166" s="1" t="s">
        <v>512</v>
      </c>
      <c r="H1166" s="1" t="s">
        <v>512</v>
      </c>
      <c r="I1166" s="1" t="s">
        <v>512</v>
      </c>
      <c r="J1166" s="1" t="s">
        <v>512</v>
      </c>
      <c r="K1166" s="1" t="s">
        <v>512</v>
      </c>
      <c r="L1166" s="1" t="s">
        <v>512</v>
      </c>
      <c r="M1166" s="1" t="s">
        <v>512</v>
      </c>
      <c r="N1166" s="1" t="s">
        <v>512</v>
      </c>
      <c r="O1166" s="1" t="s">
        <v>512</v>
      </c>
      <c r="Q1166" s="1" t="s">
        <v>512</v>
      </c>
    </row>
    <row r="1167" spans="4:17" x14ac:dyDescent="0.25">
      <c r="D1167" s="1" t="s">
        <v>512</v>
      </c>
      <c r="E1167" s="21" t="s">
        <v>512</v>
      </c>
      <c r="F1167" s="1" t="s">
        <v>512</v>
      </c>
      <c r="G1167" s="1" t="s">
        <v>512</v>
      </c>
      <c r="H1167" s="1" t="s">
        <v>512</v>
      </c>
      <c r="I1167" s="1" t="s">
        <v>512</v>
      </c>
      <c r="J1167" s="1" t="s">
        <v>512</v>
      </c>
      <c r="K1167" s="1" t="s">
        <v>512</v>
      </c>
      <c r="L1167" s="1" t="s">
        <v>512</v>
      </c>
      <c r="M1167" s="1" t="s">
        <v>512</v>
      </c>
      <c r="N1167" s="1" t="s">
        <v>512</v>
      </c>
      <c r="O1167" s="1" t="s">
        <v>512</v>
      </c>
      <c r="Q1167" s="1" t="s">
        <v>512</v>
      </c>
    </row>
    <row r="1168" spans="4:17" x14ac:dyDescent="0.25">
      <c r="D1168" s="1" t="s">
        <v>512</v>
      </c>
      <c r="E1168" s="21" t="s">
        <v>512</v>
      </c>
      <c r="F1168" s="1" t="s">
        <v>512</v>
      </c>
      <c r="G1168" s="1" t="s">
        <v>512</v>
      </c>
      <c r="H1168" s="1" t="s">
        <v>512</v>
      </c>
      <c r="I1168" s="1" t="s">
        <v>512</v>
      </c>
      <c r="J1168" s="1" t="s">
        <v>512</v>
      </c>
      <c r="K1168" s="1" t="s">
        <v>512</v>
      </c>
      <c r="L1168" s="1" t="s">
        <v>512</v>
      </c>
      <c r="M1168" s="1" t="s">
        <v>512</v>
      </c>
      <c r="N1168" s="1" t="s">
        <v>512</v>
      </c>
      <c r="O1168" s="1" t="s">
        <v>512</v>
      </c>
      <c r="Q1168" s="1" t="s">
        <v>512</v>
      </c>
    </row>
    <row r="1169" spans="4:17" x14ac:dyDescent="0.25">
      <c r="D1169" s="1" t="s">
        <v>512</v>
      </c>
      <c r="E1169" s="21" t="s">
        <v>512</v>
      </c>
      <c r="F1169" s="1" t="s">
        <v>512</v>
      </c>
      <c r="G1169" s="1" t="s">
        <v>512</v>
      </c>
      <c r="H1169" s="1" t="s">
        <v>512</v>
      </c>
      <c r="I1169" s="1" t="s">
        <v>512</v>
      </c>
      <c r="J1169" s="1" t="s">
        <v>512</v>
      </c>
      <c r="K1169" s="1" t="s">
        <v>512</v>
      </c>
      <c r="L1169" s="1" t="s">
        <v>512</v>
      </c>
      <c r="M1169" s="1" t="s">
        <v>512</v>
      </c>
      <c r="N1169" s="1" t="s">
        <v>512</v>
      </c>
      <c r="O1169" s="1" t="s">
        <v>512</v>
      </c>
      <c r="Q1169" s="1" t="s">
        <v>512</v>
      </c>
    </row>
    <row r="1170" spans="4:17" x14ac:dyDescent="0.25">
      <c r="D1170" s="1" t="s">
        <v>512</v>
      </c>
      <c r="E1170" s="21" t="s">
        <v>512</v>
      </c>
      <c r="F1170" s="1" t="s">
        <v>512</v>
      </c>
      <c r="G1170" s="1" t="s">
        <v>512</v>
      </c>
      <c r="H1170" s="1" t="s">
        <v>512</v>
      </c>
      <c r="I1170" s="1" t="s">
        <v>512</v>
      </c>
      <c r="J1170" s="1" t="s">
        <v>512</v>
      </c>
      <c r="K1170" s="1" t="s">
        <v>512</v>
      </c>
      <c r="L1170" s="1" t="s">
        <v>512</v>
      </c>
      <c r="M1170" s="1" t="s">
        <v>512</v>
      </c>
      <c r="N1170" s="1" t="s">
        <v>512</v>
      </c>
      <c r="O1170" s="1" t="s">
        <v>512</v>
      </c>
      <c r="Q1170" s="1" t="s">
        <v>512</v>
      </c>
    </row>
    <row r="1171" spans="4:17" x14ac:dyDescent="0.25">
      <c r="D1171" s="1" t="s">
        <v>512</v>
      </c>
      <c r="E1171" s="21" t="s">
        <v>512</v>
      </c>
      <c r="F1171" s="1" t="s">
        <v>512</v>
      </c>
      <c r="G1171" s="1" t="s">
        <v>512</v>
      </c>
      <c r="H1171" s="1" t="s">
        <v>512</v>
      </c>
      <c r="I1171" s="1" t="s">
        <v>512</v>
      </c>
      <c r="J1171" s="1" t="s">
        <v>512</v>
      </c>
      <c r="K1171" s="1" t="s">
        <v>512</v>
      </c>
      <c r="L1171" s="1" t="s">
        <v>512</v>
      </c>
      <c r="M1171" s="1" t="s">
        <v>512</v>
      </c>
      <c r="N1171" s="1" t="s">
        <v>512</v>
      </c>
      <c r="O1171" s="1" t="s">
        <v>512</v>
      </c>
      <c r="Q1171" s="1" t="s">
        <v>512</v>
      </c>
    </row>
    <row r="1172" spans="4:17" x14ac:dyDescent="0.25">
      <c r="D1172" s="1" t="s">
        <v>512</v>
      </c>
      <c r="E1172" s="21" t="s">
        <v>512</v>
      </c>
      <c r="F1172" s="1" t="s">
        <v>512</v>
      </c>
      <c r="G1172" s="1" t="s">
        <v>512</v>
      </c>
      <c r="H1172" s="1" t="s">
        <v>512</v>
      </c>
      <c r="I1172" s="1" t="s">
        <v>512</v>
      </c>
      <c r="J1172" s="1" t="s">
        <v>512</v>
      </c>
      <c r="K1172" s="1" t="s">
        <v>512</v>
      </c>
      <c r="L1172" s="1" t="s">
        <v>512</v>
      </c>
      <c r="M1172" s="1" t="s">
        <v>512</v>
      </c>
      <c r="N1172" s="1" t="s">
        <v>512</v>
      </c>
      <c r="O1172" s="1" t="s">
        <v>512</v>
      </c>
      <c r="Q1172" s="1" t="s">
        <v>512</v>
      </c>
    </row>
    <row r="1173" spans="4:17" x14ac:dyDescent="0.25">
      <c r="D1173" s="1" t="s">
        <v>512</v>
      </c>
      <c r="E1173" s="21" t="s">
        <v>512</v>
      </c>
      <c r="F1173" s="1" t="s">
        <v>512</v>
      </c>
      <c r="G1173" s="1" t="s">
        <v>512</v>
      </c>
      <c r="H1173" s="1" t="s">
        <v>512</v>
      </c>
      <c r="I1173" s="1" t="s">
        <v>512</v>
      </c>
      <c r="J1173" s="1" t="s">
        <v>512</v>
      </c>
      <c r="K1173" s="1" t="s">
        <v>512</v>
      </c>
      <c r="L1173" s="1" t="s">
        <v>512</v>
      </c>
      <c r="M1173" s="1" t="s">
        <v>512</v>
      </c>
      <c r="N1173" s="1" t="s">
        <v>512</v>
      </c>
      <c r="O1173" s="1" t="s">
        <v>512</v>
      </c>
      <c r="Q1173" s="1" t="s">
        <v>512</v>
      </c>
    </row>
    <row r="1174" spans="4:17" x14ac:dyDescent="0.25">
      <c r="D1174" s="1" t="s">
        <v>512</v>
      </c>
      <c r="E1174" s="21" t="s">
        <v>512</v>
      </c>
      <c r="F1174" s="1" t="s">
        <v>512</v>
      </c>
      <c r="G1174" s="1" t="s">
        <v>512</v>
      </c>
      <c r="H1174" s="1" t="s">
        <v>512</v>
      </c>
      <c r="I1174" s="1" t="s">
        <v>512</v>
      </c>
      <c r="J1174" s="1" t="s">
        <v>512</v>
      </c>
      <c r="K1174" s="1" t="s">
        <v>512</v>
      </c>
      <c r="L1174" s="1" t="s">
        <v>512</v>
      </c>
      <c r="M1174" s="1" t="s">
        <v>512</v>
      </c>
      <c r="N1174" s="1" t="s">
        <v>512</v>
      </c>
      <c r="O1174" s="1" t="s">
        <v>512</v>
      </c>
      <c r="Q1174" s="1" t="s">
        <v>512</v>
      </c>
    </row>
    <row r="1175" spans="4:17" x14ac:dyDescent="0.25">
      <c r="D1175" s="1" t="s">
        <v>512</v>
      </c>
      <c r="E1175" s="21" t="s">
        <v>512</v>
      </c>
      <c r="F1175" s="1" t="s">
        <v>512</v>
      </c>
      <c r="G1175" s="1" t="s">
        <v>512</v>
      </c>
      <c r="H1175" s="1" t="s">
        <v>512</v>
      </c>
      <c r="I1175" s="1" t="s">
        <v>512</v>
      </c>
      <c r="J1175" s="1" t="s">
        <v>512</v>
      </c>
      <c r="K1175" s="1" t="s">
        <v>512</v>
      </c>
      <c r="L1175" s="1" t="s">
        <v>512</v>
      </c>
      <c r="M1175" s="1" t="s">
        <v>512</v>
      </c>
      <c r="N1175" s="1" t="s">
        <v>512</v>
      </c>
      <c r="O1175" s="1" t="s">
        <v>512</v>
      </c>
      <c r="Q1175" s="1" t="s">
        <v>512</v>
      </c>
    </row>
    <row r="1176" spans="4:17" x14ac:dyDescent="0.25">
      <c r="D1176" s="1" t="s">
        <v>512</v>
      </c>
      <c r="E1176" s="21" t="s">
        <v>512</v>
      </c>
      <c r="F1176" s="1" t="s">
        <v>512</v>
      </c>
      <c r="G1176" s="1" t="s">
        <v>512</v>
      </c>
      <c r="H1176" s="1" t="s">
        <v>512</v>
      </c>
      <c r="I1176" s="1" t="s">
        <v>512</v>
      </c>
      <c r="J1176" s="1" t="s">
        <v>512</v>
      </c>
      <c r="K1176" s="1" t="s">
        <v>512</v>
      </c>
      <c r="L1176" s="1" t="s">
        <v>512</v>
      </c>
      <c r="M1176" s="1" t="s">
        <v>512</v>
      </c>
      <c r="N1176" s="1" t="s">
        <v>512</v>
      </c>
      <c r="O1176" s="1" t="s">
        <v>512</v>
      </c>
      <c r="Q1176" s="1" t="s">
        <v>512</v>
      </c>
    </row>
    <row r="1177" spans="4:17" x14ac:dyDescent="0.25">
      <c r="D1177" s="1" t="s">
        <v>512</v>
      </c>
      <c r="E1177" s="21" t="s">
        <v>512</v>
      </c>
      <c r="F1177" s="1" t="s">
        <v>512</v>
      </c>
      <c r="G1177" s="1" t="s">
        <v>512</v>
      </c>
      <c r="H1177" s="1" t="s">
        <v>512</v>
      </c>
      <c r="I1177" s="1" t="s">
        <v>512</v>
      </c>
      <c r="J1177" s="1" t="s">
        <v>512</v>
      </c>
      <c r="K1177" s="1" t="s">
        <v>512</v>
      </c>
      <c r="L1177" s="1" t="s">
        <v>512</v>
      </c>
      <c r="M1177" s="1" t="s">
        <v>512</v>
      </c>
      <c r="N1177" s="1" t="s">
        <v>512</v>
      </c>
      <c r="O1177" s="1" t="s">
        <v>512</v>
      </c>
      <c r="Q1177" s="1" t="s">
        <v>512</v>
      </c>
    </row>
    <row r="1178" spans="4:17" x14ac:dyDescent="0.25">
      <c r="D1178" s="1" t="s">
        <v>512</v>
      </c>
      <c r="E1178" s="21" t="s">
        <v>512</v>
      </c>
      <c r="F1178" s="1" t="s">
        <v>512</v>
      </c>
      <c r="G1178" s="1" t="s">
        <v>512</v>
      </c>
      <c r="H1178" s="1" t="s">
        <v>512</v>
      </c>
      <c r="I1178" s="1" t="s">
        <v>512</v>
      </c>
      <c r="J1178" s="1" t="s">
        <v>512</v>
      </c>
      <c r="K1178" s="1" t="s">
        <v>512</v>
      </c>
      <c r="L1178" s="1" t="s">
        <v>512</v>
      </c>
      <c r="M1178" s="1" t="s">
        <v>512</v>
      </c>
      <c r="N1178" s="1" t="s">
        <v>512</v>
      </c>
      <c r="O1178" s="1" t="s">
        <v>512</v>
      </c>
      <c r="Q1178" s="1" t="s">
        <v>512</v>
      </c>
    </row>
    <row r="1179" spans="4:17" x14ac:dyDescent="0.25">
      <c r="D1179" s="1" t="s">
        <v>512</v>
      </c>
      <c r="E1179" s="21" t="s">
        <v>512</v>
      </c>
      <c r="F1179" s="1" t="s">
        <v>512</v>
      </c>
      <c r="G1179" s="1" t="s">
        <v>512</v>
      </c>
      <c r="H1179" s="1" t="s">
        <v>512</v>
      </c>
      <c r="I1179" s="1" t="s">
        <v>512</v>
      </c>
      <c r="J1179" s="1" t="s">
        <v>512</v>
      </c>
      <c r="K1179" s="1" t="s">
        <v>512</v>
      </c>
      <c r="L1179" s="1" t="s">
        <v>512</v>
      </c>
      <c r="M1179" s="1" t="s">
        <v>512</v>
      </c>
      <c r="N1179" s="1" t="s">
        <v>512</v>
      </c>
      <c r="O1179" s="1" t="s">
        <v>512</v>
      </c>
      <c r="Q1179" s="1" t="s">
        <v>512</v>
      </c>
    </row>
    <row r="1180" spans="4:17" x14ac:dyDescent="0.25">
      <c r="D1180" s="1" t="s">
        <v>512</v>
      </c>
      <c r="E1180" s="21" t="s">
        <v>512</v>
      </c>
      <c r="F1180" s="1" t="s">
        <v>512</v>
      </c>
      <c r="G1180" s="1" t="s">
        <v>512</v>
      </c>
      <c r="H1180" s="1" t="s">
        <v>512</v>
      </c>
      <c r="I1180" s="1" t="s">
        <v>512</v>
      </c>
      <c r="J1180" s="1" t="s">
        <v>512</v>
      </c>
      <c r="K1180" s="1" t="s">
        <v>512</v>
      </c>
      <c r="L1180" s="1" t="s">
        <v>512</v>
      </c>
      <c r="M1180" s="1" t="s">
        <v>512</v>
      </c>
      <c r="N1180" s="1" t="s">
        <v>512</v>
      </c>
      <c r="O1180" s="1" t="s">
        <v>512</v>
      </c>
      <c r="Q1180" s="1" t="s">
        <v>512</v>
      </c>
    </row>
    <row r="1181" spans="4:17" x14ac:dyDescent="0.25">
      <c r="D1181" s="1" t="s">
        <v>512</v>
      </c>
      <c r="E1181" s="21" t="s">
        <v>512</v>
      </c>
      <c r="F1181" s="1" t="s">
        <v>512</v>
      </c>
      <c r="G1181" s="1" t="s">
        <v>512</v>
      </c>
      <c r="H1181" s="1" t="s">
        <v>512</v>
      </c>
      <c r="I1181" s="1" t="s">
        <v>512</v>
      </c>
      <c r="J1181" s="1" t="s">
        <v>512</v>
      </c>
      <c r="K1181" s="1" t="s">
        <v>512</v>
      </c>
      <c r="L1181" s="1" t="s">
        <v>512</v>
      </c>
      <c r="M1181" s="1" t="s">
        <v>512</v>
      </c>
      <c r="N1181" s="1" t="s">
        <v>512</v>
      </c>
      <c r="O1181" s="1" t="s">
        <v>512</v>
      </c>
      <c r="Q1181" s="1" t="s">
        <v>512</v>
      </c>
    </row>
    <row r="1182" spans="4:17" x14ac:dyDescent="0.25">
      <c r="D1182" s="1" t="s">
        <v>512</v>
      </c>
      <c r="E1182" s="21" t="s">
        <v>512</v>
      </c>
      <c r="F1182" s="1" t="s">
        <v>512</v>
      </c>
      <c r="G1182" s="1" t="s">
        <v>512</v>
      </c>
      <c r="H1182" s="1" t="s">
        <v>512</v>
      </c>
      <c r="I1182" s="1" t="s">
        <v>512</v>
      </c>
      <c r="J1182" s="1" t="s">
        <v>512</v>
      </c>
      <c r="K1182" s="1" t="s">
        <v>512</v>
      </c>
      <c r="L1182" s="1" t="s">
        <v>512</v>
      </c>
      <c r="M1182" s="1" t="s">
        <v>512</v>
      </c>
      <c r="N1182" s="1" t="s">
        <v>512</v>
      </c>
      <c r="O1182" s="1" t="s">
        <v>512</v>
      </c>
      <c r="Q1182" s="1" t="s">
        <v>512</v>
      </c>
    </row>
    <row r="1183" spans="4:17" x14ac:dyDescent="0.25">
      <c r="D1183" s="1" t="s">
        <v>512</v>
      </c>
      <c r="E1183" s="21" t="s">
        <v>512</v>
      </c>
      <c r="F1183" s="1" t="s">
        <v>512</v>
      </c>
      <c r="G1183" s="1" t="s">
        <v>512</v>
      </c>
      <c r="H1183" s="1" t="s">
        <v>512</v>
      </c>
      <c r="I1183" s="1" t="s">
        <v>512</v>
      </c>
      <c r="J1183" s="1" t="s">
        <v>512</v>
      </c>
      <c r="K1183" s="1" t="s">
        <v>512</v>
      </c>
      <c r="L1183" s="1" t="s">
        <v>512</v>
      </c>
      <c r="M1183" s="1" t="s">
        <v>512</v>
      </c>
      <c r="N1183" s="1" t="s">
        <v>512</v>
      </c>
      <c r="O1183" s="1" t="s">
        <v>512</v>
      </c>
      <c r="Q1183" s="1" t="s">
        <v>512</v>
      </c>
    </row>
    <row r="1184" spans="4:17" x14ac:dyDescent="0.25">
      <c r="D1184" s="1" t="s">
        <v>512</v>
      </c>
      <c r="E1184" s="21" t="s">
        <v>512</v>
      </c>
      <c r="F1184" s="1" t="s">
        <v>512</v>
      </c>
      <c r="G1184" s="1" t="s">
        <v>512</v>
      </c>
      <c r="H1184" s="1" t="s">
        <v>512</v>
      </c>
      <c r="I1184" s="1" t="s">
        <v>512</v>
      </c>
      <c r="J1184" s="1" t="s">
        <v>512</v>
      </c>
      <c r="K1184" s="1" t="s">
        <v>512</v>
      </c>
      <c r="L1184" s="1" t="s">
        <v>512</v>
      </c>
      <c r="M1184" s="1" t="s">
        <v>512</v>
      </c>
      <c r="N1184" s="1" t="s">
        <v>512</v>
      </c>
      <c r="O1184" s="1" t="s">
        <v>512</v>
      </c>
      <c r="Q1184" s="1" t="s">
        <v>512</v>
      </c>
    </row>
    <row r="1185" spans="4:17" x14ac:dyDescent="0.25">
      <c r="D1185" s="1" t="s">
        <v>512</v>
      </c>
      <c r="E1185" s="21" t="s">
        <v>512</v>
      </c>
      <c r="F1185" s="1" t="s">
        <v>512</v>
      </c>
      <c r="G1185" s="1" t="s">
        <v>512</v>
      </c>
      <c r="H1185" s="1" t="s">
        <v>512</v>
      </c>
      <c r="I1185" s="1" t="s">
        <v>512</v>
      </c>
      <c r="J1185" s="1" t="s">
        <v>512</v>
      </c>
      <c r="K1185" s="1" t="s">
        <v>512</v>
      </c>
      <c r="L1185" s="1" t="s">
        <v>512</v>
      </c>
      <c r="M1185" s="1" t="s">
        <v>512</v>
      </c>
      <c r="N1185" s="1" t="s">
        <v>512</v>
      </c>
      <c r="O1185" s="1" t="s">
        <v>512</v>
      </c>
      <c r="Q1185" s="1" t="s">
        <v>512</v>
      </c>
    </row>
    <row r="1186" spans="4:17" x14ac:dyDescent="0.25">
      <c r="D1186" s="1" t="s">
        <v>512</v>
      </c>
      <c r="E1186" s="21" t="s">
        <v>512</v>
      </c>
      <c r="F1186" s="1" t="s">
        <v>512</v>
      </c>
      <c r="G1186" s="1" t="s">
        <v>512</v>
      </c>
      <c r="H1186" s="1" t="s">
        <v>512</v>
      </c>
      <c r="I1186" s="1" t="s">
        <v>512</v>
      </c>
      <c r="J1186" s="1" t="s">
        <v>512</v>
      </c>
      <c r="K1186" s="1" t="s">
        <v>512</v>
      </c>
      <c r="L1186" s="1" t="s">
        <v>512</v>
      </c>
      <c r="M1186" s="1" t="s">
        <v>512</v>
      </c>
      <c r="N1186" s="1" t="s">
        <v>512</v>
      </c>
      <c r="O1186" s="1" t="s">
        <v>512</v>
      </c>
      <c r="Q1186" s="1" t="s">
        <v>512</v>
      </c>
    </row>
    <row r="1187" spans="4:17" x14ac:dyDescent="0.25">
      <c r="D1187" s="1" t="s">
        <v>512</v>
      </c>
      <c r="E1187" s="21" t="s">
        <v>512</v>
      </c>
      <c r="F1187" s="1" t="s">
        <v>512</v>
      </c>
      <c r="G1187" s="1" t="s">
        <v>512</v>
      </c>
      <c r="H1187" s="1" t="s">
        <v>512</v>
      </c>
      <c r="I1187" s="1" t="s">
        <v>512</v>
      </c>
      <c r="J1187" s="1" t="s">
        <v>512</v>
      </c>
      <c r="K1187" s="1" t="s">
        <v>512</v>
      </c>
      <c r="L1187" s="1" t="s">
        <v>512</v>
      </c>
      <c r="M1187" s="1" t="s">
        <v>512</v>
      </c>
      <c r="N1187" s="1" t="s">
        <v>512</v>
      </c>
      <c r="O1187" s="1" t="s">
        <v>512</v>
      </c>
      <c r="Q1187" s="1" t="s">
        <v>512</v>
      </c>
    </row>
    <row r="1188" spans="4:17" x14ac:dyDescent="0.25">
      <c r="D1188" s="1" t="s">
        <v>512</v>
      </c>
      <c r="E1188" s="21" t="s">
        <v>512</v>
      </c>
      <c r="F1188" s="1" t="s">
        <v>512</v>
      </c>
      <c r="G1188" s="1" t="s">
        <v>512</v>
      </c>
      <c r="H1188" s="1" t="s">
        <v>512</v>
      </c>
      <c r="I1188" s="1" t="s">
        <v>512</v>
      </c>
      <c r="J1188" s="1" t="s">
        <v>512</v>
      </c>
      <c r="K1188" s="1" t="s">
        <v>512</v>
      </c>
      <c r="L1188" s="1" t="s">
        <v>512</v>
      </c>
      <c r="M1188" s="1" t="s">
        <v>512</v>
      </c>
      <c r="N1188" s="1" t="s">
        <v>512</v>
      </c>
      <c r="O1188" s="1" t="s">
        <v>512</v>
      </c>
      <c r="Q1188" s="1" t="s">
        <v>512</v>
      </c>
    </row>
    <row r="1189" spans="4:17" x14ac:dyDescent="0.25">
      <c r="D1189" s="1" t="s">
        <v>512</v>
      </c>
      <c r="E1189" s="21" t="s">
        <v>512</v>
      </c>
      <c r="F1189" s="1" t="s">
        <v>512</v>
      </c>
      <c r="G1189" s="1" t="s">
        <v>512</v>
      </c>
      <c r="H1189" s="1" t="s">
        <v>512</v>
      </c>
      <c r="I1189" s="1" t="s">
        <v>512</v>
      </c>
      <c r="J1189" s="1" t="s">
        <v>512</v>
      </c>
      <c r="K1189" s="1" t="s">
        <v>512</v>
      </c>
      <c r="L1189" s="1" t="s">
        <v>512</v>
      </c>
      <c r="M1189" s="1" t="s">
        <v>512</v>
      </c>
      <c r="N1189" s="1" t="s">
        <v>512</v>
      </c>
      <c r="O1189" s="1" t="s">
        <v>512</v>
      </c>
      <c r="Q1189" s="1" t="s">
        <v>512</v>
      </c>
    </row>
    <row r="1190" spans="4:17" x14ac:dyDescent="0.25">
      <c r="D1190" s="1" t="s">
        <v>512</v>
      </c>
      <c r="E1190" s="21" t="s">
        <v>512</v>
      </c>
      <c r="F1190" s="1" t="s">
        <v>512</v>
      </c>
      <c r="G1190" s="1" t="s">
        <v>512</v>
      </c>
      <c r="H1190" s="1" t="s">
        <v>512</v>
      </c>
      <c r="I1190" s="1" t="s">
        <v>512</v>
      </c>
      <c r="J1190" s="1" t="s">
        <v>512</v>
      </c>
      <c r="K1190" s="1" t="s">
        <v>512</v>
      </c>
      <c r="L1190" s="1" t="s">
        <v>512</v>
      </c>
      <c r="M1190" s="1" t="s">
        <v>512</v>
      </c>
      <c r="N1190" s="1" t="s">
        <v>512</v>
      </c>
      <c r="O1190" s="1" t="s">
        <v>512</v>
      </c>
      <c r="Q1190" s="1" t="s">
        <v>512</v>
      </c>
    </row>
    <row r="1191" spans="4:17" x14ac:dyDescent="0.25">
      <c r="D1191" s="1" t="s">
        <v>512</v>
      </c>
      <c r="E1191" s="21" t="s">
        <v>512</v>
      </c>
      <c r="F1191" s="1" t="s">
        <v>512</v>
      </c>
      <c r="G1191" s="1" t="s">
        <v>512</v>
      </c>
      <c r="H1191" s="1" t="s">
        <v>512</v>
      </c>
      <c r="I1191" s="1" t="s">
        <v>512</v>
      </c>
      <c r="J1191" s="1" t="s">
        <v>512</v>
      </c>
      <c r="K1191" s="1" t="s">
        <v>512</v>
      </c>
      <c r="L1191" s="1" t="s">
        <v>512</v>
      </c>
      <c r="M1191" s="1" t="s">
        <v>512</v>
      </c>
      <c r="N1191" s="1" t="s">
        <v>512</v>
      </c>
      <c r="O1191" s="1" t="s">
        <v>512</v>
      </c>
      <c r="Q1191" s="1" t="s">
        <v>512</v>
      </c>
    </row>
    <row r="1192" spans="4:17" x14ac:dyDescent="0.25">
      <c r="D1192" s="1" t="s">
        <v>512</v>
      </c>
      <c r="E1192" s="21" t="s">
        <v>512</v>
      </c>
      <c r="F1192" s="1" t="s">
        <v>512</v>
      </c>
      <c r="G1192" s="1" t="s">
        <v>512</v>
      </c>
      <c r="H1192" s="1" t="s">
        <v>512</v>
      </c>
      <c r="I1192" s="1" t="s">
        <v>512</v>
      </c>
      <c r="J1192" s="1" t="s">
        <v>512</v>
      </c>
      <c r="K1192" s="1" t="s">
        <v>512</v>
      </c>
      <c r="L1192" s="1" t="s">
        <v>512</v>
      </c>
      <c r="M1192" s="1" t="s">
        <v>512</v>
      </c>
      <c r="N1192" s="1" t="s">
        <v>512</v>
      </c>
      <c r="O1192" s="1" t="s">
        <v>512</v>
      </c>
      <c r="Q1192" s="1" t="s">
        <v>512</v>
      </c>
    </row>
    <row r="1193" spans="4:17" x14ac:dyDescent="0.25">
      <c r="D1193" s="1" t="s">
        <v>512</v>
      </c>
      <c r="E1193" s="21" t="s">
        <v>512</v>
      </c>
      <c r="F1193" s="1" t="s">
        <v>512</v>
      </c>
      <c r="G1193" s="1" t="s">
        <v>512</v>
      </c>
      <c r="H1193" s="1" t="s">
        <v>512</v>
      </c>
      <c r="I1193" s="1" t="s">
        <v>512</v>
      </c>
      <c r="J1193" s="1" t="s">
        <v>512</v>
      </c>
      <c r="K1193" s="1" t="s">
        <v>512</v>
      </c>
      <c r="L1193" s="1" t="s">
        <v>512</v>
      </c>
      <c r="M1193" s="1" t="s">
        <v>512</v>
      </c>
      <c r="N1193" s="1" t="s">
        <v>512</v>
      </c>
      <c r="O1193" s="1" t="s">
        <v>512</v>
      </c>
      <c r="Q1193" s="1" t="s">
        <v>512</v>
      </c>
    </row>
    <row r="1194" spans="4:17" x14ac:dyDescent="0.25">
      <c r="D1194" s="1" t="s">
        <v>512</v>
      </c>
      <c r="E1194" s="21" t="s">
        <v>512</v>
      </c>
      <c r="F1194" s="1" t="s">
        <v>512</v>
      </c>
      <c r="G1194" s="1" t="s">
        <v>512</v>
      </c>
      <c r="H1194" s="1" t="s">
        <v>512</v>
      </c>
      <c r="I1194" s="1" t="s">
        <v>512</v>
      </c>
      <c r="J1194" s="1" t="s">
        <v>512</v>
      </c>
      <c r="K1194" s="1" t="s">
        <v>512</v>
      </c>
      <c r="L1194" s="1" t="s">
        <v>512</v>
      </c>
      <c r="M1194" s="1" t="s">
        <v>512</v>
      </c>
      <c r="N1194" s="1" t="s">
        <v>512</v>
      </c>
      <c r="O1194" s="1" t="s">
        <v>512</v>
      </c>
      <c r="Q1194" s="1" t="s">
        <v>512</v>
      </c>
    </row>
    <row r="1195" spans="4:17" x14ac:dyDescent="0.25">
      <c r="D1195" s="1" t="s">
        <v>512</v>
      </c>
      <c r="E1195" s="21" t="s">
        <v>512</v>
      </c>
      <c r="F1195" s="1" t="s">
        <v>512</v>
      </c>
      <c r="G1195" s="1" t="s">
        <v>512</v>
      </c>
      <c r="H1195" s="1" t="s">
        <v>512</v>
      </c>
      <c r="I1195" s="1" t="s">
        <v>512</v>
      </c>
      <c r="J1195" s="1" t="s">
        <v>512</v>
      </c>
      <c r="K1195" s="1" t="s">
        <v>512</v>
      </c>
      <c r="L1195" s="1" t="s">
        <v>512</v>
      </c>
      <c r="M1195" s="1" t="s">
        <v>512</v>
      </c>
      <c r="N1195" s="1" t="s">
        <v>512</v>
      </c>
      <c r="O1195" s="1" t="s">
        <v>512</v>
      </c>
      <c r="Q1195" s="1" t="s">
        <v>512</v>
      </c>
    </row>
    <row r="1196" spans="4:17" x14ac:dyDescent="0.25">
      <c r="D1196" s="1" t="s">
        <v>512</v>
      </c>
      <c r="E1196" s="21" t="s">
        <v>512</v>
      </c>
      <c r="F1196" s="1" t="s">
        <v>512</v>
      </c>
      <c r="G1196" s="1" t="s">
        <v>512</v>
      </c>
      <c r="H1196" s="1" t="s">
        <v>512</v>
      </c>
      <c r="I1196" s="1" t="s">
        <v>512</v>
      </c>
      <c r="J1196" s="1" t="s">
        <v>512</v>
      </c>
      <c r="K1196" s="1" t="s">
        <v>512</v>
      </c>
      <c r="L1196" s="1" t="s">
        <v>512</v>
      </c>
      <c r="M1196" s="1" t="s">
        <v>512</v>
      </c>
      <c r="N1196" s="1" t="s">
        <v>512</v>
      </c>
      <c r="O1196" s="1" t="s">
        <v>512</v>
      </c>
      <c r="Q1196" s="1" t="s">
        <v>512</v>
      </c>
    </row>
    <row r="1197" spans="4:17" x14ac:dyDescent="0.25">
      <c r="D1197" s="1" t="s">
        <v>512</v>
      </c>
      <c r="E1197" s="21" t="s">
        <v>512</v>
      </c>
      <c r="F1197" s="1" t="s">
        <v>512</v>
      </c>
      <c r="G1197" s="1" t="s">
        <v>512</v>
      </c>
      <c r="H1197" s="1" t="s">
        <v>512</v>
      </c>
      <c r="I1197" s="1" t="s">
        <v>512</v>
      </c>
      <c r="J1197" s="1" t="s">
        <v>512</v>
      </c>
      <c r="K1197" s="1" t="s">
        <v>512</v>
      </c>
      <c r="L1197" s="1" t="s">
        <v>512</v>
      </c>
      <c r="M1197" s="1" t="s">
        <v>512</v>
      </c>
      <c r="N1197" s="1" t="s">
        <v>512</v>
      </c>
      <c r="O1197" s="1" t="s">
        <v>512</v>
      </c>
      <c r="Q1197" s="1" t="s">
        <v>512</v>
      </c>
    </row>
    <row r="1198" spans="4:17" x14ac:dyDescent="0.25">
      <c r="D1198" s="1" t="s">
        <v>512</v>
      </c>
      <c r="E1198" s="21" t="s">
        <v>512</v>
      </c>
      <c r="F1198" s="1" t="s">
        <v>512</v>
      </c>
      <c r="G1198" s="1" t="s">
        <v>512</v>
      </c>
      <c r="H1198" s="1" t="s">
        <v>512</v>
      </c>
      <c r="I1198" s="1" t="s">
        <v>512</v>
      </c>
      <c r="J1198" s="1" t="s">
        <v>512</v>
      </c>
      <c r="K1198" s="1" t="s">
        <v>512</v>
      </c>
      <c r="L1198" s="1" t="s">
        <v>512</v>
      </c>
      <c r="M1198" s="1" t="s">
        <v>512</v>
      </c>
      <c r="N1198" s="1" t="s">
        <v>512</v>
      </c>
      <c r="O1198" s="1" t="s">
        <v>512</v>
      </c>
      <c r="Q1198" s="1" t="s">
        <v>512</v>
      </c>
    </row>
    <row r="1199" spans="4:17" x14ac:dyDescent="0.25">
      <c r="D1199" s="1" t="s">
        <v>512</v>
      </c>
      <c r="E1199" s="21" t="s">
        <v>512</v>
      </c>
      <c r="F1199" s="1" t="s">
        <v>512</v>
      </c>
      <c r="G1199" s="1" t="s">
        <v>512</v>
      </c>
      <c r="H1199" s="1" t="s">
        <v>512</v>
      </c>
      <c r="I1199" s="1" t="s">
        <v>512</v>
      </c>
      <c r="J1199" s="1" t="s">
        <v>512</v>
      </c>
      <c r="K1199" s="1" t="s">
        <v>512</v>
      </c>
      <c r="L1199" s="1" t="s">
        <v>512</v>
      </c>
      <c r="M1199" s="1" t="s">
        <v>512</v>
      </c>
      <c r="N1199" s="1" t="s">
        <v>512</v>
      </c>
      <c r="O1199" s="1" t="s">
        <v>512</v>
      </c>
      <c r="Q1199" s="1" t="s">
        <v>512</v>
      </c>
    </row>
    <row r="1200" spans="4:17" x14ac:dyDescent="0.25">
      <c r="D1200" s="1" t="s">
        <v>512</v>
      </c>
      <c r="E1200" s="21" t="s">
        <v>512</v>
      </c>
      <c r="F1200" s="1" t="s">
        <v>512</v>
      </c>
      <c r="G1200" s="1" t="s">
        <v>512</v>
      </c>
      <c r="H1200" s="1" t="s">
        <v>512</v>
      </c>
      <c r="I1200" s="1" t="s">
        <v>512</v>
      </c>
      <c r="J1200" s="1" t="s">
        <v>512</v>
      </c>
      <c r="K1200" s="1" t="s">
        <v>512</v>
      </c>
      <c r="L1200" s="1" t="s">
        <v>512</v>
      </c>
      <c r="M1200" s="1" t="s">
        <v>512</v>
      </c>
      <c r="N1200" s="1" t="s">
        <v>512</v>
      </c>
      <c r="O1200" s="1" t="s">
        <v>512</v>
      </c>
      <c r="Q1200" s="1" t="s">
        <v>512</v>
      </c>
    </row>
    <row r="1201" spans="4:17" x14ac:dyDescent="0.25">
      <c r="D1201" s="1" t="s">
        <v>512</v>
      </c>
      <c r="E1201" s="21" t="s">
        <v>512</v>
      </c>
      <c r="F1201" s="1" t="s">
        <v>512</v>
      </c>
      <c r="G1201" s="1" t="s">
        <v>512</v>
      </c>
      <c r="H1201" s="1" t="s">
        <v>512</v>
      </c>
      <c r="I1201" s="1" t="s">
        <v>512</v>
      </c>
      <c r="J1201" s="1" t="s">
        <v>512</v>
      </c>
      <c r="K1201" s="1" t="s">
        <v>512</v>
      </c>
      <c r="L1201" s="1" t="s">
        <v>512</v>
      </c>
      <c r="M1201" s="1" t="s">
        <v>512</v>
      </c>
      <c r="N1201" s="1" t="s">
        <v>512</v>
      </c>
      <c r="O1201" s="1" t="s">
        <v>512</v>
      </c>
      <c r="Q1201" s="1" t="s">
        <v>512</v>
      </c>
    </row>
    <row r="1202" spans="4:17" x14ac:dyDescent="0.25">
      <c r="D1202" s="1" t="s">
        <v>512</v>
      </c>
      <c r="E1202" s="21" t="s">
        <v>512</v>
      </c>
      <c r="F1202" s="1" t="s">
        <v>512</v>
      </c>
      <c r="G1202" s="1" t="s">
        <v>512</v>
      </c>
      <c r="H1202" s="1" t="s">
        <v>512</v>
      </c>
      <c r="I1202" s="1" t="s">
        <v>512</v>
      </c>
      <c r="J1202" s="1" t="s">
        <v>512</v>
      </c>
      <c r="K1202" s="1" t="s">
        <v>512</v>
      </c>
      <c r="L1202" s="1" t="s">
        <v>512</v>
      </c>
      <c r="M1202" s="1" t="s">
        <v>512</v>
      </c>
      <c r="N1202" s="1" t="s">
        <v>512</v>
      </c>
      <c r="O1202" s="1" t="s">
        <v>512</v>
      </c>
      <c r="Q1202" s="1" t="s">
        <v>512</v>
      </c>
    </row>
    <row r="1203" spans="4:17" x14ac:dyDescent="0.25">
      <c r="D1203" s="1" t="s">
        <v>512</v>
      </c>
      <c r="E1203" s="21" t="s">
        <v>512</v>
      </c>
      <c r="F1203" s="1" t="s">
        <v>512</v>
      </c>
      <c r="G1203" s="1" t="s">
        <v>512</v>
      </c>
      <c r="H1203" s="1" t="s">
        <v>512</v>
      </c>
      <c r="I1203" s="1" t="s">
        <v>512</v>
      </c>
      <c r="J1203" s="1" t="s">
        <v>512</v>
      </c>
      <c r="K1203" s="1" t="s">
        <v>512</v>
      </c>
      <c r="L1203" s="1" t="s">
        <v>512</v>
      </c>
      <c r="M1203" s="1" t="s">
        <v>512</v>
      </c>
      <c r="N1203" s="1" t="s">
        <v>512</v>
      </c>
      <c r="O1203" s="1" t="s">
        <v>512</v>
      </c>
      <c r="Q1203" s="1" t="s">
        <v>512</v>
      </c>
    </row>
    <row r="1204" spans="4:17" x14ac:dyDescent="0.25">
      <c r="D1204" s="1" t="s">
        <v>512</v>
      </c>
      <c r="E1204" s="21" t="s">
        <v>512</v>
      </c>
      <c r="F1204" s="1" t="s">
        <v>512</v>
      </c>
      <c r="G1204" s="1" t="s">
        <v>512</v>
      </c>
      <c r="H1204" s="1" t="s">
        <v>512</v>
      </c>
      <c r="I1204" s="1" t="s">
        <v>512</v>
      </c>
      <c r="J1204" s="1" t="s">
        <v>512</v>
      </c>
      <c r="K1204" s="1" t="s">
        <v>512</v>
      </c>
      <c r="L1204" s="1" t="s">
        <v>512</v>
      </c>
      <c r="M1204" s="1" t="s">
        <v>512</v>
      </c>
      <c r="N1204" s="1" t="s">
        <v>512</v>
      </c>
      <c r="O1204" s="1" t="s">
        <v>512</v>
      </c>
      <c r="Q1204" s="1" t="s">
        <v>512</v>
      </c>
    </row>
    <row r="1205" spans="4:17" x14ac:dyDescent="0.25">
      <c r="D1205" s="1" t="s">
        <v>512</v>
      </c>
      <c r="E1205" s="21" t="s">
        <v>512</v>
      </c>
      <c r="F1205" s="1" t="s">
        <v>512</v>
      </c>
      <c r="G1205" s="1" t="s">
        <v>512</v>
      </c>
      <c r="H1205" s="1" t="s">
        <v>512</v>
      </c>
      <c r="I1205" s="1" t="s">
        <v>512</v>
      </c>
      <c r="J1205" s="1" t="s">
        <v>512</v>
      </c>
      <c r="K1205" s="1" t="s">
        <v>512</v>
      </c>
      <c r="L1205" s="1" t="s">
        <v>512</v>
      </c>
      <c r="M1205" s="1" t="s">
        <v>512</v>
      </c>
      <c r="N1205" s="1" t="s">
        <v>512</v>
      </c>
      <c r="O1205" s="1" t="s">
        <v>512</v>
      </c>
      <c r="Q1205" s="1" t="s">
        <v>512</v>
      </c>
    </row>
    <row r="1206" spans="4:17" x14ac:dyDescent="0.25">
      <c r="D1206" s="1" t="s">
        <v>512</v>
      </c>
      <c r="E1206" s="21" t="s">
        <v>512</v>
      </c>
      <c r="F1206" s="1" t="s">
        <v>512</v>
      </c>
      <c r="G1206" s="1" t="s">
        <v>512</v>
      </c>
      <c r="H1206" s="1" t="s">
        <v>512</v>
      </c>
      <c r="I1206" s="1" t="s">
        <v>512</v>
      </c>
      <c r="J1206" s="1" t="s">
        <v>512</v>
      </c>
      <c r="K1206" s="1" t="s">
        <v>512</v>
      </c>
      <c r="L1206" s="1" t="s">
        <v>512</v>
      </c>
      <c r="M1206" s="1" t="s">
        <v>512</v>
      </c>
      <c r="N1206" s="1" t="s">
        <v>512</v>
      </c>
      <c r="O1206" s="1" t="s">
        <v>512</v>
      </c>
      <c r="Q1206" s="1" t="s">
        <v>512</v>
      </c>
    </row>
    <row r="1207" spans="4:17" x14ac:dyDescent="0.25">
      <c r="D1207" s="1" t="s">
        <v>512</v>
      </c>
      <c r="E1207" s="21" t="s">
        <v>512</v>
      </c>
      <c r="F1207" s="1" t="s">
        <v>512</v>
      </c>
      <c r="G1207" s="1" t="s">
        <v>512</v>
      </c>
      <c r="H1207" s="1" t="s">
        <v>512</v>
      </c>
      <c r="I1207" s="1" t="s">
        <v>512</v>
      </c>
      <c r="J1207" s="1" t="s">
        <v>512</v>
      </c>
      <c r="K1207" s="1" t="s">
        <v>512</v>
      </c>
      <c r="L1207" s="1" t="s">
        <v>512</v>
      </c>
      <c r="M1207" s="1" t="s">
        <v>512</v>
      </c>
      <c r="N1207" s="1" t="s">
        <v>512</v>
      </c>
      <c r="O1207" s="1" t="s">
        <v>512</v>
      </c>
      <c r="Q1207" s="1" t="s">
        <v>512</v>
      </c>
    </row>
    <row r="1208" spans="4:17" x14ac:dyDescent="0.25">
      <c r="D1208" s="1" t="s">
        <v>512</v>
      </c>
      <c r="E1208" s="21" t="s">
        <v>512</v>
      </c>
      <c r="F1208" s="1" t="s">
        <v>512</v>
      </c>
      <c r="G1208" s="1" t="s">
        <v>512</v>
      </c>
      <c r="H1208" s="1" t="s">
        <v>512</v>
      </c>
      <c r="I1208" s="1" t="s">
        <v>512</v>
      </c>
      <c r="J1208" s="1" t="s">
        <v>512</v>
      </c>
      <c r="K1208" s="1" t="s">
        <v>512</v>
      </c>
      <c r="L1208" s="1" t="s">
        <v>512</v>
      </c>
      <c r="M1208" s="1" t="s">
        <v>512</v>
      </c>
      <c r="N1208" s="1" t="s">
        <v>512</v>
      </c>
      <c r="O1208" s="1" t="s">
        <v>512</v>
      </c>
      <c r="Q1208" s="1" t="s">
        <v>512</v>
      </c>
    </row>
    <row r="1209" spans="4:17" x14ac:dyDescent="0.25">
      <c r="D1209" s="1" t="s">
        <v>512</v>
      </c>
      <c r="E1209" s="21" t="s">
        <v>512</v>
      </c>
      <c r="F1209" s="1" t="s">
        <v>512</v>
      </c>
      <c r="G1209" s="1" t="s">
        <v>512</v>
      </c>
      <c r="H1209" s="1" t="s">
        <v>512</v>
      </c>
      <c r="I1209" s="1" t="s">
        <v>512</v>
      </c>
      <c r="J1209" s="1" t="s">
        <v>512</v>
      </c>
      <c r="K1209" s="1" t="s">
        <v>512</v>
      </c>
      <c r="L1209" s="1" t="s">
        <v>512</v>
      </c>
      <c r="M1209" s="1" t="s">
        <v>512</v>
      </c>
      <c r="N1209" s="1" t="s">
        <v>512</v>
      </c>
      <c r="O1209" s="1" t="s">
        <v>512</v>
      </c>
      <c r="Q1209" s="1" t="s">
        <v>512</v>
      </c>
    </row>
    <row r="1210" spans="4:17" x14ac:dyDescent="0.25">
      <c r="D1210" s="1" t="s">
        <v>512</v>
      </c>
      <c r="E1210" s="21" t="s">
        <v>512</v>
      </c>
      <c r="F1210" s="1" t="s">
        <v>512</v>
      </c>
      <c r="G1210" s="1" t="s">
        <v>512</v>
      </c>
      <c r="H1210" s="1" t="s">
        <v>512</v>
      </c>
      <c r="I1210" s="1" t="s">
        <v>512</v>
      </c>
      <c r="J1210" s="1" t="s">
        <v>512</v>
      </c>
      <c r="K1210" s="1" t="s">
        <v>512</v>
      </c>
      <c r="L1210" s="1" t="s">
        <v>512</v>
      </c>
      <c r="M1210" s="1" t="s">
        <v>512</v>
      </c>
      <c r="N1210" s="1" t="s">
        <v>512</v>
      </c>
      <c r="O1210" s="1" t="s">
        <v>512</v>
      </c>
      <c r="Q1210" s="1" t="s">
        <v>512</v>
      </c>
    </row>
    <row r="1211" spans="4:17" x14ac:dyDescent="0.25">
      <c r="D1211" s="1" t="s">
        <v>512</v>
      </c>
      <c r="E1211" s="21" t="s">
        <v>512</v>
      </c>
      <c r="F1211" s="1" t="s">
        <v>512</v>
      </c>
      <c r="G1211" s="1" t="s">
        <v>512</v>
      </c>
      <c r="H1211" s="1" t="s">
        <v>512</v>
      </c>
      <c r="I1211" s="1" t="s">
        <v>512</v>
      </c>
      <c r="J1211" s="1" t="s">
        <v>512</v>
      </c>
      <c r="K1211" s="1" t="s">
        <v>512</v>
      </c>
      <c r="L1211" s="1" t="s">
        <v>512</v>
      </c>
      <c r="M1211" s="1" t="s">
        <v>512</v>
      </c>
      <c r="N1211" s="1" t="s">
        <v>512</v>
      </c>
      <c r="O1211" s="1" t="s">
        <v>512</v>
      </c>
      <c r="Q1211" s="1" t="s">
        <v>512</v>
      </c>
    </row>
    <row r="1212" spans="4:17" x14ac:dyDescent="0.25">
      <c r="D1212" s="1" t="s">
        <v>512</v>
      </c>
      <c r="E1212" s="21" t="s">
        <v>512</v>
      </c>
      <c r="F1212" s="1" t="s">
        <v>512</v>
      </c>
      <c r="G1212" s="1" t="s">
        <v>512</v>
      </c>
      <c r="H1212" s="1" t="s">
        <v>512</v>
      </c>
      <c r="I1212" s="1" t="s">
        <v>512</v>
      </c>
      <c r="J1212" s="1" t="s">
        <v>512</v>
      </c>
      <c r="K1212" s="1" t="s">
        <v>512</v>
      </c>
      <c r="L1212" s="1" t="s">
        <v>512</v>
      </c>
      <c r="M1212" s="1" t="s">
        <v>512</v>
      </c>
      <c r="N1212" s="1" t="s">
        <v>512</v>
      </c>
      <c r="O1212" s="1" t="s">
        <v>512</v>
      </c>
      <c r="Q1212" s="1" t="s">
        <v>512</v>
      </c>
    </row>
    <row r="1213" spans="4:17" x14ac:dyDescent="0.25">
      <c r="D1213" s="1" t="s">
        <v>512</v>
      </c>
      <c r="E1213" s="21" t="s">
        <v>512</v>
      </c>
      <c r="F1213" s="1" t="s">
        <v>512</v>
      </c>
      <c r="G1213" s="1" t="s">
        <v>512</v>
      </c>
      <c r="H1213" s="1" t="s">
        <v>512</v>
      </c>
      <c r="I1213" s="1" t="s">
        <v>512</v>
      </c>
      <c r="J1213" s="1" t="s">
        <v>512</v>
      </c>
      <c r="K1213" s="1" t="s">
        <v>512</v>
      </c>
      <c r="L1213" s="1" t="s">
        <v>512</v>
      </c>
      <c r="M1213" s="1" t="s">
        <v>512</v>
      </c>
      <c r="N1213" s="1" t="s">
        <v>512</v>
      </c>
      <c r="O1213" s="1" t="s">
        <v>512</v>
      </c>
      <c r="Q1213" s="1" t="s">
        <v>512</v>
      </c>
    </row>
    <row r="1214" spans="4:17" x14ac:dyDescent="0.25">
      <c r="D1214" s="1" t="s">
        <v>512</v>
      </c>
      <c r="E1214" s="21" t="s">
        <v>512</v>
      </c>
      <c r="F1214" s="1" t="s">
        <v>512</v>
      </c>
      <c r="G1214" s="1" t="s">
        <v>512</v>
      </c>
      <c r="H1214" s="1" t="s">
        <v>512</v>
      </c>
      <c r="I1214" s="1" t="s">
        <v>512</v>
      </c>
      <c r="J1214" s="1" t="s">
        <v>512</v>
      </c>
      <c r="K1214" s="1" t="s">
        <v>512</v>
      </c>
      <c r="L1214" s="1" t="s">
        <v>512</v>
      </c>
      <c r="M1214" s="1" t="s">
        <v>512</v>
      </c>
      <c r="N1214" s="1" t="s">
        <v>512</v>
      </c>
      <c r="O1214" s="1" t="s">
        <v>512</v>
      </c>
      <c r="Q1214" s="1" t="s">
        <v>512</v>
      </c>
    </row>
    <row r="1215" spans="4:17" x14ac:dyDescent="0.25">
      <c r="D1215" s="1" t="s">
        <v>512</v>
      </c>
      <c r="E1215" s="21" t="s">
        <v>512</v>
      </c>
      <c r="F1215" s="1" t="s">
        <v>512</v>
      </c>
      <c r="G1215" s="1" t="s">
        <v>512</v>
      </c>
      <c r="H1215" s="1" t="s">
        <v>512</v>
      </c>
      <c r="I1215" s="1" t="s">
        <v>512</v>
      </c>
      <c r="J1215" s="1" t="s">
        <v>512</v>
      </c>
      <c r="K1215" s="1" t="s">
        <v>512</v>
      </c>
      <c r="L1215" s="1" t="s">
        <v>512</v>
      </c>
      <c r="M1215" s="1" t="s">
        <v>512</v>
      </c>
      <c r="N1215" s="1" t="s">
        <v>512</v>
      </c>
      <c r="O1215" s="1" t="s">
        <v>512</v>
      </c>
      <c r="Q1215" s="1" t="s">
        <v>512</v>
      </c>
    </row>
    <row r="1216" spans="4:17" x14ac:dyDescent="0.25">
      <c r="D1216" s="1" t="s">
        <v>512</v>
      </c>
      <c r="E1216" s="21" t="s">
        <v>512</v>
      </c>
      <c r="F1216" s="1" t="s">
        <v>512</v>
      </c>
      <c r="G1216" s="1" t="s">
        <v>512</v>
      </c>
      <c r="H1216" s="1" t="s">
        <v>512</v>
      </c>
      <c r="I1216" s="1" t="s">
        <v>512</v>
      </c>
      <c r="J1216" s="1" t="s">
        <v>512</v>
      </c>
      <c r="K1216" s="1" t="s">
        <v>512</v>
      </c>
      <c r="L1216" s="1" t="s">
        <v>512</v>
      </c>
      <c r="M1216" s="1" t="s">
        <v>512</v>
      </c>
      <c r="N1216" s="1" t="s">
        <v>512</v>
      </c>
      <c r="O1216" s="1" t="s">
        <v>512</v>
      </c>
      <c r="Q1216" s="1" t="s">
        <v>512</v>
      </c>
    </row>
    <row r="1217" spans="4:17" x14ac:dyDescent="0.25">
      <c r="D1217" s="1" t="s">
        <v>512</v>
      </c>
      <c r="E1217" s="21" t="s">
        <v>512</v>
      </c>
      <c r="F1217" s="1" t="s">
        <v>512</v>
      </c>
      <c r="G1217" s="1" t="s">
        <v>512</v>
      </c>
      <c r="H1217" s="1" t="s">
        <v>512</v>
      </c>
      <c r="I1217" s="1" t="s">
        <v>512</v>
      </c>
      <c r="J1217" s="1" t="s">
        <v>512</v>
      </c>
      <c r="K1217" s="1" t="s">
        <v>512</v>
      </c>
      <c r="L1217" s="1" t="s">
        <v>512</v>
      </c>
      <c r="M1217" s="1" t="s">
        <v>512</v>
      </c>
      <c r="N1217" s="1" t="s">
        <v>512</v>
      </c>
      <c r="O1217" s="1" t="s">
        <v>512</v>
      </c>
      <c r="Q1217" s="1" t="s">
        <v>512</v>
      </c>
    </row>
    <row r="1218" spans="4:17" x14ac:dyDescent="0.25">
      <c r="D1218" s="1" t="s">
        <v>512</v>
      </c>
      <c r="E1218" s="21" t="s">
        <v>512</v>
      </c>
      <c r="F1218" s="1" t="s">
        <v>512</v>
      </c>
      <c r="G1218" s="1" t="s">
        <v>512</v>
      </c>
      <c r="H1218" s="1" t="s">
        <v>512</v>
      </c>
      <c r="I1218" s="1" t="s">
        <v>512</v>
      </c>
      <c r="J1218" s="1" t="s">
        <v>512</v>
      </c>
      <c r="K1218" s="1" t="s">
        <v>512</v>
      </c>
      <c r="L1218" s="1" t="s">
        <v>512</v>
      </c>
      <c r="M1218" s="1" t="s">
        <v>512</v>
      </c>
      <c r="N1218" s="1" t="s">
        <v>512</v>
      </c>
      <c r="O1218" s="1" t="s">
        <v>512</v>
      </c>
      <c r="Q1218" s="1" t="s">
        <v>512</v>
      </c>
    </row>
    <row r="1219" spans="4:17" x14ac:dyDescent="0.25">
      <c r="D1219" s="1" t="s">
        <v>512</v>
      </c>
      <c r="E1219" s="21" t="s">
        <v>512</v>
      </c>
      <c r="F1219" s="1" t="s">
        <v>512</v>
      </c>
      <c r="G1219" s="1" t="s">
        <v>512</v>
      </c>
      <c r="H1219" s="1" t="s">
        <v>512</v>
      </c>
      <c r="I1219" s="1" t="s">
        <v>512</v>
      </c>
      <c r="J1219" s="1" t="s">
        <v>512</v>
      </c>
      <c r="K1219" s="1" t="s">
        <v>512</v>
      </c>
      <c r="L1219" s="1" t="s">
        <v>512</v>
      </c>
      <c r="M1219" s="1" t="s">
        <v>512</v>
      </c>
      <c r="N1219" s="1" t="s">
        <v>512</v>
      </c>
      <c r="O1219" s="1" t="s">
        <v>512</v>
      </c>
      <c r="Q1219" s="1" t="s">
        <v>512</v>
      </c>
    </row>
    <row r="1220" spans="4:17" x14ac:dyDescent="0.25">
      <c r="D1220" s="1" t="s">
        <v>512</v>
      </c>
      <c r="E1220" s="21" t="s">
        <v>512</v>
      </c>
      <c r="F1220" s="1" t="s">
        <v>512</v>
      </c>
      <c r="G1220" s="1" t="s">
        <v>512</v>
      </c>
      <c r="H1220" s="1" t="s">
        <v>512</v>
      </c>
      <c r="I1220" s="1" t="s">
        <v>512</v>
      </c>
      <c r="J1220" s="1" t="s">
        <v>512</v>
      </c>
      <c r="K1220" s="1" t="s">
        <v>512</v>
      </c>
      <c r="L1220" s="1" t="s">
        <v>512</v>
      </c>
      <c r="M1220" s="1" t="s">
        <v>512</v>
      </c>
      <c r="N1220" s="1" t="s">
        <v>512</v>
      </c>
      <c r="O1220" s="1" t="s">
        <v>512</v>
      </c>
      <c r="Q1220" s="1" t="s">
        <v>512</v>
      </c>
    </row>
    <row r="1221" spans="4:17" x14ac:dyDescent="0.25">
      <c r="D1221" s="1" t="s">
        <v>512</v>
      </c>
      <c r="E1221" s="21" t="s">
        <v>512</v>
      </c>
      <c r="F1221" s="1" t="s">
        <v>512</v>
      </c>
      <c r="G1221" s="1" t="s">
        <v>512</v>
      </c>
      <c r="H1221" s="1" t="s">
        <v>512</v>
      </c>
      <c r="I1221" s="1" t="s">
        <v>512</v>
      </c>
      <c r="J1221" s="1" t="s">
        <v>512</v>
      </c>
      <c r="K1221" s="1" t="s">
        <v>512</v>
      </c>
      <c r="L1221" s="1" t="s">
        <v>512</v>
      </c>
      <c r="M1221" s="1" t="s">
        <v>512</v>
      </c>
      <c r="N1221" s="1" t="s">
        <v>512</v>
      </c>
      <c r="O1221" s="1" t="s">
        <v>512</v>
      </c>
      <c r="Q1221" s="1" t="s">
        <v>512</v>
      </c>
    </row>
    <row r="1222" spans="4:17" x14ac:dyDescent="0.25">
      <c r="D1222" s="1" t="s">
        <v>512</v>
      </c>
      <c r="E1222" s="21" t="s">
        <v>512</v>
      </c>
      <c r="F1222" s="1" t="s">
        <v>512</v>
      </c>
      <c r="G1222" s="1" t="s">
        <v>512</v>
      </c>
      <c r="H1222" s="1" t="s">
        <v>512</v>
      </c>
      <c r="I1222" s="1" t="s">
        <v>512</v>
      </c>
      <c r="J1222" s="1" t="s">
        <v>512</v>
      </c>
      <c r="K1222" s="1" t="s">
        <v>512</v>
      </c>
      <c r="L1222" s="1" t="s">
        <v>512</v>
      </c>
      <c r="M1222" s="1" t="s">
        <v>512</v>
      </c>
      <c r="N1222" s="1" t="s">
        <v>512</v>
      </c>
      <c r="O1222" s="1" t="s">
        <v>512</v>
      </c>
      <c r="Q1222" s="1" t="s">
        <v>512</v>
      </c>
    </row>
    <row r="1223" spans="4:17" x14ac:dyDescent="0.25">
      <c r="D1223" s="1" t="s">
        <v>512</v>
      </c>
      <c r="E1223" s="21" t="s">
        <v>512</v>
      </c>
      <c r="F1223" s="1" t="s">
        <v>512</v>
      </c>
      <c r="G1223" s="1" t="s">
        <v>512</v>
      </c>
      <c r="H1223" s="1" t="s">
        <v>512</v>
      </c>
      <c r="I1223" s="1" t="s">
        <v>512</v>
      </c>
      <c r="J1223" s="1" t="s">
        <v>512</v>
      </c>
      <c r="K1223" s="1" t="s">
        <v>512</v>
      </c>
      <c r="L1223" s="1" t="s">
        <v>512</v>
      </c>
      <c r="M1223" s="1" t="s">
        <v>512</v>
      </c>
      <c r="N1223" s="1" t="s">
        <v>512</v>
      </c>
      <c r="O1223" s="1" t="s">
        <v>512</v>
      </c>
      <c r="Q1223" s="1" t="s">
        <v>512</v>
      </c>
    </row>
    <row r="1224" spans="4:17" x14ac:dyDescent="0.25">
      <c r="D1224" s="1" t="s">
        <v>512</v>
      </c>
      <c r="E1224" s="21" t="s">
        <v>512</v>
      </c>
      <c r="F1224" s="1" t="s">
        <v>512</v>
      </c>
      <c r="G1224" s="1" t="s">
        <v>512</v>
      </c>
      <c r="H1224" s="1" t="s">
        <v>512</v>
      </c>
      <c r="I1224" s="1" t="s">
        <v>512</v>
      </c>
      <c r="J1224" s="1" t="s">
        <v>512</v>
      </c>
      <c r="K1224" s="1" t="s">
        <v>512</v>
      </c>
      <c r="L1224" s="1" t="s">
        <v>512</v>
      </c>
      <c r="M1224" s="1" t="s">
        <v>512</v>
      </c>
      <c r="N1224" s="1" t="s">
        <v>512</v>
      </c>
      <c r="O1224" s="1" t="s">
        <v>512</v>
      </c>
      <c r="Q1224" s="1" t="s">
        <v>512</v>
      </c>
    </row>
    <row r="1225" spans="4:17" x14ac:dyDescent="0.25">
      <c r="D1225" s="1" t="s">
        <v>512</v>
      </c>
      <c r="E1225" s="21" t="s">
        <v>512</v>
      </c>
      <c r="F1225" s="1" t="s">
        <v>512</v>
      </c>
      <c r="G1225" s="1" t="s">
        <v>512</v>
      </c>
      <c r="H1225" s="1" t="s">
        <v>512</v>
      </c>
      <c r="I1225" s="1" t="s">
        <v>512</v>
      </c>
      <c r="J1225" s="1" t="s">
        <v>512</v>
      </c>
      <c r="K1225" s="1" t="s">
        <v>512</v>
      </c>
      <c r="L1225" s="1" t="s">
        <v>512</v>
      </c>
      <c r="M1225" s="1" t="s">
        <v>512</v>
      </c>
      <c r="N1225" s="1" t="s">
        <v>512</v>
      </c>
      <c r="O1225" s="1" t="s">
        <v>512</v>
      </c>
      <c r="Q1225" s="1" t="s">
        <v>512</v>
      </c>
    </row>
    <row r="1226" spans="4:17" x14ac:dyDescent="0.25">
      <c r="D1226" s="1" t="s">
        <v>512</v>
      </c>
      <c r="E1226" s="21" t="s">
        <v>512</v>
      </c>
      <c r="F1226" s="1" t="s">
        <v>512</v>
      </c>
      <c r="G1226" s="1" t="s">
        <v>512</v>
      </c>
      <c r="H1226" s="1" t="s">
        <v>512</v>
      </c>
      <c r="I1226" s="1" t="s">
        <v>512</v>
      </c>
      <c r="J1226" s="1" t="s">
        <v>512</v>
      </c>
      <c r="K1226" s="1" t="s">
        <v>512</v>
      </c>
      <c r="L1226" s="1" t="s">
        <v>512</v>
      </c>
      <c r="M1226" s="1" t="s">
        <v>512</v>
      </c>
      <c r="N1226" s="1" t="s">
        <v>512</v>
      </c>
      <c r="O1226" s="1" t="s">
        <v>512</v>
      </c>
      <c r="Q1226" s="1" t="s">
        <v>512</v>
      </c>
    </row>
    <row r="1227" spans="4:17" x14ac:dyDescent="0.25">
      <c r="D1227" s="1" t="s">
        <v>512</v>
      </c>
      <c r="E1227" s="21" t="s">
        <v>512</v>
      </c>
      <c r="F1227" s="1" t="s">
        <v>512</v>
      </c>
      <c r="G1227" s="1" t="s">
        <v>512</v>
      </c>
      <c r="H1227" s="1" t="s">
        <v>512</v>
      </c>
      <c r="I1227" s="1" t="s">
        <v>512</v>
      </c>
      <c r="J1227" s="1" t="s">
        <v>512</v>
      </c>
      <c r="K1227" s="1" t="s">
        <v>512</v>
      </c>
      <c r="L1227" s="1" t="s">
        <v>512</v>
      </c>
      <c r="M1227" s="1" t="s">
        <v>512</v>
      </c>
      <c r="N1227" s="1" t="s">
        <v>512</v>
      </c>
      <c r="O1227" s="1" t="s">
        <v>512</v>
      </c>
      <c r="Q1227" s="1" t="s">
        <v>512</v>
      </c>
    </row>
    <row r="1228" spans="4:17" x14ac:dyDescent="0.25">
      <c r="D1228" s="1" t="s">
        <v>512</v>
      </c>
      <c r="E1228" s="21" t="s">
        <v>512</v>
      </c>
      <c r="F1228" s="1" t="s">
        <v>512</v>
      </c>
      <c r="G1228" s="1" t="s">
        <v>512</v>
      </c>
      <c r="H1228" s="1" t="s">
        <v>512</v>
      </c>
      <c r="I1228" s="1" t="s">
        <v>512</v>
      </c>
      <c r="J1228" s="1" t="s">
        <v>512</v>
      </c>
      <c r="K1228" s="1" t="s">
        <v>512</v>
      </c>
      <c r="L1228" s="1" t="s">
        <v>512</v>
      </c>
      <c r="M1228" s="1" t="s">
        <v>512</v>
      </c>
      <c r="N1228" s="1" t="s">
        <v>512</v>
      </c>
      <c r="O1228" s="1" t="s">
        <v>512</v>
      </c>
      <c r="Q1228" s="1" t="s">
        <v>512</v>
      </c>
    </row>
    <row r="1229" spans="4:17" x14ac:dyDescent="0.25">
      <c r="D1229" s="1" t="s">
        <v>512</v>
      </c>
      <c r="E1229" s="21" t="s">
        <v>512</v>
      </c>
      <c r="F1229" s="1" t="s">
        <v>512</v>
      </c>
      <c r="G1229" s="1" t="s">
        <v>512</v>
      </c>
      <c r="H1229" s="1" t="s">
        <v>512</v>
      </c>
      <c r="I1229" s="1" t="s">
        <v>512</v>
      </c>
      <c r="J1229" s="1" t="s">
        <v>512</v>
      </c>
      <c r="K1229" s="1" t="s">
        <v>512</v>
      </c>
      <c r="L1229" s="1" t="s">
        <v>512</v>
      </c>
      <c r="M1229" s="1" t="s">
        <v>512</v>
      </c>
      <c r="N1229" s="1" t="s">
        <v>512</v>
      </c>
      <c r="O1229" s="1" t="s">
        <v>512</v>
      </c>
      <c r="Q1229" s="1" t="s">
        <v>512</v>
      </c>
    </row>
    <row r="1230" spans="4:17" x14ac:dyDescent="0.25">
      <c r="D1230" s="1" t="s">
        <v>512</v>
      </c>
      <c r="E1230" s="21" t="s">
        <v>512</v>
      </c>
      <c r="F1230" s="1" t="s">
        <v>512</v>
      </c>
      <c r="G1230" s="1" t="s">
        <v>512</v>
      </c>
      <c r="H1230" s="1" t="s">
        <v>512</v>
      </c>
      <c r="I1230" s="1" t="s">
        <v>512</v>
      </c>
      <c r="J1230" s="1" t="s">
        <v>512</v>
      </c>
      <c r="K1230" s="1" t="s">
        <v>512</v>
      </c>
      <c r="L1230" s="1" t="s">
        <v>512</v>
      </c>
      <c r="M1230" s="1" t="s">
        <v>512</v>
      </c>
      <c r="N1230" s="1" t="s">
        <v>512</v>
      </c>
      <c r="O1230" s="1" t="s">
        <v>512</v>
      </c>
      <c r="Q1230" s="1" t="s">
        <v>512</v>
      </c>
    </row>
    <row r="1231" spans="4:17" x14ac:dyDescent="0.25">
      <c r="D1231" s="1" t="s">
        <v>512</v>
      </c>
      <c r="E1231" s="21" t="s">
        <v>512</v>
      </c>
      <c r="F1231" s="1" t="s">
        <v>512</v>
      </c>
      <c r="G1231" s="1" t="s">
        <v>512</v>
      </c>
      <c r="H1231" s="1" t="s">
        <v>512</v>
      </c>
      <c r="I1231" s="1" t="s">
        <v>512</v>
      </c>
      <c r="J1231" s="1" t="s">
        <v>512</v>
      </c>
      <c r="K1231" s="1" t="s">
        <v>512</v>
      </c>
      <c r="L1231" s="1" t="s">
        <v>512</v>
      </c>
      <c r="M1231" s="1" t="s">
        <v>512</v>
      </c>
      <c r="N1231" s="1" t="s">
        <v>512</v>
      </c>
      <c r="O1231" s="1" t="s">
        <v>512</v>
      </c>
      <c r="Q1231" s="1" t="s">
        <v>512</v>
      </c>
    </row>
    <row r="1232" spans="4:17" x14ac:dyDescent="0.25">
      <c r="D1232" s="1" t="s">
        <v>512</v>
      </c>
      <c r="E1232" s="21" t="s">
        <v>512</v>
      </c>
      <c r="F1232" s="1" t="s">
        <v>512</v>
      </c>
      <c r="G1232" s="1" t="s">
        <v>512</v>
      </c>
      <c r="H1232" s="1" t="s">
        <v>512</v>
      </c>
      <c r="I1232" s="1" t="s">
        <v>512</v>
      </c>
      <c r="J1232" s="1" t="s">
        <v>512</v>
      </c>
      <c r="K1232" s="1" t="s">
        <v>512</v>
      </c>
      <c r="L1232" s="1" t="s">
        <v>512</v>
      </c>
      <c r="M1232" s="1" t="s">
        <v>512</v>
      </c>
      <c r="N1232" s="1" t="s">
        <v>512</v>
      </c>
      <c r="O1232" s="1" t="s">
        <v>512</v>
      </c>
      <c r="Q1232" s="1" t="s">
        <v>512</v>
      </c>
    </row>
    <row r="1233" spans="4:17" x14ac:dyDescent="0.25">
      <c r="D1233" s="1" t="s">
        <v>512</v>
      </c>
      <c r="E1233" s="21" t="s">
        <v>512</v>
      </c>
      <c r="F1233" s="1" t="s">
        <v>512</v>
      </c>
      <c r="G1233" s="1" t="s">
        <v>512</v>
      </c>
      <c r="H1233" s="1" t="s">
        <v>512</v>
      </c>
      <c r="I1233" s="1" t="s">
        <v>512</v>
      </c>
      <c r="J1233" s="1" t="s">
        <v>512</v>
      </c>
      <c r="K1233" s="1" t="s">
        <v>512</v>
      </c>
      <c r="L1233" s="1" t="s">
        <v>512</v>
      </c>
      <c r="M1233" s="1" t="s">
        <v>512</v>
      </c>
      <c r="N1233" s="1" t="s">
        <v>512</v>
      </c>
      <c r="O1233" s="1" t="s">
        <v>512</v>
      </c>
      <c r="Q1233" s="1" t="s">
        <v>512</v>
      </c>
    </row>
    <row r="1234" spans="4:17" x14ac:dyDescent="0.25">
      <c r="D1234" s="1" t="s">
        <v>512</v>
      </c>
      <c r="E1234" s="21" t="s">
        <v>512</v>
      </c>
      <c r="F1234" s="1" t="s">
        <v>512</v>
      </c>
      <c r="G1234" s="1" t="s">
        <v>512</v>
      </c>
      <c r="H1234" s="1" t="s">
        <v>512</v>
      </c>
      <c r="I1234" s="1" t="s">
        <v>512</v>
      </c>
      <c r="J1234" s="1" t="s">
        <v>512</v>
      </c>
      <c r="K1234" s="1" t="s">
        <v>512</v>
      </c>
      <c r="L1234" s="1" t="s">
        <v>512</v>
      </c>
      <c r="M1234" s="1" t="s">
        <v>512</v>
      </c>
      <c r="N1234" s="1" t="s">
        <v>512</v>
      </c>
      <c r="O1234" s="1" t="s">
        <v>512</v>
      </c>
      <c r="Q1234" s="1" t="s">
        <v>512</v>
      </c>
    </row>
    <row r="1235" spans="4:17" x14ac:dyDescent="0.25">
      <c r="D1235" s="1" t="s">
        <v>512</v>
      </c>
      <c r="E1235" s="21" t="s">
        <v>512</v>
      </c>
      <c r="F1235" s="1" t="s">
        <v>512</v>
      </c>
      <c r="G1235" s="1" t="s">
        <v>512</v>
      </c>
      <c r="H1235" s="1" t="s">
        <v>512</v>
      </c>
      <c r="I1235" s="1" t="s">
        <v>512</v>
      </c>
      <c r="J1235" s="1" t="s">
        <v>512</v>
      </c>
      <c r="K1235" s="1" t="s">
        <v>512</v>
      </c>
      <c r="L1235" s="1" t="s">
        <v>512</v>
      </c>
      <c r="M1235" s="1" t="s">
        <v>512</v>
      </c>
      <c r="N1235" s="1" t="s">
        <v>512</v>
      </c>
      <c r="O1235" s="1" t="s">
        <v>512</v>
      </c>
      <c r="Q1235" s="1" t="s">
        <v>512</v>
      </c>
    </row>
    <row r="1236" spans="4:17" x14ac:dyDescent="0.25">
      <c r="D1236" s="1" t="s">
        <v>512</v>
      </c>
      <c r="E1236" s="21" t="s">
        <v>512</v>
      </c>
      <c r="F1236" s="1" t="s">
        <v>512</v>
      </c>
      <c r="G1236" s="1" t="s">
        <v>512</v>
      </c>
      <c r="H1236" s="1" t="s">
        <v>512</v>
      </c>
      <c r="I1236" s="1" t="s">
        <v>512</v>
      </c>
      <c r="J1236" s="1" t="s">
        <v>512</v>
      </c>
      <c r="K1236" s="1" t="s">
        <v>512</v>
      </c>
      <c r="L1236" s="1" t="s">
        <v>512</v>
      </c>
      <c r="M1236" s="1" t="s">
        <v>512</v>
      </c>
      <c r="N1236" s="1" t="s">
        <v>512</v>
      </c>
      <c r="O1236" s="1" t="s">
        <v>512</v>
      </c>
      <c r="Q1236" s="1" t="s">
        <v>512</v>
      </c>
    </row>
    <row r="1237" spans="4:17" x14ac:dyDescent="0.25">
      <c r="D1237" s="1" t="s">
        <v>512</v>
      </c>
      <c r="E1237" s="21" t="s">
        <v>512</v>
      </c>
      <c r="F1237" s="1" t="s">
        <v>512</v>
      </c>
      <c r="G1237" s="1" t="s">
        <v>512</v>
      </c>
      <c r="H1237" s="1" t="s">
        <v>512</v>
      </c>
      <c r="I1237" s="1" t="s">
        <v>512</v>
      </c>
      <c r="J1237" s="1" t="s">
        <v>512</v>
      </c>
      <c r="K1237" s="1" t="s">
        <v>512</v>
      </c>
      <c r="L1237" s="1" t="s">
        <v>512</v>
      </c>
      <c r="M1237" s="1" t="s">
        <v>512</v>
      </c>
      <c r="N1237" s="1" t="s">
        <v>512</v>
      </c>
      <c r="O1237" s="1" t="s">
        <v>512</v>
      </c>
      <c r="Q1237" s="1" t="s">
        <v>512</v>
      </c>
    </row>
    <row r="1238" spans="4:17" x14ac:dyDescent="0.25">
      <c r="D1238" s="1" t="s">
        <v>512</v>
      </c>
      <c r="E1238" s="21" t="s">
        <v>512</v>
      </c>
      <c r="F1238" s="1" t="s">
        <v>512</v>
      </c>
      <c r="G1238" s="1" t="s">
        <v>512</v>
      </c>
      <c r="H1238" s="1" t="s">
        <v>512</v>
      </c>
      <c r="I1238" s="1" t="s">
        <v>512</v>
      </c>
      <c r="J1238" s="1" t="s">
        <v>512</v>
      </c>
      <c r="K1238" s="1" t="s">
        <v>512</v>
      </c>
      <c r="L1238" s="1" t="s">
        <v>512</v>
      </c>
      <c r="M1238" s="1" t="s">
        <v>512</v>
      </c>
      <c r="N1238" s="1" t="s">
        <v>512</v>
      </c>
      <c r="O1238" s="1" t="s">
        <v>512</v>
      </c>
      <c r="Q1238" s="1" t="s">
        <v>512</v>
      </c>
    </row>
    <row r="1239" spans="4:17" x14ac:dyDescent="0.25">
      <c r="D1239" s="1" t="s">
        <v>512</v>
      </c>
      <c r="E1239" s="21" t="s">
        <v>512</v>
      </c>
      <c r="F1239" s="1" t="s">
        <v>512</v>
      </c>
      <c r="G1239" s="1" t="s">
        <v>512</v>
      </c>
      <c r="H1239" s="1" t="s">
        <v>512</v>
      </c>
      <c r="I1239" s="1" t="s">
        <v>512</v>
      </c>
      <c r="J1239" s="1" t="s">
        <v>512</v>
      </c>
      <c r="K1239" s="1" t="s">
        <v>512</v>
      </c>
      <c r="L1239" s="1" t="s">
        <v>512</v>
      </c>
      <c r="M1239" s="1" t="s">
        <v>512</v>
      </c>
      <c r="N1239" s="1" t="s">
        <v>512</v>
      </c>
      <c r="O1239" s="1" t="s">
        <v>512</v>
      </c>
      <c r="Q1239" s="1" t="s">
        <v>512</v>
      </c>
    </row>
    <row r="1240" spans="4:17" x14ac:dyDescent="0.25">
      <c r="D1240" s="1" t="s">
        <v>512</v>
      </c>
      <c r="E1240" s="21" t="s">
        <v>512</v>
      </c>
      <c r="F1240" s="1" t="s">
        <v>512</v>
      </c>
      <c r="G1240" s="1" t="s">
        <v>512</v>
      </c>
      <c r="H1240" s="1" t="s">
        <v>512</v>
      </c>
      <c r="I1240" s="1" t="s">
        <v>512</v>
      </c>
      <c r="J1240" s="1" t="s">
        <v>512</v>
      </c>
      <c r="K1240" s="1" t="s">
        <v>512</v>
      </c>
      <c r="L1240" s="1" t="s">
        <v>512</v>
      </c>
      <c r="M1240" s="1" t="s">
        <v>512</v>
      </c>
      <c r="N1240" s="1" t="s">
        <v>512</v>
      </c>
      <c r="O1240" s="1" t="s">
        <v>512</v>
      </c>
      <c r="Q1240" s="1" t="s">
        <v>512</v>
      </c>
    </row>
    <row r="1241" spans="4:17" x14ac:dyDescent="0.25">
      <c r="D1241" s="1" t="s">
        <v>512</v>
      </c>
      <c r="E1241" s="21" t="s">
        <v>512</v>
      </c>
      <c r="F1241" s="1" t="s">
        <v>512</v>
      </c>
      <c r="G1241" s="1" t="s">
        <v>512</v>
      </c>
      <c r="H1241" s="1" t="s">
        <v>512</v>
      </c>
      <c r="I1241" s="1" t="s">
        <v>512</v>
      </c>
      <c r="J1241" s="1" t="s">
        <v>512</v>
      </c>
      <c r="K1241" s="1" t="s">
        <v>512</v>
      </c>
      <c r="L1241" s="1" t="s">
        <v>512</v>
      </c>
      <c r="M1241" s="1" t="s">
        <v>512</v>
      </c>
      <c r="N1241" s="1" t="s">
        <v>512</v>
      </c>
      <c r="O1241" s="1" t="s">
        <v>512</v>
      </c>
      <c r="Q1241" s="1" t="s">
        <v>512</v>
      </c>
    </row>
    <row r="1242" spans="4:17" x14ac:dyDescent="0.25">
      <c r="D1242" s="1" t="s">
        <v>512</v>
      </c>
      <c r="E1242" s="21" t="s">
        <v>512</v>
      </c>
      <c r="F1242" s="1" t="s">
        <v>512</v>
      </c>
      <c r="G1242" s="1" t="s">
        <v>512</v>
      </c>
      <c r="H1242" s="1" t="s">
        <v>512</v>
      </c>
      <c r="I1242" s="1" t="s">
        <v>512</v>
      </c>
      <c r="J1242" s="1" t="s">
        <v>512</v>
      </c>
      <c r="K1242" s="1" t="s">
        <v>512</v>
      </c>
      <c r="L1242" s="1" t="s">
        <v>512</v>
      </c>
      <c r="M1242" s="1" t="s">
        <v>512</v>
      </c>
      <c r="N1242" s="1" t="s">
        <v>512</v>
      </c>
      <c r="O1242" s="1" t="s">
        <v>512</v>
      </c>
      <c r="Q1242" s="1" t="s">
        <v>512</v>
      </c>
    </row>
    <row r="1243" spans="4:17" x14ac:dyDescent="0.25">
      <c r="D1243" s="1" t="s">
        <v>512</v>
      </c>
      <c r="E1243" s="21" t="s">
        <v>512</v>
      </c>
      <c r="F1243" s="1" t="s">
        <v>512</v>
      </c>
      <c r="G1243" s="1" t="s">
        <v>512</v>
      </c>
      <c r="H1243" s="1" t="s">
        <v>512</v>
      </c>
      <c r="I1243" s="1" t="s">
        <v>512</v>
      </c>
      <c r="J1243" s="1" t="s">
        <v>512</v>
      </c>
      <c r="K1243" s="1" t="s">
        <v>512</v>
      </c>
      <c r="L1243" s="1" t="s">
        <v>512</v>
      </c>
      <c r="M1243" s="1" t="s">
        <v>512</v>
      </c>
      <c r="N1243" s="1" t="s">
        <v>512</v>
      </c>
      <c r="O1243" s="1" t="s">
        <v>512</v>
      </c>
      <c r="Q1243" s="1" t="s">
        <v>512</v>
      </c>
    </row>
    <row r="1244" spans="4:17" x14ac:dyDescent="0.25">
      <c r="D1244" s="1" t="s">
        <v>512</v>
      </c>
      <c r="E1244" s="21" t="s">
        <v>512</v>
      </c>
      <c r="F1244" s="1" t="s">
        <v>512</v>
      </c>
      <c r="G1244" s="1" t="s">
        <v>512</v>
      </c>
      <c r="H1244" s="1" t="s">
        <v>512</v>
      </c>
      <c r="I1244" s="1" t="s">
        <v>512</v>
      </c>
      <c r="J1244" s="1" t="s">
        <v>512</v>
      </c>
      <c r="K1244" s="1" t="s">
        <v>512</v>
      </c>
      <c r="L1244" s="1" t="s">
        <v>512</v>
      </c>
      <c r="M1244" s="1" t="s">
        <v>512</v>
      </c>
      <c r="N1244" s="1" t="s">
        <v>512</v>
      </c>
      <c r="O1244" s="1" t="s">
        <v>512</v>
      </c>
      <c r="Q1244" s="1" t="s">
        <v>512</v>
      </c>
    </row>
    <row r="1245" spans="4:17" x14ac:dyDescent="0.25">
      <c r="D1245" s="1" t="s">
        <v>512</v>
      </c>
      <c r="E1245" s="21" t="s">
        <v>512</v>
      </c>
      <c r="F1245" s="1" t="s">
        <v>512</v>
      </c>
      <c r="G1245" s="1" t="s">
        <v>512</v>
      </c>
      <c r="H1245" s="1" t="s">
        <v>512</v>
      </c>
      <c r="I1245" s="1" t="s">
        <v>512</v>
      </c>
      <c r="J1245" s="1" t="s">
        <v>512</v>
      </c>
      <c r="K1245" s="1" t="s">
        <v>512</v>
      </c>
      <c r="L1245" s="1" t="s">
        <v>512</v>
      </c>
      <c r="M1245" s="1" t="s">
        <v>512</v>
      </c>
      <c r="N1245" s="1" t="s">
        <v>512</v>
      </c>
      <c r="O1245" s="1" t="s">
        <v>512</v>
      </c>
      <c r="Q1245" s="1" t="s">
        <v>512</v>
      </c>
    </row>
    <row r="1246" spans="4:17" x14ac:dyDescent="0.25">
      <c r="D1246" s="1" t="s">
        <v>512</v>
      </c>
      <c r="E1246" s="21" t="s">
        <v>512</v>
      </c>
      <c r="F1246" s="1" t="s">
        <v>512</v>
      </c>
      <c r="G1246" s="1" t="s">
        <v>512</v>
      </c>
      <c r="H1246" s="1" t="s">
        <v>512</v>
      </c>
      <c r="I1246" s="1" t="s">
        <v>512</v>
      </c>
      <c r="J1246" s="1" t="s">
        <v>512</v>
      </c>
      <c r="K1246" s="1" t="s">
        <v>512</v>
      </c>
      <c r="L1246" s="1" t="s">
        <v>512</v>
      </c>
      <c r="M1246" s="1" t="s">
        <v>512</v>
      </c>
      <c r="N1246" s="1" t="s">
        <v>512</v>
      </c>
      <c r="O1246" s="1" t="s">
        <v>512</v>
      </c>
      <c r="Q1246" s="1" t="s">
        <v>512</v>
      </c>
    </row>
    <row r="1247" spans="4:17" x14ac:dyDescent="0.25">
      <c r="D1247" s="1" t="s">
        <v>512</v>
      </c>
      <c r="E1247" s="21" t="s">
        <v>512</v>
      </c>
      <c r="F1247" s="1" t="s">
        <v>512</v>
      </c>
      <c r="G1247" s="1" t="s">
        <v>512</v>
      </c>
      <c r="H1247" s="1" t="s">
        <v>512</v>
      </c>
      <c r="I1247" s="1" t="s">
        <v>512</v>
      </c>
      <c r="J1247" s="1" t="s">
        <v>512</v>
      </c>
      <c r="K1247" s="1" t="s">
        <v>512</v>
      </c>
      <c r="L1247" s="1" t="s">
        <v>512</v>
      </c>
      <c r="M1247" s="1" t="s">
        <v>512</v>
      </c>
      <c r="N1247" s="1" t="s">
        <v>512</v>
      </c>
      <c r="O1247" s="1" t="s">
        <v>512</v>
      </c>
      <c r="Q1247" s="1" t="s">
        <v>512</v>
      </c>
    </row>
    <row r="1248" spans="4:17" x14ac:dyDescent="0.25">
      <c r="D1248" s="1" t="s">
        <v>512</v>
      </c>
      <c r="E1248" s="21" t="s">
        <v>512</v>
      </c>
      <c r="F1248" s="1" t="s">
        <v>512</v>
      </c>
      <c r="G1248" s="1" t="s">
        <v>512</v>
      </c>
      <c r="H1248" s="1" t="s">
        <v>512</v>
      </c>
      <c r="I1248" s="1" t="s">
        <v>512</v>
      </c>
      <c r="J1248" s="1" t="s">
        <v>512</v>
      </c>
      <c r="K1248" s="1" t="s">
        <v>512</v>
      </c>
      <c r="L1248" s="1" t="s">
        <v>512</v>
      </c>
      <c r="M1248" s="1" t="s">
        <v>512</v>
      </c>
      <c r="N1248" s="1" t="s">
        <v>512</v>
      </c>
      <c r="O1248" s="1" t="s">
        <v>512</v>
      </c>
      <c r="Q1248" s="1" t="s">
        <v>512</v>
      </c>
    </row>
    <row r="1249" spans="4:17" x14ac:dyDescent="0.25">
      <c r="D1249" s="1" t="s">
        <v>512</v>
      </c>
      <c r="E1249" s="21" t="s">
        <v>512</v>
      </c>
      <c r="F1249" s="1" t="s">
        <v>512</v>
      </c>
      <c r="G1249" s="1" t="s">
        <v>512</v>
      </c>
      <c r="H1249" s="1" t="s">
        <v>512</v>
      </c>
      <c r="I1249" s="1" t="s">
        <v>512</v>
      </c>
      <c r="J1249" s="1" t="s">
        <v>512</v>
      </c>
      <c r="K1249" s="1" t="s">
        <v>512</v>
      </c>
      <c r="L1249" s="1" t="s">
        <v>512</v>
      </c>
      <c r="M1249" s="1" t="s">
        <v>512</v>
      </c>
      <c r="N1249" s="1" t="s">
        <v>512</v>
      </c>
      <c r="O1249" s="1" t="s">
        <v>512</v>
      </c>
      <c r="Q1249" s="1" t="s">
        <v>512</v>
      </c>
    </row>
    <row r="1250" spans="4:17" x14ac:dyDescent="0.25">
      <c r="D1250" s="1" t="s">
        <v>512</v>
      </c>
      <c r="E1250" s="21" t="s">
        <v>512</v>
      </c>
      <c r="F1250" s="1" t="s">
        <v>512</v>
      </c>
      <c r="G1250" s="1" t="s">
        <v>512</v>
      </c>
      <c r="H1250" s="1" t="s">
        <v>512</v>
      </c>
      <c r="I1250" s="1" t="s">
        <v>512</v>
      </c>
      <c r="J1250" s="1" t="s">
        <v>512</v>
      </c>
      <c r="K1250" s="1" t="s">
        <v>512</v>
      </c>
      <c r="L1250" s="1" t="s">
        <v>512</v>
      </c>
      <c r="M1250" s="1" t="s">
        <v>512</v>
      </c>
      <c r="N1250" s="1" t="s">
        <v>512</v>
      </c>
      <c r="O1250" s="1" t="s">
        <v>512</v>
      </c>
      <c r="Q1250" s="1" t="s">
        <v>512</v>
      </c>
    </row>
    <row r="1251" spans="4:17" x14ac:dyDescent="0.25">
      <c r="D1251" s="1" t="s">
        <v>512</v>
      </c>
      <c r="E1251" s="21" t="s">
        <v>512</v>
      </c>
      <c r="F1251" s="1" t="s">
        <v>512</v>
      </c>
      <c r="G1251" s="1" t="s">
        <v>512</v>
      </c>
      <c r="H1251" s="1" t="s">
        <v>512</v>
      </c>
      <c r="I1251" s="1" t="s">
        <v>512</v>
      </c>
      <c r="J1251" s="1" t="s">
        <v>512</v>
      </c>
      <c r="K1251" s="1" t="s">
        <v>512</v>
      </c>
      <c r="L1251" s="1" t="s">
        <v>512</v>
      </c>
      <c r="M1251" s="1" t="s">
        <v>512</v>
      </c>
      <c r="N1251" s="1" t="s">
        <v>512</v>
      </c>
      <c r="O1251" s="1" t="s">
        <v>512</v>
      </c>
      <c r="Q1251" s="1" t="s">
        <v>512</v>
      </c>
    </row>
    <row r="1252" spans="4:17" x14ac:dyDescent="0.25">
      <c r="D1252" s="1" t="s">
        <v>512</v>
      </c>
      <c r="E1252" s="21" t="s">
        <v>512</v>
      </c>
      <c r="F1252" s="1" t="s">
        <v>512</v>
      </c>
      <c r="G1252" s="1" t="s">
        <v>512</v>
      </c>
      <c r="H1252" s="1" t="s">
        <v>512</v>
      </c>
      <c r="I1252" s="1" t="s">
        <v>512</v>
      </c>
      <c r="J1252" s="1" t="s">
        <v>512</v>
      </c>
      <c r="K1252" s="1" t="s">
        <v>512</v>
      </c>
      <c r="L1252" s="1" t="s">
        <v>512</v>
      </c>
      <c r="M1252" s="1" t="s">
        <v>512</v>
      </c>
      <c r="N1252" s="1" t="s">
        <v>512</v>
      </c>
      <c r="O1252" s="1" t="s">
        <v>512</v>
      </c>
      <c r="Q1252" s="1" t="s">
        <v>512</v>
      </c>
    </row>
    <row r="1253" spans="4:17" x14ac:dyDescent="0.25">
      <c r="D1253" s="1" t="s">
        <v>512</v>
      </c>
      <c r="E1253" s="21" t="s">
        <v>512</v>
      </c>
      <c r="F1253" s="1" t="s">
        <v>512</v>
      </c>
      <c r="G1253" s="1" t="s">
        <v>512</v>
      </c>
      <c r="H1253" s="1" t="s">
        <v>512</v>
      </c>
      <c r="I1253" s="1" t="s">
        <v>512</v>
      </c>
      <c r="J1253" s="1" t="s">
        <v>512</v>
      </c>
      <c r="K1253" s="1" t="s">
        <v>512</v>
      </c>
      <c r="L1253" s="1" t="s">
        <v>512</v>
      </c>
      <c r="M1253" s="1" t="s">
        <v>512</v>
      </c>
      <c r="N1253" s="1" t="s">
        <v>512</v>
      </c>
      <c r="O1253" s="1" t="s">
        <v>512</v>
      </c>
      <c r="Q1253" s="1" t="s">
        <v>512</v>
      </c>
    </row>
    <row r="1254" spans="4:17" x14ac:dyDescent="0.25">
      <c r="D1254" s="1" t="s">
        <v>512</v>
      </c>
      <c r="E1254" s="21" t="s">
        <v>512</v>
      </c>
      <c r="F1254" s="1" t="s">
        <v>512</v>
      </c>
      <c r="G1254" s="1" t="s">
        <v>512</v>
      </c>
      <c r="H1254" s="1" t="s">
        <v>512</v>
      </c>
      <c r="I1254" s="1" t="s">
        <v>512</v>
      </c>
      <c r="J1254" s="1" t="s">
        <v>512</v>
      </c>
      <c r="K1254" s="1" t="s">
        <v>512</v>
      </c>
      <c r="L1254" s="1" t="s">
        <v>512</v>
      </c>
      <c r="M1254" s="1" t="s">
        <v>512</v>
      </c>
      <c r="N1254" s="1" t="s">
        <v>512</v>
      </c>
      <c r="O1254" s="1" t="s">
        <v>512</v>
      </c>
      <c r="Q1254" s="1" t="s">
        <v>512</v>
      </c>
    </row>
    <row r="1255" spans="4:17" x14ac:dyDescent="0.25">
      <c r="D1255" s="1" t="s">
        <v>512</v>
      </c>
      <c r="E1255" s="21" t="s">
        <v>512</v>
      </c>
      <c r="F1255" s="1" t="s">
        <v>512</v>
      </c>
      <c r="G1255" s="1" t="s">
        <v>512</v>
      </c>
      <c r="H1255" s="1" t="s">
        <v>512</v>
      </c>
      <c r="I1255" s="1" t="s">
        <v>512</v>
      </c>
      <c r="J1255" s="1" t="s">
        <v>512</v>
      </c>
      <c r="K1255" s="1" t="s">
        <v>512</v>
      </c>
      <c r="L1255" s="1" t="s">
        <v>512</v>
      </c>
      <c r="M1255" s="1" t="s">
        <v>512</v>
      </c>
      <c r="N1255" s="1" t="s">
        <v>512</v>
      </c>
      <c r="O1255" s="1" t="s">
        <v>512</v>
      </c>
      <c r="Q1255" s="1" t="s">
        <v>512</v>
      </c>
    </row>
    <row r="1256" spans="4:17" x14ac:dyDescent="0.25">
      <c r="D1256" s="1" t="s">
        <v>512</v>
      </c>
      <c r="E1256" s="21" t="s">
        <v>512</v>
      </c>
      <c r="F1256" s="1" t="s">
        <v>512</v>
      </c>
      <c r="G1256" s="1" t="s">
        <v>512</v>
      </c>
      <c r="H1256" s="1" t="s">
        <v>512</v>
      </c>
      <c r="I1256" s="1" t="s">
        <v>512</v>
      </c>
      <c r="J1256" s="1" t="s">
        <v>512</v>
      </c>
      <c r="K1256" s="1" t="s">
        <v>512</v>
      </c>
      <c r="L1256" s="1" t="s">
        <v>512</v>
      </c>
      <c r="M1256" s="1" t="s">
        <v>512</v>
      </c>
      <c r="N1256" s="1" t="s">
        <v>512</v>
      </c>
      <c r="O1256" s="1" t="s">
        <v>512</v>
      </c>
      <c r="Q1256" s="1" t="s">
        <v>512</v>
      </c>
    </row>
    <row r="1257" spans="4:17" x14ac:dyDescent="0.25">
      <c r="D1257" s="1" t="s">
        <v>512</v>
      </c>
      <c r="E1257" s="21" t="s">
        <v>512</v>
      </c>
      <c r="F1257" s="1" t="s">
        <v>512</v>
      </c>
      <c r="G1257" s="1" t="s">
        <v>512</v>
      </c>
      <c r="H1257" s="1" t="s">
        <v>512</v>
      </c>
      <c r="I1257" s="1" t="s">
        <v>512</v>
      </c>
      <c r="J1257" s="1" t="s">
        <v>512</v>
      </c>
      <c r="K1257" s="1" t="s">
        <v>512</v>
      </c>
      <c r="L1257" s="1" t="s">
        <v>512</v>
      </c>
      <c r="M1257" s="1" t="s">
        <v>512</v>
      </c>
      <c r="N1257" s="1" t="s">
        <v>512</v>
      </c>
      <c r="O1257" s="1" t="s">
        <v>512</v>
      </c>
      <c r="Q1257" s="1" t="s">
        <v>512</v>
      </c>
    </row>
    <row r="1258" spans="4:17" x14ac:dyDescent="0.25">
      <c r="D1258" s="1" t="s">
        <v>512</v>
      </c>
      <c r="E1258" s="21" t="s">
        <v>512</v>
      </c>
      <c r="F1258" s="1" t="s">
        <v>512</v>
      </c>
      <c r="G1258" s="1" t="s">
        <v>512</v>
      </c>
      <c r="H1258" s="1" t="s">
        <v>512</v>
      </c>
      <c r="I1258" s="1" t="s">
        <v>512</v>
      </c>
      <c r="J1258" s="1" t="s">
        <v>512</v>
      </c>
      <c r="K1258" s="1" t="s">
        <v>512</v>
      </c>
      <c r="L1258" s="1" t="s">
        <v>512</v>
      </c>
      <c r="M1258" s="1" t="s">
        <v>512</v>
      </c>
      <c r="N1258" s="1" t="s">
        <v>512</v>
      </c>
      <c r="O1258" s="1" t="s">
        <v>512</v>
      </c>
      <c r="Q1258" s="1" t="s">
        <v>512</v>
      </c>
    </row>
    <row r="1259" spans="4:17" x14ac:dyDescent="0.25">
      <c r="D1259" s="1" t="s">
        <v>512</v>
      </c>
      <c r="E1259" s="21" t="s">
        <v>512</v>
      </c>
      <c r="F1259" s="1" t="s">
        <v>512</v>
      </c>
      <c r="G1259" s="1" t="s">
        <v>512</v>
      </c>
      <c r="H1259" s="1" t="s">
        <v>512</v>
      </c>
      <c r="I1259" s="1" t="s">
        <v>512</v>
      </c>
      <c r="J1259" s="1" t="s">
        <v>512</v>
      </c>
      <c r="K1259" s="1" t="s">
        <v>512</v>
      </c>
      <c r="L1259" s="1" t="s">
        <v>512</v>
      </c>
      <c r="M1259" s="1" t="s">
        <v>512</v>
      </c>
      <c r="N1259" s="1" t="s">
        <v>512</v>
      </c>
      <c r="O1259" s="1" t="s">
        <v>512</v>
      </c>
      <c r="Q1259" s="1" t="s">
        <v>512</v>
      </c>
    </row>
    <row r="1260" spans="4:17" x14ac:dyDescent="0.25">
      <c r="D1260" s="1" t="s">
        <v>512</v>
      </c>
      <c r="E1260" s="21" t="s">
        <v>512</v>
      </c>
      <c r="F1260" s="1" t="s">
        <v>512</v>
      </c>
      <c r="G1260" s="1" t="s">
        <v>512</v>
      </c>
      <c r="H1260" s="1" t="s">
        <v>512</v>
      </c>
      <c r="I1260" s="1" t="s">
        <v>512</v>
      </c>
      <c r="J1260" s="1" t="s">
        <v>512</v>
      </c>
      <c r="K1260" s="1" t="s">
        <v>512</v>
      </c>
      <c r="L1260" s="1" t="s">
        <v>512</v>
      </c>
      <c r="M1260" s="1" t="s">
        <v>512</v>
      </c>
      <c r="N1260" s="1" t="s">
        <v>512</v>
      </c>
      <c r="O1260" s="1" t="s">
        <v>512</v>
      </c>
      <c r="Q1260" s="1" t="s">
        <v>512</v>
      </c>
    </row>
    <row r="1261" spans="4:17" x14ac:dyDescent="0.25">
      <c r="D1261" s="1" t="s">
        <v>512</v>
      </c>
      <c r="E1261" s="21" t="s">
        <v>512</v>
      </c>
      <c r="F1261" s="1" t="s">
        <v>512</v>
      </c>
      <c r="G1261" s="1" t="s">
        <v>512</v>
      </c>
      <c r="H1261" s="1" t="s">
        <v>512</v>
      </c>
      <c r="I1261" s="1" t="s">
        <v>512</v>
      </c>
      <c r="J1261" s="1" t="s">
        <v>512</v>
      </c>
      <c r="K1261" s="1" t="s">
        <v>512</v>
      </c>
      <c r="L1261" s="1" t="s">
        <v>512</v>
      </c>
      <c r="M1261" s="1" t="s">
        <v>512</v>
      </c>
      <c r="N1261" s="1" t="s">
        <v>512</v>
      </c>
      <c r="O1261" s="1" t="s">
        <v>512</v>
      </c>
      <c r="Q1261" s="1" t="s">
        <v>512</v>
      </c>
    </row>
    <row r="1262" spans="4:17" x14ac:dyDescent="0.25">
      <c r="D1262" s="1" t="s">
        <v>512</v>
      </c>
      <c r="E1262" s="21" t="s">
        <v>512</v>
      </c>
      <c r="F1262" s="1" t="s">
        <v>512</v>
      </c>
      <c r="G1262" s="1" t="s">
        <v>512</v>
      </c>
      <c r="H1262" s="1" t="s">
        <v>512</v>
      </c>
      <c r="I1262" s="1" t="s">
        <v>512</v>
      </c>
      <c r="J1262" s="1" t="s">
        <v>512</v>
      </c>
      <c r="K1262" s="1" t="s">
        <v>512</v>
      </c>
      <c r="L1262" s="1" t="s">
        <v>512</v>
      </c>
      <c r="M1262" s="1" t="s">
        <v>512</v>
      </c>
      <c r="N1262" s="1" t="s">
        <v>512</v>
      </c>
      <c r="O1262" s="1" t="s">
        <v>512</v>
      </c>
      <c r="Q1262" s="1" t="s">
        <v>512</v>
      </c>
    </row>
    <row r="1263" spans="4:17" x14ac:dyDescent="0.25">
      <c r="D1263" s="1" t="s">
        <v>512</v>
      </c>
      <c r="E1263" s="21" t="s">
        <v>512</v>
      </c>
      <c r="F1263" s="1" t="s">
        <v>512</v>
      </c>
      <c r="G1263" s="1" t="s">
        <v>512</v>
      </c>
      <c r="H1263" s="1" t="s">
        <v>512</v>
      </c>
      <c r="I1263" s="1" t="s">
        <v>512</v>
      </c>
      <c r="J1263" s="1" t="s">
        <v>512</v>
      </c>
      <c r="K1263" s="1" t="s">
        <v>512</v>
      </c>
      <c r="L1263" s="1" t="s">
        <v>512</v>
      </c>
      <c r="M1263" s="1" t="s">
        <v>512</v>
      </c>
      <c r="N1263" s="1" t="s">
        <v>512</v>
      </c>
      <c r="O1263" s="1" t="s">
        <v>512</v>
      </c>
      <c r="Q1263" s="1" t="s">
        <v>512</v>
      </c>
    </row>
    <row r="1264" spans="4:17" x14ac:dyDescent="0.25">
      <c r="D1264" s="1" t="s">
        <v>512</v>
      </c>
      <c r="E1264" s="21" t="s">
        <v>512</v>
      </c>
      <c r="F1264" s="1" t="s">
        <v>512</v>
      </c>
      <c r="G1264" s="1" t="s">
        <v>512</v>
      </c>
      <c r="H1264" s="1" t="s">
        <v>512</v>
      </c>
      <c r="I1264" s="1" t="s">
        <v>512</v>
      </c>
      <c r="J1264" s="1" t="s">
        <v>512</v>
      </c>
      <c r="K1264" s="1" t="s">
        <v>512</v>
      </c>
      <c r="L1264" s="1" t="s">
        <v>512</v>
      </c>
      <c r="M1264" s="1" t="s">
        <v>512</v>
      </c>
      <c r="N1264" s="1" t="s">
        <v>512</v>
      </c>
      <c r="O1264" s="1" t="s">
        <v>512</v>
      </c>
      <c r="Q1264" s="1" t="s">
        <v>512</v>
      </c>
    </row>
    <row r="1265" spans="4:17" x14ac:dyDescent="0.25">
      <c r="D1265" s="1" t="s">
        <v>512</v>
      </c>
      <c r="E1265" s="21" t="s">
        <v>512</v>
      </c>
      <c r="F1265" s="1" t="s">
        <v>512</v>
      </c>
      <c r="G1265" s="1" t="s">
        <v>512</v>
      </c>
      <c r="H1265" s="1" t="s">
        <v>512</v>
      </c>
      <c r="I1265" s="1" t="s">
        <v>512</v>
      </c>
      <c r="J1265" s="1" t="s">
        <v>512</v>
      </c>
      <c r="K1265" s="1" t="s">
        <v>512</v>
      </c>
      <c r="L1265" s="1" t="s">
        <v>512</v>
      </c>
      <c r="M1265" s="1" t="s">
        <v>512</v>
      </c>
      <c r="N1265" s="1" t="s">
        <v>512</v>
      </c>
      <c r="O1265" s="1" t="s">
        <v>512</v>
      </c>
      <c r="Q1265" s="1" t="s">
        <v>512</v>
      </c>
    </row>
    <row r="1266" spans="4:17" x14ac:dyDescent="0.25">
      <c r="D1266" s="1" t="s">
        <v>512</v>
      </c>
      <c r="E1266" s="21" t="s">
        <v>512</v>
      </c>
      <c r="F1266" s="1" t="s">
        <v>512</v>
      </c>
      <c r="G1266" s="1" t="s">
        <v>512</v>
      </c>
      <c r="H1266" s="1" t="s">
        <v>512</v>
      </c>
      <c r="I1266" s="1" t="s">
        <v>512</v>
      </c>
      <c r="J1266" s="1" t="s">
        <v>512</v>
      </c>
      <c r="K1266" s="1" t="s">
        <v>512</v>
      </c>
      <c r="L1266" s="1" t="s">
        <v>512</v>
      </c>
      <c r="M1266" s="1" t="s">
        <v>512</v>
      </c>
      <c r="N1266" s="1" t="s">
        <v>512</v>
      </c>
      <c r="O1266" s="1" t="s">
        <v>512</v>
      </c>
      <c r="Q1266" s="1" t="s">
        <v>512</v>
      </c>
    </row>
    <row r="1267" spans="4:17" x14ac:dyDescent="0.25">
      <c r="D1267" s="1" t="s">
        <v>512</v>
      </c>
      <c r="E1267" s="21" t="s">
        <v>512</v>
      </c>
      <c r="F1267" s="1" t="s">
        <v>512</v>
      </c>
      <c r="G1267" s="1" t="s">
        <v>512</v>
      </c>
      <c r="H1267" s="1" t="s">
        <v>512</v>
      </c>
      <c r="I1267" s="1" t="s">
        <v>512</v>
      </c>
      <c r="J1267" s="1" t="s">
        <v>512</v>
      </c>
      <c r="K1267" s="1" t="s">
        <v>512</v>
      </c>
      <c r="L1267" s="1" t="s">
        <v>512</v>
      </c>
      <c r="M1267" s="1" t="s">
        <v>512</v>
      </c>
      <c r="N1267" s="1" t="s">
        <v>512</v>
      </c>
      <c r="O1267" s="1" t="s">
        <v>512</v>
      </c>
      <c r="Q1267" s="1" t="s">
        <v>512</v>
      </c>
    </row>
    <row r="1268" spans="4:17" x14ac:dyDescent="0.25">
      <c r="D1268" s="1" t="s">
        <v>512</v>
      </c>
      <c r="E1268" s="21" t="s">
        <v>512</v>
      </c>
      <c r="F1268" s="1" t="s">
        <v>512</v>
      </c>
      <c r="G1268" s="1" t="s">
        <v>512</v>
      </c>
      <c r="H1268" s="1" t="s">
        <v>512</v>
      </c>
      <c r="I1268" s="1" t="s">
        <v>512</v>
      </c>
      <c r="J1268" s="1" t="s">
        <v>512</v>
      </c>
      <c r="K1268" s="1" t="s">
        <v>512</v>
      </c>
      <c r="L1268" s="1" t="s">
        <v>512</v>
      </c>
      <c r="M1268" s="1" t="s">
        <v>512</v>
      </c>
      <c r="N1268" s="1" t="s">
        <v>512</v>
      </c>
      <c r="O1268" s="1" t="s">
        <v>512</v>
      </c>
      <c r="Q1268" s="1" t="s">
        <v>512</v>
      </c>
    </row>
    <row r="1269" spans="4:17" x14ac:dyDescent="0.25">
      <c r="D1269" s="1" t="s">
        <v>512</v>
      </c>
      <c r="E1269" s="21" t="s">
        <v>512</v>
      </c>
      <c r="F1269" s="1" t="s">
        <v>512</v>
      </c>
      <c r="G1269" s="1" t="s">
        <v>512</v>
      </c>
      <c r="H1269" s="1" t="s">
        <v>512</v>
      </c>
      <c r="I1269" s="1" t="s">
        <v>512</v>
      </c>
      <c r="J1269" s="1" t="s">
        <v>512</v>
      </c>
      <c r="K1269" s="1" t="s">
        <v>512</v>
      </c>
      <c r="L1269" s="1" t="s">
        <v>512</v>
      </c>
      <c r="M1269" s="1" t="s">
        <v>512</v>
      </c>
      <c r="N1269" s="1" t="s">
        <v>512</v>
      </c>
      <c r="O1269" s="1" t="s">
        <v>512</v>
      </c>
      <c r="Q1269" s="1" t="s">
        <v>512</v>
      </c>
    </row>
    <row r="1270" spans="4:17" x14ac:dyDescent="0.25">
      <c r="D1270" s="1" t="s">
        <v>512</v>
      </c>
      <c r="E1270" s="21" t="s">
        <v>512</v>
      </c>
      <c r="F1270" s="1" t="s">
        <v>512</v>
      </c>
      <c r="G1270" s="1" t="s">
        <v>512</v>
      </c>
      <c r="H1270" s="1" t="s">
        <v>512</v>
      </c>
      <c r="I1270" s="1" t="s">
        <v>512</v>
      </c>
      <c r="J1270" s="1" t="s">
        <v>512</v>
      </c>
      <c r="K1270" s="1" t="s">
        <v>512</v>
      </c>
      <c r="L1270" s="1" t="s">
        <v>512</v>
      </c>
      <c r="M1270" s="1" t="s">
        <v>512</v>
      </c>
      <c r="N1270" s="1" t="s">
        <v>512</v>
      </c>
      <c r="O1270" s="1" t="s">
        <v>512</v>
      </c>
      <c r="Q1270" s="1" t="s">
        <v>512</v>
      </c>
    </row>
    <row r="1271" spans="4:17" x14ac:dyDescent="0.25">
      <c r="D1271" s="1" t="s">
        <v>512</v>
      </c>
      <c r="E1271" s="21" t="s">
        <v>512</v>
      </c>
      <c r="F1271" s="1" t="s">
        <v>512</v>
      </c>
      <c r="G1271" s="1" t="s">
        <v>512</v>
      </c>
      <c r="H1271" s="1" t="s">
        <v>512</v>
      </c>
      <c r="I1271" s="1" t="s">
        <v>512</v>
      </c>
      <c r="J1271" s="1" t="s">
        <v>512</v>
      </c>
      <c r="K1271" s="1" t="s">
        <v>512</v>
      </c>
      <c r="L1271" s="1" t="s">
        <v>512</v>
      </c>
      <c r="M1271" s="1" t="s">
        <v>512</v>
      </c>
      <c r="N1271" s="1" t="s">
        <v>512</v>
      </c>
      <c r="O1271" s="1" t="s">
        <v>512</v>
      </c>
      <c r="Q1271" s="1" t="s">
        <v>512</v>
      </c>
    </row>
    <row r="1272" spans="4:17" x14ac:dyDescent="0.25">
      <c r="D1272" s="1" t="s">
        <v>512</v>
      </c>
      <c r="E1272" s="21" t="s">
        <v>512</v>
      </c>
      <c r="F1272" s="1" t="s">
        <v>512</v>
      </c>
      <c r="G1272" s="1" t="s">
        <v>512</v>
      </c>
      <c r="H1272" s="1" t="s">
        <v>512</v>
      </c>
      <c r="I1272" s="1" t="s">
        <v>512</v>
      </c>
      <c r="J1272" s="1" t="s">
        <v>512</v>
      </c>
      <c r="K1272" s="1" t="s">
        <v>512</v>
      </c>
      <c r="L1272" s="1" t="s">
        <v>512</v>
      </c>
      <c r="M1272" s="1" t="s">
        <v>512</v>
      </c>
      <c r="N1272" s="1" t="s">
        <v>512</v>
      </c>
      <c r="O1272" s="1" t="s">
        <v>512</v>
      </c>
      <c r="Q1272" s="1" t="s">
        <v>512</v>
      </c>
    </row>
    <row r="1273" spans="4:17" x14ac:dyDescent="0.25">
      <c r="D1273" s="1" t="s">
        <v>512</v>
      </c>
      <c r="E1273" s="21" t="s">
        <v>512</v>
      </c>
      <c r="F1273" s="1" t="s">
        <v>512</v>
      </c>
      <c r="G1273" s="1" t="s">
        <v>512</v>
      </c>
      <c r="H1273" s="1" t="s">
        <v>512</v>
      </c>
      <c r="I1273" s="1" t="s">
        <v>512</v>
      </c>
      <c r="J1273" s="1" t="s">
        <v>512</v>
      </c>
      <c r="K1273" s="1" t="s">
        <v>512</v>
      </c>
      <c r="L1273" s="1" t="s">
        <v>512</v>
      </c>
      <c r="M1273" s="1" t="s">
        <v>512</v>
      </c>
      <c r="N1273" s="1" t="s">
        <v>512</v>
      </c>
      <c r="O1273" s="1" t="s">
        <v>512</v>
      </c>
      <c r="Q1273" s="1" t="s">
        <v>512</v>
      </c>
    </row>
    <row r="1274" spans="4:17" x14ac:dyDescent="0.25">
      <c r="D1274" s="1" t="s">
        <v>512</v>
      </c>
      <c r="E1274" s="21" t="s">
        <v>512</v>
      </c>
      <c r="F1274" s="1" t="s">
        <v>512</v>
      </c>
      <c r="G1274" s="1" t="s">
        <v>512</v>
      </c>
      <c r="H1274" s="1" t="s">
        <v>512</v>
      </c>
      <c r="I1274" s="1" t="s">
        <v>512</v>
      </c>
      <c r="J1274" s="1" t="s">
        <v>512</v>
      </c>
      <c r="K1274" s="1" t="s">
        <v>512</v>
      </c>
      <c r="L1274" s="1" t="s">
        <v>512</v>
      </c>
      <c r="M1274" s="1" t="s">
        <v>512</v>
      </c>
      <c r="N1274" s="1" t="s">
        <v>512</v>
      </c>
      <c r="O1274" s="1" t="s">
        <v>512</v>
      </c>
      <c r="Q1274" s="1" t="s">
        <v>512</v>
      </c>
    </row>
    <row r="1275" spans="4:17" x14ac:dyDescent="0.25">
      <c r="D1275" s="1" t="s">
        <v>512</v>
      </c>
      <c r="E1275" s="21" t="s">
        <v>512</v>
      </c>
      <c r="F1275" s="1" t="s">
        <v>512</v>
      </c>
      <c r="G1275" s="1" t="s">
        <v>512</v>
      </c>
      <c r="H1275" s="1" t="s">
        <v>512</v>
      </c>
      <c r="I1275" s="1" t="s">
        <v>512</v>
      </c>
      <c r="J1275" s="1" t="s">
        <v>512</v>
      </c>
      <c r="K1275" s="1" t="s">
        <v>512</v>
      </c>
      <c r="L1275" s="1" t="s">
        <v>512</v>
      </c>
      <c r="M1275" s="1" t="s">
        <v>512</v>
      </c>
      <c r="N1275" s="1" t="s">
        <v>512</v>
      </c>
      <c r="O1275" s="1" t="s">
        <v>512</v>
      </c>
      <c r="Q1275" s="1" t="s">
        <v>512</v>
      </c>
    </row>
    <row r="1276" spans="4:17" x14ac:dyDescent="0.25">
      <c r="D1276" s="1" t="s">
        <v>512</v>
      </c>
      <c r="E1276" s="21" t="s">
        <v>512</v>
      </c>
      <c r="F1276" s="1" t="s">
        <v>512</v>
      </c>
      <c r="G1276" s="1" t="s">
        <v>512</v>
      </c>
      <c r="H1276" s="1" t="s">
        <v>512</v>
      </c>
      <c r="I1276" s="1" t="s">
        <v>512</v>
      </c>
      <c r="J1276" s="1" t="s">
        <v>512</v>
      </c>
      <c r="K1276" s="1" t="s">
        <v>512</v>
      </c>
      <c r="L1276" s="1" t="s">
        <v>512</v>
      </c>
      <c r="M1276" s="1" t="s">
        <v>512</v>
      </c>
      <c r="N1276" s="1" t="s">
        <v>512</v>
      </c>
      <c r="O1276" s="1" t="s">
        <v>512</v>
      </c>
      <c r="Q1276" s="1" t="s">
        <v>512</v>
      </c>
    </row>
    <row r="1277" spans="4:17" x14ac:dyDescent="0.25">
      <c r="D1277" s="1" t="s">
        <v>512</v>
      </c>
      <c r="E1277" s="21" t="s">
        <v>512</v>
      </c>
      <c r="F1277" s="1" t="s">
        <v>512</v>
      </c>
      <c r="G1277" s="1" t="s">
        <v>512</v>
      </c>
      <c r="H1277" s="1" t="s">
        <v>512</v>
      </c>
      <c r="I1277" s="1" t="s">
        <v>512</v>
      </c>
      <c r="J1277" s="1" t="s">
        <v>512</v>
      </c>
      <c r="K1277" s="1" t="s">
        <v>512</v>
      </c>
      <c r="L1277" s="1" t="s">
        <v>512</v>
      </c>
      <c r="M1277" s="1" t="s">
        <v>512</v>
      </c>
      <c r="N1277" s="1" t="s">
        <v>512</v>
      </c>
      <c r="O1277" s="1" t="s">
        <v>512</v>
      </c>
      <c r="Q1277" s="1" t="s">
        <v>512</v>
      </c>
    </row>
    <row r="1278" spans="4:17" x14ac:dyDescent="0.25">
      <c r="D1278" s="1" t="s">
        <v>512</v>
      </c>
      <c r="E1278" s="21" t="s">
        <v>512</v>
      </c>
      <c r="F1278" s="1" t="s">
        <v>512</v>
      </c>
      <c r="G1278" s="1" t="s">
        <v>512</v>
      </c>
      <c r="H1278" s="1" t="s">
        <v>512</v>
      </c>
      <c r="I1278" s="1" t="s">
        <v>512</v>
      </c>
      <c r="J1278" s="1" t="s">
        <v>512</v>
      </c>
      <c r="K1278" s="1" t="s">
        <v>512</v>
      </c>
      <c r="L1278" s="1" t="s">
        <v>512</v>
      </c>
      <c r="M1278" s="1" t="s">
        <v>512</v>
      </c>
      <c r="N1278" s="1" t="s">
        <v>512</v>
      </c>
      <c r="O1278" s="1" t="s">
        <v>512</v>
      </c>
      <c r="Q1278" s="1" t="s">
        <v>512</v>
      </c>
    </row>
    <row r="1279" spans="4:17" x14ac:dyDescent="0.25">
      <c r="D1279" s="1" t="s">
        <v>512</v>
      </c>
      <c r="E1279" s="21" t="s">
        <v>512</v>
      </c>
      <c r="F1279" s="1" t="s">
        <v>512</v>
      </c>
      <c r="G1279" s="1" t="s">
        <v>512</v>
      </c>
      <c r="H1279" s="1" t="s">
        <v>512</v>
      </c>
      <c r="I1279" s="1" t="s">
        <v>512</v>
      </c>
      <c r="J1279" s="1" t="s">
        <v>512</v>
      </c>
      <c r="K1279" s="1" t="s">
        <v>512</v>
      </c>
      <c r="L1279" s="1" t="s">
        <v>512</v>
      </c>
      <c r="M1279" s="1" t="s">
        <v>512</v>
      </c>
      <c r="N1279" s="1" t="s">
        <v>512</v>
      </c>
      <c r="O1279" s="1" t="s">
        <v>512</v>
      </c>
      <c r="Q1279" s="1" t="s">
        <v>512</v>
      </c>
    </row>
    <row r="1280" spans="4:17" x14ac:dyDescent="0.25">
      <c r="D1280" s="1" t="s">
        <v>512</v>
      </c>
      <c r="E1280" s="21" t="s">
        <v>512</v>
      </c>
      <c r="F1280" s="1" t="s">
        <v>512</v>
      </c>
      <c r="G1280" s="1" t="s">
        <v>512</v>
      </c>
      <c r="H1280" s="1" t="s">
        <v>512</v>
      </c>
      <c r="I1280" s="1" t="s">
        <v>512</v>
      </c>
      <c r="J1280" s="1" t="s">
        <v>512</v>
      </c>
      <c r="K1280" s="1" t="s">
        <v>512</v>
      </c>
      <c r="L1280" s="1" t="s">
        <v>512</v>
      </c>
      <c r="M1280" s="1" t="s">
        <v>512</v>
      </c>
      <c r="N1280" s="1" t="s">
        <v>512</v>
      </c>
      <c r="O1280" s="1" t="s">
        <v>512</v>
      </c>
      <c r="Q1280" s="1" t="s">
        <v>512</v>
      </c>
    </row>
    <row r="1281" spans="4:17" x14ac:dyDescent="0.25">
      <c r="D1281" s="1" t="s">
        <v>512</v>
      </c>
      <c r="E1281" s="21" t="s">
        <v>512</v>
      </c>
      <c r="F1281" s="1" t="s">
        <v>512</v>
      </c>
      <c r="G1281" s="1" t="s">
        <v>512</v>
      </c>
      <c r="H1281" s="1" t="s">
        <v>512</v>
      </c>
      <c r="I1281" s="1" t="s">
        <v>512</v>
      </c>
      <c r="J1281" s="1" t="s">
        <v>512</v>
      </c>
      <c r="K1281" s="1" t="s">
        <v>512</v>
      </c>
      <c r="L1281" s="1" t="s">
        <v>512</v>
      </c>
      <c r="M1281" s="1" t="s">
        <v>512</v>
      </c>
      <c r="N1281" s="1" t="s">
        <v>512</v>
      </c>
      <c r="O1281" s="1" t="s">
        <v>512</v>
      </c>
      <c r="Q1281" s="1" t="s">
        <v>512</v>
      </c>
    </row>
    <row r="1282" spans="4:17" x14ac:dyDescent="0.25">
      <c r="D1282" s="1" t="s">
        <v>512</v>
      </c>
      <c r="E1282" s="21" t="s">
        <v>512</v>
      </c>
      <c r="F1282" s="1" t="s">
        <v>512</v>
      </c>
      <c r="G1282" s="1" t="s">
        <v>512</v>
      </c>
      <c r="H1282" s="1" t="s">
        <v>512</v>
      </c>
      <c r="I1282" s="1" t="s">
        <v>512</v>
      </c>
      <c r="J1282" s="1" t="s">
        <v>512</v>
      </c>
      <c r="K1282" s="1" t="s">
        <v>512</v>
      </c>
      <c r="L1282" s="1" t="s">
        <v>512</v>
      </c>
      <c r="M1282" s="1" t="s">
        <v>512</v>
      </c>
      <c r="N1282" s="1" t="s">
        <v>512</v>
      </c>
      <c r="O1282" s="1" t="s">
        <v>512</v>
      </c>
      <c r="Q1282" s="1" t="s">
        <v>512</v>
      </c>
    </row>
    <row r="1283" spans="4:17" x14ac:dyDescent="0.25">
      <c r="D1283" s="1" t="s">
        <v>512</v>
      </c>
      <c r="E1283" s="21" t="s">
        <v>512</v>
      </c>
      <c r="F1283" s="1" t="s">
        <v>512</v>
      </c>
      <c r="G1283" s="1" t="s">
        <v>512</v>
      </c>
      <c r="H1283" s="1" t="s">
        <v>512</v>
      </c>
      <c r="I1283" s="1" t="s">
        <v>512</v>
      </c>
      <c r="J1283" s="1" t="s">
        <v>512</v>
      </c>
      <c r="K1283" s="1" t="s">
        <v>512</v>
      </c>
      <c r="L1283" s="1" t="s">
        <v>512</v>
      </c>
      <c r="M1283" s="1" t="s">
        <v>512</v>
      </c>
      <c r="N1283" s="1" t="s">
        <v>512</v>
      </c>
      <c r="O1283" s="1" t="s">
        <v>512</v>
      </c>
      <c r="Q1283" s="1" t="s">
        <v>512</v>
      </c>
    </row>
    <row r="1284" spans="4:17" x14ac:dyDescent="0.25">
      <c r="D1284" s="1" t="s">
        <v>512</v>
      </c>
      <c r="E1284" s="21" t="s">
        <v>512</v>
      </c>
      <c r="F1284" s="1" t="s">
        <v>512</v>
      </c>
      <c r="G1284" s="1" t="s">
        <v>512</v>
      </c>
      <c r="H1284" s="1" t="s">
        <v>512</v>
      </c>
      <c r="I1284" s="1" t="s">
        <v>512</v>
      </c>
      <c r="J1284" s="1" t="s">
        <v>512</v>
      </c>
      <c r="K1284" s="1" t="s">
        <v>512</v>
      </c>
      <c r="L1284" s="1" t="s">
        <v>512</v>
      </c>
      <c r="M1284" s="1" t="s">
        <v>512</v>
      </c>
      <c r="N1284" s="1" t="s">
        <v>512</v>
      </c>
      <c r="O1284" s="1" t="s">
        <v>512</v>
      </c>
      <c r="Q1284" s="1" t="s">
        <v>512</v>
      </c>
    </row>
    <row r="1285" spans="4:17" x14ac:dyDescent="0.25">
      <c r="D1285" s="1" t="s">
        <v>512</v>
      </c>
      <c r="E1285" s="21" t="s">
        <v>512</v>
      </c>
      <c r="F1285" s="1" t="s">
        <v>512</v>
      </c>
      <c r="G1285" s="1" t="s">
        <v>512</v>
      </c>
      <c r="H1285" s="1" t="s">
        <v>512</v>
      </c>
      <c r="I1285" s="1" t="s">
        <v>512</v>
      </c>
      <c r="J1285" s="1" t="s">
        <v>512</v>
      </c>
      <c r="K1285" s="1" t="s">
        <v>512</v>
      </c>
      <c r="L1285" s="1" t="s">
        <v>512</v>
      </c>
      <c r="M1285" s="1" t="s">
        <v>512</v>
      </c>
      <c r="N1285" s="1" t="s">
        <v>512</v>
      </c>
      <c r="O1285" s="1" t="s">
        <v>512</v>
      </c>
      <c r="Q1285" s="1" t="s">
        <v>512</v>
      </c>
    </row>
    <row r="1286" spans="4:17" x14ac:dyDescent="0.25">
      <c r="D1286" s="1" t="s">
        <v>512</v>
      </c>
      <c r="E1286" s="21" t="s">
        <v>512</v>
      </c>
      <c r="F1286" s="1" t="s">
        <v>512</v>
      </c>
      <c r="G1286" s="1" t="s">
        <v>512</v>
      </c>
      <c r="H1286" s="1" t="s">
        <v>512</v>
      </c>
      <c r="I1286" s="1" t="s">
        <v>512</v>
      </c>
      <c r="J1286" s="1" t="s">
        <v>512</v>
      </c>
      <c r="K1286" s="1" t="s">
        <v>512</v>
      </c>
      <c r="L1286" s="1" t="s">
        <v>512</v>
      </c>
      <c r="M1286" s="1" t="s">
        <v>512</v>
      </c>
      <c r="N1286" s="1" t="s">
        <v>512</v>
      </c>
      <c r="O1286" s="1" t="s">
        <v>512</v>
      </c>
      <c r="Q1286" s="1" t="s">
        <v>512</v>
      </c>
    </row>
    <row r="1287" spans="4:17" x14ac:dyDescent="0.25">
      <c r="D1287" s="1" t="s">
        <v>512</v>
      </c>
      <c r="E1287" s="21" t="s">
        <v>512</v>
      </c>
      <c r="F1287" s="1" t="s">
        <v>512</v>
      </c>
      <c r="G1287" s="1" t="s">
        <v>512</v>
      </c>
      <c r="H1287" s="1" t="s">
        <v>512</v>
      </c>
      <c r="I1287" s="1" t="s">
        <v>512</v>
      </c>
      <c r="J1287" s="1" t="s">
        <v>512</v>
      </c>
      <c r="K1287" s="1" t="s">
        <v>512</v>
      </c>
      <c r="L1287" s="1" t="s">
        <v>512</v>
      </c>
      <c r="M1287" s="1" t="s">
        <v>512</v>
      </c>
      <c r="N1287" s="1" t="s">
        <v>512</v>
      </c>
      <c r="O1287" s="1" t="s">
        <v>512</v>
      </c>
      <c r="Q1287" s="1" t="s">
        <v>512</v>
      </c>
    </row>
    <row r="1288" spans="4:17" x14ac:dyDescent="0.25">
      <c r="D1288" s="1" t="s">
        <v>512</v>
      </c>
      <c r="E1288" s="21" t="s">
        <v>512</v>
      </c>
      <c r="F1288" s="1" t="s">
        <v>512</v>
      </c>
      <c r="G1288" s="1" t="s">
        <v>512</v>
      </c>
      <c r="H1288" s="1" t="s">
        <v>512</v>
      </c>
      <c r="I1288" s="1" t="s">
        <v>512</v>
      </c>
      <c r="J1288" s="1" t="s">
        <v>512</v>
      </c>
      <c r="K1288" s="1" t="s">
        <v>512</v>
      </c>
      <c r="L1288" s="1" t="s">
        <v>512</v>
      </c>
      <c r="M1288" s="1" t="s">
        <v>512</v>
      </c>
      <c r="N1288" s="1" t="s">
        <v>512</v>
      </c>
      <c r="O1288" s="1" t="s">
        <v>512</v>
      </c>
      <c r="Q1288" s="1" t="s">
        <v>512</v>
      </c>
    </row>
    <row r="1289" spans="4:17" x14ac:dyDescent="0.25">
      <c r="D1289" s="1" t="s">
        <v>512</v>
      </c>
      <c r="E1289" s="21" t="s">
        <v>512</v>
      </c>
      <c r="F1289" s="1" t="s">
        <v>512</v>
      </c>
      <c r="G1289" s="1" t="s">
        <v>512</v>
      </c>
      <c r="H1289" s="1" t="s">
        <v>512</v>
      </c>
      <c r="I1289" s="1" t="s">
        <v>512</v>
      </c>
      <c r="J1289" s="1" t="s">
        <v>512</v>
      </c>
      <c r="K1289" s="1" t="s">
        <v>512</v>
      </c>
      <c r="L1289" s="1" t="s">
        <v>512</v>
      </c>
      <c r="M1289" s="1" t="s">
        <v>512</v>
      </c>
      <c r="N1289" s="1" t="s">
        <v>512</v>
      </c>
      <c r="O1289" s="1" t="s">
        <v>512</v>
      </c>
      <c r="Q1289" s="1" t="s">
        <v>512</v>
      </c>
    </row>
    <row r="1290" spans="4:17" x14ac:dyDescent="0.25">
      <c r="D1290" s="1" t="s">
        <v>512</v>
      </c>
      <c r="E1290" s="21" t="s">
        <v>512</v>
      </c>
      <c r="F1290" s="1" t="s">
        <v>512</v>
      </c>
      <c r="G1290" s="1" t="s">
        <v>512</v>
      </c>
      <c r="H1290" s="1" t="s">
        <v>512</v>
      </c>
      <c r="I1290" s="1" t="s">
        <v>512</v>
      </c>
      <c r="J1290" s="1" t="s">
        <v>512</v>
      </c>
      <c r="K1290" s="1" t="s">
        <v>512</v>
      </c>
      <c r="L1290" s="1" t="s">
        <v>512</v>
      </c>
      <c r="M1290" s="1" t="s">
        <v>512</v>
      </c>
      <c r="N1290" s="1" t="s">
        <v>512</v>
      </c>
      <c r="O1290" s="1" t="s">
        <v>512</v>
      </c>
      <c r="Q1290" s="1" t="s">
        <v>512</v>
      </c>
    </row>
    <row r="1291" spans="4:17" x14ac:dyDescent="0.25">
      <c r="D1291" s="1" t="s">
        <v>512</v>
      </c>
      <c r="E1291" s="21" t="s">
        <v>512</v>
      </c>
      <c r="F1291" s="1" t="s">
        <v>512</v>
      </c>
      <c r="G1291" s="1" t="s">
        <v>512</v>
      </c>
      <c r="H1291" s="1" t="s">
        <v>512</v>
      </c>
      <c r="I1291" s="1" t="s">
        <v>512</v>
      </c>
      <c r="J1291" s="1" t="s">
        <v>512</v>
      </c>
      <c r="K1291" s="1" t="s">
        <v>512</v>
      </c>
      <c r="L1291" s="1" t="s">
        <v>512</v>
      </c>
      <c r="M1291" s="1" t="s">
        <v>512</v>
      </c>
      <c r="N1291" s="1" t="s">
        <v>512</v>
      </c>
      <c r="O1291" s="1" t="s">
        <v>512</v>
      </c>
      <c r="Q1291" s="1" t="s">
        <v>512</v>
      </c>
    </row>
    <row r="1292" spans="4:17" x14ac:dyDescent="0.25">
      <c r="D1292" s="1" t="s">
        <v>512</v>
      </c>
      <c r="E1292" s="21" t="s">
        <v>512</v>
      </c>
      <c r="F1292" s="1" t="s">
        <v>512</v>
      </c>
      <c r="G1292" s="1" t="s">
        <v>512</v>
      </c>
      <c r="H1292" s="1" t="s">
        <v>512</v>
      </c>
      <c r="I1292" s="1" t="s">
        <v>512</v>
      </c>
      <c r="J1292" s="1" t="s">
        <v>512</v>
      </c>
      <c r="K1292" s="1" t="s">
        <v>512</v>
      </c>
      <c r="L1292" s="1" t="s">
        <v>512</v>
      </c>
      <c r="M1292" s="1" t="s">
        <v>512</v>
      </c>
      <c r="N1292" s="1" t="s">
        <v>512</v>
      </c>
      <c r="O1292" s="1" t="s">
        <v>512</v>
      </c>
      <c r="Q1292" s="1" t="s">
        <v>512</v>
      </c>
    </row>
    <row r="1293" spans="4:17" x14ac:dyDescent="0.25">
      <c r="D1293" s="1" t="s">
        <v>512</v>
      </c>
      <c r="E1293" s="21" t="s">
        <v>512</v>
      </c>
      <c r="F1293" s="1" t="s">
        <v>512</v>
      </c>
      <c r="G1293" s="1" t="s">
        <v>512</v>
      </c>
      <c r="H1293" s="1" t="s">
        <v>512</v>
      </c>
      <c r="I1293" s="1" t="s">
        <v>512</v>
      </c>
      <c r="J1293" s="1" t="s">
        <v>512</v>
      </c>
      <c r="K1293" s="1" t="s">
        <v>512</v>
      </c>
      <c r="L1293" s="1" t="s">
        <v>512</v>
      </c>
      <c r="M1293" s="1" t="s">
        <v>512</v>
      </c>
      <c r="N1293" s="1" t="s">
        <v>512</v>
      </c>
      <c r="O1293" s="1" t="s">
        <v>512</v>
      </c>
      <c r="Q1293" s="1" t="s">
        <v>512</v>
      </c>
    </row>
    <row r="1294" spans="4:17" x14ac:dyDescent="0.25">
      <c r="D1294" s="1" t="s">
        <v>512</v>
      </c>
      <c r="E1294" s="21" t="s">
        <v>512</v>
      </c>
      <c r="F1294" s="1" t="s">
        <v>512</v>
      </c>
      <c r="G1294" s="1" t="s">
        <v>512</v>
      </c>
      <c r="H1294" s="1" t="s">
        <v>512</v>
      </c>
      <c r="I1294" s="1" t="s">
        <v>512</v>
      </c>
      <c r="J1294" s="1" t="s">
        <v>512</v>
      </c>
      <c r="K1294" s="1" t="s">
        <v>512</v>
      </c>
      <c r="L1294" s="1" t="s">
        <v>512</v>
      </c>
      <c r="M1294" s="1" t="s">
        <v>512</v>
      </c>
      <c r="N1294" s="1" t="s">
        <v>512</v>
      </c>
      <c r="O1294" s="1" t="s">
        <v>512</v>
      </c>
      <c r="Q1294" s="1" t="s">
        <v>512</v>
      </c>
    </row>
    <row r="1295" spans="4:17" x14ac:dyDescent="0.25">
      <c r="D1295" s="1" t="s">
        <v>512</v>
      </c>
      <c r="E1295" s="21" t="s">
        <v>512</v>
      </c>
      <c r="F1295" s="1" t="s">
        <v>512</v>
      </c>
      <c r="G1295" s="1" t="s">
        <v>512</v>
      </c>
      <c r="H1295" s="1" t="s">
        <v>512</v>
      </c>
      <c r="I1295" s="1" t="s">
        <v>512</v>
      </c>
      <c r="J1295" s="1" t="s">
        <v>512</v>
      </c>
      <c r="K1295" s="1" t="s">
        <v>512</v>
      </c>
      <c r="L1295" s="1" t="s">
        <v>512</v>
      </c>
      <c r="M1295" s="1" t="s">
        <v>512</v>
      </c>
      <c r="N1295" s="1" t="s">
        <v>512</v>
      </c>
      <c r="O1295" s="1" t="s">
        <v>512</v>
      </c>
      <c r="Q1295" s="1" t="s">
        <v>512</v>
      </c>
    </row>
    <row r="1296" spans="4:17" x14ac:dyDescent="0.25">
      <c r="D1296" s="1" t="s">
        <v>512</v>
      </c>
      <c r="E1296" s="21" t="s">
        <v>512</v>
      </c>
      <c r="F1296" s="1" t="s">
        <v>512</v>
      </c>
      <c r="G1296" s="1" t="s">
        <v>512</v>
      </c>
      <c r="H1296" s="1" t="s">
        <v>512</v>
      </c>
      <c r="I1296" s="1" t="s">
        <v>512</v>
      </c>
      <c r="J1296" s="1" t="s">
        <v>512</v>
      </c>
      <c r="K1296" s="1" t="s">
        <v>512</v>
      </c>
      <c r="L1296" s="1" t="s">
        <v>512</v>
      </c>
      <c r="M1296" s="1" t="s">
        <v>512</v>
      </c>
      <c r="N1296" s="1" t="s">
        <v>512</v>
      </c>
      <c r="O1296" s="1" t="s">
        <v>512</v>
      </c>
      <c r="Q1296" s="1" t="s">
        <v>512</v>
      </c>
    </row>
    <row r="1297" spans="4:17" x14ac:dyDescent="0.25">
      <c r="D1297" s="1" t="s">
        <v>512</v>
      </c>
      <c r="E1297" s="21" t="s">
        <v>512</v>
      </c>
      <c r="F1297" s="1" t="s">
        <v>512</v>
      </c>
      <c r="G1297" s="1" t="s">
        <v>512</v>
      </c>
      <c r="H1297" s="1" t="s">
        <v>512</v>
      </c>
      <c r="I1297" s="1" t="s">
        <v>512</v>
      </c>
      <c r="J1297" s="1" t="s">
        <v>512</v>
      </c>
      <c r="K1297" s="1" t="s">
        <v>512</v>
      </c>
      <c r="L1297" s="1" t="s">
        <v>512</v>
      </c>
      <c r="M1297" s="1" t="s">
        <v>512</v>
      </c>
      <c r="N1297" s="1" t="s">
        <v>512</v>
      </c>
      <c r="O1297" s="1" t="s">
        <v>512</v>
      </c>
      <c r="Q1297" s="1" t="s">
        <v>512</v>
      </c>
    </row>
    <row r="1298" spans="4:17" x14ac:dyDescent="0.25">
      <c r="D1298" s="1" t="s">
        <v>512</v>
      </c>
      <c r="E1298" s="21" t="s">
        <v>512</v>
      </c>
      <c r="F1298" s="1" t="s">
        <v>512</v>
      </c>
      <c r="G1298" s="1" t="s">
        <v>512</v>
      </c>
      <c r="H1298" s="1" t="s">
        <v>512</v>
      </c>
      <c r="I1298" s="1" t="s">
        <v>512</v>
      </c>
      <c r="J1298" s="1" t="s">
        <v>512</v>
      </c>
      <c r="K1298" s="1" t="s">
        <v>512</v>
      </c>
      <c r="L1298" s="1" t="s">
        <v>512</v>
      </c>
      <c r="M1298" s="1" t="s">
        <v>512</v>
      </c>
      <c r="N1298" s="1" t="s">
        <v>512</v>
      </c>
      <c r="O1298" s="1" t="s">
        <v>512</v>
      </c>
      <c r="Q1298" s="1" t="s">
        <v>512</v>
      </c>
    </row>
    <row r="1299" spans="4:17" x14ac:dyDescent="0.25">
      <c r="D1299" s="1" t="s">
        <v>512</v>
      </c>
      <c r="E1299" s="21" t="s">
        <v>512</v>
      </c>
      <c r="F1299" s="1" t="s">
        <v>512</v>
      </c>
      <c r="G1299" s="1" t="s">
        <v>512</v>
      </c>
      <c r="H1299" s="1" t="s">
        <v>512</v>
      </c>
      <c r="I1299" s="1" t="s">
        <v>512</v>
      </c>
      <c r="J1299" s="1" t="s">
        <v>512</v>
      </c>
      <c r="K1299" s="1" t="s">
        <v>512</v>
      </c>
      <c r="L1299" s="1" t="s">
        <v>512</v>
      </c>
      <c r="M1299" s="1" t="s">
        <v>512</v>
      </c>
      <c r="N1299" s="1" t="s">
        <v>512</v>
      </c>
      <c r="O1299" s="1" t="s">
        <v>512</v>
      </c>
      <c r="Q1299" s="1" t="s">
        <v>512</v>
      </c>
    </row>
    <row r="1300" spans="4:17" x14ac:dyDescent="0.25">
      <c r="D1300" s="1" t="s">
        <v>512</v>
      </c>
      <c r="E1300" s="21" t="s">
        <v>512</v>
      </c>
      <c r="F1300" s="1" t="s">
        <v>512</v>
      </c>
      <c r="G1300" s="1" t="s">
        <v>512</v>
      </c>
      <c r="H1300" s="1" t="s">
        <v>512</v>
      </c>
      <c r="I1300" s="1" t="s">
        <v>512</v>
      </c>
      <c r="J1300" s="1" t="s">
        <v>512</v>
      </c>
      <c r="K1300" s="1" t="s">
        <v>512</v>
      </c>
      <c r="L1300" s="1" t="s">
        <v>512</v>
      </c>
      <c r="M1300" s="1" t="s">
        <v>512</v>
      </c>
      <c r="N1300" s="1" t="s">
        <v>512</v>
      </c>
      <c r="O1300" s="1" t="s">
        <v>512</v>
      </c>
      <c r="Q1300" s="1" t="s">
        <v>512</v>
      </c>
    </row>
    <row r="1301" spans="4:17" x14ac:dyDescent="0.25">
      <c r="D1301" s="1" t="s">
        <v>512</v>
      </c>
      <c r="E1301" s="21" t="s">
        <v>512</v>
      </c>
      <c r="F1301" s="1" t="s">
        <v>512</v>
      </c>
      <c r="G1301" s="1" t="s">
        <v>512</v>
      </c>
      <c r="H1301" s="1" t="s">
        <v>512</v>
      </c>
      <c r="I1301" s="1" t="s">
        <v>512</v>
      </c>
      <c r="J1301" s="1" t="s">
        <v>512</v>
      </c>
      <c r="K1301" s="1" t="s">
        <v>512</v>
      </c>
      <c r="L1301" s="1" t="s">
        <v>512</v>
      </c>
      <c r="M1301" s="1" t="s">
        <v>512</v>
      </c>
      <c r="N1301" s="1" t="s">
        <v>512</v>
      </c>
      <c r="O1301" s="1" t="s">
        <v>512</v>
      </c>
      <c r="Q1301" s="1" t="s">
        <v>512</v>
      </c>
    </row>
    <row r="1302" spans="4:17" x14ac:dyDescent="0.25">
      <c r="D1302" s="1" t="s">
        <v>512</v>
      </c>
      <c r="E1302" s="21" t="s">
        <v>512</v>
      </c>
      <c r="F1302" s="1" t="s">
        <v>512</v>
      </c>
      <c r="G1302" s="1" t="s">
        <v>512</v>
      </c>
      <c r="H1302" s="1" t="s">
        <v>512</v>
      </c>
      <c r="I1302" s="1" t="s">
        <v>512</v>
      </c>
      <c r="J1302" s="1" t="s">
        <v>512</v>
      </c>
      <c r="K1302" s="1" t="s">
        <v>512</v>
      </c>
      <c r="L1302" s="1" t="s">
        <v>512</v>
      </c>
      <c r="M1302" s="1" t="s">
        <v>512</v>
      </c>
      <c r="N1302" s="1" t="s">
        <v>512</v>
      </c>
      <c r="O1302" s="1" t="s">
        <v>512</v>
      </c>
      <c r="Q1302" s="1" t="s">
        <v>512</v>
      </c>
    </row>
    <row r="1303" spans="4:17" x14ac:dyDescent="0.25">
      <c r="D1303" s="1" t="s">
        <v>512</v>
      </c>
      <c r="E1303" s="21" t="s">
        <v>512</v>
      </c>
      <c r="F1303" s="1" t="s">
        <v>512</v>
      </c>
      <c r="G1303" s="1" t="s">
        <v>512</v>
      </c>
      <c r="H1303" s="1" t="s">
        <v>512</v>
      </c>
      <c r="I1303" s="1" t="s">
        <v>512</v>
      </c>
      <c r="J1303" s="1" t="s">
        <v>512</v>
      </c>
      <c r="K1303" s="1" t="s">
        <v>512</v>
      </c>
      <c r="L1303" s="1" t="s">
        <v>512</v>
      </c>
      <c r="M1303" s="1" t="s">
        <v>512</v>
      </c>
      <c r="N1303" s="1" t="s">
        <v>512</v>
      </c>
      <c r="O1303" s="1" t="s">
        <v>512</v>
      </c>
      <c r="Q1303" s="1" t="s">
        <v>512</v>
      </c>
    </row>
    <row r="1304" spans="4:17" x14ac:dyDescent="0.25">
      <c r="D1304" s="1" t="s">
        <v>512</v>
      </c>
      <c r="E1304" s="21" t="s">
        <v>512</v>
      </c>
      <c r="F1304" s="1" t="s">
        <v>512</v>
      </c>
      <c r="G1304" s="1" t="s">
        <v>512</v>
      </c>
      <c r="H1304" s="1" t="s">
        <v>512</v>
      </c>
      <c r="I1304" s="1" t="s">
        <v>512</v>
      </c>
      <c r="J1304" s="1" t="s">
        <v>512</v>
      </c>
      <c r="K1304" s="1" t="s">
        <v>512</v>
      </c>
      <c r="L1304" s="1" t="s">
        <v>512</v>
      </c>
      <c r="M1304" s="1" t="s">
        <v>512</v>
      </c>
      <c r="N1304" s="1" t="s">
        <v>512</v>
      </c>
      <c r="O1304" s="1" t="s">
        <v>512</v>
      </c>
      <c r="Q1304" s="1" t="s">
        <v>512</v>
      </c>
    </row>
    <row r="1305" spans="4:17" x14ac:dyDescent="0.25">
      <c r="D1305" s="1" t="s">
        <v>512</v>
      </c>
      <c r="E1305" s="21" t="s">
        <v>512</v>
      </c>
      <c r="F1305" s="1" t="s">
        <v>512</v>
      </c>
      <c r="G1305" s="1" t="s">
        <v>512</v>
      </c>
      <c r="H1305" s="1" t="s">
        <v>512</v>
      </c>
      <c r="I1305" s="1" t="s">
        <v>512</v>
      </c>
      <c r="J1305" s="1" t="s">
        <v>512</v>
      </c>
      <c r="K1305" s="1" t="s">
        <v>512</v>
      </c>
      <c r="L1305" s="1" t="s">
        <v>512</v>
      </c>
      <c r="M1305" s="1" t="s">
        <v>512</v>
      </c>
      <c r="N1305" s="1" t="s">
        <v>512</v>
      </c>
      <c r="O1305" s="1" t="s">
        <v>512</v>
      </c>
      <c r="Q1305" s="1" t="s">
        <v>512</v>
      </c>
    </row>
    <row r="1306" spans="4:17" x14ac:dyDescent="0.25">
      <c r="D1306" s="1" t="s">
        <v>512</v>
      </c>
      <c r="E1306" s="21" t="s">
        <v>512</v>
      </c>
      <c r="F1306" s="1" t="s">
        <v>512</v>
      </c>
      <c r="G1306" s="1" t="s">
        <v>512</v>
      </c>
      <c r="H1306" s="1" t="s">
        <v>512</v>
      </c>
      <c r="I1306" s="1" t="s">
        <v>512</v>
      </c>
      <c r="J1306" s="1" t="s">
        <v>512</v>
      </c>
      <c r="K1306" s="1" t="s">
        <v>512</v>
      </c>
      <c r="L1306" s="1" t="s">
        <v>512</v>
      </c>
      <c r="M1306" s="1" t="s">
        <v>512</v>
      </c>
      <c r="N1306" s="1" t="s">
        <v>512</v>
      </c>
      <c r="O1306" s="1" t="s">
        <v>512</v>
      </c>
      <c r="Q1306" s="1" t="s">
        <v>512</v>
      </c>
    </row>
    <row r="1307" spans="4:17" x14ac:dyDescent="0.25">
      <c r="D1307" s="1" t="s">
        <v>512</v>
      </c>
      <c r="E1307" s="21" t="s">
        <v>512</v>
      </c>
      <c r="F1307" s="1" t="s">
        <v>512</v>
      </c>
      <c r="G1307" s="1" t="s">
        <v>512</v>
      </c>
      <c r="H1307" s="1" t="s">
        <v>512</v>
      </c>
      <c r="I1307" s="1" t="s">
        <v>512</v>
      </c>
      <c r="J1307" s="1" t="s">
        <v>512</v>
      </c>
      <c r="K1307" s="1" t="s">
        <v>512</v>
      </c>
      <c r="L1307" s="1" t="s">
        <v>512</v>
      </c>
      <c r="M1307" s="1" t="s">
        <v>512</v>
      </c>
      <c r="N1307" s="1" t="s">
        <v>512</v>
      </c>
      <c r="O1307" s="1" t="s">
        <v>512</v>
      </c>
      <c r="Q1307" s="1" t="s">
        <v>512</v>
      </c>
    </row>
    <row r="1308" spans="4:17" x14ac:dyDescent="0.25">
      <c r="D1308" s="1" t="s">
        <v>512</v>
      </c>
      <c r="E1308" s="21" t="s">
        <v>512</v>
      </c>
      <c r="F1308" s="1" t="s">
        <v>512</v>
      </c>
      <c r="G1308" s="1" t="s">
        <v>512</v>
      </c>
      <c r="H1308" s="1" t="s">
        <v>512</v>
      </c>
      <c r="I1308" s="1" t="s">
        <v>512</v>
      </c>
      <c r="J1308" s="1" t="s">
        <v>512</v>
      </c>
      <c r="K1308" s="1" t="s">
        <v>512</v>
      </c>
      <c r="L1308" s="1" t="s">
        <v>512</v>
      </c>
      <c r="M1308" s="1" t="s">
        <v>512</v>
      </c>
      <c r="N1308" s="1" t="s">
        <v>512</v>
      </c>
      <c r="O1308" s="1" t="s">
        <v>512</v>
      </c>
      <c r="Q1308" s="1" t="s">
        <v>512</v>
      </c>
    </row>
    <row r="1309" spans="4:17" x14ac:dyDescent="0.25">
      <c r="D1309" s="1" t="s">
        <v>512</v>
      </c>
      <c r="E1309" s="21" t="s">
        <v>512</v>
      </c>
      <c r="F1309" s="1" t="s">
        <v>512</v>
      </c>
      <c r="G1309" s="1" t="s">
        <v>512</v>
      </c>
      <c r="H1309" s="1" t="s">
        <v>512</v>
      </c>
      <c r="I1309" s="1" t="s">
        <v>512</v>
      </c>
      <c r="J1309" s="1" t="s">
        <v>512</v>
      </c>
      <c r="K1309" s="1" t="s">
        <v>512</v>
      </c>
      <c r="L1309" s="1" t="s">
        <v>512</v>
      </c>
      <c r="M1309" s="1" t="s">
        <v>512</v>
      </c>
      <c r="N1309" s="1" t="s">
        <v>512</v>
      </c>
      <c r="O1309" s="1" t="s">
        <v>512</v>
      </c>
      <c r="Q1309" s="1" t="s">
        <v>512</v>
      </c>
    </row>
    <row r="1310" spans="4:17" x14ac:dyDescent="0.25">
      <c r="D1310" s="1" t="s">
        <v>512</v>
      </c>
      <c r="E1310" s="21" t="s">
        <v>512</v>
      </c>
      <c r="F1310" s="1" t="s">
        <v>512</v>
      </c>
      <c r="G1310" s="1" t="s">
        <v>512</v>
      </c>
      <c r="H1310" s="1" t="s">
        <v>512</v>
      </c>
      <c r="I1310" s="1" t="s">
        <v>512</v>
      </c>
      <c r="J1310" s="1" t="s">
        <v>512</v>
      </c>
      <c r="K1310" s="1" t="s">
        <v>512</v>
      </c>
      <c r="L1310" s="1" t="s">
        <v>512</v>
      </c>
      <c r="M1310" s="1" t="s">
        <v>512</v>
      </c>
      <c r="N1310" s="1" t="s">
        <v>512</v>
      </c>
      <c r="O1310" s="1" t="s">
        <v>512</v>
      </c>
      <c r="Q1310" s="1" t="s">
        <v>512</v>
      </c>
    </row>
    <row r="1311" spans="4:17" x14ac:dyDescent="0.25">
      <c r="D1311" s="1" t="s">
        <v>512</v>
      </c>
      <c r="E1311" s="21" t="s">
        <v>512</v>
      </c>
      <c r="F1311" s="1" t="s">
        <v>512</v>
      </c>
      <c r="G1311" s="1" t="s">
        <v>512</v>
      </c>
      <c r="H1311" s="1" t="s">
        <v>512</v>
      </c>
      <c r="I1311" s="1" t="s">
        <v>512</v>
      </c>
      <c r="J1311" s="1" t="s">
        <v>512</v>
      </c>
      <c r="K1311" s="1" t="s">
        <v>512</v>
      </c>
      <c r="L1311" s="1" t="s">
        <v>512</v>
      </c>
      <c r="M1311" s="1" t="s">
        <v>512</v>
      </c>
      <c r="N1311" s="1" t="s">
        <v>512</v>
      </c>
      <c r="O1311" s="1" t="s">
        <v>512</v>
      </c>
      <c r="Q1311" s="1" t="s">
        <v>512</v>
      </c>
    </row>
    <row r="1312" spans="4:17" x14ac:dyDescent="0.25">
      <c r="D1312" s="1" t="s">
        <v>512</v>
      </c>
      <c r="E1312" s="21" t="s">
        <v>512</v>
      </c>
      <c r="F1312" s="1" t="s">
        <v>512</v>
      </c>
      <c r="G1312" s="1" t="s">
        <v>512</v>
      </c>
      <c r="H1312" s="1" t="s">
        <v>512</v>
      </c>
      <c r="I1312" s="1" t="s">
        <v>512</v>
      </c>
      <c r="J1312" s="1" t="s">
        <v>512</v>
      </c>
      <c r="K1312" s="1" t="s">
        <v>512</v>
      </c>
      <c r="L1312" s="1" t="s">
        <v>512</v>
      </c>
      <c r="M1312" s="1" t="s">
        <v>512</v>
      </c>
      <c r="N1312" s="1" t="s">
        <v>512</v>
      </c>
      <c r="O1312" s="1" t="s">
        <v>512</v>
      </c>
      <c r="Q1312" s="1" t="s">
        <v>512</v>
      </c>
    </row>
    <row r="1313" spans="4:17" x14ac:dyDescent="0.25">
      <c r="D1313" s="1" t="s">
        <v>512</v>
      </c>
      <c r="E1313" s="21" t="s">
        <v>512</v>
      </c>
      <c r="F1313" s="1" t="s">
        <v>512</v>
      </c>
      <c r="G1313" s="1" t="s">
        <v>512</v>
      </c>
      <c r="H1313" s="1" t="s">
        <v>512</v>
      </c>
      <c r="I1313" s="1" t="s">
        <v>512</v>
      </c>
      <c r="J1313" s="1" t="s">
        <v>512</v>
      </c>
      <c r="K1313" s="1" t="s">
        <v>512</v>
      </c>
      <c r="L1313" s="1" t="s">
        <v>512</v>
      </c>
      <c r="M1313" s="1" t="s">
        <v>512</v>
      </c>
      <c r="N1313" s="1" t="s">
        <v>512</v>
      </c>
      <c r="O1313" s="1" t="s">
        <v>512</v>
      </c>
      <c r="Q1313" s="1" t="s">
        <v>512</v>
      </c>
    </row>
    <row r="1314" spans="4:17" x14ac:dyDescent="0.25">
      <c r="D1314" s="1" t="s">
        <v>512</v>
      </c>
      <c r="E1314" s="21" t="s">
        <v>512</v>
      </c>
      <c r="F1314" s="1" t="s">
        <v>512</v>
      </c>
      <c r="G1314" s="1" t="s">
        <v>512</v>
      </c>
      <c r="H1314" s="1" t="s">
        <v>512</v>
      </c>
      <c r="I1314" s="1" t="s">
        <v>512</v>
      </c>
      <c r="J1314" s="1" t="s">
        <v>512</v>
      </c>
      <c r="K1314" s="1" t="s">
        <v>512</v>
      </c>
      <c r="L1314" s="1" t="s">
        <v>512</v>
      </c>
      <c r="M1314" s="1" t="s">
        <v>512</v>
      </c>
      <c r="N1314" s="1" t="s">
        <v>512</v>
      </c>
      <c r="O1314" s="1" t="s">
        <v>512</v>
      </c>
      <c r="Q1314" s="1" t="s">
        <v>512</v>
      </c>
    </row>
    <row r="1315" spans="4:17" x14ac:dyDescent="0.25">
      <c r="D1315" s="1" t="s">
        <v>512</v>
      </c>
      <c r="E1315" s="21" t="s">
        <v>512</v>
      </c>
      <c r="F1315" s="1" t="s">
        <v>512</v>
      </c>
      <c r="G1315" s="1" t="s">
        <v>512</v>
      </c>
      <c r="H1315" s="1" t="s">
        <v>512</v>
      </c>
      <c r="I1315" s="1" t="s">
        <v>512</v>
      </c>
      <c r="J1315" s="1" t="s">
        <v>512</v>
      </c>
      <c r="K1315" s="1" t="s">
        <v>512</v>
      </c>
      <c r="L1315" s="1" t="s">
        <v>512</v>
      </c>
      <c r="M1315" s="1" t="s">
        <v>512</v>
      </c>
      <c r="N1315" s="1" t="s">
        <v>512</v>
      </c>
      <c r="O1315" s="1" t="s">
        <v>512</v>
      </c>
      <c r="Q1315" s="1" t="s">
        <v>512</v>
      </c>
    </row>
    <row r="1316" spans="4:17" x14ac:dyDescent="0.25">
      <c r="D1316" s="1" t="s">
        <v>512</v>
      </c>
      <c r="E1316" s="21" t="s">
        <v>512</v>
      </c>
      <c r="F1316" s="1" t="s">
        <v>512</v>
      </c>
      <c r="G1316" s="1" t="s">
        <v>512</v>
      </c>
      <c r="H1316" s="1" t="s">
        <v>512</v>
      </c>
      <c r="I1316" s="1" t="s">
        <v>512</v>
      </c>
      <c r="J1316" s="1" t="s">
        <v>512</v>
      </c>
      <c r="K1316" s="1" t="s">
        <v>512</v>
      </c>
      <c r="L1316" s="1" t="s">
        <v>512</v>
      </c>
      <c r="M1316" s="1" t="s">
        <v>512</v>
      </c>
      <c r="N1316" s="1" t="s">
        <v>512</v>
      </c>
      <c r="O1316" s="1" t="s">
        <v>512</v>
      </c>
      <c r="Q1316" s="1" t="s">
        <v>512</v>
      </c>
    </row>
    <row r="1317" spans="4:17" x14ac:dyDescent="0.25">
      <c r="D1317" s="1" t="s">
        <v>512</v>
      </c>
      <c r="E1317" s="21" t="s">
        <v>512</v>
      </c>
      <c r="F1317" s="1" t="s">
        <v>512</v>
      </c>
      <c r="G1317" s="1" t="s">
        <v>512</v>
      </c>
      <c r="H1317" s="1" t="s">
        <v>512</v>
      </c>
      <c r="I1317" s="1" t="s">
        <v>512</v>
      </c>
      <c r="J1317" s="1" t="s">
        <v>512</v>
      </c>
      <c r="K1317" s="1" t="s">
        <v>512</v>
      </c>
      <c r="L1317" s="1" t="s">
        <v>512</v>
      </c>
      <c r="M1317" s="1" t="s">
        <v>512</v>
      </c>
      <c r="N1317" s="1" t="s">
        <v>512</v>
      </c>
      <c r="O1317" s="1" t="s">
        <v>512</v>
      </c>
      <c r="Q1317" s="1" t="s">
        <v>512</v>
      </c>
    </row>
    <row r="1318" spans="4:17" x14ac:dyDescent="0.25">
      <c r="D1318" s="1" t="s">
        <v>512</v>
      </c>
      <c r="E1318" s="21" t="s">
        <v>512</v>
      </c>
      <c r="F1318" s="1" t="s">
        <v>512</v>
      </c>
      <c r="G1318" s="1" t="s">
        <v>512</v>
      </c>
      <c r="H1318" s="1" t="s">
        <v>512</v>
      </c>
      <c r="I1318" s="1" t="s">
        <v>512</v>
      </c>
      <c r="J1318" s="1" t="s">
        <v>512</v>
      </c>
      <c r="K1318" s="1" t="s">
        <v>512</v>
      </c>
      <c r="L1318" s="1" t="s">
        <v>512</v>
      </c>
      <c r="M1318" s="1" t="s">
        <v>512</v>
      </c>
      <c r="N1318" s="1" t="s">
        <v>512</v>
      </c>
      <c r="O1318" s="1" t="s">
        <v>512</v>
      </c>
      <c r="Q1318" s="1" t="s">
        <v>512</v>
      </c>
    </row>
    <row r="1319" spans="4:17" x14ac:dyDescent="0.25">
      <c r="D1319" s="1" t="s">
        <v>512</v>
      </c>
      <c r="E1319" s="21" t="s">
        <v>512</v>
      </c>
      <c r="F1319" s="1" t="s">
        <v>512</v>
      </c>
      <c r="G1319" s="1" t="s">
        <v>512</v>
      </c>
      <c r="H1319" s="1" t="s">
        <v>512</v>
      </c>
      <c r="I1319" s="1" t="s">
        <v>512</v>
      </c>
      <c r="J1319" s="1" t="s">
        <v>512</v>
      </c>
      <c r="K1319" s="1" t="s">
        <v>512</v>
      </c>
      <c r="L1319" s="1" t="s">
        <v>512</v>
      </c>
      <c r="M1319" s="1" t="s">
        <v>512</v>
      </c>
      <c r="N1319" s="1" t="s">
        <v>512</v>
      </c>
      <c r="O1319" s="1" t="s">
        <v>512</v>
      </c>
      <c r="Q1319" s="1" t="s">
        <v>512</v>
      </c>
    </row>
    <row r="1320" spans="4:17" x14ac:dyDescent="0.25">
      <c r="D1320" s="1" t="s">
        <v>512</v>
      </c>
      <c r="E1320" s="21" t="s">
        <v>512</v>
      </c>
      <c r="F1320" s="1" t="s">
        <v>512</v>
      </c>
      <c r="G1320" s="1" t="s">
        <v>512</v>
      </c>
      <c r="H1320" s="1" t="s">
        <v>512</v>
      </c>
      <c r="I1320" s="1" t="s">
        <v>512</v>
      </c>
      <c r="J1320" s="1" t="s">
        <v>512</v>
      </c>
      <c r="K1320" s="1" t="s">
        <v>512</v>
      </c>
      <c r="L1320" s="1" t="s">
        <v>512</v>
      </c>
      <c r="M1320" s="1" t="s">
        <v>512</v>
      </c>
      <c r="N1320" s="1" t="s">
        <v>512</v>
      </c>
      <c r="O1320" s="1" t="s">
        <v>512</v>
      </c>
      <c r="Q1320" s="1" t="s">
        <v>512</v>
      </c>
    </row>
    <row r="1321" spans="4:17" x14ac:dyDescent="0.25">
      <c r="D1321" s="1" t="s">
        <v>512</v>
      </c>
      <c r="E1321" s="21" t="s">
        <v>512</v>
      </c>
      <c r="F1321" s="1" t="s">
        <v>512</v>
      </c>
      <c r="G1321" s="1" t="s">
        <v>512</v>
      </c>
      <c r="H1321" s="1" t="s">
        <v>512</v>
      </c>
      <c r="I1321" s="1" t="s">
        <v>512</v>
      </c>
      <c r="J1321" s="1" t="s">
        <v>512</v>
      </c>
      <c r="K1321" s="1" t="s">
        <v>512</v>
      </c>
      <c r="L1321" s="1" t="s">
        <v>512</v>
      </c>
      <c r="M1321" s="1" t="s">
        <v>512</v>
      </c>
      <c r="N1321" s="1" t="s">
        <v>512</v>
      </c>
      <c r="O1321" s="1" t="s">
        <v>512</v>
      </c>
      <c r="Q1321" s="1" t="s">
        <v>512</v>
      </c>
    </row>
    <row r="1322" spans="4:17" x14ac:dyDescent="0.25">
      <c r="D1322" s="1" t="s">
        <v>512</v>
      </c>
      <c r="E1322" s="21" t="s">
        <v>512</v>
      </c>
      <c r="F1322" s="1" t="s">
        <v>512</v>
      </c>
      <c r="G1322" s="1" t="s">
        <v>512</v>
      </c>
      <c r="H1322" s="1" t="s">
        <v>512</v>
      </c>
      <c r="I1322" s="1" t="s">
        <v>512</v>
      </c>
      <c r="J1322" s="1" t="s">
        <v>512</v>
      </c>
      <c r="K1322" s="1" t="s">
        <v>512</v>
      </c>
      <c r="L1322" s="1" t="s">
        <v>512</v>
      </c>
      <c r="M1322" s="1" t="s">
        <v>512</v>
      </c>
      <c r="N1322" s="1" t="s">
        <v>512</v>
      </c>
      <c r="O1322" s="1" t="s">
        <v>512</v>
      </c>
      <c r="Q1322" s="1" t="s">
        <v>512</v>
      </c>
    </row>
    <row r="1323" spans="4:17" x14ac:dyDescent="0.25">
      <c r="D1323" s="1" t="s">
        <v>512</v>
      </c>
      <c r="E1323" s="21" t="s">
        <v>512</v>
      </c>
      <c r="F1323" s="1" t="s">
        <v>512</v>
      </c>
      <c r="G1323" s="1" t="s">
        <v>512</v>
      </c>
      <c r="H1323" s="1" t="s">
        <v>512</v>
      </c>
      <c r="I1323" s="1" t="s">
        <v>512</v>
      </c>
      <c r="J1323" s="1" t="s">
        <v>512</v>
      </c>
      <c r="K1323" s="1" t="s">
        <v>512</v>
      </c>
      <c r="L1323" s="1" t="s">
        <v>512</v>
      </c>
      <c r="M1323" s="1" t="s">
        <v>512</v>
      </c>
      <c r="N1323" s="1" t="s">
        <v>512</v>
      </c>
      <c r="O1323" s="1" t="s">
        <v>512</v>
      </c>
      <c r="Q1323" s="1" t="s">
        <v>512</v>
      </c>
    </row>
    <row r="1324" spans="4:17" x14ac:dyDescent="0.25">
      <c r="D1324" s="1" t="s">
        <v>512</v>
      </c>
      <c r="E1324" s="21" t="s">
        <v>512</v>
      </c>
      <c r="F1324" s="1" t="s">
        <v>512</v>
      </c>
      <c r="G1324" s="1" t="s">
        <v>512</v>
      </c>
      <c r="H1324" s="1" t="s">
        <v>512</v>
      </c>
      <c r="I1324" s="1" t="s">
        <v>512</v>
      </c>
      <c r="J1324" s="1" t="s">
        <v>512</v>
      </c>
      <c r="K1324" s="1" t="s">
        <v>512</v>
      </c>
      <c r="L1324" s="1" t="s">
        <v>512</v>
      </c>
      <c r="M1324" s="1" t="s">
        <v>512</v>
      </c>
      <c r="N1324" s="1" t="s">
        <v>512</v>
      </c>
      <c r="O1324" s="1" t="s">
        <v>512</v>
      </c>
      <c r="Q1324" s="1" t="s">
        <v>512</v>
      </c>
    </row>
    <row r="1325" spans="4:17" x14ac:dyDescent="0.25">
      <c r="D1325" s="1" t="s">
        <v>512</v>
      </c>
      <c r="E1325" s="21" t="s">
        <v>512</v>
      </c>
      <c r="F1325" s="1" t="s">
        <v>512</v>
      </c>
      <c r="G1325" s="1" t="s">
        <v>512</v>
      </c>
      <c r="H1325" s="1" t="s">
        <v>512</v>
      </c>
      <c r="I1325" s="1" t="s">
        <v>512</v>
      </c>
      <c r="J1325" s="1" t="s">
        <v>512</v>
      </c>
      <c r="K1325" s="1" t="s">
        <v>512</v>
      </c>
      <c r="L1325" s="1" t="s">
        <v>512</v>
      </c>
      <c r="M1325" s="1" t="s">
        <v>512</v>
      </c>
      <c r="N1325" s="1" t="s">
        <v>512</v>
      </c>
      <c r="O1325" s="1" t="s">
        <v>512</v>
      </c>
      <c r="Q1325" s="1" t="s">
        <v>512</v>
      </c>
    </row>
    <row r="1326" spans="4:17" x14ac:dyDescent="0.25">
      <c r="D1326" s="1" t="s">
        <v>512</v>
      </c>
      <c r="E1326" s="21" t="s">
        <v>512</v>
      </c>
      <c r="F1326" s="1" t="s">
        <v>512</v>
      </c>
      <c r="G1326" s="1" t="s">
        <v>512</v>
      </c>
      <c r="H1326" s="1" t="s">
        <v>512</v>
      </c>
      <c r="I1326" s="1" t="s">
        <v>512</v>
      </c>
      <c r="J1326" s="1" t="s">
        <v>512</v>
      </c>
      <c r="K1326" s="1" t="s">
        <v>512</v>
      </c>
      <c r="L1326" s="1" t="s">
        <v>512</v>
      </c>
      <c r="M1326" s="1" t="s">
        <v>512</v>
      </c>
      <c r="N1326" s="1" t="s">
        <v>512</v>
      </c>
      <c r="O1326" s="1" t="s">
        <v>512</v>
      </c>
      <c r="Q1326" s="1" t="s">
        <v>512</v>
      </c>
    </row>
    <row r="1327" spans="4:17" x14ac:dyDescent="0.25">
      <c r="D1327" s="1" t="s">
        <v>512</v>
      </c>
      <c r="E1327" s="21" t="s">
        <v>512</v>
      </c>
      <c r="F1327" s="1" t="s">
        <v>512</v>
      </c>
      <c r="G1327" s="1" t="s">
        <v>512</v>
      </c>
      <c r="H1327" s="1" t="s">
        <v>512</v>
      </c>
      <c r="I1327" s="1" t="s">
        <v>512</v>
      </c>
      <c r="J1327" s="1" t="s">
        <v>512</v>
      </c>
      <c r="K1327" s="1" t="s">
        <v>512</v>
      </c>
      <c r="L1327" s="1" t="s">
        <v>512</v>
      </c>
      <c r="M1327" s="1" t="s">
        <v>512</v>
      </c>
      <c r="N1327" s="1" t="s">
        <v>512</v>
      </c>
      <c r="O1327" s="1" t="s">
        <v>512</v>
      </c>
      <c r="Q1327" s="1" t="s">
        <v>512</v>
      </c>
    </row>
    <row r="1328" spans="4:17" x14ac:dyDescent="0.25">
      <c r="D1328" s="1" t="s">
        <v>512</v>
      </c>
      <c r="E1328" s="21" t="s">
        <v>512</v>
      </c>
      <c r="F1328" s="1" t="s">
        <v>512</v>
      </c>
      <c r="G1328" s="1" t="s">
        <v>512</v>
      </c>
      <c r="H1328" s="1" t="s">
        <v>512</v>
      </c>
      <c r="I1328" s="1" t="s">
        <v>512</v>
      </c>
      <c r="J1328" s="1" t="s">
        <v>512</v>
      </c>
      <c r="K1328" s="1" t="s">
        <v>512</v>
      </c>
      <c r="L1328" s="1" t="s">
        <v>512</v>
      </c>
      <c r="M1328" s="1" t="s">
        <v>512</v>
      </c>
      <c r="N1328" s="1" t="s">
        <v>512</v>
      </c>
      <c r="O1328" s="1" t="s">
        <v>512</v>
      </c>
      <c r="Q1328" s="1" t="s">
        <v>512</v>
      </c>
    </row>
    <row r="1329" spans="4:17" x14ac:dyDescent="0.25">
      <c r="D1329" s="1" t="s">
        <v>512</v>
      </c>
      <c r="E1329" s="21" t="s">
        <v>512</v>
      </c>
      <c r="F1329" s="1" t="s">
        <v>512</v>
      </c>
      <c r="G1329" s="1" t="s">
        <v>512</v>
      </c>
      <c r="H1329" s="1" t="s">
        <v>512</v>
      </c>
      <c r="I1329" s="1" t="s">
        <v>512</v>
      </c>
      <c r="J1329" s="1" t="s">
        <v>512</v>
      </c>
      <c r="K1329" s="1" t="s">
        <v>512</v>
      </c>
      <c r="L1329" s="1" t="s">
        <v>512</v>
      </c>
      <c r="M1329" s="1" t="s">
        <v>512</v>
      </c>
      <c r="N1329" s="1" t="s">
        <v>512</v>
      </c>
      <c r="O1329" s="1" t="s">
        <v>512</v>
      </c>
      <c r="Q1329" s="1" t="s">
        <v>512</v>
      </c>
    </row>
    <row r="1330" spans="4:17" x14ac:dyDescent="0.25">
      <c r="D1330" s="1" t="s">
        <v>512</v>
      </c>
      <c r="E1330" s="21" t="s">
        <v>512</v>
      </c>
      <c r="F1330" s="1" t="s">
        <v>512</v>
      </c>
      <c r="G1330" s="1" t="s">
        <v>512</v>
      </c>
      <c r="H1330" s="1" t="s">
        <v>512</v>
      </c>
      <c r="I1330" s="1" t="s">
        <v>512</v>
      </c>
      <c r="J1330" s="1" t="s">
        <v>512</v>
      </c>
      <c r="K1330" s="1" t="s">
        <v>512</v>
      </c>
      <c r="L1330" s="1" t="s">
        <v>512</v>
      </c>
      <c r="M1330" s="1" t="s">
        <v>512</v>
      </c>
      <c r="N1330" s="1" t="s">
        <v>512</v>
      </c>
      <c r="O1330" s="1" t="s">
        <v>512</v>
      </c>
      <c r="Q1330" s="1" t="s">
        <v>512</v>
      </c>
    </row>
    <row r="1331" spans="4:17" x14ac:dyDescent="0.25">
      <c r="D1331" s="1" t="s">
        <v>512</v>
      </c>
      <c r="E1331" s="21" t="s">
        <v>512</v>
      </c>
      <c r="F1331" s="1" t="s">
        <v>512</v>
      </c>
      <c r="G1331" s="1" t="s">
        <v>512</v>
      </c>
      <c r="H1331" s="1" t="s">
        <v>512</v>
      </c>
      <c r="I1331" s="1" t="s">
        <v>512</v>
      </c>
      <c r="J1331" s="1" t="s">
        <v>512</v>
      </c>
      <c r="K1331" s="1" t="s">
        <v>512</v>
      </c>
      <c r="L1331" s="1" t="s">
        <v>512</v>
      </c>
      <c r="M1331" s="1" t="s">
        <v>512</v>
      </c>
      <c r="N1331" s="1" t="s">
        <v>512</v>
      </c>
      <c r="O1331" s="1" t="s">
        <v>512</v>
      </c>
      <c r="Q1331" s="1" t="s">
        <v>512</v>
      </c>
    </row>
    <row r="1332" spans="4:17" x14ac:dyDescent="0.25">
      <c r="D1332" s="1" t="s">
        <v>512</v>
      </c>
      <c r="E1332" s="21" t="s">
        <v>512</v>
      </c>
      <c r="F1332" s="1" t="s">
        <v>512</v>
      </c>
      <c r="G1332" s="1" t="s">
        <v>512</v>
      </c>
      <c r="H1332" s="1" t="s">
        <v>512</v>
      </c>
      <c r="I1332" s="1" t="s">
        <v>512</v>
      </c>
      <c r="J1332" s="1" t="s">
        <v>512</v>
      </c>
      <c r="K1332" s="1" t="s">
        <v>512</v>
      </c>
      <c r="L1332" s="1" t="s">
        <v>512</v>
      </c>
      <c r="M1332" s="1" t="s">
        <v>512</v>
      </c>
      <c r="N1332" s="1" t="s">
        <v>512</v>
      </c>
      <c r="O1332" s="1" t="s">
        <v>512</v>
      </c>
      <c r="Q1332" s="1" t="s">
        <v>512</v>
      </c>
    </row>
    <row r="1333" spans="4:17" x14ac:dyDescent="0.25">
      <c r="D1333" s="1" t="s">
        <v>512</v>
      </c>
      <c r="E1333" s="21" t="s">
        <v>512</v>
      </c>
      <c r="F1333" s="1" t="s">
        <v>512</v>
      </c>
      <c r="G1333" s="1" t="s">
        <v>512</v>
      </c>
      <c r="H1333" s="1" t="s">
        <v>512</v>
      </c>
      <c r="I1333" s="1" t="s">
        <v>512</v>
      </c>
      <c r="J1333" s="1" t="s">
        <v>512</v>
      </c>
      <c r="K1333" s="1" t="s">
        <v>512</v>
      </c>
      <c r="L1333" s="1" t="s">
        <v>512</v>
      </c>
      <c r="M1333" s="1" t="s">
        <v>512</v>
      </c>
      <c r="N1333" s="1" t="s">
        <v>512</v>
      </c>
      <c r="O1333" s="1" t="s">
        <v>512</v>
      </c>
      <c r="Q1333" s="1" t="s">
        <v>512</v>
      </c>
    </row>
    <row r="1334" spans="4:17" x14ac:dyDescent="0.25">
      <c r="D1334" s="1" t="s">
        <v>512</v>
      </c>
      <c r="E1334" s="21" t="s">
        <v>512</v>
      </c>
      <c r="F1334" s="1" t="s">
        <v>512</v>
      </c>
      <c r="G1334" s="1" t="s">
        <v>512</v>
      </c>
      <c r="H1334" s="1" t="s">
        <v>512</v>
      </c>
      <c r="I1334" s="1" t="s">
        <v>512</v>
      </c>
      <c r="J1334" s="1" t="s">
        <v>512</v>
      </c>
      <c r="K1334" s="1" t="s">
        <v>512</v>
      </c>
      <c r="L1334" s="1" t="s">
        <v>512</v>
      </c>
      <c r="M1334" s="1" t="s">
        <v>512</v>
      </c>
      <c r="N1334" s="1" t="s">
        <v>512</v>
      </c>
      <c r="O1334" s="1" t="s">
        <v>512</v>
      </c>
      <c r="Q1334" s="1" t="s">
        <v>512</v>
      </c>
    </row>
    <row r="1335" spans="4:17" x14ac:dyDescent="0.25">
      <c r="D1335" s="1" t="s">
        <v>512</v>
      </c>
      <c r="E1335" s="21" t="s">
        <v>512</v>
      </c>
      <c r="F1335" s="1" t="s">
        <v>512</v>
      </c>
      <c r="G1335" s="1" t="s">
        <v>512</v>
      </c>
      <c r="H1335" s="1" t="s">
        <v>512</v>
      </c>
      <c r="I1335" s="1" t="s">
        <v>512</v>
      </c>
      <c r="J1335" s="1" t="s">
        <v>512</v>
      </c>
      <c r="K1335" s="1" t="s">
        <v>512</v>
      </c>
      <c r="L1335" s="1" t="s">
        <v>512</v>
      </c>
      <c r="M1335" s="1" t="s">
        <v>512</v>
      </c>
      <c r="N1335" s="1" t="s">
        <v>512</v>
      </c>
      <c r="O1335" s="1" t="s">
        <v>512</v>
      </c>
      <c r="Q1335" s="1" t="s">
        <v>512</v>
      </c>
    </row>
    <row r="1336" spans="4:17" x14ac:dyDescent="0.25">
      <c r="D1336" s="1" t="s">
        <v>512</v>
      </c>
      <c r="E1336" s="21" t="s">
        <v>512</v>
      </c>
      <c r="F1336" s="1" t="s">
        <v>512</v>
      </c>
      <c r="G1336" s="1" t="s">
        <v>512</v>
      </c>
      <c r="H1336" s="1" t="s">
        <v>512</v>
      </c>
      <c r="I1336" s="1" t="s">
        <v>512</v>
      </c>
      <c r="J1336" s="1" t="s">
        <v>512</v>
      </c>
      <c r="K1336" s="1" t="s">
        <v>512</v>
      </c>
      <c r="L1336" s="1" t="s">
        <v>512</v>
      </c>
      <c r="M1336" s="1" t="s">
        <v>512</v>
      </c>
      <c r="N1336" s="1" t="s">
        <v>512</v>
      </c>
      <c r="O1336" s="1" t="s">
        <v>512</v>
      </c>
      <c r="Q1336" s="1" t="s">
        <v>512</v>
      </c>
    </row>
    <row r="1337" spans="4:17" x14ac:dyDescent="0.25">
      <c r="D1337" s="1" t="s">
        <v>512</v>
      </c>
      <c r="E1337" s="21" t="s">
        <v>512</v>
      </c>
      <c r="F1337" s="1" t="s">
        <v>512</v>
      </c>
      <c r="G1337" s="1" t="s">
        <v>512</v>
      </c>
      <c r="H1337" s="1" t="s">
        <v>512</v>
      </c>
      <c r="I1337" s="1" t="s">
        <v>512</v>
      </c>
      <c r="J1337" s="1" t="s">
        <v>512</v>
      </c>
      <c r="K1337" s="1" t="s">
        <v>512</v>
      </c>
      <c r="L1337" s="1" t="s">
        <v>512</v>
      </c>
      <c r="M1337" s="1" t="s">
        <v>512</v>
      </c>
      <c r="N1337" s="1" t="s">
        <v>512</v>
      </c>
      <c r="O1337" s="1" t="s">
        <v>512</v>
      </c>
      <c r="Q1337" s="1" t="s">
        <v>512</v>
      </c>
    </row>
    <row r="1338" spans="4:17" x14ac:dyDescent="0.25">
      <c r="D1338" s="1" t="s">
        <v>512</v>
      </c>
      <c r="E1338" s="21" t="s">
        <v>512</v>
      </c>
      <c r="F1338" s="1" t="s">
        <v>512</v>
      </c>
      <c r="G1338" s="1" t="s">
        <v>512</v>
      </c>
      <c r="H1338" s="1" t="s">
        <v>512</v>
      </c>
      <c r="I1338" s="1" t="s">
        <v>512</v>
      </c>
      <c r="J1338" s="1" t="s">
        <v>512</v>
      </c>
      <c r="K1338" s="1" t="s">
        <v>512</v>
      </c>
      <c r="L1338" s="1" t="s">
        <v>512</v>
      </c>
      <c r="M1338" s="1" t="s">
        <v>512</v>
      </c>
      <c r="N1338" s="1" t="s">
        <v>512</v>
      </c>
      <c r="O1338" s="1" t="s">
        <v>512</v>
      </c>
      <c r="Q1338" s="1" t="s">
        <v>512</v>
      </c>
    </row>
    <row r="1339" spans="4:17" x14ac:dyDescent="0.25">
      <c r="D1339" s="1" t="s">
        <v>512</v>
      </c>
      <c r="E1339" s="21" t="s">
        <v>512</v>
      </c>
      <c r="F1339" s="1" t="s">
        <v>512</v>
      </c>
      <c r="G1339" s="1" t="s">
        <v>512</v>
      </c>
      <c r="H1339" s="1" t="s">
        <v>512</v>
      </c>
      <c r="I1339" s="1" t="s">
        <v>512</v>
      </c>
      <c r="J1339" s="1" t="s">
        <v>512</v>
      </c>
      <c r="K1339" s="1" t="s">
        <v>512</v>
      </c>
      <c r="L1339" s="1" t="s">
        <v>512</v>
      </c>
      <c r="M1339" s="1" t="s">
        <v>512</v>
      </c>
      <c r="N1339" s="1" t="s">
        <v>512</v>
      </c>
      <c r="O1339" s="1" t="s">
        <v>512</v>
      </c>
      <c r="Q1339" s="1" t="s">
        <v>512</v>
      </c>
    </row>
    <row r="1340" spans="4:17" x14ac:dyDescent="0.25">
      <c r="D1340" s="1" t="s">
        <v>512</v>
      </c>
      <c r="E1340" s="21" t="s">
        <v>512</v>
      </c>
      <c r="F1340" s="1" t="s">
        <v>512</v>
      </c>
      <c r="G1340" s="1" t="s">
        <v>512</v>
      </c>
      <c r="H1340" s="1" t="s">
        <v>512</v>
      </c>
      <c r="I1340" s="1" t="s">
        <v>512</v>
      </c>
      <c r="J1340" s="1" t="s">
        <v>512</v>
      </c>
      <c r="K1340" s="1" t="s">
        <v>512</v>
      </c>
      <c r="L1340" s="1" t="s">
        <v>512</v>
      </c>
      <c r="M1340" s="1" t="s">
        <v>512</v>
      </c>
      <c r="N1340" s="1" t="s">
        <v>512</v>
      </c>
      <c r="O1340" s="1" t="s">
        <v>512</v>
      </c>
      <c r="Q1340" s="1" t="s">
        <v>512</v>
      </c>
    </row>
    <row r="1341" spans="4:17" x14ac:dyDescent="0.25">
      <c r="D1341" s="1" t="s">
        <v>512</v>
      </c>
      <c r="E1341" s="21" t="s">
        <v>512</v>
      </c>
      <c r="F1341" s="1" t="s">
        <v>512</v>
      </c>
      <c r="G1341" s="1" t="s">
        <v>512</v>
      </c>
      <c r="H1341" s="1" t="s">
        <v>512</v>
      </c>
      <c r="I1341" s="1" t="s">
        <v>512</v>
      </c>
      <c r="J1341" s="1" t="s">
        <v>512</v>
      </c>
      <c r="K1341" s="1" t="s">
        <v>512</v>
      </c>
      <c r="L1341" s="1" t="s">
        <v>512</v>
      </c>
      <c r="M1341" s="1" t="s">
        <v>512</v>
      </c>
      <c r="N1341" s="1" t="s">
        <v>512</v>
      </c>
      <c r="O1341" s="1" t="s">
        <v>512</v>
      </c>
      <c r="Q1341" s="1" t="s">
        <v>512</v>
      </c>
    </row>
    <row r="1342" spans="4:17" x14ac:dyDescent="0.25">
      <c r="D1342" s="1" t="s">
        <v>512</v>
      </c>
      <c r="E1342" s="21" t="s">
        <v>512</v>
      </c>
      <c r="F1342" s="1" t="s">
        <v>512</v>
      </c>
      <c r="G1342" s="1" t="s">
        <v>512</v>
      </c>
      <c r="H1342" s="1" t="s">
        <v>512</v>
      </c>
      <c r="I1342" s="1" t="s">
        <v>512</v>
      </c>
      <c r="J1342" s="1" t="s">
        <v>512</v>
      </c>
      <c r="K1342" s="1" t="s">
        <v>512</v>
      </c>
      <c r="L1342" s="1" t="s">
        <v>512</v>
      </c>
      <c r="M1342" s="1" t="s">
        <v>512</v>
      </c>
      <c r="N1342" s="1" t="s">
        <v>512</v>
      </c>
      <c r="O1342" s="1" t="s">
        <v>512</v>
      </c>
      <c r="Q1342" s="1" t="s">
        <v>512</v>
      </c>
    </row>
    <row r="1343" spans="4:17" x14ac:dyDescent="0.25">
      <c r="D1343" s="1" t="s">
        <v>512</v>
      </c>
      <c r="E1343" s="21" t="s">
        <v>512</v>
      </c>
      <c r="F1343" s="1" t="s">
        <v>512</v>
      </c>
      <c r="G1343" s="1" t="s">
        <v>512</v>
      </c>
      <c r="H1343" s="1" t="s">
        <v>512</v>
      </c>
      <c r="I1343" s="1" t="s">
        <v>512</v>
      </c>
      <c r="J1343" s="1" t="s">
        <v>512</v>
      </c>
      <c r="K1343" s="1" t="s">
        <v>512</v>
      </c>
      <c r="L1343" s="1" t="s">
        <v>512</v>
      </c>
      <c r="M1343" s="1" t="s">
        <v>512</v>
      </c>
      <c r="N1343" s="1" t="s">
        <v>512</v>
      </c>
      <c r="O1343" s="1" t="s">
        <v>512</v>
      </c>
      <c r="Q1343" s="1" t="s">
        <v>512</v>
      </c>
    </row>
    <row r="1344" spans="4:17" x14ac:dyDescent="0.25">
      <c r="D1344" s="1" t="s">
        <v>512</v>
      </c>
      <c r="E1344" s="21" t="s">
        <v>512</v>
      </c>
      <c r="F1344" s="1" t="s">
        <v>512</v>
      </c>
      <c r="G1344" s="1" t="s">
        <v>512</v>
      </c>
      <c r="H1344" s="1" t="s">
        <v>512</v>
      </c>
      <c r="I1344" s="1" t="s">
        <v>512</v>
      </c>
      <c r="J1344" s="1" t="s">
        <v>512</v>
      </c>
      <c r="K1344" s="1" t="s">
        <v>512</v>
      </c>
      <c r="L1344" s="1" t="s">
        <v>512</v>
      </c>
      <c r="M1344" s="1" t="s">
        <v>512</v>
      </c>
      <c r="N1344" s="1" t="s">
        <v>512</v>
      </c>
      <c r="O1344" s="1" t="s">
        <v>512</v>
      </c>
      <c r="Q1344" s="1" t="s">
        <v>512</v>
      </c>
    </row>
    <row r="1345" spans="4:17" x14ac:dyDescent="0.25">
      <c r="D1345" s="1" t="s">
        <v>512</v>
      </c>
      <c r="E1345" s="21" t="s">
        <v>512</v>
      </c>
      <c r="F1345" s="1" t="s">
        <v>512</v>
      </c>
      <c r="G1345" s="1" t="s">
        <v>512</v>
      </c>
      <c r="H1345" s="1" t="s">
        <v>512</v>
      </c>
      <c r="I1345" s="1" t="s">
        <v>512</v>
      </c>
      <c r="J1345" s="1" t="s">
        <v>512</v>
      </c>
      <c r="K1345" s="1" t="s">
        <v>512</v>
      </c>
      <c r="L1345" s="1" t="s">
        <v>512</v>
      </c>
      <c r="M1345" s="1" t="s">
        <v>512</v>
      </c>
      <c r="N1345" s="1" t="s">
        <v>512</v>
      </c>
      <c r="O1345" s="1" t="s">
        <v>512</v>
      </c>
      <c r="Q1345" s="1" t="s">
        <v>512</v>
      </c>
    </row>
    <row r="1346" spans="4:17" x14ac:dyDescent="0.25">
      <c r="D1346" s="1" t="s">
        <v>512</v>
      </c>
      <c r="E1346" s="21" t="s">
        <v>512</v>
      </c>
      <c r="F1346" s="1" t="s">
        <v>512</v>
      </c>
      <c r="G1346" s="1" t="s">
        <v>512</v>
      </c>
      <c r="H1346" s="1" t="s">
        <v>512</v>
      </c>
      <c r="I1346" s="1" t="s">
        <v>512</v>
      </c>
      <c r="J1346" s="1" t="s">
        <v>512</v>
      </c>
      <c r="K1346" s="1" t="s">
        <v>512</v>
      </c>
      <c r="L1346" s="1" t="s">
        <v>512</v>
      </c>
      <c r="M1346" s="1" t="s">
        <v>512</v>
      </c>
      <c r="N1346" s="1" t="s">
        <v>512</v>
      </c>
      <c r="O1346" s="1" t="s">
        <v>512</v>
      </c>
      <c r="Q1346" s="1" t="s">
        <v>512</v>
      </c>
    </row>
    <row r="1347" spans="4:17" x14ac:dyDescent="0.25">
      <c r="D1347" s="1" t="s">
        <v>512</v>
      </c>
      <c r="E1347" s="21" t="s">
        <v>512</v>
      </c>
      <c r="F1347" s="1" t="s">
        <v>512</v>
      </c>
      <c r="G1347" s="1" t="s">
        <v>512</v>
      </c>
      <c r="H1347" s="1" t="s">
        <v>512</v>
      </c>
      <c r="I1347" s="1" t="s">
        <v>512</v>
      </c>
      <c r="J1347" s="1" t="s">
        <v>512</v>
      </c>
      <c r="K1347" s="1" t="s">
        <v>512</v>
      </c>
      <c r="L1347" s="1" t="s">
        <v>512</v>
      </c>
      <c r="M1347" s="1" t="s">
        <v>512</v>
      </c>
      <c r="N1347" s="1" t="s">
        <v>512</v>
      </c>
      <c r="O1347" s="1" t="s">
        <v>512</v>
      </c>
      <c r="Q1347" s="1" t="s">
        <v>512</v>
      </c>
    </row>
    <row r="1348" spans="4:17" x14ac:dyDescent="0.25">
      <c r="D1348" s="1" t="s">
        <v>512</v>
      </c>
      <c r="E1348" s="21" t="s">
        <v>512</v>
      </c>
      <c r="F1348" s="1" t="s">
        <v>512</v>
      </c>
      <c r="G1348" s="1" t="s">
        <v>512</v>
      </c>
      <c r="H1348" s="1" t="s">
        <v>512</v>
      </c>
      <c r="I1348" s="1" t="s">
        <v>512</v>
      </c>
      <c r="J1348" s="1" t="s">
        <v>512</v>
      </c>
      <c r="K1348" s="1" t="s">
        <v>512</v>
      </c>
      <c r="L1348" s="1" t="s">
        <v>512</v>
      </c>
      <c r="M1348" s="1" t="s">
        <v>512</v>
      </c>
      <c r="N1348" s="1" t="s">
        <v>512</v>
      </c>
      <c r="O1348" s="1" t="s">
        <v>512</v>
      </c>
      <c r="Q1348" s="1" t="s">
        <v>512</v>
      </c>
    </row>
    <row r="1349" spans="4:17" x14ac:dyDescent="0.25">
      <c r="D1349" s="1" t="s">
        <v>512</v>
      </c>
      <c r="E1349" s="21" t="s">
        <v>512</v>
      </c>
      <c r="F1349" s="1" t="s">
        <v>512</v>
      </c>
      <c r="G1349" s="1" t="s">
        <v>512</v>
      </c>
      <c r="H1349" s="1" t="s">
        <v>512</v>
      </c>
      <c r="I1349" s="1" t="s">
        <v>512</v>
      </c>
      <c r="J1349" s="1" t="s">
        <v>512</v>
      </c>
      <c r="K1349" s="1" t="s">
        <v>512</v>
      </c>
      <c r="L1349" s="1" t="s">
        <v>512</v>
      </c>
      <c r="M1349" s="1" t="s">
        <v>512</v>
      </c>
      <c r="N1349" s="1" t="s">
        <v>512</v>
      </c>
      <c r="O1349" s="1" t="s">
        <v>512</v>
      </c>
      <c r="Q1349" s="1" t="s">
        <v>512</v>
      </c>
    </row>
    <row r="1350" spans="4:17" x14ac:dyDescent="0.25">
      <c r="D1350" s="1" t="s">
        <v>512</v>
      </c>
      <c r="E1350" s="21" t="s">
        <v>512</v>
      </c>
      <c r="F1350" s="1" t="s">
        <v>512</v>
      </c>
      <c r="G1350" s="1" t="s">
        <v>512</v>
      </c>
      <c r="H1350" s="1" t="s">
        <v>512</v>
      </c>
      <c r="I1350" s="1" t="s">
        <v>512</v>
      </c>
      <c r="J1350" s="1" t="s">
        <v>512</v>
      </c>
      <c r="K1350" s="1" t="s">
        <v>512</v>
      </c>
      <c r="L1350" s="1" t="s">
        <v>512</v>
      </c>
      <c r="M1350" s="1" t="s">
        <v>512</v>
      </c>
      <c r="N1350" s="1" t="s">
        <v>512</v>
      </c>
      <c r="O1350" s="1" t="s">
        <v>512</v>
      </c>
      <c r="Q1350" s="1" t="s">
        <v>512</v>
      </c>
    </row>
    <row r="1351" spans="4:17" x14ac:dyDescent="0.25">
      <c r="D1351" s="1" t="s">
        <v>512</v>
      </c>
      <c r="E1351" s="21" t="s">
        <v>512</v>
      </c>
      <c r="F1351" s="1" t="s">
        <v>512</v>
      </c>
      <c r="G1351" s="1" t="s">
        <v>512</v>
      </c>
      <c r="H1351" s="1" t="s">
        <v>512</v>
      </c>
      <c r="I1351" s="1" t="s">
        <v>512</v>
      </c>
      <c r="J1351" s="1" t="s">
        <v>512</v>
      </c>
      <c r="K1351" s="1" t="s">
        <v>512</v>
      </c>
      <c r="L1351" s="1" t="s">
        <v>512</v>
      </c>
      <c r="M1351" s="1" t="s">
        <v>512</v>
      </c>
      <c r="N1351" s="1" t="s">
        <v>512</v>
      </c>
      <c r="O1351" s="1" t="s">
        <v>512</v>
      </c>
      <c r="Q1351" s="1" t="s">
        <v>512</v>
      </c>
    </row>
    <row r="1352" spans="4:17" x14ac:dyDescent="0.25">
      <c r="D1352" s="1" t="s">
        <v>512</v>
      </c>
      <c r="E1352" s="21" t="s">
        <v>512</v>
      </c>
      <c r="F1352" s="1" t="s">
        <v>512</v>
      </c>
      <c r="G1352" s="1" t="s">
        <v>512</v>
      </c>
      <c r="H1352" s="1" t="s">
        <v>512</v>
      </c>
      <c r="I1352" s="1" t="s">
        <v>512</v>
      </c>
      <c r="J1352" s="1" t="s">
        <v>512</v>
      </c>
      <c r="K1352" s="1" t="s">
        <v>512</v>
      </c>
      <c r="L1352" s="1" t="s">
        <v>512</v>
      </c>
      <c r="M1352" s="1" t="s">
        <v>512</v>
      </c>
      <c r="N1352" s="1" t="s">
        <v>512</v>
      </c>
      <c r="O1352" s="1" t="s">
        <v>512</v>
      </c>
      <c r="Q1352" s="1" t="s">
        <v>512</v>
      </c>
    </row>
    <row r="1353" spans="4:17" x14ac:dyDescent="0.25">
      <c r="D1353" s="1" t="s">
        <v>512</v>
      </c>
      <c r="E1353" s="21" t="s">
        <v>512</v>
      </c>
      <c r="F1353" s="1" t="s">
        <v>512</v>
      </c>
      <c r="G1353" s="1" t="s">
        <v>512</v>
      </c>
      <c r="H1353" s="1" t="s">
        <v>512</v>
      </c>
      <c r="I1353" s="1" t="s">
        <v>512</v>
      </c>
      <c r="J1353" s="1" t="s">
        <v>512</v>
      </c>
      <c r="K1353" s="1" t="s">
        <v>512</v>
      </c>
      <c r="L1353" s="1" t="s">
        <v>512</v>
      </c>
      <c r="M1353" s="1" t="s">
        <v>512</v>
      </c>
      <c r="N1353" s="1" t="s">
        <v>512</v>
      </c>
      <c r="O1353" s="1" t="s">
        <v>512</v>
      </c>
      <c r="Q1353" s="1" t="s">
        <v>512</v>
      </c>
    </row>
    <row r="1354" spans="4:17" x14ac:dyDescent="0.25">
      <c r="D1354" s="1" t="s">
        <v>512</v>
      </c>
      <c r="E1354" s="21" t="s">
        <v>512</v>
      </c>
      <c r="F1354" s="1" t="s">
        <v>512</v>
      </c>
      <c r="G1354" s="1" t="s">
        <v>512</v>
      </c>
      <c r="H1354" s="1" t="s">
        <v>512</v>
      </c>
      <c r="I1354" s="1" t="s">
        <v>512</v>
      </c>
      <c r="J1354" s="1" t="s">
        <v>512</v>
      </c>
      <c r="K1354" s="1" t="s">
        <v>512</v>
      </c>
      <c r="L1354" s="1" t="s">
        <v>512</v>
      </c>
      <c r="M1354" s="1" t="s">
        <v>512</v>
      </c>
      <c r="N1354" s="1" t="s">
        <v>512</v>
      </c>
      <c r="O1354" s="1" t="s">
        <v>512</v>
      </c>
      <c r="Q1354" s="1" t="s">
        <v>512</v>
      </c>
    </row>
    <row r="1355" spans="4:17" x14ac:dyDescent="0.25">
      <c r="D1355" s="1" t="s">
        <v>512</v>
      </c>
      <c r="E1355" s="21" t="s">
        <v>512</v>
      </c>
      <c r="F1355" s="1" t="s">
        <v>512</v>
      </c>
      <c r="G1355" s="1" t="s">
        <v>512</v>
      </c>
      <c r="H1355" s="1" t="s">
        <v>512</v>
      </c>
      <c r="I1355" s="1" t="s">
        <v>512</v>
      </c>
      <c r="J1355" s="1" t="s">
        <v>512</v>
      </c>
      <c r="K1355" s="1" t="s">
        <v>512</v>
      </c>
      <c r="L1355" s="1" t="s">
        <v>512</v>
      </c>
      <c r="M1355" s="1" t="s">
        <v>512</v>
      </c>
      <c r="N1355" s="1" t="s">
        <v>512</v>
      </c>
      <c r="O1355" s="1" t="s">
        <v>512</v>
      </c>
      <c r="Q1355" s="1" t="s">
        <v>512</v>
      </c>
    </row>
    <row r="1356" spans="4:17" x14ac:dyDescent="0.25">
      <c r="D1356" s="1" t="s">
        <v>512</v>
      </c>
      <c r="E1356" s="21" t="s">
        <v>512</v>
      </c>
      <c r="F1356" s="1" t="s">
        <v>512</v>
      </c>
      <c r="G1356" s="1" t="s">
        <v>512</v>
      </c>
      <c r="H1356" s="1" t="s">
        <v>512</v>
      </c>
      <c r="I1356" s="1" t="s">
        <v>512</v>
      </c>
      <c r="J1356" s="1" t="s">
        <v>512</v>
      </c>
      <c r="K1356" s="1" t="s">
        <v>512</v>
      </c>
      <c r="L1356" s="1" t="s">
        <v>512</v>
      </c>
      <c r="M1356" s="1" t="s">
        <v>512</v>
      </c>
      <c r="N1356" s="1" t="s">
        <v>512</v>
      </c>
      <c r="O1356" s="1" t="s">
        <v>512</v>
      </c>
      <c r="Q1356" s="1" t="s">
        <v>512</v>
      </c>
    </row>
    <row r="1357" spans="4:17" x14ac:dyDescent="0.25">
      <c r="D1357" s="1" t="s">
        <v>512</v>
      </c>
      <c r="E1357" s="21" t="s">
        <v>512</v>
      </c>
      <c r="F1357" s="1" t="s">
        <v>512</v>
      </c>
      <c r="G1357" s="1" t="s">
        <v>512</v>
      </c>
      <c r="H1357" s="1" t="s">
        <v>512</v>
      </c>
      <c r="I1357" s="1" t="s">
        <v>512</v>
      </c>
      <c r="J1357" s="1" t="s">
        <v>512</v>
      </c>
      <c r="K1357" s="1" t="s">
        <v>512</v>
      </c>
      <c r="L1357" s="1" t="s">
        <v>512</v>
      </c>
      <c r="M1357" s="1" t="s">
        <v>512</v>
      </c>
      <c r="N1357" s="1" t="s">
        <v>512</v>
      </c>
      <c r="O1357" s="1" t="s">
        <v>512</v>
      </c>
      <c r="Q1357" s="1" t="s">
        <v>512</v>
      </c>
    </row>
    <row r="1358" spans="4:17" x14ac:dyDescent="0.25">
      <c r="D1358" s="1" t="s">
        <v>512</v>
      </c>
      <c r="E1358" s="21" t="s">
        <v>512</v>
      </c>
      <c r="F1358" s="1" t="s">
        <v>512</v>
      </c>
      <c r="G1358" s="1" t="s">
        <v>512</v>
      </c>
      <c r="H1358" s="1" t="s">
        <v>512</v>
      </c>
      <c r="I1358" s="1" t="s">
        <v>512</v>
      </c>
      <c r="J1358" s="1" t="s">
        <v>512</v>
      </c>
      <c r="K1358" s="1" t="s">
        <v>512</v>
      </c>
      <c r="L1358" s="1" t="s">
        <v>512</v>
      </c>
      <c r="M1358" s="1" t="s">
        <v>512</v>
      </c>
      <c r="N1358" s="1" t="s">
        <v>512</v>
      </c>
      <c r="O1358" s="1" t="s">
        <v>512</v>
      </c>
      <c r="Q1358" s="1" t="s">
        <v>512</v>
      </c>
    </row>
    <row r="1359" spans="4:17" x14ac:dyDescent="0.25">
      <c r="D1359" s="1" t="s">
        <v>512</v>
      </c>
      <c r="E1359" s="21" t="s">
        <v>512</v>
      </c>
      <c r="F1359" s="1" t="s">
        <v>512</v>
      </c>
      <c r="G1359" s="1" t="s">
        <v>512</v>
      </c>
      <c r="H1359" s="1" t="s">
        <v>512</v>
      </c>
      <c r="I1359" s="1" t="s">
        <v>512</v>
      </c>
      <c r="J1359" s="1" t="s">
        <v>512</v>
      </c>
      <c r="K1359" s="1" t="s">
        <v>512</v>
      </c>
      <c r="L1359" s="1" t="s">
        <v>512</v>
      </c>
      <c r="M1359" s="1" t="s">
        <v>512</v>
      </c>
      <c r="N1359" s="1" t="s">
        <v>512</v>
      </c>
      <c r="O1359" s="1" t="s">
        <v>512</v>
      </c>
      <c r="Q1359" s="1" t="s">
        <v>512</v>
      </c>
    </row>
    <row r="1360" spans="4:17" x14ac:dyDescent="0.25">
      <c r="D1360" s="1" t="s">
        <v>512</v>
      </c>
      <c r="E1360" s="21" t="s">
        <v>512</v>
      </c>
      <c r="F1360" s="1" t="s">
        <v>512</v>
      </c>
      <c r="G1360" s="1" t="s">
        <v>512</v>
      </c>
      <c r="H1360" s="1" t="s">
        <v>512</v>
      </c>
      <c r="I1360" s="1" t="s">
        <v>512</v>
      </c>
      <c r="J1360" s="1" t="s">
        <v>512</v>
      </c>
      <c r="K1360" s="1" t="s">
        <v>512</v>
      </c>
      <c r="L1360" s="1" t="s">
        <v>512</v>
      </c>
      <c r="M1360" s="1" t="s">
        <v>512</v>
      </c>
      <c r="N1360" s="1" t="s">
        <v>512</v>
      </c>
      <c r="O1360" s="1" t="s">
        <v>512</v>
      </c>
      <c r="Q1360" s="1" t="s">
        <v>512</v>
      </c>
    </row>
    <row r="1361" spans="4:17" x14ac:dyDescent="0.25">
      <c r="D1361" s="1" t="s">
        <v>512</v>
      </c>
      <c r="E1361" s="21" t="s">
        <v>512</v>
      </c>
      <c r="F1361" s="1" t="s">
        <v>512</v>
      </c>
      <c r="G1361" s="1" t="s">
        <v>512</v>
      </c>
      <c r="H1361" s="1" t="s">
        <v>512</v>
      </c>
      <c r="I1361" s="1" t="s">
        <v>512</v>
      </c>
      <c r="J1361" s="1" t="s">
        <v>512</v>
      </c>
      <c r="K1361" s="1" t="s">
        <v>512</v>
      </c>
      <c r="L1361" s="1" t="s">
        <v>512</v>
      </c>
      <c r="M1361" s="1" t="s">
        <v>512</v>
      </c>
      <c r="N1361" s="1" t="s">
        <v>512</v>
      </c>
      <c r="O1361" s="1" t="s">
        <v>512</v>
      </c>
      <c r="Q1361" s="1" t="s">
        <v>512</v>
      </c>
    </row>
    <row r="1362" spans="4:17" x14ac:dyDescent="0.25">
      <c r="D1362" s="1" t="s">
        <v>512</v>
      </c>
      <c r="E1362" s="21" t="s">
        <v>512</v>
      </c>
      <c r="F1362" s="1" t="s">
        <v>512</v>
      </c>
      <c r="G1362" s="1" t="s">
        <v>512</v>
      </c>
      <c r="H1362" s="1" t="s">
        <v>512</v>
      </c>
      <c r="I1362" s="1" t="s">
        <v>512</v>
      </c>
      <c r="J1362" s="1" t="s">
        <v>512</v>
      </c>
      <c r="K1362" s="1" t="s">
        <v>512</v>
      </c>
      <c r="L1362" s="1" t="s">
        <v>512</v>
      </c>
      <c r="M1362" s="1" t="s">
        <v>512</v>
      </c>
      <c r="N1362" s="1" t="s">
        <v>512</v>
      </c>
      <c r="O1362" s="1" t="s">
        <v>512</v>
      </c>
      <c r="Q1362" s="1" t="s">
        <v>512</v>
      </c>
    </row>
    <row r="1363" spans="4:17" x14ac:dyDescent="0.25">
      <c r="D1363" s="1" t="s">
        <v>512</v>
      </c>
      <c r="E1363" s="21" t="s">
        <v>512</v>
      </c>
      <c r="F1363" s="1" t="s">
        <v>512</v>
      </c>
      <c r="G1363" s="1" t="s">
        <v>512</v>
      </c>
      <c r="H1363" s="1" t="s">
        <v>512</v>
      </c>
      <c r="I1363" s="1" t="s">
        <v>512</v>
      </c>
      <c r="J1363" s="1" t="s">
        <v>512</v>
      </c>
      <c r="K1363" s="1" t="s">
        <v>512</v>
      </c>
      <c r="L1363" s="1" t="s">
        <v>512</v>
      </c>
      <c r="M1363" s="1" t="s">
        <v>512</v>
      </c>
      <c r="N1363" s="1" t="s">
        <v>512</v>
      </c>
      <c r="O1363" s="1" t="s">
        <v>512</v>
      </c>
      <c r="Q1363" s="1" t="s">
        <v>512</v>
      </c>
    </row>
    <row r="1364" spans="4:17" x14ac:dyDescent="0.25">
      <c r="D1364" s="1" t="s">
        <v>512</v>
      </c>
      <c r="E1364" s="21" t="s">
        <v>512</v>
      </c>
      <c r="F1364" s="1" t="s">
        <v>512</v>
      </c>
      <c r="G1364" s="1" t="s">
        <v>512</v>
      </c>
      <c r="H1364" s="1" t="s">
        <v>512</v>
      </c>
      <c r="I1364" s="1" t="s">
        <v>512</v>
      </c>
      <c r="J1364" s="1" t="s">
        <v>512</v>
      </c>
      <c r="K1364" s="1" t="s">
        <v>512</v>
      </c>
      <c r="L1364" s="1" t="s">
        <v>512</v>
      </c>
      <c r="M1364" s="1" t="s">
        <v>512</v>
      </c>
      <c r="N1364" s="1" t="s">
        <v>512</v>
      </c>
      <c r="O1364" s="1" t="s">
        <v>512</v>
      </c>
      <c r="Q1364" s="1" t="s">
        <v>512</v>
      </c>
    </row>
    <row r="1365" spans="4:17" x14ac:dyDescent="0.25">
      <c r="D1365" s="1" t="s">
        <v>512</v>
      </c>
      <c r="E1365" s="21" t="s">
        <v>512</v>
      </c>
      <c r="F1365" s="1" t="s">
        <v>512</v>
      </c>
      <c r="G1365" s="1" t="s">
        <v>512</v>
      </c>
      <c r="H1365" s="1" t="s">
        <v>512</v>
      </c>
      <c r="I1365" s="1" t="s">
        <v>512</v>
      </c>
      <c r="J1365" s="1" t="s">
        <v>512</v>
      </c>
      <c r="K1365" s="1" t="s">
        <v>512</v>
      </c>
      <c r="L1365" s="1" t="s">
        <v>512</v>
      </c>
      <c r="M1365" s="1" t="s">
        <v>512</v>
      </c>
      <c r="N1365" s="1" t="s">
        <v>512</v>
      </c>
      <c r="O1365" s="1" t="s">
        <v>512</v>
      </c>
      <c r="Q1365" s="1" t="s">
        <v>512</v>
      </c>
    </row>
    <row r="1366" spans="4:17" x14ac:dyDescent="0.25">
      <c r="D1366" s="1" t="s">
        <v>512</v>
      </c>
      <c r="E1366" s="21" t="s">
        <v>512</v>
      </c>
      <c r="F1366" s="1" t="s">
        <v>512</v>
      </c>
      <c r="G1366" s="1" t="s">
        <v>512</v>
      </c>
      <c r="H1366" s="1" t="s">
        <v>512</v>
      </c>
      <c r="I1366" s="1" t="s">
        <v>512</v>
      </c>
      <c r="J1366" s="1" t="s">
        <v>512</v>
      </c>
      <c r="K1366" s="1" t="s">
        <v>512</v>
      </c>
      <c r="L1366" s="1" t="s">
        <v>512</v>
      </c>
      <c r="M1366" s="1" t="s">
        <v>512</v>
      </c>
      <c r="N1366" s="1" t="s">
        <v>512</v>
      </c>
      <c r="O1366" s="1" t="s">
        <v>512</v>
      </c>
      <c r="Q1366" s="1" t="s">
        <v>512</v>
      </c>
    </row>
    <row r="1367" spans="4:17" x14ac:dyDescent="0.25">
      <c r="D1367" s="1" t="s">
        <v>512</v>
      </c>
      <c r="E1367" s="21" t="s">
        <v>512</v>
      </c>
      <c r="F1367" s="1" t="s">
        <v>512</v>
      </c>
      <c r="G1367" s="1" t="s">
        <v>512</v>
      </c>
      <c r="H1367" s="1" t="s">
        <v>512</v>
      </c>
      <c r="I1367" s="1" t="s">
        <v>512</v>
      </c>
      <c r="J1367" s="1" t="s">
        <v>512</v>
      </c>
      <c r="K1367" s="1" t="s">
        <v>512</v>
      </c>
      <c r="L1367" s="1" t="s">
        <v>512</v>
      </c>
      <c r="M1367" s="1" t="s">
        <v>512</v>
      </c>
      <c r="N1367" s="1" t="s">
        <v>512</v>
      </c>
      <c r="O1367" s="1" t="s">
        <v>512</v>
      </c>
      <c r="Q1367" s="1" t="s">
        <v>512</v>
      </c>
    </row>
    <row r="1368" spans="4:17" x14ac:dyDescent="0.25">
      <c r="D1368" s="1" t="s">
        <v>512</v>
      </c>
      <c r="E1368" s="21" t="s">
        <v>512</v>
      </c>
      <c r="F1368" s="1" t="s">
        <v>512</v>
      </c>
      <c r="G1368" s="1" t="s">
        <v>512</v>
      </c>
      <c r="H1368" s="1" t="s">
        <v>512</v>
      </c>
      <c r="I1368" s="1" t="s">
        <v>512</v>
      </c>
      <c r="J1368" s="1" t="s">
        <v>512</v>
      </c>
      <c r="K1368" s="1" t="s">
        <v>512</v>
      </c>
      <c r="L1368" s="1" t="s">
        <v>512</v>
      </c>
      <c r="M1368" s="1" t="s">
        <v>512</v>
      </c>
      <c r="N1368" s="1" t="s">
        <v>512</v>
      </c>
      <c r="O1368" s="1" t="s">
        <v>512</v>
      </c>
      <c r="Q1368" s="1" t="s">
        <v>512</v>
      </c>
    </row>
    <row r="1369" spans="4:17" x14ac:dyDescent="0.25">
      <c r="D1369" s="1" t="s">
        <v>512</v>
      </c>
      <c r="E1369" s="21" t="s">
        <v>512</v>
      </c>
      <c r="F1369" s="1" t="s">
        <v>512</v>
      </c>
      <c r="G1369" s="1" t="s">
        <v>512</v>
      </c>
      <c r="H1369" s="1" t="s">
        <v>512</v>
      </c>
      <c r="I1369" s="1" t="s">
        <v>512</v>
      </c>
      <c r="J1369" s="1" t="s">
        <v>512</v>
      </c>
      <c r="K1369" s="1" t="s">
        <v>512</v>
      </c>
      <c r="L1369" s="1" t="s">
        <v>512</v>
      </c>
      <c r="M1369" s="1" t="s">
        <v>512</v>
      </c>
      <c r="N1369" s="1" t="s">
        <v>512</v>
      </c>
      <c r="O1369" s="1" t="s">
        <v>512</v>
      </c>
      <c r="Q1369" s="1" t="s">
        <v>512</v>
      </c>
    </row>
    <row r="1370" spans="4:17" x14ac:dyDescent="0.25">
      <c r="D1370" s="1" t="s">
        <v>512</v>
      </c>
      <c r="E1370" s="21" t="s">
        <v>512</v>
      </c>
      <c r="F1370" s="1" t="s">
        <v>512</v>
      </c>
      <c r="G1370" s="1" t="s">
        <v>512</v>
      </c>
      <c r="H1370" s="1" t="s">
        <v>512</v>
      </c>
      <c r="I1370" s="1" t="s">
        <v>512</v>
      </c>
      <c r="J1370" s="1" t="s">
        <v>512</v>
      </c>
      <c r="K1370" s="1" t="s">
        <v>512</v>
      </c>
      <c r="L1370" s="1" t="s">
        <v>512</v>
      </c>
      <c r="M1370" s="1" t="s">
        <v>512</v>
      </c>
      <c r="N1370" s="1" t="s">
        <v>512</v>
      </c>
      <c r="O1370" s="1" t="s">
        <v>512</v>
      </c>
      <c r="Q1370" s="1" t="s">
        <v>512</v>
      </c>
    </row>
    <row r="1371" spans="4:17" x14ac:dyDescent="0.25">
      <c r="D1371" s="1" t="s">
        <v>512</v>
      </c>
      <c r="E1371" s="21" t="s">
        <v>512</v>
      </c>
      <c r="F1371" s="1" t="s">
        <v>512</v>
      </c>
      <c r="G1371" s="1" t="s">
        <v>512</v>
      </c>
      <c r="H1371" s="1" t="s">
        <v>512</v>
      </c>
      <c r="I1371" s="1" t="s">
        <v>512</v>
      </c>
      <c r="J1371" s="1" t="s">
        <v>512</v>
      </c>
      <c r="K1371" s="1" t="s">
        <v>512</v>
      </c>
      <c r="L1371" s="1" t="s">
        <v>512</v>
      </c>
      <c r="M1371" s="1" t="s">
        <v>512</v>
      </c>
      <c r="N1371" s="1" t="s">
        <v>512</v>
      </c>
      <c r="O1371" s="1" t="s">
        <v>512</v>
      </c>
      <c r="Q1371" s="1" t="s">
        <v>512</v>
      </c>
    </row>
    <row r="1372" spans="4:17" x14ac:dyDescent="0.25">
      <c r="D1372" s="1" t="s">
        <v>512</v>
      </c>
      <c r="E1372" s="21" t="s">
        <v>512</v>
      </c>
      <c r="F1372" s="1" t="s">
        <v>512</v>
      </c>
      <c r="G1372" s="1" t="s">
        <v>512</v>
      </c>
      <c r="H1372" s="1" t="s">
        <v>512</v>
      </c>
      <c r="I1372" s="1" t="s">
        <v>512</v>
      </c>
      <c r="J1372" s="1" t="s">
        <v>512</v>
      </c>
      <c r="K1372" s="1" t="s">
        <v>512</v>
      </c>
      <c r="L1372" s="1" t="s">
        <v>512</v>
      </c>
      <c r="M1372" s="1" t="s">
        <v>512</v>
      </c>
      <c r="N1372" s="1" t="s">
        <v>512</v>
      </c>
      <c r="O1372" s="1" t="s">
        <v>512</v>
      </c>
      <c r="Q1372" s="1" t="s">
        <v>512</v>
      </c>
    </row>
    <row r="1373" spans="4:17" x14ac:dyDescent="0.25">
      <c r="D1373" s="1" t="s">
        <v>512</v>
      </c>
      <c r="E1373" s="21" t="s">
        <v>512</v>
      </c>
      <c r="F1373" s="1" t="s">
        <v>512</v>
      </c>
      <c r="G1373" s="1" t="s">
        <v>512</v>
      </c>
      <c r="H1373" s="1" t="s">
        <v>512</v>
      </c>
      <c r="I1373" s="1" t="s">
        <v>512</v>
      </c>
      <c r="J1373" s="1" t="s">
        <v>512</v>
      </c>
      <c r="K1373" s="1" t="s">
        <v>512</v>
      </c>
      <c r="L1373" s="1" t="s">
        <v>512</v>
      </c>
      <c r="M1373" s="1" t="s">
        <v>512</v>
      </c>
      <c r="N1373" s="1" t="s">
        <v>512</v>
      </c>
      <c r="O1373" s="1" t="s">
        <v>512</v>
      </c>
      <c r="Q1373" s="1" t="s">
        <v>512</v>
      </c>
    </row>
    <row r="1374" spans="4:17" x14ac:dyDescent="0.25">
      <c r="D1374" s="1" t="s">
        <v>512</v>
      </c>
      <c r="E1374" s="21" t="s">
        <v>512</v>
      </c>
      <c r="F1374" s="1" t="s">
        <v>512</v>
      </c>
      <c r="G1374" s="1" t="s">
        <v>512</v>
      </c>
      <c r="H1374" s="1" t="s">
        <v>512</v>
      </c>
      <c r="I1374" s="1" t="s">
        <v>512</v>
      </c>
      <c r="J1374" s="1" t="s">
        <v>512</v>
      </c>
      <c r="K1374" s="1" t="s">
        <v>512</v>
      </c>
      <c r="L1374" s="1" t="s">
        <v>512</v>
      </c>
      <c r="M1374" s="1" t="s">
        <v>512</v>
      </c>
      <c r="N1374" s="1" t="s">
        <v>512</v>
      </c>
      <c r="O1374" s="1" t="s">
        <v>512</v>
      </c>
      <c r="Q1374" s="1" t="s">
        <v>512</v>
      </c>
    </row>
    <row r="1375" spans="4:17" x14ac:dyDescent="0.25">
      <c r="D1375" s="1" t="s">
        <v>512</v>
      </c>
      <c r="E1375" s="21" t="s">
        <v>512</v>
      </c>
      <c r="F1375" s="1" t="s">
        <v>512</v>
      </c>
      <c r="G1375" s="1" t="s">
        <v>512</v>
      </c>
      <c r="H1375" s="1" t="s">
        <v>512</v>
      </c>
      <c r="I1375" s="1" t="s">
        <v>512</v>
      </c>
      <c r="J1375" s="1" t="s">
        <v>512</v>
      </c>
      <c r="K1375" s="1" t="s">
        <v>512</v>
      </c>
      <c r="L1375" s="1" t="s">
        <v>512</v>
      </c>
      <c r="M1375" s="1" t="s">
        <v>512</v>
      </c>
      <c r="N1375" s="1" t="s">
        <v>512</v>
      </c>
      <c r="O1375" s="1" t="s">
        <v>512</v>
      </c>
      <c r="Q1375" s="1" t="s">
        <v>512</v>
      </c>
    </row>
    <row r="1376" spans="4:17" x14ac:dyDescent="0.25">
      <c r="D1376" s="1" t="s">
        <v>512</v>
      </c>
      <c r="E1376" s="21" t="s">
        <v>512</v>
      </c>
      <c r="F1376" s="1" t="s">
        <v>512</v>
      </c>
      <c r="G1376" s="1" t="s">
        <v>512</v>
      </c>
      <c r="H1376" s="1" t="s">
        <v>512</v>
      </c>
      <c r="I1376" s="1" t="s">
        <v>512</v>
      </c>
      <c r="J1376" s="1" t="s">
        <v>512</v>
      </c>
      <c r="K1376" s="1" t="s">
        <v>512</v>
      </c>
      <c r="L1376" s="1" t="s">
        <v>512</v>
      </c>
      <c r="M1376" s="1" t="s">
        <v>512</v>
      </c>
      <c r="N1376" s="1" t="s">
        <v>512</v>
      </c>
      <c r="O1376" s="1" t="s">
        <v>512</v>
      </c>
      <c r="Q1376" s="1" t="s">
        <v>512</v>
      </c>
    </row>
    <row r="1377" spans="4:17" x14ac:dyDescent="0.25">
      <c r="D1377" s="1" t="s">
        <v>512</v>
      </c>
      <c r="E1377" s="21" t="s">
        <v>512</v>
      </c>
      <c r="F1377" s="1" t="s">
        <v>512</v>
      </c>
      <c r="G1377" s="1" t="s">
        <v>512</v>
      </c>
      <c r="H1377" s="1" t="s">
        <v>512</v>
      </c>
      <c r="I1377" s="1" t="s">
        <v>512</v>
      </c>
      <c r="J1377" s="1" t="s">
        <v>512</v>
      </c>
      <c r="K1377" s="1" t="s">
        <v>512</v>
      </c>
      <c r="L1377" s="1" t="s">
        <v>512</v>
      </c>
      <c r="M1377" s="1" t="s">
        <v>512</v>
      </c>
      <c r="N1377" s="1" t="s">
        <v>512</v>
      </c>
      <c r="O1377" s="1" t="s">
        <v>512</v>
      </c>
      <c r="Q1377" s="1" t="s">
        <v>512</v>
      </c>
    </row>
    <row r="1378" spans="4:17" x14ac:dyDescent="0.25">
      <c r="D1378" s="1" t="s">
        <v>512</v>
      </c>
      <c r="E1378" s="21" t="s">
        <v>512</v>
      </c>
      <c r="F1378" s="1" t="s">
        <v>512</v>
      </c>
      <c r="G1378" s="1" t="s">
        <v>512</v>
      </c>
      <c r="H1378" s="1" t="s">
        <v>512</v>
      </c>
      <c r="I1378" s="1" t="s">
        <v>512</v>
      </c>
      <c r="J1378" s="1" t="s">
        <v>512</v>
      </c>
      <c r="K1378" s="1" t="s">
        <v>512</v>
      </c>
      <c r="L1378" s="1" t="s">
        <v>512</v>
      </c>
      <c r="M1378" s="1" t="s">
        <v>512</v>
      </c>
      <c r="N1378" s="1" t="s">
        <v>512</v>
      </c>
      <c r="O1378" s="1" t="s">
        <v>512</v>
      </c>
      <c r="Q1378" s="1" t="s">
        <v>512</v>
      </c>
    </row>
    <row r="1379" spans="4:17" x14ac:dyDescent="0.25">
      <c r="D1379" s="1" t="s">
        <v>512</v>
      </c>
      <c r="E1379" s="21" t="s">
        <v>512</v>
      </c>
      <c r="F1379" s="1" t="s">
        <v>512</v>
      </c>
      <c r="G1379" s="1" t="s">
        <v>512</v>
      </c>
      <c r="H1379" s="1" t="s">
        <v>512</v>
      </c>
      <c r="I1379" s="1" t="s">
        <v>512</v>
      </c>
      <c r="J1379" s="1" t="s">
        <v>512</v>
      </c>
      <c r="K1379" s="1" t="s">
        <v>512</v>
      </c>
      <c r="L1379" s="1" t="s">
        <v>512</v>
      </c>
      <c r="M1379" s="1" t="s">
        <v>512</v>
      </c>
      <c r="N1379" s="1" t="s">
        <v>512</v>
      </c>
      <c r="O1379" s="1" t="s">
        <v>512</v>
      </c>
      <c r="Q1379" s="1" t="s">
        <v>512</v>
      </c>
    </row>
    <row r="1380" spans="4:17" x14ac:dyDescent="0.25">
      <c r="D1380" s="1" t="s">
        <v>512</v>
      </c>
      <c r="E1380" s="21" t="s">
        <v>512</v>
      </c>
      <c r="F1380" s="1" t="s">
        <v>512</v>
      </c>
      <c r="G1380" s="1" t="s">
        <v>512</v>
      </c>
      <c r="H1380" s="1" t="s">
        <v>512</v>
      </c>
      <c r="I1380" s="1" t="s">
        <v>512</v>
      </c>
      <c r="J1380" s="1" t="s">
        <v>512</v>
      </c>
      <c r="K1380" s="1" t="s">
        <v>512</v>
      </c>
      <c r="L1380" s="1" t="s">
        <v>512</v>
      </c>
      <c r="M1380" s="1" t="s">
        <v>512</v>
      </c>
      <c r="N1380" s="1" t="s">
        <v>512</v>
      </c>
      <c r="O1380" s="1" t="s">
        <v>512</v>
      </c>
      <c r="Q1380" s="1" t="s">
        <v>512</v>
      </c>
    </row>
    <row r="1381" spans="4:17" x14ac:dyDescent="0.25">
      <c r="D1381" s="1" t="s">
        <v>512</v>
      </c>
      <c r="E1381" s="21" t="s">
        <v>512</v>
      </c>
      <c r="F1381" s="1" t="s">
        <v>512</v>
      </c>
      <c r="G1381" s="1" t="s">
        <v>512</v>
      </c>
      <c r="H1381" s="1" t="s">
        <v>512</v>
      </c>
      <c r="I1381" s="1" t="s">
        <v>512</v>
      </c>
      <c r="J1381" s="1" t="s">
        <v>512</v>
      </c>
      <c r="K1381" s="1" t="s">
        <v>512</v>
      </c>
      <c r="L1381" s="1" t="s">
        <v>512</v>
      </c>
      <c r="M1381" s="1" t="s">
        <v>512</v>
      </c>
      <c r="N1381" s="1" t="s">
        <v>512</v>
      </c>
      <c r="O1381" s="1" t="s">
        <v>512</v>
      </c>
      <c r="Q1381" s="1" t="s">
        <v>512</v>
      </c>
    </row>
    <row r="1382" spans="4:17" x14ac:dyDescent="0.25">
      <c r="D1382" s="1" t="s">
        <v>512</v>
      </c>
      <c r="E1382" s="21" t="s">
        <v>512</v>
      </c>
      <c r="F1382" s="1" t="s">
        <v>512</v>
      </c>
      <c r="G1382" s="1" t="s">
        <v>512</v>
      </c>
      <c r="H1382" s="1" t="s">
        <v>512</v>
      </c>
      <c r="I1382" s="1" t="s">
        <v>512</v>
      </c>
      <c r="J1382" s="1" t="s">
        <v>512</v>
      </c>
      <c r="K1382" s="1" t="s">
        <v>512</v>
      </c>
      <c r="L1382" s="1" t="s">
        <v>512</v>
      </c>
      <c r="M1382" s="1" t="s">
        <v>512</v>
      </c>
      <c r="N1382" s="1" t="s">
        <v>512</v>
      </c>
      <c r="O1382" s="1" t="s">
        <v>512</v>
      </c>
      <c r="Q1382" s="1" t="s">
        <v>512</v>
      </c>
    </row>
    <row r="1383" spans="4:17" x14ac:dyDescent="0.25">
      <c r="D1383" s="1" t="s">
        <v>512</v>
      </c>
      <c r="E1383" s="21" t="s">
        <v>512</v>
      </c>
      <c r="F1383" s="1" t="s">
        <v>512</v>
      </c>
      <c r="G1383" s="1" t="s">
        <v>512</v>
      </c>
      <c r="H1383" s="1" t="s">
        <v>512</v>
      </c>
      <c r="I1383" s="1" t="s">
        <v>512</v>
      </c>
      <c r="J1383" s="1" t="s">
        <v>512</v>
      </c>
      <c r="K1383" s="1" t="s">
        <v>512</v>
      </c>
      <c r="L1383" s="1" t="s">
        <v>512</v>
      </c>
      <c r="M1383" s="1" t="s">
        <v>512</v>
      </c>
      <c r="N1383" s="1" t="s">
        <v>512</v>
      </c>
      <c r="O1383" s="1" t="s">
        <v>512</v>
      </c>
      <c r="Q1383" s="1" t="s">
        <v>512</v>
      </c>
    </row>
    <row r="1384" spans="4:17" x14ac:dyDescent="0.25">
      <c r="D1384" s="1" t="s">
        <v>512</v>
      </c>
      <c r="E1384" s="21" t="s">
        <v>512</v>
      </c>
      <c r="F1384" s="1" t="s">
        <v>512</v>
      </c>
      <c r="G1384" s="1" t="s">
        <v>512</v>
      </c>
      <c r="H1384" s="1" t="s">
        <v>512</v>
      </c>
      <c r="I1384" s="1" t="s">
        <v>512</v>
      </c>
      <c r="J1384" s="1" t="s">
        <v>512</v>
      </c>
      <c r="K1384" s="1" t="s">
        <v>512</v>
      </c>
      <c r="L1384" s="1" t="s">
        <v>512</v>
      </c>
      <c r="M1384" s="1" t="s">
        <v>512</v>
      </c>
      <c r="N1384" s="1" t="s">
        <v>512</v>
      </c>
      <c r="O1384" s="1" t="s">
        <v>512</v>
      </c>
      <c r="Q1384" s="1" t="s">
        <v>512</v>
      </c>
    </row>
    <row r="1385" spans="4:17" x14ac:dyDescent="0.25">
      <c r="D1385" s="1" t="s">
        <v>512</v>
      </c>
      <c r="E1385" s="21" t="s">
        <v>512</v>
      </c>
      <c r="F1385" s="1" t="s">
        <v>512</v>
      </c>
      <c r="G1385" s="1" t="s">
        <v>512</v>
      </c>
      <c r="H1385" s="1" t="s">
        <v>512</v>
      </c>
      <c r="I1385" s="1" t="s">
        <v>512</v>
      </c>
      <c r="J1385" s="1" t="s">
        <v>512</v>
      </c>
      <c r="K1385" s="1" t="s">
        <v>512</v>
      </c>
      <c r="L1385" s="1" t="s">
        <v>512</v>
      </c>
      <c r="M1385" s="1" t="s">
        <v>512</v>
      </c>
      <c r="N1385" s="1" t="s">
        <v>512</v>
      </c>
      <c r="O1385" s="1" t="s">
        <v>512</v>
      </c>
      <c r="Q1385" s="1" t="s">
        <v>512</v>
      </c>
    </row>
    <row r="1386" spans="4:17" x14ac:dyDescent="0.25">
      <c r="D1386" s="1" t="s">
        <v>512</v>
      </c>
      <c r="E1386" s="21" t="s">
        <v>512</v>
      </c>
      <c r="F1386" s="1" t="s">
        <v>512</v>
      </c>
      <c r="G1386" s="1" t="s">
        <v>512</v>
      </c>
      <c r="H1386" s="1" t="s">
        <v>512</v>
      </c>
      <c r="I1386" s="1" t="s">
        <v>512</v>
      </c>
      <c r="J1386" s="1" t="s">
        <v>512</v>
      </c>
      <c r="K1386" s="1" t="s">
        <v>512</v>
      </c>
      <c r="L1386" s="1" t="s">
        <v>512</v>
      </c>
      <c r="M1386" s="1" t="s">
        <v>512</v>
      </c>
      <c r="N1386" s="1" t="s">
        <v>512</v>
      </c>
      <c r="O1386" s="1" t="s">
        <v>512</v>
      </c>
      <c r="Q1386" s="1" t="s">
        <v>512</v>
      </c>
    </row>
    <row r="1387" spans="4:17" x14ac:dyDescent="0.25">
      <c r="D1387" s="1" t="s">
        <v>512</v>
      </c>
      <c r="E1387" s="21" t="s">
        <v>512</v>
      </c>
      <c r="F1387" s="1" t="s">
        <v>512</v>
      </c>
      <c r="G1387" s="1" t="s">
        <v>512</v>
      </c>
      <c r="H1387" s="1" t="s">
        <v>512</v>
      </c>
      <c r="I1387" s="1" t="s">
        <v>512</v>
      </c>
      <c r="J1387" s="1" t="s">
        <v>512</v>
      </c>
      <c r="K1387" s="1" t="s">
        <v>512</v>
      </c>
      <c r="L1387" s="1" t="s">
        <v>512</v>
      </c>
      <c r="M1387" s="1" t="s">
        <v>512</v>
      </c>
      <c r="N1387" s="1" t="s">
        <v>512</v>
      </c>
      <c r="O1387" s="1" t="s">
        <v>512</v>
      </c>
      <c r="Q1387" s="1" t="s">
        <v>512</v>
      </c>
    </row>
    <row r="1388" spans="4:17" x14ac:dyDescent="0.25">
      <c r="D1388" s="1" t="s">
        <v>512</v>
      </c>
      <c r="E1388" s="21" t="s">
        <v>512</v>
      </c>
      <c r="F1388" s="1" t="s">
        <v>512</v>
      </c>
      <c r="G1388" s="1" t="s">
        <v>512</v>
      </c>
      <c r="H1388" s="1" t="s">
        <v>512</v>
      </c>
      <c r="I1388" s="1" t="s">
        <v>512</v>
      </c>
      <c r="J1388" s="1" t="s">
        <v>512</v>
      </c>
      <c r="K1388" s="1" t="s">
        <v>512</v>
      </c>
      <c r="L1388" s="1" t="s">
        <v>512</v>
      </c>
      <c r="M1388" s="1" t="s">
        <v>512</v>
      </c>
      <c r="N1388" s="1" t="s">
        <v>512</v>
      </c>
      <c r="O1388" s="1" t="s">
        <v>512</v>
      </c>
      <c r="Q1388" s="1" t="s">
        <v>512</v>
      </c>
    </row>
    <row r="1389" spans="4:17" x14ac:dyDescent="0.25">
      <c r="D1389" s="1" t="s">
        <v>512</v>
      </c>
      <c r="E1389" s="21" t="s">
        <v>512</v>
      </c>
      <c r="F1389" s="1" t="s">
        <v>512</v>
      </c>
      <c r="G1389" s="1" t="s">
        <v>512</v>
      </c>
      <c r="H1389" s="1" t="s">
        <v>512</v>
      </c>
      <c r="I1389" s="1" t="s">
        <v>512</v>
      </c>
      <c r="J1389" s="1" t="s">
        <v>512</v>
      </c>
      <c r="K1389" s="1" t="s">
        <v>512</v>
      </c>
      <c r="L1389" s="1" t="s">
        <v>512</v>
      </c>
      <c r="M1389" s="1" t="s">
        <v>512</v>
      </c>
      <c r="N1389" s="1" t="s">
        <v>512</v>
      </c>
      <c r="O1389" s="1" t="s">
        <v>512</v>
      </c>
      <c r="Q1389" s="1" t="s">
        <v>512</v>
      </c>
    </row>
    <row r="1390" spans="4:17" x14ac:dyDescent="0.25">
      <c r="D1390" s="1" t="s">
        <v>512</v>
      </c>
      <c r="E1390" s="21" t="s">
        <v>512</v>
      </c>
      <c r="F1390" s="1" t="s">
        <v>512</v>
      </c>
      <c r="G1390" s="1" t="s">
        <v>512</v>
      </c>
      <c r="H1390" s="1" t="s">
        <v>512</v>
      </c>
      <c r="I1390" s="1" t="s">
        <v>512</v>
      </c>
      <c r="J1390" s="1" t="s">
        <v>512</v>
      </c>
      <c r="K1390" s="1" t="s">
        <v>512</v>
      </c>
      <c r="L1390" s="1" t="s">
        <v>512</v>
      </c>
      <c r="M1390" s="1" t="s">
        <v>512</v>
      </c>
      <c r="N1390" s="1" t="s">
        <v>512</v>
      </c>
      <c r="O1390" s="1" t="s">
        <v>512</v>
      </c>
      <c r="Q1390" s="1" t="s">
        <v>512</v>
      </c>
    </row>
    <row r="1391" spans="4:17" x14ac:dyDescent="0.25">
      <c r="D1391" s="1" t="s">
        <v>512</v>
      </c>
      <c r="E1391" s="21" t="s">
        <v>512</v>
      </c>
      <c r="F1391" s="1" t="s">
        <v>512</v>
      </c>
      <c r="G1391" s="1" t="s">
        <v>512</v>
      </c>
      <c r="H1391" s="1" t="s">
        <v>512</v>
      </c>
      <c r="I1391" s="1" t="s">
        <v>512</v>
      </c>
      <c r="J1391" s="1" t="s">
        <v>512</v>
      </c>
      <c r="K1391" s="1" t="s">
        <v>512</v>
      </c>
      <c r="L1391" s="1" t="s">
        <v>512</v>
      </c>
      <c r="M1391" s="1" t="s">
        <v>512</v>
      </c>
      <c r="N1391" s="1" t="s">
        <v>512</v>
      </c>
      <c r="O1391" s="1" t="s">
        <v>512</v>
      </c>
      <c r="Q1391" s="1" t="s">
        <v>512</v>
      </c>
    </row>
    <row r="1392" spans="4:17" x14ac:dyDescent="0.25">
      <c r="D1392" s="1" t="s">
        <v>512</v>
      </c>
      <c r="E1392" s="21" t="s">
        <v>512</v>
      </c>
      <c r="F1392" s="1" t="s">
        <v>512</v>
      </c>
      <c r="G1392" s="1" t="s">
        <v>512</v>
      </c>
      <c r="H1392" s="1" t="s">
        <v>512</v>
      </c>
      <c r="I1392" s="1" t="s">
        <v>512</v>
      </c>
      <c r="J1392" s="1" t="s">
        <v>512</v>
      </c>
      <c r="K1392" s="1" t="s">
        <v>512</v>
      </c>
      <c r="L1392" s="1" t="s">
        <v>512</v>
      </c>
      <c r="M1392" s="1" t="s">
        <v>512</v>
      </c>
      <c r="N1392" s="1" t="s">
        <v>512</v>
      </c>
      <c r="O1392" s="1" t="s">
        <v>512</v>
      </c>
      <c r="Q1392" s="1" t="s">
        <v>512</v>
      </c>
    </row>
    <row r="1393" spans="4:17" x14ac:dyDescent="0.25">
      <c r="D1393" s="1" t="s">
        <v>512</v>
      </c>
      <c r="E1393" s="21" t="s">
        <v>512</v>
      </c>
      <c r="F1393" s="1" t="s">
        <v>512</v>
      </c>
      <c r="G1393" s="1" t="s">
        <v>512</v>
      </c>
      <c r="H1393" s="1" t="s">
        <v>512</v>
      </c>
      <c r="I1393" s="1" t="s">
        <v>512</v>
      </c>
      <c r="J1393" s="1" t="s">
        <v>512</v>
      </c>
      <c r="K1393" s="1" t="s">
        <v>512</v>
      </c>
      <c r="L1393" s="1" t="s">
        <v>512</v>
      </c>
      <c r="M1393" s="1" t="s">
        <v>512</v>
      </c>
      <c r="N1393" s="1" t="s">
        <v>512</v>
      </c>
      <c r="O1393" s="1" t="s">
        <v>512</v>
      </c>
      <c r="Q1393" s="1" t="s">
        <v>512</v>
      </c>
    </row>
    <row r="1394" spans="4:17" x14ac:dyDescent="0.25">
      <c r="D1394" s="1" t="s">
        <v>512</v>
      </c>
      <c r="E1394" s="21" t="s">
        <v>512</v>
      </c>
      <c r="F1394" s="1" t="s">
        <v>512</v>
      </c>
      <c r="G1394" s="1" t="s">
        <v>512</v>
      </c>
      <c r="H1394" s="1" t="s">
        <v>512</v>
      </c>
      <c r="I1394" s="1" t="s">
        <v>512</v>
      </c>
      <c r="J1394" s="1" t="s">
        <v>512</v>
      </c>
      <c r="K1394" s="1" t="s">
        <v>512</v>
      </c>
      <c r="L1394" s="1" t="s">
        <v>512</v>
      </c>
      <c r="M1394" s="1" t="s">
        <v>512</v>
      </c>
      <c r="N1394" s="1" t="s">
        <v>512</v>
      </c>
      <c r="O1394" s="1" t="s">
        <v>512</v>
      </c>
      <c r="Q1394" s="1" t="s">
        <v>512</v>
      </c>
    </row>
    <row r="1395" spans="4:17" x14ac:dyDescent="0.25">
      <c r="D1395" s="1" t="s">
        <v>512</v>
      </c>
      <c r="E1395" s="21" t="s">
        <v>512</v>
      </c>
      <c r="F1395" s="1" t="s">
        <v>512</v>
      </c>
      <c r="G1395" s="1" t="s">
        <v>512</v>
      </c>
      <c r="H1395" s="1" t="s">
        <v>512</v>
      </c>
      <c r="I1395" s="1" t="s">
        <v>512</v>
      </c>
      <c r="J1395" s="1" t="s">
        <v>512</v>
      </c>
      <c r="K1395" s="1" t="s">
        <v>512</v>
      </c>
      <c r="L1395" s="1" t="s">
        <v>512</v>
      </c>
      <c r="M1395" s="1" t="s">
        <v>512</v>
      </c>
      <c r="N1395" s="1" t="s">
        <v>512</v>
      </c>
      <c r="O1395" s="1" t="s">
        <v>512</v>
      </c>
      <c r="Q1395" s="1" t="s">
        <v>512</v>
      </c>
    </row>
    <row r="1396" spans="4:17" x14ac:dyDescent="0.25">
      <c r="D1396" s="1" t="s">
        <v>512</v>
      </c>
      <c r="E1396" s="21" t="s">
        <v>512</v>
      </c>
      <c r="F1396" s="1" t="s">
        <v>512</v>
      </c>
      <c r="G1396" s="1" t="s">
        <v>512</v>
      </c>
      <c r="H1396" s="1" t="s">
        <v>512</v>
      </c>
      <c r="I1396" s="1" t="s">
        <v>512</v>
      </c>
      <c r="J1396" s="1" t="s">
        <v>512</v>
      </c>
      <c r="K1396" s="1" t="s">
        <v>512</v>
      </c>
      <c r="L1396" s="1" t="s">
        <v>512</v>
      </c>
      <c r="M1396" s="1" t="s">
        <v>512</v>
      </c>
      <c r="N1396" s="1" t="s">
        <v>512</v>
      </c>
      <c r="O1396" s="1" t="s">
        <v>512</v>
      </c>
      <c r="Q1396" s="1" t="s">
        <v>512</v>
      </c>
    </row>
    <row r="1397" spans="4:17" x14ac:dyDescent="0.25">
      <c r="D1397" s="1" t="s">
        <v>512</v>
      </c>
      <c r="E1397" s="21" t="s">
        <v>512</v>
      </c>
      <c r="F1397" s="1" t="s">
        <v>512</v>
      </c>
      <c r="G1397" s="1" t="s">
        <v>512</v>
      </c>
      <c r="H1397" s="1" t="s">
        <v>512</v>
      </c>
      <c r="I1397" s="1" t="s">
        <v>512</v>
      </c>
      <c r="J1397" s="1" t="s">
        <v>512</v>
      </c>
      <c r="K1397" s="1" t="s">
        <v>512</v>
      </c>
      <c r="L1397" s="1" t="s">
        <v>512</v>
      </c>
      <c r="M1397" s="1" t="s">
        <v>512</v>
      </c>
      <c r="N1397" s="1" t="s">
        <v>512</v>
      </c>
      <c r="O1397" s="1" t="s">
        <v>512</v>
      </c>
      <c r="Q1397" s="1" t="s">
        <v>512</v>
      </c>
    </row>
    <row r="1398" spans="4:17" x14ac:dyDescent="0.25">
      <c r="D1398" s="1" t="s">
        <v>512</v>
      </c>
      <c r="E1398" s="21" t="s">
        <v>512</v>
      </c>
      <c r="F1398" s="1" t="s">
        <v>512</v>
      </c>
      <c r="G1398" s="1" t="s">
        <v>512</v>
      </c>
      <c r="H1398" s="1" t="s">
        <v>512</v>
      </c>
      <c r="I1398" s="1" t="s">
        <v>512</v>
      </c>
      <c r="J1398" s="1" t="s">
        <v>512</v>
      </c>
      <c r="K1398" s="1" t="s">
        <v>512</v>
      </c>
      <c r="L1398" s="1" t="s">
        <v>512</v>
      </c>
      <c r="M1398" s="1" t="s">
        <v>512</v>
      </c>
      <c r="N1398" s="1" t="s">
        <v>512</v>
      </c>
      <c r="O1398" s="1" t="s">
        <v>512</v>
      </c>
      <c r="Q1398" s="1" t="s">
        <v>512</v>
      </c>
    </row>
    <row r="1399" spans="4:17" x14ac:dyDescent="0.25">
      <c r="D1399" s="1" t="s">
        <v>512</v>
      </c>
      <c r="E1399" s="21" t="s">
        <v>512</v>
      </c>
      <c r="F1399" s="1" t="s">
        <v>512</v>
      </c>
      <c r="G1399" s="1" t="s">
        <v>512</v>
      </c>
      <c r="H1399" s="1" t="s">
        <v>512</v>
      </c>
      <c r="I1399" s="1" t="s">
        <v>512</v>
      </c>
      <c r="J1399" s="1" t="s">
        <v>512</v>
      </c>
      <c r="K1399" s="1" t="s">
        <v>512</v>
      </c>
      <c r="L1399" s="1" t="s">
        <v>512</v>
      </c>
      <c r="M1399" s="1" t="s">
        <v>512</v>
      </c>
      <c r="N1399" s="1" t="s">
        <v>512</v>
      </c>
      <c r="O1399" s="1" t="s">
        <v>512</v>
      </c>
      <c r="Q1399" s="1" t="s">
        <v>512</v>
      </c>
    </row>
    <row r="1400" spans="4:17" x14ac:dyDescent="0.25">
      <c r="D1400" s="1" t="s">
        <v>512</v>
      </c>
      <c r="E1400" s="21" t="s">
        <v>512</v>
      </c>
      <c r="F1400" s="1" t="s">
        <v>512</v>
      </c>
      <c r="G1400" s="1" t="s">
        <v>512</v>
      </c>
      <c r="H1400" s="1" t="s">
        <v>512</v>
      </c>
      <c r="I1400" s="1" t="s">
        <v>512</v>
      </c>
      <c r="J1400" s="1" t="s">
        <v>512</v>
      </c>
      <c r="K1400" s="1" t="s">
        <v>512</v>
      </c>
      <c r="L1400" s="1" t="s">
        <v>512</v>
      </c>
      <c r="M1400" s="1" t="s">
        <v>512</v>
      </c>
      <c r="N1400" s="1" t="s">
        <v>512</v>
      </c>
      <c r="O1400" s="1" t="s">
        <v>512</v>
      </c>
      <c r="Q1400" s="1" t="s">
        <v>512</v>
      </c>
    </row>
    <row r="1401" spans="4:17" x14ac:dyDescent="0.25">
      <c r="D1401" s="1" t="s">
        <v>512</v>
      </c>
      <c r="E1401" s="21" t="s">
        <v>512</v>
      </c>
      <c r="F1401" s="1" t="s">
        <v>512</v>
      </c>
      <c r="G1401" s="1" t="s">
        <v>512</v>
      </c>
      <c r="H1401" s="1" t="s">
        <v>512</v>
      </c>
      <c r="I1401" s="1" t="s">
        <v>512</v>
      </c>
      <c r="J1401" s="1" t="s">
        <v>512</v>
      </c>
      <c r="K1401" s="1" t="s">
        <v>512</v>
      </c>
      <c r="L1401" s="1" t="s">
        <v>512</v>
      </c>
      <c r="M1401" s="1" t="s">
        <v>512</v>
      </c>
      <c r="N1401" s="1" t="s">
        <v>512</v>
      </c>
      <c r="O1401" s="1" t="s">
        <v>512</v>
      </c>
      <c r="Q1401" s="1" t="s">
        <v>512</v>
      </c>
    </row>
    <row r="1402" spans="4:17" x14ac:dyDescent="0.25">
      <c r="D1402" s="1" t="s">
        <v>512</v>
      </c>
      <c r="E1402" s="21" t="s">
        <v>512</v>
      </c>
      <c r="F1402" s="1" t="s">
        <v>512</v>
      </c>
      <c r="G1402" s="1" t="s">
        <v>512</v>
      </c>
      <c r="H1402" s="1" t="s">
        <v>512</v>
      </c>
      <c r="I1402" s="1" t="s">
        <v>512</v>
      </c>
      <c r="J1402" s="1" t="s">
        <v>512</v>
      </c>
      <c r="K1402" s="1" t="s">
        <v>512</v>
      </c>
      <c r="L1402" s="1" t="s">
        <v>512</v>
      </c>
      <c r="M1402" s="1" t="s">
        <v>512</v>
      </c>
      <c r="N1402" s="1" t="s">
        <v>512</v>
      </c>
      <c r="O1402" s="1" t="s">
        <v>512</v>
      </c>
      <c r="Q1402" s="1" t="s">
        <v>512</v>
      </c>
    </row>
    <row r="1403" spans="4:17" x14ac:dyDescent="0.25">
      <c r="D1403" s="1" t="s">
        <v>512</v>
      </c>
      <c r="E1403" s="21" t="s">
        <v>512</v>
      </c>
      <c r="F1403" s="1" t="s">
        <v>512</v>
      </c>
      <c r="G1403" s="1" t="s">
        <v>512</v>
      </c>
      <c r="H1403" s="1" t="s">
        <v>512</v>
      </c>
      <c r="I1403" s="1" t="s">
        <v>512</v>
      </c>
      <c r="J1403" s="1" t="s">
        <v>512</v>
      </c>
      <c r="K1403" s="1" t="s">
        <v>512</v>
      </c>
      <c r="L1403" s="1" t="s">
        <v>512</v>
      </c>
      <c r="M1403" s="1" t="s">
        <v>512</v>
      </c>
      <c r="N1403" s="1" t="s">
        <v>512</v>
      </c>
      <c r="O1403" s="1" t="s">
        <v>512</v>
      </c>
      <c r="Q1403" s="1" t="s">
        <v>512</v>
      </c>
    </row>
    <row r="1404" spans="4:17" x14ac:dyDescent="0.25">
      <c r="D1404" s="1" t="s">
        <v>512</v>
      </c>
      <c r="E1404" s="21" t="s">
        <v>512</v>
      </c>
      <c r="F1404" s="1" t="s">
        <v>512</v>
      </c>
      <c r="G1404" s="1" t="s">
        <v>512</v>
      </c>
      <c r="H1404" s="1" t="s">
        <v>512</v>
      </c>
      <c r="I1404" s="1" t="s">
        <v>512</v>
      </c>
      <c r="J1404" s="1" t="s">
        <v>512</v>
      </c>
      <c r="K1404" s="1" t="s">
        <v>512</v>
      </c>
      <c r="L1404" s="1" t="s">
        <v>512</v>
      </c>
      <c r="M1404" s="1" t="s">
        <v>512</v>
      </c>
      <c r="N1404" s="1" t="s">
        <v>512</v>
      </c>
      <c r="O1404" s="1" t="s">
        <v>512</v>
      </c>
      <c r="Q1404" s="1" t="s">
        <v>512</v>
      </c>
    </row>
    <row r="1405" spans="4:17" x14ac:dyDescent="0.25">
      <c r="D1405" s="1" t="s">
        <v>512</v>
      </c>
      <c r="E1405" s="21" t="s">
        <v>512</v>
      </c>
      <c r="F1405" s="1" t="s">
        <v>512</v>
      </c>
      <c r="G1405" s="1" t="s">
        <v>512</v>
      </c>
      <c r="H1405" s="1" t="s">
        <v>512</v>
      </c>
      <c r="I1405" s="1" t="s">
        <v>512</v>
      </c>
      <c r="J1405" s="1" t="s">
        <v>512</v>
      </c>
      <c r="K1405" s="1" t="s">
        <v>512</v>
      </c>
      <c r="L1405" s="1" t="s">
        <v>512</v>
      </c>
      <c r="M1405" s="1" t="s">
        <v>512</v>
      </c>
      <c r="N1405" s="1" t="s">
        <v>512</v>
      </c>
      <c r="O1405" s="1" t="s">
        <v>512</v>
      </c>
      <c r="Q1405" s="1" t="s">
        <v>512</v>
      </c>
    </row>
    <row r="1406" spans="4:17" x14ac:dyDescent="0.25">
      <c r="D1406" s="1" t="s">
        <v>512</v>
      </c>
      <c r="E1406" s="21" t="s">
        <v>512</v>
      </c>
      <c r="F1406" s="1" t="s">
        <v>512</v>
      </c>
      <c r="G1406" s="1" t="s">
        <v>512</v>
      </c>
      <c r="H1406" s="1" t="s">
        <v>512</v>
      </c>
      <c r="I1406" s="1" t="s">
        <v>512</v>
      </c>
      <c r="J1406" s="1" t="s">
        <v>512</v>
      </c>
      <c r="K1406" s="1" t="s">
        <v>512</v>
      </c>
      <c r="L1406" s="1" t="s">
        <v>512</v>
      </c>
      <c r="M1406" s="1" t="s">
        <v>512</v>
      </c>
      <c r="N1406" s="1" t="s">
        <v>512</v>
      </c>
      <c r="O1406" s="1" t="s">
        <v>512</v>
      </c>
      <c r="Q1406" s="1" t="s">
        <v>512</v>
      </c>
    </row>
    <row r="1407" spans="4:17" x14ac:dyDescent="0.25">
      <c r="D1407" s="1" t="s">
        <v>512</v>
      </c>
      <c r="E1407" s="21" t="s">
        <v>512</v>
      </c>
      <c r="F1407" s="1" t="s">
        <v>512</v>
      </c>
      <c r="G1407" s="1" t="s">
        <v>512</v>
      </c>
      <c r="H1407" s="1" t="s">
        <v>512</v>
      </c>
      <c r="I1407" s="1" t="s">
        <v>512</v>
      </c>
      <c r="J1407" s="1" t="s">
        <v>512</v>
      </c>
      <c r="K1407" s="1" t="s">
        <v>512</v>
      </c>
      <c r="L1407" s="1" t="s">
        <v>512</v>
      </c>
      <c r="M1407" s="1" t="s">
        <v>512</v>
      </c>
      <c r="N1407" s="1" t="s">
        <v>512</v>
      </c>
      <c r="O1407" s="1" t="s">
        <v>512</v>
      </c>
      <c r="Q1407" s="1" t="s">
        <v>512</v>
      </c>
    </row>
    <row r="1408" spans="4:17" x14ac:dyDescent="0.25">
      <c r="D1408" s="1" t="s">
        <v>512</v>
      </c>
      <c r="E1408" s="21" t="s">
        <v>512</v>
      </c>
      <c r="F1408" s="1" t="s">
        <v>512</v>
      </c>
      <c r="G1408" s="1" t="s">
        <v>512</v>
      </c>
      <c r="H1408" s="1" t="s">
        <v>512</v>
      </c>
      <c r="I1408" s="1" t="s">
        <v>512</v>
      </c>
      <c r="J1408" s="1" t="s">
        <v>512</v>
      </c>
      <c r="K1408" s="1" t="s">
        <v>512</v>
      </c>
      <c r="L1408" s="1" t="s">
        <v>512</v>
      </c>
      <c r="M1408" s="1" t="s">
        <v>512</v>
      </c>
      <c r="N1408" s="1" t="s">
        <v>512</v>
      </c>
      <c r="O1408" s="1" t="s">
        <v>512</v>
      </c>
      <c r="Q1408" s="1" t="s">
        <v>512</v>
      </c>
    </row>
    <row r="1409" spans="4:17" x14ac:dyDescent="0.25">
      <c r="D1409" s="1" t="s">
        <v>512</v>
      </c>
      <c r="E1409" s="21" t="s">
        <v>512</v>
      </c>
      <c r="F1409" s="1" t="s">
        <v>512</v>
      </c>
      <c r="G1409" s="1" t="s">
        <v>512</v>
      </c>
      <c r="H1409" s="1" t="s">
        <v>512</v>
      </c>
      <c r="I1409" s="1" t="s">
        <v>512</v>
      </c>
      <c r="J1409" s="1" t="s">
        <v>512</v>
      </c>
      <c r="K1409" s="1" t="s">
        <v>512</v>
      </c>
      <c r="L1409" s="1" t="s">
        <v>512</v>
      </c>
      <c r="M1409" s="1" t="s">
        <v>512</v>
      </c>
      <c r="N1409" s="1" t="s">
        <v>512</v>
      </c>
      <c r="O1409" s="1" t="s">
        <v>512</v>
      </c>
      <c r="Q1409" s="1" t="s">
        <v>512</v>
      </c>
    </row>
    <row r="1410" spans="4:17" x14ac:dyDescent="0.25">
      <c r="D1410" s="1" t="s">
        <v>512</v>
      </c>
      <c r="E1410" s="21" t="s">
        <v>512</v>
      </c>
      <c r="F1410" s="1" t="s">
        <v>512</v>
      </c>
      <c r="G1410" s="1" t="s">
        <v>512</v>
      </c>
      <c r="H1410" s="1" t="s">
        <v>512</v>
      </c>
      <c r="I1410" s="1" t="s">
        <v>512</v>
      </c>
      <c r="J1410" s="1" t="s">
        <v>512</v>
      </c>
      <c r="K1410" s="1" t="s">
        <v>512</v>
      </c>
      <c r="L1410" s="1" t="s">
        <v>512</v>
      </c>
      <c r="M1410" s="1" t="s">
        <v>512</v>
      </c>
      <c r="N1410" s="1" t="s">
        <v>512</v>
      </c>
      <c r="O1410" s="1" t="s">
        <v>512</v>
      </c>
      <c r="Q1410" s="1" t="s">
        <v>512</v>
      </c>
    </row>
    <row r="1411" spans="4:17" x14ac:dyDescent="0.25">
      <c r="D1411" s="1" t="s">
        <v>512</v>
      </c>
      <c r="E1411" s="21" t="s">
        <v>512</v>
      </c>
      <c r="F1411" s="1" t="s">
        <v>512</v>
      </c>
      <c r="G1411" s="1" t="s">
        <v>512</v>
      </c>
      <c r="H1411" s="1" t="s">
        <v>512</v>
      </c>
      <c r="I1411" s="1" t="s">
        <v>512</v>
      </c>
      <c r="J1411" s="1" t="s">
        <v>512</v>
      </c>
      <c r="K1411" s="1" t="s">
        <v>512</v>
      </c>
      <c r="L1411" s="1" t="s">
        <v>512</v>
      </c>
      <c r="M1411" s="1" t="s">
        <v>512</v>
      </c>
      <c r="N1411" s="1" t="s">
        <v>512</v>
      </c>
      <c r="O1411" s="1" t="s">
        <v>512</v>
      </c>
      <c r="Q1411" s="1" t="s">
        <v>512</v>
      </c>
    </row>
    <row r="1412" spans="4:17" x14ac:dyDescent="0.25">
      <c r="D1412" s="1" t="s">
        <v>512</v>
      </c>
      <c r="E1412" s="21" t="s">
        <v>512</v>
      </c>
      <c r="F1412" s="1" t="s">
        <v>512</v>
      </c>
      <c r="G1412" s="1" t="s">
        <v>512</v>
      </c>
      <c r="H1412" s="1" t="s">
        <v>512</v>
      </c>
      <c r="I1412" s="1" t="s">
        <v>512</v>
      </c>
      <c r="J1412" s="1" t="s">
        <v>512</v>
      </c>
      <c r="K1412" s="1" t="s">
        <v>512</v>
      </c>
      <c r="L1412" s="1" t="s">
        <v>512</v>
      </c>
      <c r="M1412" s="1" t="s">
        <v>512</v>
      </c>
      <c r="N1412" s="1" t="s">
        <v>512</v>
      </c>
      <c r="O1412" s="1" t="s">
        <v>512</v>
      </c>
      <c r="Q1412" s="1" t="s">
        <v>512</v>
      </c>
    </row>
    <row r="1413" spans="4:17" x14ac:dyDescent="0.25">
      <c r="D1413" s="1" t="s">
        <v>512</v>
      </c>
      <c r="E1413" s="21" t="s">
        <v>512</v>
      </c>
      <c r="F1413" s="1" t="s">
        <v>512</v>
      </c>
      <c r="G1413" s="1" t="s">
        <v>512</v>
      </c>
      <c r="H1413" s="1" t="s">
        <v>512</v>
      </c>
      <c r="I1413" s="1" t="s">
        <v>512</v>
      </c>
      <c r="J1413" s="1" t="s">
        <v>512</v>
      </c>
      <c r="K1413" s="1" t="s">
        <v>512</v>
      </c>
      <c r="L1413" s="1" t="s">
        <v>512</v>
      </c>
      <c r="M1413" s="1" t="s">
        <v>512</v>
      </c>
      <c r="N1413" s="1" t="s">
        <v>512</v>
      </c>
      <c r="O1413" s="1" t="s">
        <v>512</v>
      </c>
      <c r="Q1413" s="1" t="s">
        <v>512</v>
      </c>
    </row>
    <row r="1414" spans="4:17" x14ac:dyDescent="0.25">
      <c r="D1414" s="1" t="s">
        <v>512</v>
      </c>
      <c r="E1414" s="21" t="s">
        <v>512</v>
      </c>
      <c r="F1414" s="1" t="s">
        <v>512</v>
      </c>
      <c r="G1414" s="1" t="s">
        <v>512</v>
      </c>
      <c r="H1414" s="1" t="s">
        <v>512</v>
      </c>
      <c r="I1414" s="1" t="s">
        <v>512</v>
      </c>
      <c r="J1414" s="1" t="s">
        <v>512</v>
      </c>
      <c r="K1414" s="1" t="s">
        <v>512</v>
      </c>
      <c r="L1414" s="1" t="s">
        <v>512</v>
      </c>
      <c r="M1414" s="1" t="s">
        <v>512</v>
      </c>
      <c r="N1414" s="1" t="s">
        <v>512</v>
      </c>
      <c r="O1414" s="1" t="s">
        <v>512</v>
      </c>
      <c r="Q1414" s="1" t="s">
        <v>512</v>
      </c>
    </row>
    <row r="1415" spans="4:17" x14ac:dyDescent="0.25">
      <c r="D1415" s="1" t="s">
        <v>512</v>
      </c>
      <c r="E1415" s="21" t="s">
        <v>512</v>
      </c>
      <c r="F1415" s="1" t="s">
        <v>512</v>
      </c>
      <c r="G1415" s="1" t="s">
        <v>512</v>
      </c>
      <c r="H1415" s="1" t="s">
        <v>512</v>
      </c>
      <c r="I1415" s="1" t="s">
        <v>512</v>
      </c>
      <c r="J1415" s="1" t="s">
        <v>512</v>
      </c>
      <c r="K1415" s="1" t="s">
        <v>512</v>
      </c>
      <c r="L1415" s="1" t="s">
        <v>512</v>
      </c>
      <c r="M1415" s="1" t="s">
        <v>512</v>
      </c>
      <c r="N1415" s="1" t="s">
        <v>512</v>
      </c>
      <c r="O1415" s="1" t="s">
        <v>512</v>
      </c>
      <c r="Q1415" s="1" t="s">
        <v>512</v>
      </c>
    </row>
    <row r="1416" spans="4:17" x14ac:dyDescent="0.25">
      <c r="D1416" s="1" t="s">
        <v>512</v>
      </c>
      <c r="E1416" s="21" t="s">
        <v>512</v>
      </c>
      <c r="F1416" s="1" t="s">
        <v>512</v>
      </c>
      <c r="G1416" s="1" t="s">
        <v>512</v>
      </c>
      <c r="H1416" s="1" t="s">
        <v>512</v>
      </c>
      <c r="I1416" s="1" t="s">
        <v>512</v>
      </c>
      <c r="J1416" s="1" t="s">
        <v>512</v>
      </c>
      <c r="K1416" s="1" t="s">
        <v>512</v>
      </c>
      <c r="L1416" s="1" t="s">
        <v>512</v>
      </c>
      <c r="M1416" s="1" t="s">
        <v>512</v>
      </c>
      <c r="N1416" s="1" t="s">
        <v>512</v>
      </c>
      <c r="O1416" s="1" t="s">
        <v>512</v>
      </c>
      <c r="Q1416" s="1" t="s">
        <v>512</v>
      </c>
    </row>
    <row r="1417" spans="4:17" x14ac:dyDescent="0.25">
      <c r="D1417" s="1" t="s">
        <v>512</v>
      </c>
      <c r="E1417" s="21" t="s">
        <v>512</v>
      </c>
      <c r="F1417" s="1" t="s">
        <v>512</v>
      </c>
      <c r="G1417" s="1" t="s">
        <v>512</v>
      </c>
      <c r="H1417" s="1" t="s">
        <v>512</v>
      </c>
      <c r="I1417" s="1" t="s">
        <v>512</v>
      </c>
      <c r="J1417" s="1" t="s">
        <v>512</v>
      </c>
      <c r="K1417" s="1" t="s">
        <v>512</v>
      </c>
      <c r="L1417" s="1" t="s">
        <v>512</v>
      </c>
      <c r="M1417" s="1" t="s">
        <v>512</v>
      </c>
      <c r="N1417" s="1" t="s">
        <v>512</v>
      </c>
      <c r="O1417" s="1" t="s">
        <v>512</v>
      </c>
      <c r="Q1417" s="1" t="s">
        <v>512</v>
      </c>
    </row>
    <row r="1418" spans="4:17" x14ac:dyDescent="0.25">
      <c r="D1418" s="1" t="s">
        <v>512</v>
      </c>
      <c r="E1418" s="21" t="s">
        <v>512</v>
      </c>
      <c r="F1418" s="1" t="s">
        <v>512</v>
      </c>
      <c r="G1418" s="1" t="s">
        <v>512</v>
      </c>
      <c r="H1418" s="1" t="s">
        <v>512</v>
      </c>
      <c r="I1418" s="1" t="s">
        <v>512</v>
      </c>
      <c r="J1418" s="1" t="s">
        <v>512</v>
      </c>
      <c r="K1418" s="1" t="s">
        <v>512</v>
      </c>
      <c r="L1418" s="1" t="s">
        <v>512</v>
      </c>
      <c r="M1418" s="1" t="s">
        <v>512</v>
      </c>
      <c r="N1418" s="1" t="s">
        <v>512</v>
      </c>
      <c r="O1418" s="1" t="s">
        <v>512</v>
      </c>
      <c r="Q1418" s="1" t="s">
        <v>512</v>
      </c>
    </row>
    <row r="1419" spans="4:17" x14ac:dyDescent="0.25">
      <c r="D1419" s="1" t="s">
        <v>512</v>
      </c>
      <c r="E1419" s="21" t="s">
        <v>512</v>
      </c>
      <c r="F1419" s="1" t="s">
        <v>512</v>
      </c>
      <c r="G1419" s="1" t="s">
        <v>512</v>
      </c>
      <c r="H1419" s="1" t="s">
        <v>512</v>
      </c>
      <c r="I1419" s="1" t="s">
        <v>512</v>
      </c>
      <c r="J1419" s="1" t="s">
        <v>512</v>
      </c>
      <c r="K1419" s="1" t="s">
        <v>512</v>
      </c>
      <c r="L1419" s="1" t="s">
        <v>512</v>
      </c>
      <c r="M1419" s="1" t="s">
        <v>512</v>
      </c>
      <c r="N1419" s="1" t="s">
        <v>512</v>
      </c>
      <c r="O1419" s="1" t="s">
        <v>512</v>
      </c>
      <c r="Q1419" s="1" t="s">
        <v>512</v>
      </c>
    </row>
    <row r="1420" spans="4:17" x14ac:dyDescent="0.25">
      <c r="D1420" s="1" t="s">
        <v>512</v>
      </c>
      <c r="E1420" s="21" t="s">
        <v>512</v>
      </c>
      <c r="F1420" s="1" t="s">
        <v>512</v>
      </c>
      <c r="G1420" s="1" t="s">
        <v>512</v>
      </c>
      <c r="H1420" s="1" t="s">
        <v>512</v>
      </c>
      <c r="I1420" s="1" t="s">
        <v>512</v>
      </c>
      <c r="J1420" s="1" t="s">
        <v>512</v>
      </c>
      <c r="K1420" s="1" t="s">
        <v>512</v>
      </c>
      <c r="L1420" s="1" t="s">
        <v>512</v>
      </c>
      <c r="M1420" s="1" t="s">
        <v>512</v>
      </c>
      <c r="N1420" s="1" t="s">
        <v>512</v>
      </c>
      <c r="O1420" s="1" t="s">
        <v>512</v>
      </c>
      <c r="Q1420" s="1" t="s">
        <v>512</v>
      </c>
    </row>
    <row r="1421" spans="4:17" x14ac:dyDescent="0.25">
      <c r="D1421" s="1" t="s">
        <v>512</v>
      </c>
      <c r="E1421" s="21" t="s">
        <v>512</v>
      </c>
      <c r="F1421" s="1" t="s">
        <v>512</v>
      </c>
      <c r="G1421" s="1" t="s">
        <v>512</v>
      </c>
      <c r="H1421" s="1" t="s">
        <v>512</v>
      </c>
      <c r="I1421" s="1" t="s">
        <v>512</v>
      </c>
      <c r="J1421" s="1" t="s">
        <v>512</v>
      </c>
      <c r="K1421" s="1" t="s">
        <v>512</v>
      </c>
      <c r="L1421" s="1" t="s">
        <v>512</v>
      </c>
      <c r="M1421" s="1" t="s">
        <v>512</v>
      </c>
      <c r="N1421" s="1" t="s">
        <v>512</v>
      </c>
      <c r="O1421" s="1" t="s">
        <v>512</v>
      </c>
      <c r="Q1421" s="1" t="s">
        <v>512</v>
      </c>
    </row>
    <row r="1422" spans="4:17" x14ac:dyDescent="0.25">
      <c r="D1422" s="1" t="s">
        <v>512</v>
      </c>
      <c r="E1422" s="21" t="s">
        <v>512</v>
      </c>
      <c r="F1422" s="1" t="s">
        <v>512</v>
      </c>
      <c r="G1422" s="1" t="s">
        <v>512</v>
      </c>
      <c r="H1422" s="1" t="s">
        <v>512</v>
      </c>
      <c r="I1422" s="1" t="s">
        <v>512</v>
      </c>
      <c r="J1422" s="1" t="s">
        <v>512</v>
      </c>
      <c r="K1422" s="1" t="s">
        <v>512</v>
      </c>
      <c r="L1422" s="1" t="s">
        <v>512</v>
      </c>
      <c r="M1422" s="1" t="s">
        <v>512</v>
      </c>
      <c r="N1422" s="1" t="s">
        <v>512</v>
      </c>
      <c r="O1422" s="1" t="s">
        <v>512</v>
      </c>
      <c r="Q1422" s="1" t="s">
        <v>512</v>
      </c>
    </row>
    <row r="1423" spans="4:17" x14ac:dyDescent="0.25">
      <c r="D1423" s="1" t="s">
        <v>512</v>
      </c>
      <c r="E1423" s="21" t="s">
        <v>512</v>
      </c>
      <c r="F1423" s="1" t="s">
        <v>512</v>
      </c>
      <c r="G1423" s="1" t="s">
        <v>512</v>
      </c>
      <c r="H1423" s="1" t="s">
        <v>512</v>
      </c>
      <c r="I1423" s="1" t="s">
        <v>512</v>
      </c>
      <c r="J1423" s="1" t="s">
        <v>512</v>
      </c>
      <c r="K1423" s="1" t="s">
        <v>512</v>
      </c>
      <c r="L1423" s="1" t="s">
        <v>512</v>
      </c>
      <c r="M1423" s="1" t="s">
        <v>512</v>
      </c>
      <c r="N1423" s="1" t="s">
        <v>512</v>
      </c>
      <c r="O1423" s="1" t="s">
        <v>512</v>
      </c>
      <c r="Q1423" s="1" t="s">
        <v>512</v>
      </c>
    </row>
    <row r="1424" spans="4:17" x14ac:dyDescent="0.25">
      <c r="D1424" s="1" t="s">
        <v>512</v>
      </c>
      <c r="E1424" s="21" t="s">
        <v>512</v>
      </c>
      <c r="F1424" s="1" t="s">
        <v>512</v>
      </c>
      <c r="G1424" s="1" t="s">
        <v>512</v>
      </c>
      <c r="H1424" s="1" t="s">
        <v>512</v>
      </c>
      <c r="I1424" s="1" t="s">
        <v>512</v>
      </c>
      <c r="J1424" s="1" t="s">
        <v>512</v>
      </c>
      <c r="K1424" s="1" t="s">
        <v>512</v>
      </c>
      <c r="L1424" s="1" t="s">
        <v>512</v>
      </c>
      <c r="M1424" s="1" t="s">
        <v>512</v>
      </c>
      <c r="N1424" s="1" t="s">
        <v>512</v>
      </c>
      <c r="O1424" s="1" t="s">
        <v>512</v>
      </c>
      <c r="Q1424" s="1" t="s">
        <v>512</v>
      </c>
    </row>
    <row r="1425" spans="4:17" x14ac:dyDescent="0.25">
      <c r="D1425" s="1" t="s">
        <v>512</v>
      </c>
      <c r="E1425" s="21" t="s">
        <v>512</v>
      </c>
      <c r="F1425" s="1" t="s">
        <v>512</v>
      </c>
      <c r="G1425" s="1" t="s">
        <v>512</v>
      </c>
      <c r="H1425" s="1" t="s">
        <v>512</v>
      </c>
      <c r="I1425" s="1" t="s">
        <v>512</v>
      </c>
      <c r="J1425" s="1" t="s">
        <v>512</v>
      </c>
      <c r="K1425" s="1" t="s">
        <v>512</v>
      </c>
      <c r="L1425" s="1" t="s">
        <v>512</v>
      </c>
      <c r="M1425" s="1" t="s">
        <v>512</v>
      </c>
      <c r="N1425" s="1" t="s">
        <v>512</v>
      </c>
      <c r="O1425" s="1" t="s">
        <v>512</v>
      </c>
      <c r="Q1425" s="1" t="s">
        <v>512</v>
      </c>
    </row>
    <row r="1426" spans="4:17" x14ac:dyDescent="0.25">
      <c r="D1426" s="1" t="s">
        <v>512</v>
      </c>
      <c r="E1426" s="21" t="s">
        <v>512</v>
      </c>
      <c r="F1426" s="1" t="s">
        <v>512</v>
      </c>
      <c r="G1426" s="1" t="s">
        <v>512</v>
      </c>
      <c r="H1426" s="1" t="s">
        <v>512</v>
      </c>
      <c r="I1426" s="1" t="s">
        <v>512</v>
      </c>
      <c r="J1426" s="1" t="s">
        <v>512</v>
      </c>
      <c r="K1426" s="1" t="s">
        <v>512</v>
      </c>
      <c r="L1426" s="1" t="s">
        <v>512</v>
      </c>
      <c r="M1426" s="1" t="s">
        <v>512</v>
      </c>
      <c r="N1426" s="1" t="s">
        <v>512</v>
      </c>
      <c r="O1426" s="1" t="s">
        <v>512</v>
      </c>
      <c r="Q1426" s="1" t="s">
        <v>512</v>
      </c>
    </row>
    <row r="1427" spans="4:17" x14ac:dyDescent="0.25">
      <c r="D1427" s="1" t="s">
        <v>512</v>
      </c>
      <c r="E1427" s="21" t="s">
        <v>512</v>
      </c>
      <c r="F1427" s="1" t="s">
        <v>512</v>
      </c>
      <c r="G1427" s="1" t="s">
        <v>512</v>
      </c>
      <c r="H1427" s="1" t="s">
        <v>512</v>
      </c>
      <c r="I1427" s="1" t="s">
        <v>512</v>
      </c>
      <c r="J1427" s="1" t="s">
        <v>512</v>
      </c>
      <c r="K1427" s="1" t="s">
        <v>512</v>
      </c>
      <c r="L1427" s="1" t="s">
        <v>512</v>
      </c>
      <c r="M1427" s="1" t="s">
        <v>512</v>
      </c>
      <c r="N1427" s="1" t="s">
        <v>512</v>
      </c>
      <c r="O1427" s="1" t="s">
        <v>512</v>
      </c>
      <c r="Q1427" s="1" t="s">
        <v>512</v>
      </c>
    </row>
    <row r="1428" spans="4:17" x14ac:dyDescent="0.25">
      <c r="D1428" s="1" t="s">
        <v>512</v>
      </c>
      <c r="E1428" s="21" t="s">
        <v>512</v>
      </c>
      <c r="F1428" s="1" t="s">
        <v>512</v>
      </c>
      <c r="G1428" s="1" t="s">
        <v>512</v>
      </c>
      <c r="H1428" s="1" t="s">
        <v>512</v>
      </c>
      <c r="I1428" s="1" t="s">
        <v>512</v>
      </c>
      <c r="J1428" s="1" t="s">
        <v>512</v>
      </c>
      <c r="K1428" s="1" t="s">
        <v>512</v>
      </c>
      <c r="L1428" s="1" t="s">
        <v>512</v>
      </c>
      <c r="M1428" s="1" t="s">
        <v>512</v>
      </c>
      <c r="N1428" s="1" t="s">
        <v>512</v>
      </c>
      <c r="O1428" s="1" t="s">
        <v>512</v>
      </c>
      <c r="Q1428" s="1" t="s">
        <v>512</v>
      </c>
    </row>
    <row r="1429" spans="4:17" x14ac:dyDescent="0.25">
      <c r="D1429" s="1" t="s">
        <v>512</v>
      </c>
      <c r="E1429" s="21" t="s">
        <v>512</v>
      </c>
      <c r="F1429" s="1" t="s">
        <v>512</v>
      </c>
      <c r="G1429" s="1" t="s">
        <v>512</v>
      </c>
      <c r="H1429" s="1" t="s">
        <v>512</v>
      </c>
      <c r="I1429" s="1" t="s">
        <v>512</v>
      </c>
      <c r="J1429" s="1" t="s">
        <v>512</v>
      </c>
      <c r="K1429" s="1" t="s">
        <v>512</v>
      </c>
      <c r="L1429" s="1" t="s">
        <v>512</v>
      </c>
      <c r="M1429" s="1" t="s">
        <v>512</v>
      </c>
      <c r="N1429" s="1" t="s">
        <v>512</v>
      </c>
      <c r="O1429" s="1" t="s">
        <v>512</v>
      </c>
      <c r="Q1429" s="1" t="s">
        <v>512</v>
      </c>
    </row>
    <row r="1430" spans="4:17" x14ac:dyDescent="0.25">
      <c r="D1430" s="1" t="s">
        <v>512</v>
      </c>
      <c r="E1430" s="21" t="s">
        <v>512</v>
      </c>
      <c r="F1430" s="1" t="s">
        <v>512</v>
      </c>
      <c r="G1430" s="1" t="s">
        <v>512</v>
      </c>
      <c r="H1430" s="1" t="s">
        <v>512</v>
      </c>
      <c r="I1430" s="1" t="s">
        <v>512</v>
      </c>
      <c r="J1430" s="1" t="s">
        <v>512</v>
      </c>
      <c r="K1430" s="1" t="s">
        <v>512</v>
      </c>
      <c r="L1430" s="1" t="s">
        <v>512</v>
      </c>
      <c r="M1430" s="1" t="s">
        <v>512</v>
      </c>
      <c r="N1430" s="1" t="s">
        <v>512</v>
      </c>
      <c r="O1430" s="1" t="s">
        <v>512</v>
      </c>
      <c r="Q1430" s="1" t="s">
        <v>512</v>
      </c>
    </row>
    <row r="1431" spans="4:17" x14ac:dyDescent="0.25">
      <c r="D1431" s="1" t="s">
        <v>512</v>
      </c>
      <c r="E1431" s="21" t="s">
        <v>512</v>
      </c>
      <c r="F1431" s="1" t="s">
        <v>512</v>
      </c>
      <c r="G1431" s="1" t="s">
        <v>512</v>
      </c>
      <c r="H1431" s="1" t="s">
        <v>512</v>
      </c>
      <c r="I1431" s="1" t="s">
        <v>512</v>
      </c>
      <c r="J1431" s="1" t="s">
        <v>512</v>
      </c>
      <c r="K1431" s="1" t="s">
        <v>512</v>
      </c>
      <c r="L1431" s="1" t="s">
        <v>512</v>
      </c>
      <c r="M1431" s="1" t="s">
        <v>512</v>
      </c>
      <c r="N1431" s="1" t="s">
        <v>512</v>
      </c>
      <c r="O1431" s="1" t="s">
        <v>512</v>
      </c>
      <c r="Q1431" s="1" t="s">
        <v>512</v>
      </c>
    </row>
    <row r="1432" spans="4:17" x14ac:dyDescent="0.25">
      <c r="D1432" s="1" t="s">
        <v>512</v>
      </c>
      <c r="E1432" s="21" t="s">
        <v>512</v>
      </c>
      <c r="F1432" s="1" t="s">
        <v>512</v>
      </c>
      <c r="G1432" s="1" t="s">
        <v>512</v>
      </c>
      <c r="H1432" s="1" t="s">
        <v>512</v>
      </c>
      <c r="I1432" s="1" t="s">
        <v>512</v>
      </c>
      <c r="J1432" s="1" t="s">
        <v>512</v>
      </c>
      <c r="K1432" s="1" t="s">
        <v>512</v>
      </c>
      <c r="L1432" s="1" t="s">
        <v>512</v>
      </c>
      <c r="M1432" s="1" t="s">
        <v>512</v>
      </c>
      <c r="N1432" s="1" t="s">
        <v>512</v>
      </c>
      <c r="O1432" s="1" t="s">
        <v>512</v>
      </c>
      <c r="Q1432" s="1" t="s">
        <v>512</v>
      </c>
    </row>
    <row r="1433" spans="4:17" x14ac:dyDescent="0.25">
      <c r="D1433" s="1" t="s">
        <v>512</v>
      </c>
      <c r="E1433" s="21" t="s">
        <v>512</v>
      </c>
      <c r="F1433" s="1" t="s">
        <v>512</v>
      </c>
      <c r="G1433" s="1" t="s">
        <v>512</v>
      </c>
      <c r="H1433" s="1" t="s">
        <v>512</v>
      </c>
      <c r="I1433" s="1" t="s">
        <v>512</v>
      </c>
      <c r="J1433" s="1" t="s">
        <v>512</v>
      </c>
      <c r="K1433" s="1" t="s">
        <v>512</v>
      </c>
      <c r="L1433" s="1" t="s">
        <v>512</v>
      </c>
      <c r="M1433" s="1" t="s">
        <v>512</v>
      </c>
      <c r="N1433" s="1" t="s">
        <v>512</v>
      </c>
      <c r="O1433" s="1" t="s">
        <v>512</v>
      </c>
      <c r="Q1433" s="1" t="s">
        <v>512</v>
      </c>
    </row>
    <row r="1434" spans="4:17" x14ac:dyDescent="0.25">
      <c r="D1434" s="1" t="s">
        <v>512</v>
      </c>
      <c r="E1434" s="21" t="s">
        <v>512</v>
      </c>
      <c r="F1434" s="1" t="s">
        <v>512</v>
      </c>
      <c r="G1434" s="1" t="s">
        <v>512</v>
      </c>
      <c r="H1434" s="1" t="s">
        <v>512</v>
      </c>
      <c r="I1434" s="1" t="s">
        <v>512</v>
      </c>
      <c r="J1434" s="1" t="s">
        <v>512</v>
      </c>
      <c r="K1434" s="1" t="s">
        <v>512</v>
      </c>
      <c r="L1434" s="1" t="s">
        <v>512</v>
      </c>
      <c r="M1434" s="1" t="s">
        <v>512</v>
      </c>
      <c r="N1434" s="1" t="s">
        <v>512</v>
      </c>
      <c r="O1434" s="1" t="s">
        <v>512</v>
      </c>
      <c r="Q1434" s="1" t="s">
        <v>512</v>
      </c>
    </row>
    <row r="1435" spans="4:17" x14ac:dyDescent="0.25">
      <c r="D1435" s="1" t="s">
        <v>512</v>
      </c>
      <c r="E1435" s="21" t="s">
        <v>512</v>
      </c>
      <c r="F1435" s="1" t="s">
        <v>512</v>
      </c>
      <c r="G1435" s="1" t="s">
        <v>512</v>
      </c>
      <c r="H1435" s="1" t="s">
        <v>512</v>
      </c>
      <c r="I1435" s="1" t="s">
        <v>512</v>
      </c>
      <c r="J1435" s="1" t="s">
        <v>512</v>
      </c>
      <c r="K1435" s="1" t="s">
        <v>512</v>
      </c>
      <c r="L1435" s="1" t="s">
        <v>512</v>
      </c>
      <c r="M1435" s="1" t="s">
        <v>512</v>
      </c>
      <c r="N1435" s="1" t="s">
        <v>512</v>
      </c>
      <c r="O1435" s="1" t="s">
        <v>512</v>
      </c>
      <c r="Q1435" s="1" t="s">
        <v>512</v>
      </c>
    </row>
    <row r="1436" spans="4:17" x14ac:dyDescent="0.25">
      <c r="D1436" s="1" t="s">
        <v>512</v>
      </c>
      <c r="E1436" s="21" t="s">
        <v>512</v>
      </c>
      <c r="F1436" s="1" t="s">
        <v>512</v>
      </c>
      <c r="G1436" s="1" t="s">
        <v>512</v>
      </c>
      <c r="H1436" s="1" t="s">
        <v>512</v>
      </c>
      <c r="I1436" s="1" t="s">
        <v>512</v>
      </c>
      <c r="J1436" s="1" t="s">
        <v>512</v>
      </c>
      <c r="K1436" s="1" t="s">
        <v>512</v>
      </c>
      <c r="L1436" s="1" t="s">
        <v>512</v>
      </c>
      <c r="M1436" s="1" t="s">
        <v>512</v>
      </c>
      <c r="N1436" s="1" t="s">
        <v>512</v>
      </c>
      <c r="O1436" s="1" t="s">
        <v>512</v>
      </c>
      <c r="Q1436" s="1" t="s">
        <v>512</v>
      </c>
    </row>
    <row r="1437" spans="4:17" x14ac:dyDescent="0.25">
      <c r="D1437" s="1" t="s">
        <v>512</v>
      </c>
      <c r="E1437" s="21" t="s">
        <v>512</v>
      </c>
      <c r="F1437" s="1" t="s">
        <v>512</v>
      </c>
      <c r="G1437" s="1" t="s">
        <v>512</v>
      </c>
      <c r="H1437" s="1" t="s">
        <v>512</v>
      </c>
      <c r="I1437" s="1" t="s">
        <v>512</v>
      </c>
      <c r="J1437" s="1" t="s">
        <v>512</v>
      </c>
      <c r="K1437" s="1" t="s">
        <v>512</v>
      </c>
      <c r="L1437" s="1" t="s">
        <v>512</v>
      </c>
      <c r="M1437" s="1" t="s">
        <v>512</v>
      </c>
      <c r="N1437" s="1" t="s">
        <v>512</v>
      </c>
      <c r="O1437" s="1" t="s">
        <v>512</v>
      </c>
      <c r="Q1437" s="1" t="s">
        <v>512</v>
      </c>
    </row>
    <row r="1438" spans="4:17" x14ac:dyDescent="0.25">
      <c r="D1438" s="1" t="s">
        <v>512</v>
      </c>
      <c r="E1438" s="21" t="s">
        <v>512</v>
      </c>
      <c r="F1438" s="1" t="s">
        <v>512</v>
      </c>
      <c r="G1438" s="1" t="s">
        <v>512</v>
      </c>
      <c r="H1438" s="1" t="s">
        <v>512</v>
      </c>
      <c r="I1438" s="1" t="s">
        <v>512</v>
      </c>
      <c r="J1438" s="1" t="s">
        <v>512</v>
      </c>
      <c r="K1438" s="1" t="s">
        <v>512</v>
      </c>
      <c r="L1438" s="1" t="s">
        <v>512</v>
      </c>
      <c r="M1438" s="1" t="s">
        <v>512</v>
      </c>
      <c r="N1438" s="1" t="s">
        <v>512</v>
      </c>
      <c r="O1438" s="1" t="s">
        <v>512</v>
      </c>
      <c r="Q1438" s="1" t="s">
        <v>512</v>
      </c>
    </row>
    <row r="1439" spans="4:17" x14ac:dyDescent="0.25">
      <c r="D1439" s="1" t="s">
        <v>512</v>
      </c>
      <c r="E1439" s="21" t="s">
        <v>512</v>
      </c>
      <c r="F1439" s="1" t="s">
        <v>512</v>
      </c>
      <c r="G1439" s="1" t="s">
        <v>512</v>
      </c>
      <c r="H1439" s="1" t="s">
        <v>512</v>
      </c>
      <c r="I1439" s="1" t="s">
        <v>512</v>
      </c>
      <c r="J1439" s="1" t="s">
        <v>512</v>
      </c>
      <c r="K1439" s="1" t="s">
        <v>512</v>
      </c>
      <c r="L1439" s="1" t="s">
        <v>512</v>
      </c>
      <c r="M1439" s="1" t="s">
        <v>512</v>
      </c>
      <c r="N1439" s="1" t="s">
        <v>512</v>
      </c>
      <c r="O1439" s="1" t="s">
        <v>512</v>
      </c>
      <c r="Q1439" s="1" t="s">
        <v>512</v>
      </c>
    </row>
    <row r="1440" spans="4:17" x14ac:dyDescent="0.25">
      <c r="D1440" s="1" t="s">
        <v>512</v>
      </c>
      <c r="E1440" s="21" t="s">
        <v>512</v>
      </c>
      <c r="F1440" s="1" t="s">
        <v>512</v>
      </c>
      <c r="G1440" s="1" t="s">
        <v>512</v>
      </c>
      <c r="H1440" s="1" t="s">
        <v>512</v>
      </c>
      <c r="I1440" s="1" t="s">
        <v>512</v>
      </c>
      <c r="J1440" s="1" t="s">
        <v>512</v>
      </c>
      <c r="K1440" s="1" t="s">
        <v>512</v>
      </c>
      <c r="L1440" s="1" t="s">
        <v>512</v>
      </c>
      <c r="M1440" s="1" t="s">
        <v>512</v>
      </c>
      <c r="N1440" s="1" t="s">
        <v>512</v>
      </c>
      <c r="O1440" s="1" t="s">
        <v>512</v>
      </c>
      <c r="Q1440" s="1" t="s">
        <v>512</v>
      </c>
    </row>
    <row r="1441" spans="4:17" x14ac:dyDescent="0.25">
      <c r="D1441" s="1" t="s">
        <v>512</v>
      </c>
      <c r="E1441" s="21" t="s">
        <v>512</v>
      </c>
      <c r="F1441" s="1" t="s">
        <v>512</v>
      </c>
      <c r="G1441" s="1" t="s">
        <v>512</v>
      </c>
      <c r="H1441" s="1" t="s">
        <v>512</v>
      </c>
      <c r="I1441" s="1" t="s">
        <v>512</v>
      </c>
      <c r="J1441" s="1" t="s">
        <v>512</v>
      </c>
      <c r="K1441" s="1" t="s">
        <v>512</v>
      </c>
      <c r="L1441" s="1" t="s">
        <v>512</v>
      </c>
      <c r="M1441" s="1" t="s">
        <v>512</v>
      </c>
      <c r="N1441" s="1" t="s">
        <v>512</v>
      </c>
      <c r="O1441" s="1" t="s">
        <v>512</v>
      </c>
      <c r="Q1441" s="1" t="s">
        <v>512</v>
      </c>
    </row>
    <row r="1442" spans="4:17" x14ac:dyDescent="0.25">
      <c r="D1442" s="1" t="s">
        <v>512</v>
      </c>
      <c r="E1442" s="21" t="s">
        <v>512</v>
      </c>
      <c r="F1442" s="1" t="s">
        <v>512</v>
      </c>
      <c r="G1442" s="1" t="s">
        <v>512</v>
      </c>
      <c r="H1442" s="1" t="s">
        <v>512</v>
      </c>
      <c r="I1442" s="1" t="s">
        <v>512</v>
      </c>
      <c r="J1442" s="1" t="s">
        <v>512</v>
      </c>
      <c r="K1442" s="1" t="s">
        <v>512</v>
      </c>
      <c r="L1442" s="1" t="s">
        <v>512</v>
      </c>
      <c r="M1442" s="1" t="s">
        <v>512</v>
      </c>
      <c r="N1442" s="1" t="s">
        <v>512</v>
      </c>
      <c r="O1442" s="1" t="s">
        <v>512</v>
      </c>
      <c r="Q1442" s="1" t="s">
        <v>512</v>
      </c>
    </row>
    <row r="1443" spans="4:17" x14ac:dyDescent="0.25">
      <c r="D1443" s="1" t="s">
        <v>512</v>
      </c>
      <c r="E1443" s="21" t="s">
        <v>512</v>
      </c>
      <c r="F1443" s="1" t="s">
        <v>512</v>
      </c>
      <c r="G1443" s="1" t="s">
        <v>512</v>
      </c>
      <c r="H1443" s="1" t="s">
        <v>512</v>
      </c>
      <c r="I1443" s="1" t="s">
        <v>512</v>
      </c>
      <c r="J1443" s="1" t="s">
        <v>512</v>
      </c>
      <c r="K1443" s="1" t="s">
        <v>512</v>
      </c>
      <c r="L1443" s="1" t="s">
        <v>512</v>
      </c>
      <c r="M1443" s="1" t="s">
        <v>512</v>
      </c>
      <c r="N1443" s="1" t="s">
        <v>512</v>
      </c>
      <c r="O1443" s="1" t="s">
        <v>512</v>
      </c>
      <c r="Q1443" s="1" t="s">
        <v>512</v>
      </c>
    </row>
    <row r="1444" spans="4:17" x14ac:dyDescent="0.25">
      <c r="D1444" s="1" t="s">
        <v>512</v>
      </c>
      <c r="E1444" s="21" t="s">
        <v>512</v>
      </c>
      <c r="F1444" s="1" t="s">
        <v>512</v>
      </c>
      <c r="G1444" s="1" t="s">
        <v>512</v>
      </c>
      <c r="H1444" s="1" t="s">
        <v>512</v>
      </c>
      <c r="I1444" s="1" t="s">
        <v>512</v>
      </c>
      <c r="J1444" s="1" t="s">
        <v>512</v>
      </c>
      <c r="K1444" s="1" t="s">
        <v>512</v>
      </c>
      <c r="L1444" s="1" t="s">
        <v>512</v>
      </c>
      <c r="M1444" s="1" t="s">
        <v>512</v>
      </c>
      <c r="N1444" s="1" t="s">
        <v>512</v>
      </c>
      <c r="O1444" s="1" t="s">
        <v>512</v>
      </c>
      <c r="Q1444" s="1" t="s">
        <v>512</v>
      </c>
    </row>
    <row r="1445" spans="4:17" x14ac:dyDescent="0.25">
      <c r="D1445" s="1" t="s">
        <v>512</v>
      </c>
      <c r="E1445" s="21" t="s">
        <v>512</v>
      </c>
      <c r="F1445" s="1" t="s">
        <v>512</v>
      </c>
      <c r="G1445" s="1" t="s">
        <v>512</v>
      </c>
      <c r="H1445" s="1" t="s">
        <v>512</v>
      </c>
      <c r="I1445" s="1" t="s">
        <v>512</v>
      </c>
      <c r="J1445" s="1" t="s">
        <v>512</v>
      </c>
      <c r="K1445" s="1" t="s">
        <v>512</v>
      </c>
      <c r="L1445" s="1" t="s">
        <v>512</v>
      </c>
      <c r="M1445" s="1" t="s">
        <v>512</v>
      </c>
      <c r="N1445" s="1" t="s">
        <v>512</v>
      </c>
      <c r="O1445" s="1" t="s">
        <v>512</v>
      </c>
      <c r="Q1445" s="1" t="s">
        <v>512</v>
      </c>
    </row>
    <row r="1446" spans="4:17" x14ac:dyDescent="0.25">
      <c r="D1446" s="1" t="s">
        <v>512</v>
      </c>
      <c r="E1446" s="21" t="s">
        <v>512</v>
      </c>
      <c r="F1446" s="1" t="s">
        <v>512</v>
      </c>
      <c r="G1446" s="1" t="s">
        <v>512</v>
      </c>
      <c r="H1446" s="1" t="s">
        <v>512</v>
      </c>
      <c r="I1446" s="1" t="s">
        <v>512</v>
      </c>
      <c r="J1446" s="1" t="s">
        <v>512</v>
      </c>
      <c r="K1446" s="1" t="s">
        <v>512</v>
      </c>
      <c r="L1446" s="1" t="s">
        <v>512</v>
      </c>
      <c r="M1446" s="1" t="s">
        <v>512</v>
      </c>
      <c r="N1446" s="1" t="s">
        <v>512</v>
      </c>
      <c r="O1446" s="1" t="s">
        <v>512</v>
      </c>
      <c r="Q1446" s="1" t="s">
        <v>512</v>
      </c>
    </row>
    <row r="1447" spans="4:17" x14ac:dyDescent="0.25">
      <c r="D1447" s="1" t="s">
        <v>512</v>
      </c>
      <c r="E1447" s="21" t="s">
        <v>512</v>
      </c>
      <c r="F1447" s="1" t="s">
        <v>512</v>
      </c>
      <c r="G1447" s="1" t="s">
        <v>512</v>
      </c>
      <c r="H1447" s="1" t="s">
        <v>512</v>
      </c>
      <c r="I1447" s="1" t="s">
        <v>512</v>
      </c>
      <c r="J1447" s="1" t="s">
        <v>512</v>
      </c>
      <c r="K1447" s="1" t="s">
        <v>512</v>
      </c>
      <c r="L1447" s="1" t="s">
        <v>512</v>
      </c>
      <c r="M1447" s="1" t="s">
        <v>512</v>
      </c>
      <c r="N1447" s="1" t="s">
        <v>512</v>
      </c>
      <c r="O1447" s="1" t="s">
        <v>512</v>
      </c>
      <c r="Q1447" s="1" t="s">
        <v>512</v>
      </c>
    </row>
    <row r="1448" spans="4:17" x14ac:dyDescent="0.25">
      <c r="D1448" s="1" t="s">
        <v>512</v>
      </c>
      <c r="E1448" s="21" t="s">
        <v>512</v>
      </c>
      <c r="F1448" s="1" t="s">
        <v>512</v>
      </c>
      <c r="G1448" s="1" t="s">
        <v>512</v>
      </c>
      <c r="H1448" s="1" t="s">
        <v>512</v>
      </c>
      <c r="I1448" s="1" t="s">
        <v>512</v>
      </c>
      <c r="J1448" s="1" t="s">
        <v>512</v>
      </c>
      <c r="K1448" s="1" t="s">
        <v>512</v>
      </c>
      <c r="L1448" s="1" t="s">
        <v>512</v>
      </c>
      <c r="M1448" s="1" t="s">
        <v>512</v>
      </c>
      <c r="N1448" s="1" t="s">
        <v>512</v>
      </c>
      <c r="O1448" s="1" t="s">
        <v>512</v>
      </c>
      <c r="Q1448" s="1" t="s">
        <v>512</v>
      </c>
    </row>
    <row r="1449" spans="4:17" x14ac:dyDescent="0.25">
      <c r="D1449" s="1" t="s">
        <v>512</v>
      </c>
      <c r="E1449" s="21" t="s">
        <v>512</v>
      </c>
      <c r="F1449" s="1" t="s">
        <v>512</v>
      </c>
      <c r="G1449" s="1" t="s">
        <v>512</v>
      </c>
      <c r="H1449" s="1" t="s">
        <v>512</v>
      </c>
      <c r="I1449" s="1" t="s">
        <v>512</v>
      </c>
      <c r="J1449" s="1" t="s">
        <v>512</v>
      </c>
      <c r="K1449" s="1" t="s">
        <v>512</v>
      </c>
      <c r="L1449" s="1" t="s">
        <v>512</v>
      </c>
      <c r="M1449" s="1" t="s">
        <v>512</v>
      </c>
      <c r="N1449" s="1" t="s">
        <v>512</v>
      </c>
      <c r="O1449" s="1" t="s">
        <v>512</v>
      </c>
      <c r="Q1449" s="1" t="s">
        <v>512</v>
      </c>
    </row>
    <row r="1450" spans="4:17" x14ac:dyDescent="0.25">
      <c r="D1450" s="1" t="s">
        <v>512</v>
      </c>
      <c r="E1450" s="21" t="s">
        <v>512</v>
      </c>
      <c r="F1450" s="1" t="s">
        <v>512</v>
      </c>
      <c r="G1450" s="1" t="s">
        <v>512</v>
      </c>
      <c r="H1450" s="1" t="s">
        <v>512</v>
      </c>
      <c r="I1450" s="1" t="s">
        <v>512</v>
      </c>
      <c r="J1450" s="1" t="s">
        <v>512</v>
      </c>
      <c r="K1450" s="1" t="s">
        <v>512</v>
      </c>
      <c r="L1450" s="1" t="s">
        <v>512</v>
      </c>
      <c r="M1450" s="1" t="s">
        <v>512</v>
      </c>
      <c r="N1450" s="1" t="s">
        <v>512</v>
      </c>
      <c r="O1450" s="1" t="s">
        <v>512</v>
      </c>
      <c r="Q1450" s="1" t="s">
        <v>512</v>
      </c>
    </row>
    <row r="1451" spans="4:17" x14ac:dyDescent="0.25">
      <c r="D1451" s="1" t="s">
        <v>512</v>
      </c>
      <c r="E1451" s="21" t="s">
        <v>512</v>
      </c>
      <c r="F1451" s="1" t="s">
        <v>512</v>
      </c>
      <c r="G1451" s="1" t="s">
        <v>512</v>
      </c>
      <c r="H1451" s="1" t="s">
        <v>512</v>
      </c>
      <c r="I1451" s="1" t="s">
        <v>512</v>
      </c>
      <c r="J1451" s="1" t="s">
        <v>512</v>
      </c>
      <c r="K1451" s="1" t="s">
        <v>512</v>
      </c>
      <c r="L1451" s="1" t="s">
        <v>512</v>
      </c>
      <c r="M1451" s="1" t="s">
        <v>512</v>
      </c>
      <c r="N1451" s="1" t="s">
        <v>512</v>
      </c>
      <c r="O1451" s="1" t="s">
        <v>512</v>
      </c>
      <c r="Q1451" s="1" t="s">
        <v>512</v>
      </c>
    </row>
    <row r="1452" spans="4:17" x14ac:dyDescent="0.25">
      <c r="D1452" s="1" t="s">
        <v>512</v>
      </c>
      <c r="E1452" s="21" t="s">
        <v>512</v>
      </c>
      <c r="F1452" s="1" t="s">
        <v>512</v>
      </c>
      <c r="G1452" s="1" t="s">
        <v>512</v>
      </c>
      <c r="H1452" s="1" t="s">
        <v>512</v>
      </c>
      <c r="I1452" s="1" t="s">
        <v>512</v>
      </c>
      <c r="J1452" s="1" t="s">
        <v>512</v>
      </c>
      <c r="K1452" s="1" t="s">
        <v>512</v>
      </c>
      <c r="L1452" s="1" t="s">
        <v>512</v>
      </c>
      <c r="M1452" s="1" t="s">
        <v>512</v>
      </c>
      <c r="N1452" s="1" t="s">
        <v>512</v>
      </c>
      <c r="O1452" s="1" t="s">
        <v>512</v>
      </c>
      <c r="Q1452" s="1" t="s">
        <v>512</v>
      </c>
    </row>
    <row r="1453" spans="4:17" x14ac:dyDescent="0.25">
      <c r="D1453" s="1" t="s">
        <v>512</v>
      </c>
      <c r="E1453" s="21" t="s">
        <v>512</v>
      </c>
      <c r="F1453" s="1" t="s">
        <v>512</v>
      </c>
      <c r="G1453" s="1" t="s">
        <v>512</v>
      </c>
      <c r="H1453" s="1" t="s">
        <v>512</v>
      </c>
      <c r="I1453" s="1" t="s">
        <v>512</v>
      </c>
      <c r="J1453" s="1" t="s">
        <v>512</v>
      </c>
      <c r="K1453" s="1" t="s">
        <v>512</v>
      </c>
      <c r="L1453" s="1" t="s">
        <v>512</v>
      </c>
      <c r="M1453" s="1" t="s">
        <v>512</v>
      </c>
      <c r="N1453" s="1" t="s">
        <v>512</v>
      </c>
      <c r="O1453" s="1" t="s">
        <v>512</v>
      </c>
      <c r="Q1453" s="1" t="s">
        <v>512</v>
      </c>
    </row>
    <row r="1454" spans="4:17" x14ac:dyDescent="0.25">
      <c r="D1454" s="1" t="s">
        <v>512</v>
      </c>
      <c r="E1454" s="21" t="s">
        <v>512</v>
      </c>
      <c r="F1454" s="1" t="s">
        <v>512</v>
      </c>
      <c r="G1454" s="1" t="s">
        <v>512</v>
      </c>
      <c r="H1454" s="1" t="s">
        <v>512</v>
      </c>
      <c r="I1454" s="1" t="s">
        <v>512</v>
      </c>
      <c r="J1454" s="1" t="s">
        <v>512</v>
      </c>
      <c r="K1454" s="1" t="s">
        <v>512</v>
      </c>
      <c r="L1454" s="1" t="s">
        <v>512</v>
      </c>
      <c r="M1454" s="1" t="s">
        <v>512</v>
      </c>
      <c r="N1454" s="1" t="s">
        <v>512</v>
      </c>
      <c r="O1454" s="1" t="s">
        <v>512</v>
      </c>
      <c r="Q1454" s="1" t="s">
        <v>512</v>
      </c>
    </row>
    <row r="1455" spans="4:17" x14ac:dyDescent="0.25">
      <c r="D1455" s="1" t="s">
        <v>512</v>
      </c>
      <c r="E1455" s="21" t="s">
        <v>512</v>
      </c>
      <c r="F1455" s="1" t="s">
        <v>512</v>
      </c>
      <c r="G1455" s="1" t="s">
        <v>512</v>
      </c>
      <c r="H1455" s="1" t="s">
        <v>512</v>
      </c>
      <c r="I1455" s="1" t="s">
        <v>512</v>
      </c>
      <c r="J1455" s="1" t="s">
        <v>512</v>
      </c>
      <c r="K1455" s="1" t="s">
        <v>512</v>
      </c>
      <c r="L1455" s="1" t="s">
        <v>512</v>
      </c>
      <c r="M1455" s="1" t="s">
        <v>512</v>
      </c>
      <c r="N1455" s="1" t="s">
        <v>512</v>
      </c>
      <c r="O1455" s="1" t="s">
        <v>512</v>
      </c>
      <c r="Q1455" s="1" t="s">
        <v>512</v>
      </c>
    </row>
    <row r="1456" spans="4:17" x14ac:dyDescent="0.25">
      <c r="D1456" s="1" t="s">
        <v>512</v>
      </c>
      <c r="E1456" s="21" t="s">
        <v>512</v>
      </c>
      <c r="F1456" s="1" t="s">
        <v>512</v>
      </c>
      <c r="G1456" s="1" t="s">
        <v>512</v>
      </c>
      <c r="H1456" s="1" t="s">
        <v>512</v>
      </c>
      <c r="I1456" s="1" t="s">
        <v>512</v>
      </c>
      <c r="J1456" s="1" t="s">
        <v>512</v>
      </c>
      <c r="K1456" s="1" t="s">
        <v>512</v>
      </c>
      <c r="L1456" s="1" t="s">
        <v>512</v>
      </c>
      <c r="M1456" s="1" t="s">
        <v>512</v>
      </c>
      <c r="N1456" s="1" t="s">
        <v>512</v>
      </c>
      <c r="O1456" s="1" t="s">
        <v>512</v>
      </c>
      <c r="Q1456" s="1" t="s">
        <v>512</v>
      </c>
    </row>
    <row r="1457" spans="4:17" x14ac:dyDescent="0.25">
      <c r="D1457" s="1" t="s">
        <v>512</v>
      </c>
      <c r="E1457" s="21" t="s">
        <v>512</v>
      </c>
      <c r="F1457" s="1" t="s">
        <v>512</v>
      </c>
      <c r="G1457" s="1" t="s">
        <v>512</v>
      </c>
      <c r="H1457" s="1" t="s">
        <v>512</v>
      </c>
      <c r="I1457" s="1" t="s">
        <v>512</v>
      </c>
      <c r="J1457" s="1" t="s">
        <v>512</v>
      </c>
      <c r="K1457" s="1" t="s">
        <v>512</v>
      </c>
      <c r="L1457" s="1" t="s">
        <v>512</v>
      </c>
      <c r="M1457" s="1" t="s">
        <v>512</v>
      </c>
      <c r="N1457" s="1" t="s">
        <v>512</v>
      </c>
      <c r="O1457" s="1" t="s">
        <v>512</v>
      </c>
      <c r="Q1457" s="1" t="s">
        <v>512</v>
      </c>
    </row>
    <row r="1458" spans="4:17" x14ac:dyDescent="0.25">
      <c r="D1458" s="1" t="s">
        <v>512</v>
      </c>
      <c r="E1458" s="21" t="s">
        <v>512</v>
      </c>
      <c r="F1458" s="1" t="s">
        <v>512</v>
      </c>
      <c r="G1458" s="1" t="s">
        <v>512</v>
      </c>
      <c r="H1458" s="1" t="s">
        <v>512</v>
      </c>
      <c r="I1458" s="1" t="s">
        <v>512</v>
      </c>
      <c r="J1458" s="1" t="s">
        <v>512</v>
      </c>
      <c r="K1458" s="1" t="s">
        <v>512</v>
      </c>
      <c r="L1458" s="1" t="s">
        <v>512</v>
      </c>
      <c r="M1458" s="1" t="s">
        <v>512</v>
      </c>
      <c r="N1458" s="1" t="s">
        <v>512</v>
      </c>
      <c r="O1458" s="1" t="s">
        <v>512</v>
      </c>
      <c r="Q1458" s="1" t="s">
        <v>512</v>
      </c>
    </row>
    <row r="1459" spans="4:17" x14ac:dyDescent="0.25">
      <c r="D1459" s="1" t="s">
        <v>512</v>
      </c>
      <c r="E1459" s="21" t="s">
        <v>512</v>
      </c>
      <c r="F1459" s="1" t="s">
        <v>512</v>
      </c>
      <c r="G1459" s="1" t="s">
        <v>512</v>
      </c>
      <c r="H1459" s="1" t="s">
        <v>512</v>
      </c>
      <c r="I1459" s="1" t="s">
        <v>512</v>
      </c>
      <c r="J1459" s="1" t="s">
        <v>512</v>
      </c>
      <c r="K1459" s="1" t="s">
        <v>512</v>
      </c>
      <c r="L1459" s="1" t="s">
        <v>512</v>
      </c>
      <c r="M1459" s="1" t="s">
        <v>512</v>
      </c>
      <c r="N1459" s="1" t="s">
        <v>512</v>
      </c>
      <c r="O1459" s="1" t="s">
        <v>512</v>
      </c>
      <c r="Q1459" s="1" t="s">
        <v>512</v>
      </c>
    </row>
    <row r="1460" spans="4:17" x14ac:dyDescent="0.25">
      <c r="D1460" s="1" t="s">
        <v>512</v>
      </c>
      <c r="E1460" s="21" t="s">
        <v>512</v>
      </c>
      <c r="F1460" s="1" t="s">
        <v>512</v>
      </c>
      <c r="G1460" s="1" t="s">
        <v>512</v>
      </c>
      <c r="H1460" s="1" t="s">
        <v>512</v>
      </c>
      <c r="I1460" s="1" t="s">
        <v>512</v>
      </c>
      <c r="J1460" s="1" t="s">
        <v>512</v>
      </c>
      <c r="K1460" s="1" t="s">
        <v>512</v>
      </c>
      <c r="L1460" s="1" t="s">
        <v>512</v>
      </c>
      <c r="M1460" s="1" t="s">
        <v>512</v>
      </c>
      <c r="N1460" s="1" t="s">
        <v>512</v>
      </c>
      <c r="O1460" s="1" t="s">
        <v>512</v>
      </c>
      <c r="Q1460" s="1" t="s">
        <v>512</v>
      </c>
    </row>
    <row r="1461" spans="4:17" x14ac:dyDescent="0.25">
      <c r="D1461" s="1" t="s">
        <v>512</v>
      </c>
      <c r="E1461" s="21" t="s">
        <v>512</v>
      </c>
      <c r="F1461" s="1" t="s">
        <v>512</v>
      </c>
      <c r="G1461" s="1" t="s">
        <v>512</v>
      </c>
      <c r="H1461" s="1" t="s">
        <v>512</v>
      </c>
      <c r="I1461" s="1" t="s">
        <v>512</v>
      </c>
      <c r="J1461" s="1" t="s">
        <v>512</v>
      </c>
      <c r="K1461" s="1" t="s">
        <v>512</v>
      </c>
      <c r="L1461" s="1" t="s">
        <v>512</v>
      </c>
      <c r="M1461" s="1" t="s">
        <v>512</v>
      </c>
      <c r="N1461" s="1" t="s">
        <v>512</v>
      </c>
      <c r="O1461" s="1" t="s">
        <v>512</v>
      </c>
      <c r="Q1461" s="1" t="s">
        <v>512</v>
      </c>
    </row>
    <row r="1462" spans="4:17" x14ac:dyDescent="0.25">
      <c r="D1462" s="1" t="s">
        <v>512</v>
      </c>
      <c r="E1462" s="21" t="s">
        <v>512</v>
      </c>
      <c r="F1462" s="1" t="s">
        <v>512</v>
      </c>
      <c r="G1462" s="1" t="s">
        <v>512</v>
      </c>
      <c r="H1462" s="1" t="s">
        <v>512</v>
      </c>
      <c r="I1462" s="1" t="s">
        <v>512</v>
      </c>
      <c r="J1462" s="1" t="s">
        <v>512</v>
      </c>
      <c r="K1462" s="1" t="s">
        <v>512</v>
      </c>
      <c r="L1462" s="1" t="s">
        <v>512</v>
      </c>
      <c r="M1462" s="1" t="s">
        <v>512</v>
      </c>
      <c r="N1462" s="1" t="s">
        <v>512</v>
      </c>
      <c r="O1462" s="1" t="s">
        <v>512</v>
      </c>
      <c r="Q1462" s="1" t="s">
        <v>512</v>
      </c>
    </row>
    <row r="1463" spans="4:17" x14ac:dyDescent="0.25">
      <c r="D1463" s="1" t="s">
        <v>512</v>
      </c>
      <c r="E1463" s="21" t="s">
        <v>512</v>
      </c>
      <c r="F1463" s="1" t="s">
        <v>512</v>
      </c>
      <c r="G1463" s="1" t="s">
        <v>512</v>
      </c>
      <c r="H1463" s="1" t="s">
        <v>512</v>
      </c>
      <c r="I1463" s="1" t="s">
        <v>512</v>
      </c>
      <c r="J1463" s="1" t="s">
        <v>512</v>
      </c>
      <c r="K1463" s="1" t="s">
        <v>512</v>
      </c>
      <c r="L1463" s="1" t="s">
        <v>512</v>
      </c>
      <c r="M1463" s="1" t="s">
        <v>512</v>
      </c>
      <c r="N1463" s="1" t="s">
        <v>512</v>
      </c>
      <c r="O1463" s="1" t="s">
        <v>512</v>
      </c>
      <c r="Q1463" s="1" t="s">
        <v>512</v>
      </c>
    </row>
    <row r="1464" spans="4:17" x14ac:dyDescent="0.25">
      <c r="D1464" s="1" t="s">
        <v>512</v>
      </c>
      <c r="E1464" s="21" t="s">
        <v>512</v>
      </c>
      <c r="F1464" s="1" t="s">
        <v>512</v>
      </c>
      <c r="G1464" s="1" t="s">
        <v>512</v>
      </c>
      <c r="H1464" s="1" t="s">
        <v>512</v>
      </c>
      <c r="I1464" s="1" t="s">
        <v>512</v>
      </c>
      <c r="J1464" s="1" t="s">
        <v>512</v>
      </c>
      <c r="K1464" s="1" t="s">
        <v>512</v>
      </c>
      <c r="L1464" s="1" t="s">
        <v>512</v>
      </c>
      <c r="M1464" s="1" t="s">
        <v>512</v>
      </c>
      <c r="N1464" s="1" t="s">
        <v>512</v>
      </c>
      <c r="O1464" s="1" t="s">
        <v>512</v>
      </c>
      <c r="Q1464" s="1" t="s">
        <v>512</v>
      </c>
    </row>
    <row r="1465" spans="4:17" x14ac:dyDescent="0.25">
      <c r="D1465" s="1" t="s">
        <v>512</v>
      </c>
      <c r="E1465" s="21" t="s">
        <v>512</v>
      </c>
      <c r="F1465" s="1" t="s">
        <v>512</v>
      </c>
      <c r="G1465" s="1" t="s">
        <v>512</v>
      </c>
      <c r="H1465" s="1" t="s">
        <v>512</v>
      </c>
      <c r="I1465" s="1" t="s">
        <v>512</v>
      </c>
      <c r="J1465" s="1" t="s">
        <v>512</v>
      </c>
      <c r="K1465" s="1" t="s">
        <v>512</v>
      </c>
      <c r="L1465" s="1" t="s">
        <v>512</v>
      </c>
      <c r="M1465" s="1" t="s">
        <v>512</v>
      </c>
      <c r="N1465" s="1" t="s">
        <v>512</v>
      </c>
      <c r="O1465" s="1" t="s">
        <v>512</v>
      </c>
      <c r="Q1465" s="1" t="s">
        <v>512</v>
      </c>
    </row>
    <row r="1466" spans="4:17" x14ac:dyDescent="0.25">
      <c r="D1466" s="1" t="s">
        <v>512</v>
      </c>
      <c r="E1466" s="21" t="s">
        <v>512</v>
      </c>
      <c r="F1466" s="1" t="s">
        <v>512</v>
      </c>
      <c r="G1466" s="1" t="s">
        <v>512</v>
      </c>
      <c r="H1466" s="1" t="s">
        <v>512</v>
      </c>
      <c r="I1466" s="1" t="s">
        <v>512</v>
      </c>
      <c r="J1466" s="1" t="s">
        <v>512</v>
      </c>
      <c r="K1466" s="1" t="s">
        <v>512</v>
      </c>
      <c r="L1466" s="1" t="s">
        <v>512</v>
      </c>
      <c r="M1466" s="1" t="s">
        <v>512</v>
      </c>
      <c r="N1466" s="1" t="s">
        <v>512</v>
      </c>
      <c r="O1466" s="1" t="s">
        <v>512</v>
      </c>
      <c r="Q1466" s="1" t="s">
        <v>512</v>
      </c>
    </row>
    <row r="1467" spans="4:17" x14ac:dyDescent="0.25">
      <c r="D1467" s="1" t="s">
        <v>512</v>
      </c>
      <c r="E1467" s="21" t="s">
        <v>512</v>
      </c>
      <c r="F1467" s="1" t="s">
        <v>512</v>
      </c>
      <c r="G1467" s="1" t="s">
        <v>512</v>
      </c>
      <c r="H1467" s="1" t="s">
        <v>512</v>
      </c>
      <c r="I1467" s="1" t="s">
        <v>512</v>
      </c>
      <c r="J1467" s="1" t="s">
        <v>512</v>
      </c>
      <c r="K1467" s="1" t="s">
        <v>512</v>
      </c>
      <c r="L1467" s="1" t="s">
        <v>512</v>
      </c>
      <c r="M1467" s="1" t="s">
        <v>512</v>
      </c>
      <c r="N1467" s="1" t="s">
        <v>512</v>
      </c>
      <c r="O1467" s="1" t="s">
        <v>512</v>
      </c>
      <c r="Q1467" s="1" t="s">
        <v>512</v>
      </c>
    </row>
    <row r="1468" spans="4:17" x14ac:dyDescent="0.25">
      <c r="D1468" s="1" t="s">
        <v>512</v>
      </c>
      <c r="E1468" s="21" t="s">
        <v>512</v>
      </c>
      <c r="F1468" s="1" t="s">
        <v>512</v>
      </c>
      <c r="G1468" s="1" t="s">
        <v>512</v>
      </c>
      <c r="H1468" s="1" t="s">
        <v>512</v>
      </c>
      <c r="I1468" s="1" t="s">
        <v>512</v>
      </c>
      <c r="J1468" s="1" t="s">
        <v>512</v>
      </c>
      <c r="K1468" s="1" t="s">
        <v>512</v>
      </c>
      <c r="L1468" s="1" t="s">
        <v>512</v>
      </c>
      <c r="M1468" s="1" t="s">
        <v>512</v>
      </c>
      <c r="N1468" s="1" t="s">
        <v>512</v>
      </c>
      <c r="O1468" s="1" t="s">
        <v>512</v>
      </c>
      <c r="Q1468" s="1" t="s">
        <v>512</v>
      </c>
    </row>
    <row r="1469" spans="4:17" x14ac:dyDescent="0.25">
      <c r="D1469" s="1" t="s">
        <v>512</v>
      </c>
      <c r="E1469" s="21" t="s">
        <v>512</v>
      </c>
      <c r="F1469" s="1" t="s">
        <v>512</v>
      </c>
      <c r="G1469" s="1" t="s">
        <v>512</v>
      </c>
      <c r="H1469" s="1" t="s">
        <v>512</v>
      </c>
      <c r="I1469" s="1" t="s">
        <v>512</v>
      </c>
      <c r="J1469" s="1" t="s">
        <v>512</v>
      </c>
      <c r="K1469" s="1" t="s">
        <v>512</v>
      </c>
      <c r="L1469" s="1" t="s">
        <v>512</v>
      </c>
      <c r="M1469" s="1" t="s">
        <v>512</v>
      </c>
      <c r="N1469" s="1" t="s">
        <v>512</v>
      </c>
      <c r="O1469" s="1" t="s">
        <v>512</v>
      </c>
      <c r="Q1469" s="1" t="s">
        <v>512</v>
      </c>
    </row>
    <row r="1470" spans="4:17" x14ac:dyDescent="0.25">
      <c r="D1470" s="1" t="s">
        <v>512</v>
      </c>
      <c r="E1470" s="21" t="s">
        <v>512</v>
      </c>
      <c r="F1470" s="1" t="s">
        <v>512</v>
      </c>
      <c r="G1470" s="1" t="s">
        <v>512</v>
      </c>
      <c r="H1470" s="1" t="s">
        <v>512</v>
      </c>
      <c r="I1470" s="1" t="s">
        <v>512</v>
      </c>
      <c r="J1470" s="1" t="s">
        <v>512</v>
      </c>
      <c r="K1470" s="1" t="s">
        <v>512</v>
      </c>
      <c r="L1470" s="1" t="s">
        <v>512</v>
      </c>
      <c r="M1470" s="1" t="s">
        <v>512</v>
      </c>
      <c r="N1470" s="1" t="s">
        <v>512</v>
      </c>
      <c r="O1470" s="1" t="s">
        <v>512</v>
      </c>
      <c r="Q1470" s="1" t="s">
        <v>512</v>
      </c>
    </row>
    <row r="1471" spans="4:17" x14ac:dyDescent="0.25">
      <c r="D1471" s="1" t="s">
        <v>512</v>
      </c>
      <c r="E1471" s="21" t="s">
        <v>512</v>
      </c>
      <c r="F1471" s="1" t="s">
        <v>512</v>
      </c>
      <c r="G1471" s="1" t="s">
        <v>512</v>
      </c>
      <c r="H1471" s="1" t="s">
        <v>512</v>
      </c>
      <c r="I1471" s="1" t="s">
        <v>512</v>
      </c>
      <c r="J1471" s="1" t="s">
        <v>512</v>
      </c>
      <c r="K1471" s="1" t="s">
        <v>512</v>
      </c>
      <c r="L1471" s="1" t="s">
        <v>512</v>
      </c>
      <c r="M1471" s="1" t="s">
        <v>512</v>
      </c>
      <c r="N1471" s="1" t="s">
        <v>512</v>
      </c>
      <c r="O1471" s="1" t="s">
        <v>512</v>
      </c>
      <c r="Q1471" s="1" t="s">
        <v>512</v>
      </c>
    </row>
    <row r="1472" spans="4:17" x14ac:dyDescent="0.25">
      <c r="D1472" s="1" t="s">
        <v>512</v>
      </c>
      <c r="E1472" s="21" t="s">
        <v>512</v>
      </c>
      <c r="F1472" s="1" t="s">
        <v>512</v>
      </c>
      <c r="G1472" s="1" t="s">
        <v>512</v>
      </c>
      <c r="H1472" s="1" t="s">
        <v>512</v>
      </c>
      <c r="I1472" s="1" t="s">
        <v>512</v>
      </c>
      <c r="J1472" s="1" t="s">
        <v>512</v>
      </c>
      <c r="K1472" s="1" t="s">
        <v>512</v>
      </c>
      <c r="L1472" s="1" t="s">
        <v>512</v>
      </c>
      <c r="M1472" s="1" t="s">
        <v>512</v>
      </c>
      <c r="N1472" s="1" t="s">
        <v>512</v>
      </c>
      <c r="O1472" s="1" t="s">
        <v>512</v>
      </c>
      <c r="Q1472" s="1" t="s">
        <v>512</v>
      </c>
    </row>
    <row r="1473" spans="4:17" x14ac:dyDescent="0.25">
      <c r="D1473" s="1" t="s">
        <v>512</v>
      </c>
      <c r="E1473" s="21" t="s">
        <v>512</v>
      </c>
      <c r="F1473" s="1" t="s">
        <v>512</v>
      </c>
      <c r="G1473" s="1" t="s">
        <v>512</v>
      </c>
      <c r="H1473" s="1" t="s">
        <v>512</v>
      </c>
      <c r="I1473" s="1" t="s">
        <v>512</v>
      </c>
      <c r="J1473" s="1" t="s">
        <v>512</v>
      </c>
      <c r="K1473" s="1" t="s">
        <v>512</v>
      </c>
      <c r="L1473" s="1" t="s">
        <v>512</v>
      </c>
      <c r="M1473" s="1" t="s">
        <v>512</v>
      </c>
      <c r="N1473" s="1" t="s">
        <v>512</v>
      </c>
      <c r="O1473" s="1" t="s">
        <v>512</v>
      </c>
      <c r="Q1473" s="1" t="s">
        <v>512</v>
      </c>
    </row>
    <row r="1474" spans="4:17" x14ac:dyDescent="0.25">
      <c r="D1474" s="1" t="s">
        <v>512</v>
      </c>
      <c r="E1474" s="21" t="s">
        <v>512</v>
      </c>
      <c r="F1474" s="1" t="s">
        <v>512</v>
      </c>
      <c r="G1474" s="1" t="s">
        <v>512</v>
      </c>
      <c r="H1474" s="1" t="s">
        <v>512</v>
      </c>
      <c r="I1474" s="1" t="s">
        <v>512</v>
      </c>
      <c r="J1474" s="1" t="s">
        <v>512</v>
      </c>
      <c r="K1474" s="1" t="s">
        <v>512</v>
      </c>
      <c r="L1474" s="1" t="s">
        <v>512</v>
      </c>
      <c r="M1474" s="1" t="s">
        <v>512</v>
      </c>
      <c r="N1474" s="1" t="s">
        <v>512</v>
      </c>
      <c r="O1474" s="1" t="s">
        <v>512</v>
      </c>
      <c r="Q1474" s="1" t="s">
        <v>512</v>
      </c>
    </row>
    <row r="1475" spans="4:17" x14ac:dyDescent="0.25">
      <c r="D1475" s="1" t="s">
        <v>512</v>
      </c>
      <c r="E1475" s="21" t="s">
        <v>512</v>
      </c>
      <c r="F1475" s="1" t="s">
        <v>512</v>
      </c>
      <c r="G1475" s="1" t="s">
        <v>512</v>
      </c>
      <c r="H1475" s="1" t="s">
        <v>512</v>
      </c>
      <c r="I1475" s="1" t="s">
        <v>512</v>
      </c>
      <c r="J1475" s="1" t="s">
        <v>512</v>
      </c>
      <c r="K1475" s="1" t="s">
        <v>512</v>
      </c>
      <c r="L1475" s="1" t="s">
        <v>512</v>
      </c>
      <c r="M1475" s="1" t="s">
        <v>512</v>
      </c>
      <c r="N1475" s="1" t="s">
        <v>512</v>
      </c>
      <c r="O1475" s="1" t="s">
        <v>512</v>
      </c>
      <c r="Q1475" s="1" t="s">
        <v>512</v>
      </c>
    </row>
    <row r="1476" spans="4:17" x14ac:dyDescent="0.25">
      <c r="D1476" s="1" t="s">
        <v>512</v>
      </c>
      <c r="E1476" s="21" t="s">
        <v>512</v>
      </c>
      <c r="F1476" s="1" t="s">
        <v>512</v>
      </c>
      <c r="G1476" s="1" t="s">
        <v>512</v>
      </c>
      <c r="H1476" s="1" t="s">
        <v>512</v>
      </c>
      <c r="I1476" s="1" t="s">
        <v>512</v>
      </c>
      <c r="J1476" s="1" t="s">
        <v>512</v>
      </c>
      <c r="K1476" s="1" t="s">
        <v>512</v>
      </c>
      <c r="L1476" s="1" t="s">
        <v>512</v>
      </c>
      <c r="M1476" s="1" t="s">
        <v>512</v>
      </c>
      <c r="N1476" s="1" t="s">
        <v>512</v>
      </c>
      <c r="O1476" s="1" t="s">
        <v>512</v>
      </c>
      <c r="Q1476" s="1" t="s">
        <v>512</v>
      </c>
    </row>
    <row r="1477" spans="4:17" x14ac:dyDescent="0.25">
      <c r="D1477" s="1" t="s">
        <v>512</v>
      </c>
      <c r="E1477" s="21" t="s">
        <v>512</v>
      </c>
      <c r="F1477" s="1" t="s">
        <v>512</v>
      </c>
      <c r="G1477" s="1" t="s">
        <v>512</v>
      </c>
      <c r="H1477" s="1" t="s">
        <v>512</v>
      </c>
      <c r="I1477" s="1" t="s">
        <v>512</v>
      </c>
      <c r="J1477" s="1" t="s">
        <v>512</v>
      </c>
      <c r="K1477" s="1" t="s">
        <v>512</v>
      </c>
      <c r="L1477" s="1" t="s">
        <v>512</v>
      </c>
      <c r="M1477" s="1" t="s">
        <v>512</v>
      </c>
      <c r="N1477" s="1" t="s">
        <v>512</v>
      </c>
      <c r="O1477" s="1" t="s">
        <v>512</v>
      </c>
      <c r="Q1477" s="1" t="s">
        <v>512</v>
      </c>
    </row>
    <row r="1478" spans="4:17" x14ac:dyDescent="0.25">
      <c r="D1478" s="1" t="s">
        <v>512</v>
      </c>
      <c r="E1478" s="21" t="s">
        <v>512</v>
      </c>
      <c r="F1478" s="1" t="s">
        <v>512</v>
      </c>
      <c r="G1478" s="1" t="s">
        <v>512</v>
      </c>
      <c r="H1478" s="1" t="s">
        <v>512</v>
      </c>
      <c r="I1478" s="1" t="s">
        <v>512</v>
      </c>
      <c r="J1478" s="1" t="s">
        <v>512</v>
      </c>
      <c r="K1478" s="1" t="s">
        <v>512</v>
      </c>
      <c r="L1478" s="1" t="s">
        <v>512</v>
      </c>
      <c r="M1478" s="1" t="s">
        <v>512</v>
      </c>
      <c r="N1478" s="1" t="s">
        <v>512</v>
      </c>
      <c r="O1478" s="1" t="s">
        <v>512</v>
      </c>
      <c r="Q1478" s="1" t="s">
        <v>512</v>
      </c>
    </row>
    <row r="1479" spans="4:17" x14ac:dyDescent="0.25">
      <c r="D1479" s="1" t="s">
        <v>512</v>
      </c>
      <c r="E1479" s="21" t="s">
        <v>512</v>
      </c>
      <c r="F1479" s="1" t="s">
        <v>512</v>
      </c>
      <c r="G1479" s="1" t="s">
        <v>512</v>
      </c>
      <c r="H1479" s="1" t="s">
        <v>512</v>
      </c>
      <c r="I1479" s="1" t="s">
        <v>512</v>
      </c>
      <c r="J1479" s="1" t="s">
        <v>512</v>
      </c>
      <c r="K1479" s="1" t="s">
        <v>512</v>
      </c>
      <c r="L1479" s="1" t="s">
        <v>512</v>
      </c>
      <c r="M1479" s="1" t="s">
        <v>512</v>
      </c>
      <c r="N1479" s="1" t="s">
        <v>512</v>
      </c>
      <c r="O1479" s="1" t="s">
        <v>512</v>
      </c>
      <c r="Q1479" s="1" t="s">
        <v>512</v>
      </c>
    </row>
    <row r="1480" spans="4:17" x14ac:dyDescent="0.25">
      <c r="D1480" s="1" t="s">
        <v>512</v>
      </c>
      <c r="E1480" s="21" t="s">
        <v>512</v>
      </c>
      <c r="F1480" s="1" t="s">
        <v>512</v>
      </c>
      <c r="G1480" s="1" t="s">
        <v>512</v>
      </c>
      <c r="H1480" s="1" t="s">
        <v>512</v>
      </c>
      <c r="I1480" s="1" t="s">
        <v>512</v>
      </c>
      <c r="J1480" s="1" t="s">
        <v>512</v>
      </c>
      <c r="K1480" s="1" t="s">
        <v>512</v>
      </c>
      <c r="L1480" s="1" t="s">
        <v>512</v>
      </c>
      <c r="M1480" s="1" t="s">
        <v>512</v>
      </c>
      <c r="N1480" s="1" t="s">
        <v>512</v>
      </c>
      <c r="O1480" s="1" t="s">
        <v>512</v>
      </c>
      <c r="Q1480" s="1" t="s">
        <v>512</v>
      </c>
    </row>
    <row r="1481" spans="4:17" x14ac:dyDescent="0.25">
      <c r="D1481" s="1" t="s">
        <v>512</v>
      </c>
      <c r="E1481" s="21" t="s">
        <v>512</v>
      </c>
      <c r="F1481" s="1" t="s">
        <v>512</v>
      </c>
      <c r="G1481" s="1" t="s">
        <v>512</v>
      </c>
      <c r="H1481" s="1" t="s">
        <v>512</v>
      </c>
      <c r="I1481" s="1" t="s">
        <v>512</v>
      </c>
      <c r="J1481" s="1" t="s">
        <v>512</v>
      </c>
      <c r="K1481" s="1" t="s">
        <v>512</v>
      </c>
      <c r="L1481" s="1" t="s">
        <v>512</v>
      </c>
      <c r="M1481" s="1" t="s">
        <v>512</v>
      </c>
      <c r="N1481" s="1" t="s">
        <v>512</v>
      </c>
      <c r="O1481" s="1" t="s">
        <v>512</v>
      </c>
      <c r="Q1481" s="1" t="s">
        <v>512</v>
      </c>
    </row>
    <row r="1482" spans="4:17" x14ac:dyDescent="0.25">
      <c r="D1482" s="1" t="s">
        <v>512</v>
      </c>
      <c r="E1482" s="21" t="s">
        <v>512</v>
      </c>
      <c r="F1482" s="1" t="s">
        <v>512</v>
      </c>
      <c r="G1482" s="1" t="s">
        <v>512</v>
      </c>
      <c r="H1482" s="1" t="s">
        <v>512</v>
      </c>
      <c r="I1482" s="1" t="s">
        <v>512</v>
      </c>
      <c r="J1482" s="1" t="s">
        <v>512</v>
      </c>
      <c r="K1482" s="1" t="s">
        <v>512</v>
      </c>
      <c r="L1482" s="1" t="s">
        <v>512</v>
      </c>
      <c r="M1482" s="1" t="s">
        <v>512</v>
      </c>
      <c r="N1482" s="1" t="s">
        <v>512</v>
      </c>
      <c r="O1482" s="1" t="s">
        <v>512</v>
      </c>
      <c r="Q1482" s="1" t="s">
        <v>512</v>
      </c>
    </row>
    <row r="1483" spans="4:17" x14ac:dyDescent="0.25">
      <c r="D1483" s="1" t="s">
        <v>512</v>
      </c>
      <c r="E1483" s="21" t="s">
        <v>512</v>
      </c>
      <c r="F1483" s="1" t="s">
        <v>512</v>
      </c>
      <c r="G1483" s="1" t="s">
        <v>512</v>
      </c>
      <c r="H1483" s="1" t="s">
        <v>512</v>
      </c>
      <c r="I1483" s="1" t="s">
        <v>512</v>
      </c>
      <c r="J1483" s="1" t="s">
        <v>512</v>
      </c>
      <c r="K1483" s="1" t="s">
        <v>512</v>
      </c>
      <c r="L1483" s="1" t="s">
        <v>512</v>
      </c>
      <c r="M1483" s="1" t="s">
        <v>512</v>
      </c>
      <c r="N1483" s="1" t="s">
        <v>512</v>
      </c>
      <c r="O1483" s="1" t="s">
        <v>512</v>
      </c>
      <c r="Q1483" s="1" t="s">
        <v>512</v>
      </c>
    </row>
    <row r="1484" spans="4:17" x14ac:dyDescent="0.25">
      <c r="D1484" s="1" t="s">
        <v>512</v>
      </c>
      <c r="E1484" s="21" t="s">
        <v>512</v>
      </c>
      <c r="F1484" s="1" t="s">
        <v>512</v>
      </c>
      <c r="G1484" s="1" t="s">
        <v>512</v>
      </c>
      <c r="H1484" s="1" t="s">
        <v>512</v>
      </c>
      <c r="I1484" s="1" t="s">
        <v>512</v>
      </c>
      <c r="J1484" s="1" t="s">
        <v>512</v>
      </c>
      <c r="K1484" s="1" t="s">
        <v>512</v>
      </c>
      <c r="L1484" s="1" t="s">
        <v>512</v>
      </c>
      <c r="M1484" s="1" t="s">
        <v>512</v>
      </c>
      <c r="N1484" s="1" t="s">
        <v>512</v>
      </c>
      <c r="O1484" s="1" t="s">
        <v>512</v>
      </c>
      <c r="Q1484" s="1" t="s">
        <v>512</v>
      </c>
    </row>
    <row r="1485" spans="4:17" x14ac:dyDescent="0.25">
      <c r="D1485" s="1" t="s">
        <v>512</v>
      </c>
      <c r="E1485" s="21" t="s">
        <v>512</v>
      </c>
      <c r="F1485" s="1" t="s">
        <v>512</v>
      </c>
      <c r="G1485" s="1" t="s">
        <v>512</v>
      </c>
      <c r="H1485" s="1" t="s">
        <v>512</v>
      </c>
      <c r="I1485" s="1" t="s">
        <v>512</v>
      </c>
      <c r="J1485" s="1" t="s">
        <v>512</v>
      </c>
      <c r="K1485" s="1" t="s">
        <v>512</v>
      </c>
      <c r="L1485" s="1" t="s">
        <v>512</v>
      </c>
      <c r="M1485" s="1" t="s">
        <v>512</v>
      </c>
      <c r="N1485" s="1" t="s">
        <v>512</v>
      </c>
      <c r="O1485" s="1" t="s">
        <v>512</v>
      </c>
      <c r="Q1485" s="1" t="s">
        <v>512</v>
      </c>
    </row>
    <row r="1486" spans="4:17" x14ac:dyDescent="0.25">
      <c r="D1486" s="1" t="s">
        <v>512</v>
      </c>
      <c r="E1486" s="21" t="s">
        <v>512</v>
      </c>
      <c r="F1486" s="1" t="s">
        <v>512</v>
      </c>
      <c r="G1486" s="1" t="s">
        <v>512</v>
      </c>
      <c r="H1486" s="1" t="s">
        <v>512</v>
      </c>
      <c r="I1486" s="1" t="s">
        <v>512</v>
      </c>
      <c r="J1486" s="1" t="s">
        <v>512</v>
      </c>
      <c r="K1486" s="1" t="s">
        <v>512</v>
      </c>
      <c r="L1486" s="1" t="s">
        <v>512</v>
      </c>
      <c r="M1486" s="1" t="s">
        <v>512</v>
      </c>
      <c r="N1486" s="1" t="s">
        <v>512</v>
      </c>
      <c r="O1486" s="1" t="s">
        <v>512</v>
      </c>
      <c r="Q1486" s="1" t="s">
        <v>512</v>
      </c>
    </row>
    <row r="1487" spans="4:17" x14ac:dyDescent="0.25">
      <c r="D1487" s="1" t="s">
        <v>512</v>
      </c>
      <c r="E1487" s="21" t="s">
        <v>512</v>
      </c>
      <c r="F1487" s="1" t="s">
        <v>512</v>
      </c>
      <c r="G1487" s="1" t="s">
        <v>512</v>
      </c>
      <c r="H1487" s="1" t="s">
        <v>512</v>
      </c>
      <c r="I1487" s="1" t="s">
        <v>512</v>
      </c>
      <c r="J1487" s="1" t="s">
        <v>512</v>
      </c>
      <c r="K1487" s="1" t="s">
        <v>512</v>
      </c>
      <c r="L1487" s="1" t="s">
        <v>512</v>
      </c>
      <c r="M1487" s="1" t="s">
        <v>512</v>
      </c>
      <c r="N1487" s="1" t="s">
        <v>512</v>
      </c>
      <c r="O1487" s="1" t="s">
        <v>512</v>
      </c>
      <c r="Q1487" s="1" t="s">
        <v>512</v>
      </c>
    </row>
    <row r="1488" spans="4:17" x14ac:dyDescent="0.25">
      <c r="D1488" s="1" t="s">
        <v>512</v>
      </c>
      <c r="E1488" s="21" t="s">
        <v>512</v>
      </c>
      <c r="F1488" s="1" t="s">
        <v>512</v>
      </c>
      <c r="G1488" s="1" t="s">
        <v>512</v>
      </c>
      <c r="H1488" s="1" t="s">
        <v>512</v>
      </c>
      <c r="I1488" s="1" t="s">
        <v>512</v>
      </c>
      <c r="J1488" s="1" t="s">
        <v>512</v>
      </c>
      <c r="K1488" s="1" t="s">
        <v>512</v>
      </c>
      <c r="L1488" s="1" t="s">
        <v>512</v>
      </c>
      <c r="M1488" s="1" t="s">
        <v>512</v>
      </c>
      <c r="N1488" s="1" t="s">
        <v>512</v>
      </c>
      <c r="O1488" s="1" t="s">
        <v>512</v>
      </c>
      <c r="Q1488" s="1" t="s">
        <v>512</v>
      </c>
    </row>
    <row r="1489" spans="4:17" x14ac:dyDescent="0.25">
      <c r="D1489" s="1" t="s">
        <v>512</v>
      </c>
      <c r="E1489" s="21" t="s">
        <v>512</v>
      </c>
      <c r="F1489" s="1" t="s">
        <v>512</v>
      </c>
      <c r="G1489" s="1" t="s">
        <v>512</v>
      </c>
      <c r="H1489" s="1" t="s">
        <v>512</v>
      </c>
      <c r="I1489" s="1" t="s">
        <v>512</v>
      </c>
      <c r="J1489" s="1" t="s">
        <v>512</v>
      </c>
      <c r="K1489" s="1" t="s">
        <v>512</v>
      </c>
      <c r="L1489" s="1" t="s">
        <v>512</v>
      </c>
      <c r="M1489" s="1" t="s">
        <v>512</v>
      </c>
      <c r="N1489" s="1" t="s">
        <v>512</v>
      </c>
      <c r="O1489" s="1" t="s">
        <v>512</v>
      </c>
      <c r="Q1489" s="1" t="s">
        <v>512</v>
      </c>
    </row>
    <row r="1490" spans="4:17" x14ac:dyDescent="0.25">
      <c r="D1490" s="1" t="s">
        <v>512</v>
      </c>
      <c r="E1490" s="21" t="s">
        <v>512</v>
      </c>
      <c r="F1490" s="1" t="s">
        <v>512</v>
      </c>
      <c r="G1490" s="1" t="s">
        <v>512</v>
      </c>
      <c r="H1490" s="1" t="s">
        <v>512</v>
      </c>
      <c r="I1490" s="1" t="s">
        <v>512</v>
      </c>
      <c r="J1490" s="1" t="s">
        <v>512</v>
      </c>
      <c r="K1490" s="1" t="s">
        <v>512</v>
      </c>
      <c r="L1490" s="1" t="s">
        <v>512</v>
      </c>
      <c r="M1490" s="1" t="s">
        <v>512</v>
      </c>
      <c r="N1490" s="1" t="s">
        <v>512</v>
      </c>
      <c r="O1490" s="1" t="s">
        <v>512</v>
      </c>
      <c r="Q1490" s="1" t="s">
        <v>512</v>
      </c>
    </row>
    <row r="1491" spans="4:17" x14ac:dyDescent="0.25">
      <c r="D1491" s="1" t="s">
        <v>512</v>
      </c>
      <c r="E1491" s="21" t="s">
        <v>512</v>
      </c>
      <c r="F1491" s="1" t="s">
        <v>512</v>
      </c>
      <c r="G1491" s="1" t="s">
        <v>512</v>
      </c>
      <c r="H1491" s="1" t="s">
        <v>512</v>
      </c>
      <c r="I1491" s="1" t="s">
        <v>512</v>
      </c>
      <c r="J1491" s="1" t="s">
        <v>512</v>
      </c>
      <c r="K1491" s="1" t="s">
        <v>512</v>
      </c>
      <c r="L1491" s="1" t="s">
        <v>512</v>
      </c>
      <c r="M1491" s="1" t="s">
        <v>512</v>
      </c>
      <c r="N1491" s="1" t="s">
        <v>512</v>
      </c>
      <c r="O1491" s="1" t="s">
        <v>512</v>
      </c>
      <c r="Q1491" s="1" t="s">
        <v>512</v>
      </c>
    </row>
    <row r="1492" spans="4:17" x14ac:dyDescent="0.25">
      <c r="D1492" s="1" t="s">
        <v>512</v>
      </c>
      <c r="E1492" s="21" t="s">
        <v>512</v>
      </c>
      <c r="F1492" s="1" t="s">
        <v>512</v>
      </c>
      <c r="G1492" s="1" t="s">
        <v>512</v>
      </c>
      <c r="H1492" s="1" t="s">
        <v>512</v>
      </c>
      <c r="I1492" s="1" t="s">
        <v>512</v>
      </c>
      <c r="J1492" s="1" t="s">
        <v>512</v>
      </c>
      <c r="K1492" s="1" t="s">
        <v>512</v>
      </c>
      <c r="L1492" s="1" t="s">
        <v>512</v>
      </c>
      <c r="M1492" s="1" t="s">
        <v>512</v>
      </c>
      <c r="N1492" s="1" t="s">
        <v>512</v>
      </c>
      <c r="O1492" s="1" t="s">
        <v>512</v>
      </c>
      <c r="Q1492" s="1" t="s">
        <v>512</v>
      </c>
    </row>
    <row r="1493" spans="4:17" x14ac:dyDescent="0.25">
      <c r="D1493" s="1" t="s">
        <v>512</v>
      </c>
      <c r="E1493" s="21" t="s">
        <v>512</v>
      </c>
      <c r="F1493" s="1" t="s">
        <v>512</v>
      </c>
      <c r="G1493" s="1" t="s">
        <v>512</v>
      </c>
      <c r="H1493" s="1" t="s">
        <v>512</v>
      </c>
      <c r="I1493" s="1" t="s">
        <v>512</v>
      </c>
      <c r="J1493" s="1" t="s">
        <v>512</v>
      </c>
      <c r="K1493" s="1" t="s">
        <v>512</v>
      </c>
      <c r="L1493" s="1" t="s">
        <v>512</v>
      </c>
      <c r="M1493" s="1" t="s">
        <v>512</v>
      </c>
      <c r="N1493" s="1" t="s">
        <v>512</v>
      </c>
      <c r="O1493" s="1" t="s">
        <v>512</v>
      </c>
      <c r="Q1493" s="1" t="s">
        <v>512</v>
      </c>
    </row>
    <row r="1494" spans="4:17" x14ac:dyDescent="0.25">
      <c r="D1494" s="1" t="s">
        <v>512</v>
      </c>
      <c r="E1494" s="21" t="s">
        <v>512</v>
      </c>
      <c r="F1494" s="1" t="s">
        <v>512</v>
      </c>
      <c r="G1494" s="1" t="s">
        <v>512</v>
      </c>
      <c r="H1494" s="1" t="s">
        <v>512</v>
      </c>
      <c r="I1494" s="1" t="s">
        <v>512</v>
      </c>
      <c r="J1494" s="1" t="s">
        <v>512</v>
      </c>
      <c r="K1494" s="1" t="s">
        <v>512</v>
      </c>
      <c r="L1494" s="1" t="s">
        <v>512</v>
      </c>
      <c r="M1494" s="1" t="s">
        <v>512</v>
      </c>
      <c r="N1494" s="1" t="s">
        <v>512</v>
      </c>
      <c r="O1494" s="1" t="s">
        <v>512</v>
      </c>
      <c r="Q1494" s="1" t="s">
        <v>512</v>
      </c>
    </row>
    <row r="1495" spans="4:17" x14ac:dyDescent="0.25">
      <c r="D1495" s="1" t="s">
        <v>512</v>
      </c>
      <c r="E1495" s="21" t="s">
        <v>512</v>
      </c>
      <c r="F1495" s="1" t="s">
        <v>512</v>
      </c>
      <c r="G1495" s="1" t="s">
        <v>512</v>
      </c>
      <c r="H1495" s="1" t="s">
        <v>512</v>
      </c>
      <c r="I1495" s="1" t="s">
        <v>512</v>
      </c>
      <c r="J1495" s="1" t="s">
        <v>512</v>
      </c>
      <c r="K1495" s="1" t="s">
        <v>512</v>
      </c>
      <c r="L1495" s="1" t="s">
        <v>512</v>
      </c>
      <c r="M1495" s="1" t="s">
        <v>512</v>
      </c>
      <c r="N1495" s="1" t="s">
        <v>512</v>
      </c>
      <c r="O1495" s="1" t="s">
        <v>512</v>
      </c>
      <c r="Q1495" s="1" t="s">
        <v>512</v>
      </c>
    </row>
    <row r="1496" spans="4:17" x14ac:dyDescent="0.25">
      <c r="D1496" s="1" t="s">
        <v>512</v>
      </c>
      <c r="E1496" s="21" t="s">
        <v>512</v>
      </c>
      <c r="F1496" s="1" t="s">
        <v>512</v>
      </c>
      <c r="G1496" s="1" t="s">
        <v>512</v>
      </c>
      <c r="H1496" s="1" t="s">
        <v>512</v>
      </c>
      <c r="I1496" s="1" t="s">
        <v>512</v>
      </c>
      <c r="J1496" s="1" t="s">
        <v>512</v>
      </c>
      <c r="K1496" s="1" t="s">
        <v>512</v>
      </c>
      <c r="L1496" s="1" t="s">
        <v>512</v>
      </c>
      <c r="M1496" s="1" t="s">
        <v>512</v>
      </c>
      <c r="N1496" s="1" t="s">
        <v>512</v>
      </c>
      <c r="O1496" s="1" t="s">
        <v>512</v>
      </c>
      <c r="Q1496" s="1" t="s">
        <v>512</v>
      </c>
    </row>
    <row r="1497" spans="4:17" x14ac:dyDescent="0.25">
      <c r="D1497" s="1" t="s">
        <v>512</v>
      </c>
      <c r="E1497" s="21" t="s">
        <v>512</v>
      </c>
      <c r="F1497" s="1" t="s">
        <v>512</v>
      </c>
      <c r="G1497" s="1" t="s">
        <v>512</v>
      </c>
      <c r="H1497" s="1" t="s">
        <v>512</v>
      </c>
      <c r="I1497" s="1" t="s">
        <v>512</v>
      </c>
      <c r="J1497" s="1" t="s">
        <v>512</v>
      </c>
      <c r="K1497" s="1" t="s">
        <v>512</v>
      </c>
      <c r="L1497" s="1" t="s">
        <v>512</v>
      </c>
      <c r="M1497" s="1" t="s">
        <v>512</v>
      </c>
      <c r="N1497" s="1" t="s">
        <v>512</v>
      </c>
      <c r="O1497" s="1" t="s">
        <v>512</v>
      </c>
      <c r="Q1497" s="1" t="s">
        <v>512</v>
      </c>
    </row>
    <row r="1498" spans="4:17" x14ac:dyDescent="0.25">
      <c r="D1498" s="1" t="s">
        <v>512</v>
      </c>
      <c r="E1498" s="21" t="s">
        <v>512</v>
      </c>
      <c r="F1498" s="1" t="s">
        <v>512</v>
      </c>
      <c r="G1498" s="1" t="s">
        <v>512</v>
      </c>
      <c r="H1498" s="1" t="s">
        <v>512</v>
      </c>
      <c r="I1498" s="1" t="s">
        <v>512</v>
      </c>
      <c r="J1498" s="1" t="s">
        <v>512</v>
      </c>
      <c r="K1498" s="1" t="s">
        <v>512</v>
      </c>
      <c r="L1498" s="1" t="s">
        <v>512</v>
      </c>
      <c r="M1498" s="1" t="s">
        <v>512</v>
      </c>
      <c r="N1498" s="1" t="s">
        <v>512</v>
      </c>
      <c r="O1498" s="1" t="s">
        <v>512</v>
      </c>
      <c r="Q1498" s="1" t="s">
        <v>512</v>
      </c>
    </row>
    <row r="1499" spans="4:17" x14ac:dyDescent="0.25">
      <c r="D1499" s="1" t="s">
        <v>512</v>
      </c>
      <c r="E1499" s="21" t="s">
        <v>512</v>
      </c>
      <c r="F1499" s="1" t="s">
        <v>512</v>
      </c>
      <c r="G1499" s="1" t="s">
        <v>512</v>
      </c>
      <c r="H1499" s="1" t="s">
        <v>512</v>
      </c>
      <c r="I1499" s="1" t="s">
        <v>512</v>
      </c>
      <c r="J1499" s="1" t="s">
        <v>512</v>
      </c>
      <c r="K1499" s="1" t="s">
        <v>512</v>
      </c>
      <c r="L1499" s="1" t="s">
        <v>512</v>
      </c>
      <c r="M1499" s="1" t="s">
        <v>512</v>
      </c>
      <c r="N1499" s="1" t="s">
        <v>512</v>
      </c>
      <c r="O1499" s="1" t="s">
        <v>512</v>
      </c>
      <c r="Q1499" s="1" t="s">
        <v>512</v>
      </c>
    </row>
    <row r="1500" spans="4:17" x14ac:dyDescent="0.25">
      <c r="D1500" s="1" t="s">
        <v>512</v>
      </c>
      <c r="E1500" s="21" t="s">
        <v>512</v>
      </c>
      <c r="F1500" s="1" t="s">
        <v>512</v>
      </c>
      <c r="G1500" s="1" t="s">
        <v>512</v>
      </c>
      <c r="H1500" s="1" t="s">
        <v>512</v>
      </c>
      <c r="I1500" s="1" t="s">
        <v>512</v>
      </c>
      <c r="J1500" s="1" t="s">
        <v>512</v>
      </c>
      <c r="K1500" s="1" t="s">
        <v>512</v>
      </c>
      <c r="L1500" s="1" t="s">
        <v>512</v>
      </c>
      <c r="M1500" s="1" t="s">
        <v>512</v>
      </c>
      <c r="N1500" s="1" t="s">
        <v>512</v>
      </c>
      <c r="O1500" s="1" t="s">
        <v>512</v>
      </c>
      <c r="Q1500" s="1" t="s">
        <v>512</v>
      </c>
    </row>
    <row r="1501" spans="4:17" x14ac:dyDescent="0.25">
      <c r="D1501" s="1" t="s">
        <v>512</v>
      </c>
      <c r="E1501" s="21" t="s">
        <v>512</v>
      </c>
      <c r="F1501" s="1" t="s">
        <v>512</v>
      </c>
      <c r="G1501" s="1" t="s">
        <v>512</v>
      </c>
      <c r="H1501" s="1" t="s">
        <v>512</v>
      </c>
      <c r="I1501" s="1" t="s">
        <v>512</v>
      </c>
      <c r="J1501" s="1" t="s">
        <v>512</v>
      </c>
      <c r="K1501" s="1" t="s">
        <v>512</v>
      </c>
      <c r="L1501" s="1" t="s">
        <v>512</v>
      </c>
      <c r="M1501" s="1" t="s">
        <v>512</v>
      </c>
      <c r="N1501" s="1" t="s">
        <v>512</v>
      </c>
      <c r="O1501" s="1" t="s">
        <v>512</v>
      </c>
      <c r="Q1501" s="1" t="s">
        <v>512</v>
      </c>
    </row>
    <row r="1502" spans="4:17" x14ac:dyDescent="0.25">
      <c r="D1502" s="1" t="s">
        <v>512</v>
      </c>
      <c r="E1502" s="21" t="s">
        <v>512</v>
      </c>
      <c r="F1502" s="1" t="s">
        <v>512</v>
      </c>
      <c r="G1502" s="1" t="s">
        <v>512</v>
      </c>
      <c r="H1502" s="1" t="s">
        <v>512</v>
      </c>
      <c r="I1502" s="1" t="s">
        <v>512</v>
      </c>
      <c r="J1502" s="1" t="s">
        <v>512</v>
      </c>
      <c r="K1502" s="1" t="s">
        <v>512</v>
      </c>
      <c r="L1502" s="1" t="s">
        <v>512</v>
      </c>
      <c r="M1502" s="1" t="s">
        <v>512</v>
      </c>
      <c r="N1502" s="1" t="s">
        <v>512</v>
      </c>
      <c r="O1502" s="1" t="s">
        <v>512</v>
      </c>
      <c r="Q1502" s="1" t="s">
        <v>512</v>
      </c>
    </row>
    <row r="1503" spans="4:17" x14ac:dyDescent="0.25">
      <c r="D1503" s="1" t="s">
        <v>512</v>
      </c>
      <c r="E1503" s="21" t="s">
        <v>512</v>
      </c>
      <c r="F1503" s="1" t="s">
        <v>512</v>
      </c>
      <c r="G1503" s="1" t="s">
        <v>512</v>
      </c>
      <c r="H1503" s="1" t="s">
        <v>512</v>
      </c>
      <c r="I1503" s="1" t="s">
        <v>512</v>
      </c>
      <c r="J1503" s="1" t="s">
        <v>512</v>
      </c>
      <c r="K1503" s="1" t="s">
        <v>512</v>
      </c>
      <c r="L1503" s="1" t="s">
        <v>512</v>
      </c>
      <c r="M1503" s="1" t="s">
        <v>512</v>
      </c>
      <c r="N1503" s="1" t="s">
        <v>512</v>
      </c>
      <c r="O1503" s="1" t="s">
        <v>512</v>
      </c>
      <c r="Q1503" s="1" t="s">
        <v>512</v>
      </c>
    </row>
    <row r="1504" spans="4:17" x14ac:dyDescent="0.25">
      <c r="D1504" s="1" t="s">
        <v>512</v>
      </c>
      <c r="E1504" s="21" t="s">
        <v>512</v>
      </c>
      <c r="F1504" s="1" t="s">
        <v>512</v>
      </c>
      <c r="G1504" s="1" t="s">
        <v>512</v>
      </c>
      <c r="H1504" s="1" t="s">
        <v>512</v>
      </c>
      <c r="I1504" s="1" t="s">
        <v>512</v>
      </c>
      <c r="J1504" s="1" t="s">
        <v>512</v>
      </c>
      <c r="K1504" s="1" t="s">
        <v>512</v>
      </c>
      <c r="L1504" s="1" t="s">
        <v>512</v>
      </c>
      <c r="M1504" s="1" t="s">
        <v>512</v>
      </c>
      <c r="N1504" s="1" t="s">
        <v>512</v>
      </c>
      <c r="O1504" s="1" t="s">
        <v>512</v>
      </c>
      <c r="Q1504" s="1" t="s">
        <v>512</v>
      </c>
    </row>
    <row r="1505" spans="4:17" x14ac:dyDescent="0.25">
      <c r="D1505" s="1" t="s">
        <v>512</v>
      </c>
      <c r="E1505" s="21" t="s">
        <v>512</v>
      </c>
      <c r="F1505" s="1" t="s">
        <v>512</v>
      </c>
      <c r="G1505" s="1" t="s">
        <v>512</v>
      </c>
      <c r="H1505" s="1" t="s">
        <v>512</v>
      </c>
      <c r="I1505" s="1" t="s">
        <v>512</v>
      </c>
      <c r="J1505" s="1" t="s">
        <v>512</v>
      </c>
      <c r="K1505" s="1" t="s">
        <v>512</v>
      </c>
      <c r="L1505" s="1" t="s">
        <v>512</v>
      </c>
      <c r="M1505" s="1" t="s">
        <v>512</v>
      </c>
      <c r="N1505" s="1" t="s">
        <v>512</v>
      </c>
      <c r="O1505" s="1" t="s">
        <v>512</v>
      </c>
      <c r="Q1505" s="1" t="s">
        <v>512</v>
      </c>
    </row>
    <row r="1506" spans="4:17" x14ac:dyDescent="0.25">
      <c r="D1506" s="1" t="s">
        <v>512</v>
      </c>
      <c r="E1506" s="21" t="s">
        <v>512</v>
      </c>
      <c r="F1506" s="1" t="s">
        <v>512</v>
      </c>
      <c r="G1506" s="1" t="s">
        <v>512</v>
      </c>
      <c r="H1506" s="1" t="s">
        <v>512</v>
      </c>
      <c r="I1506" s="1" t="s">
        <v>512</v>
      </c>
      <c r="J1506" s="1" t="s">
        <v>512</v>
      </c>
      <c r="K1506" s="1" t="s">
        <v>512</v>
      </c>
      <c r="L1506" s="1" t="s">
        <v>512</v>
      </c>
      <c r="M1506" s="1" t="s">
        <v>512</v>
      </c>
      <c r="N1506" s="1" t="s">
        <v>512</v>
      </c>
      <c r="O1506" s="1" t="s">
        <v>512</v>
      </c>
      <c r="Q1506" s="1" t="s">
        <v>512</v>
      </c>
    </row>
    <row r="1507" spans="4:17" x14ac:dyDescent="0.25">
      <c r="D1507" s="1" t="s">
        <v>512</v>
      </c>
      <c r="E1507" s="21" t="s">
        <v>512</v>
      </c>
      <c r="F1507" s="1" t="s">
        <v>512</v>
      </c>
      <c r="G1507" s="1" t="s">
        <v>512</v>
      </c>
      <c r="H1507" s="1" t="s">
        <v>512</v>
      </c>
      <c r="I1507" s="1" t="s">
        <v>512</v>
      </c>
      <c r="J1507" s="1" t="s">
        <v>512</v>
      </c>
      <c r="K1507" s="1" t="s">
        <v>512</v>
      </c>
      <c r="L1507" s="1" t="s">
        <v>512</v>
      </c>
      <c r="M1507" s="1" t="s">
        <v>512</v>
      </c>
      <c r="N1507" s="1" t="s">
        <v>512</v>
      </c>
      <c r="O1507" s="1" t="s">
        <v>512</v>
      </c>
      <c r="Q1507" s="1" t="s">
        <v>512</v>
      </c>
    </row>
    <row r="1508" spans="4:17" x14ac:dyDescent="0.25">
      <c r="D1508" s="1" t="s">
        <v>512</v>
      </c>
      <c r="E1508" s="21" t="s">
        <v>512</v>
      </c>
      <c r="F1508" s="1" t="s">
        <v>512</v>
      </c>
      <c r="G1508" s="1" t="s">
        <v>512</v>
      </c>
      <c r="H1508" s="1" t="s">
        <v>512</v>
      </c>
      <c r="I1508" s="1" t="s">
        <v>512</v>
      </c>
      <c r="J1508" s="1" t="s">
        <v>512</v>
      </c>
      <c r="K1508" s="1" t="s">
        <v>512</v>
      </c>
      <c r="L1508" s="1" t="s">
        <v>512</v>
      </c>
      <c r="M1508" s="1" t="s">
        <v>512</v>
      </c>
      <c r="N1508" s="1" t="s">
        <v>512</v>
      </c>
      <c r="O1508" s="1" t="s">
        <v>512</v>
      </c>
      <c r="Q1508" s="1" t="s">
        <v>512</v>
      </c>
    </row>
    <row r="1509" spans="4:17" x14ac:dyDescent="0.25">
      <c r="D1509" s="1" t="s">
        <v>512</v>
      </c>
      <c r="E1509" s="21" t="s">
        <v>512</v>
      </c>
      <c r="F1509" s="1" t="s">
        <v>512</v>
      </c>
      <c r="G1509" s="1" t="s">
        <v>512</v>
      </c>
      <c r="H1509" s="1" t="s">
        <v>512</v>
      </c>
      <c r="I1509" s="1" t="s">
        <v>512</v>
      </c>
      <c r="J1509" s="1" t="s">
        <v>512</v>
      </c>
      <c r="K1509" s="1" t="s">
        <v>512</v>
      </c>
      <c r="L1509" s="1" t="s">
        <v>512</v>
      </c>
      <c r="M1509" s="1" t="s">
        <v>512</v>
      </c>
      <c r="N1509" s="1" t="s">
        <v>512</v>
      </c>
      <c r="O1509" s="1" t="s">
        <v>512</v>
      </c>
      <c r="Q1509" s="1" t="s">
        <v>512</v>
      </c>
    </row>
    <row r="1510" spans="4:17" x14ac:dyDescent="0.25">
      <c r="D1510" s="1" t="s">
        <v>512</v>
      </c>
      <c r="E1510" s="21" t="s">
        <v>512</v>
      </c>
      <c r="F1510" s="1" t="s">
        <v>512</v>
      </c>
      <c r="G1510" s="1" t="s">
        <v>512</v>
      </c>
      <c r="H1510" s="1" t="s">
        <v>512</v>
      </c>
      <c r="I1510" s="1" t="s">
        <v>512</v>
      </c>
      <c r="J1510" s="1" t="s">
        <v>512</v>
      </c>
      <c r="K1510" s="1" t="s">
        <v>512</v>
      </c>
      <c r="L1510" s="1" t="s">
        <v>512</v>
      </c>
      <c r="M1510" s="1" t="s">
        <v>512</v>
      </c>
      <c r="N1510" s="1" t="s">
        <v>512</v>
      </c>
      <c r="O1510" s="1" t="s">
        <v>512</v>
      </c>
      <c r="Q1510" s="1" t="s">
        <v>512</v>
      </c>
    </row>
    <row r="1511" spans="4:17" x14ac:dyDescent="0.25">
      <c r="D1511" s="1" t="s">
        <v>512</v>
      </c>
      <c r="E1511" s="21" t="s">
        <v>512</v>
      </c>
      <c r="F1511" s="1" t="s">
        <v>512</v>
      </c>
      <c r="G1511" s="1" t="s">
        <v>512</v>
      </c>
      <c r="H1511" s="1" t="s">
        <v>512</v>
      </c>
      <c r="I1511" s="1" t="s">
        <v>512</v>
      </c>
      <c r="J1511" s="1" t="s">
        <v>512</v>
      </c>
      <c r="K1511" s="1" t="s">
        <v>512</v>
      </c>
      <c r="L1511" s="1" t="s">
        <v>512</v>
      </c>
      <c r="M1511" s="1" t="s">
        <v>512</v>
      </c>
      <c r="N1511" s="1" t="s">
        <v>512</v>
      </c>
      <c r="O1511" s="1" t="s">
        <v>512</v>
      </c>
      <c r="Q1511" s="1" t="s">
        <v>512</v>
      </c>
    </row>
    <row r="1512" spans="4:17" x14ac:dyDescent="0.25">
      <c r="D1512" s="1" t="s">
        <v>512</v>
      </c>
      <c r="E1512" s="21" t="s">
        <v>512</v>
      </c>
      <c r="F1512" s="1" t="s">
        <v>512</v>
      </c>
      <c r="G1512" s="1" t="s">
        <v>512</v>
      </c>
      <c r="H1512" s="1" t="s">
        <v>512</v>
      </c>
      <c r="I1512" s="1" t="s">
        <v>512</v>
      </c>
      <c r="J1512" s="1" t="s">
        <v>512</v>
      </c>
      <c r="K1512" s="1" t="s">
        <v>512</v>
      </c>
      <c r="L1512" s="1" t="s">
        <v>512</v>
      </c>
      <c r="M1512" s="1" t="s">
        <v>512</v>
      </c>
      <c r="N1512" s="1" t="s">
        <v>512</v>
      </c>
      <c r="O1512" s="1" t="s">
        <v>512</v>
      </c>
      <c r="Q1512" s="1" t="s">
        <v>512</v>
      </c>
    </row>
    <row r="1513" spans="4:17" x14ac:dyDescent="0.25">
      <c r="D1513" s="1" t="s">
        <v>512</v>
      </c>
      <c r="E1513" s="21" t="s">
        <v>512</v>
      </c>
      <c r="F1513" s="1" t="s">
        <v>512</v>
      </c>
      <c r="G1513" s="1" t="s">
        <v>512</v>
      </c>
      <c r="H1513" s="1" t="s">
        <v>512</v>
      </c>
      <c r="I1513" s="1" t="s">
        <v>512</v>
      </c>
      <c r="J1513" s="1" t="s">
        <v>512</v>
      </c>
      <c r="K1513" s="1" t="s">
        <v>512</v>
      </c>
      <c r="L1513" s="1" t="s">
        <v>512</v>
      </c>
      <c r="M1513" s="1" t="s">
        <v>512</v>
      </c>
      <c r="N1513" s="1" t="s">
        <v>512</v>
      </c>
      <c r="O1513" s="1" t="s">
        <v>512</v>
      </c>
      <c r="Q1513" s="1" t="s">
        <v>512</v>
      </c>
    </row>
    <row r="1514" spans="4:17" x14ac:dyDescent="0.25">
      <c r="D1514" s="1" t="s">
        <v>512</v>
      </c>
      <c r="E1514" s="21" t="s">
        <v>512</v>
      </c>
      <c r="F1514" s="1" t="s">
        <v>512</v>
      </c>
      <c r="G1514" s="1" t="s">
        <v>512</v>
      </c>
      <c r="H1514" s="1" t="s">
        <v>512</v>
      </c>
      <c r="I1514" s="1" t="s">
        <v>512</v>
      </c>
      <c r="J1514" s="1" t="s">
        <v>512</v>
      </c>
      <c r="K1514" s="1" t="s">
        <v>512</v>
      </c>
      <c r="L1514" s="1" t="s">
        <v>512</v>
      </c>
      <c r="M1514" s="1" t="s">
        <v>512</v>
      </c>
      <c r="N1514" s="1" t="s">
        <v>512</v>
      </c>
      <c r="O1514" s="1" t="s">
        <v>512</v>
      </c>
      <c r="Q1514" s="1" t="s">
        <v>512</v>
      </c>
    </row>
    <row r="1515" spans="4:17" x14ac:dyDescent="0.25">
      <c r="D1515" s="1" t="s">
        <v>512</v>
      </c>
      <c r="E1515" s="21" t="s">
        <v>512</v>
      </c>
      <c r="F1515" s="1" t="s">
        <v>512</v>
      </c>
      <c r="G1515" s="1" t="s">
        <v>512</v>
      </c>
      <c r="H1515" s="1" t="s">
        <v>512</v>
      </c>
      <c r="I1515" s="1" t="s">
        <v>512</v>
      </c>
      <c r="J1515" s="1" t="s">
        <v>512</v>
      </c>
      <c r="K1515" s="1" t="s">
        <v>512</v>
      </c>
      <c r="L1515" s="1" t="s">
        <v>512</v>
      </c>
      <c r="M1515" s="1" t="s">
        <v>512</v>
      </c>
      <c r="N1515" s="1" t="s">
        <v>512</v>
      </c>
      <c r="O1515" s="1" t="s">
        <v>512</v>
      </c>
      <c r="Q1515" s="1" t="s">
        <v>512</v>
      </c>
    </row>
    <row r="1516" spans="4:17" x14ac:dyDescent="0.25">
      <c r="D1516" s="1" t="s">
        <v>512</v>
      </c>
      <c r="E1516" s="21" t="s">
        <v>512</v>
      </c>
      <c r="F1516" s="1" t="s">
        <v>512</v>
      </c>
      <c r="G1516" s="1" t="s">
        <v>512</v>
      </c>
      <c r="H1516" s="1" t="s">
        <v>512</v>
      </c>
      <c r="I1516" s="1" t="s">
        <v>512</v>
      </c>
      <c r="J1516" s="1" t="s">
        <v>512</v>
      </c>
      <c r="K1516" s="1" t="s">
        <v>512</v>
      </c>
      <c r="L1516" s="1" t="s">
        <v>512</v>
      </c>
      <c r="M1516" s="1" t="s">
        <v>512</v>
      </c>
      <c r="N1516" s="1" t="s">
        <v>512</v>
      </c>
      <c r="O1516" s="1" t="s">
        <v>512</v>
      </c>
      <c r="Q1516" s="1" t="s">
        <v>512</v>
      </c>
    </row>
    <row r="1517" spans="4:17" x14ac:dyDescent="0.25">
      <c r="D1517" s="1" t="s">
        <v>512</v>
      </c>
      <c r="E1517" s="21" t="s">
        <v>512</v>
      </c>
      <c r="F1517" s="1" t="s">
        <v>512</v>
      </c>
      <c r="G1517" s="1" t="s">
        <v>512</v>
      </c>
      <c r="H1517" s="1" t="s">
        <v>512</v>
      </c>
      <c r="I1517" s="1" t="s">
        <v>512</v>
      </c>
      <c r="J1517" s="1" t="s">
        <v>512</v>
      </c>
      <c r="K1517" s="1" t="s">
        <v>512</v>
      </c>
      <c r="L1517" s="1" t="s">
        <v>512</v>
      </c>
      <c r="M1517" s="1" t="s">
        <v>512</v>
      </c>
      <c r="N1517" s="1" t="s">
        <v>512</v>
      </c>
      <c r="O1517" s="1" t="s">
        <v>512</v>
      </c>
      <c r="Q1517" s="1" t="s">
        <v>512</v>
      </c>
    </row>
    <row r="1518" spans="4:17" x14ac:dyDescent="0.25">
      <c r="D1518" s="1" t="s">
        <v>512</v>
      </c>
      <c r="E1518" s="21" t="s">
        <v>512</v>
      </c>
      <c r="F1518" s="1" t="s">
        <v>512</v>
      </c>
      <c r="G1518" s="1" t="s">
        <v>512</v>
      </c>
      <c r="H1518" s="1" t="s">
        <v>512</v>
      </c>
      <c r="I1518" s="1" t="s">
        <v>512</v>
      </c>
      <c r="J1518" s="1" t="s">
        <v>512</v>
      </c>
      <c r="K1518" s="1" t="s">
        <v>512</v>
      </c>
      <c r="L1518" s="1" t="s">
        <v>512</v>
      </c>
      <c r="M1518" s="1" t="s">
        <v>512</v>
      </c>
      <c r="N1518" s="1" t="s">
        <v>512</v>
      </c>
      <c r="O1518" s="1" t="s">
        <v>512</v>
      </c>
      <c r="Q1518" s="1" t="s">
        <v>512</v>
      </c>
    </row>
    <row r="1519" spans="4:17" x14ac:dyDescent="0.25">
      <c r="D1519" s="1" t="s">
        <v>512</v>
      </c>
      <c r="E1519" s="21" t="s">
        <v>512</v>
      </c>
      <c r="F1519" s="1" t="s">
        <v>512</v>
      </c>
      <c r="G1519" s="1" t="s">
        <v>512</v>
      </c>
      <c r="H1519" s="1" t="s">
        <v>512</v>
      </c>
      <c r="I1519" s="1" t="s">
        <v>512</v>
      </c>
      <c r="J1519" s="1" t="s">
        <v>512</v>
      </c>
      <c r="K1519" s="1" t="s">
        <v>512</v>
      </c>
      <c r="L1519" s="1" t="s">
        <v>512</v>
      </c>
      <c r="M1519" s="1" t="s">
        <v>512</v>
      </c>
      <c r="N1519" s="1" t="s">
        <v>512</v>
      </c>
      <c r="O1519" s="1" t="s">
        <v>512</v>
      </c>
      <c r="Q1519" s="1" t="s">
        <v>512</v>
      </c>
    </row>
    <row r="1520" spans="4:17" x14ac:dyDescent="0.25">
      <c r="D1520" s="1" t="s">
        <v>512</v>
      </c>
      <c r="E1520" s="21" t="s">
        <v>512</v>
      </c>
      <c r="F1520" s="1" t="s">
        <v>512</v>
      </c>
      <c r="G1520" s="1" t="s">
        <v>512</v>
      </c>
      <c r="H1520" s="1" t="s">
        <v>512</v>
      </c>
      <c r="I1520" s="1" t="s">
        <v>512</v>
      </c>
      <c r="J1520" s="1" t="s">
        <v>512</v>
      </c>
      <c r="K1520" s="1" t="s">
        <v>512</v>
      </c>
      <c r="L1520" s="1" t="s">
        <v>512</v>
      </c>
      <c r="M1520" s="1" t="s">
        <v>512</v>
      </c>
      <c r="N1520" s="1" t="s">
        <v>512</v>
      </c>
      <c r="O1520" s="1" t="s">
        <v>512</v>
      </c>
      <c r="Q1520" s="1" t="s">
        <v>512</v>
      </c>
    </row>
    <row r="1521" spans="4:17" x14ac:dyDescent="0.25">
      <c r="D1521" s="1" t="s">
        <v>512</v>
      </c>
      <c r="E1521" s="21" t="s">
        <v>512</v>
      </c>
      <c r="F1521" s="1" t="s">
        <v>512</v>
      </c>
      <c r="G1521" s="1" t="s">
        <v>512</v>
      </c>
      <c r="H1521" s="1" t="s">
        <v>512</v>
      </c>
      <c r="I1521" s="1" t="s">
        <v>512</v>
      </c>
      <c r="J1521" s="1" t="s">
        <v>512</v>
      </c>
      <c r="K1521" s="1" t="s">
        <v>512</v>
      </c>
      <c r="L1521" s="1" t="s">
        <v>512</v>
      </c>
      <c r="M1521" s="1" t="s">
        <v>512</v>
      </c>
      <c r="N1521" s="1" t="s">
        <v>512</v>
      </c>
      <c r="O1521" s="1" t="s">
        <v>512</v>
      </c>
      <c r="Q1521" s="1" t="s">
        <v>512</v>
      </c>
    </row>
    <row r="1522" spans="4:17" x14ac:dyDescent="0.25">
      <c r="D1522" s="1" t="s">
        <v>512</v>
      </c>
      <c r="E1522" s="21" t="s">
        <v>512</v>
      </c>
      <c r="F1522" s="1" t="s">
        <v>512</v>
      </c>
      <c r="G1522" s="1" t="s">
        <v>512</v>
      </c>
      <c r="H1522" s="1" t="s">
        <v>512</v>
      </c>
      <c r="I1522" s="1" t="s">
        <v>512</v>
      </c>
      <c r="J1522" s="1" t="s">
        <v>512</v>
      </c>
      <c r="K1522" s="1" t="s">
        <v>512</v>
      </c>
      <c r="L1522" s="1" t="s">
        <v>512</v>
      </c>
      <c r="M1522" s="1" t="s">
        <v>512</v>
      </c>
      <c r="N1522" s="1" t="s">
        <v>512</v>
      </c>
      <c r="O1522" s="1" t="s">
        <v>512</v>
      </c>
      <c r="Q1522" s="1" t="s">
        <v>512</v>
      </c>
    </row>
    <row r="1523" spans="4:17" x14ac:dyDescent="0.25">
      <c r="D1523" s="1" t="s">
        <v>512</v>
      </c>
      <c r="E1523" s="21" t="s">
        <v>512</v>
      </c>
      <c r="F1523" s="1" t="s">
        <v>512</v>
      </c>
      <c r="G1523" s="1" t="s">
        <v>512</v>
      </c>
      <c r="H1523" s="1" t="s">
        <v>512</v>
      </c>
      <c r="I1523" s="1" t="s">
        <v>512</v>
      </c>
      <c r="J1523" s="1" t="s">
        <v>512</v>
      </c>
      <c r="K1523" s="1" t="s">
        <v>512</v>
      </c>
      <c r="L1523" s="1" t="s">
        <v>512</v>
      </c>
      <c r="M1523" s="1" t="s">
        <v>512</v>
      </c>
      <c r="N1523" s="1" t="s">
        <v>512</v>
      </c>
      <c r="O1523" s="1" t="s">
        <v>512</v>
      </c>
      <c r="Q1523" s="1" t="s">
        <v>512</v>
      </c>
    </row>
    <row r="1524" spans="4:17" x14ac:dyDescent="0.25">
      <c r="D1524" s="1" t="s">
        <v>512</v>
      </c>
      <c r="E1524" s="21" t="s">
        <v>512</v>
      </c>
      <c r="F1524" s="1" t="s">
        <v>512</v>
      </c>
      <c r="G1524" s="1" t="s">
        <v>512</v>
      </c>
      <c r="H1524" s="1" t="s">
        <v>512</v>
      </c>
      <c r="I1524" s="1" t="s">
        <v>512</v>
      </c>
      <c r="J1524" s="1" t="s">
        <v>512</v>
      </c>
      <c r="K1524" s="1" t="s">
        <v>512</v>
      </c>
      <c r="L1524" s="1" t="s">
        <v>512</v>
      </c>
      <c r="M1524" s="1" t="s">
        <v>512</v>
      </c>
      <c r="N1524" s="1" t="s">
        <v>512</v>
      </c>
      <c r="O1524" s="1" t="s">
        <v>512</v>
      </c>
      <c r="Q1524" s="1" t="s">
        <v>512</v>
      </c>
    </row>
    <row r="1525" spans="4:17" x14ac:dyDescent="0.25">
      <c r="D1525" s="1" t="s">
        <v>512</v>
      </c>
      <c r="E1525" s="21" t="s">
        <v>512</v>
      </c>
      <c r="F1525" s="1" t="s">
        <v>512</v>
      </c>
      <c r="G1525" s="1" t="s">
        <v>512</v>
      </c>
      <c r="H1525" s="1" t="s">
        <v>512</v>
      </c>
      <c r="I1525" s="1" t="s">
        <v>512</v>
      </c>
      <c r="J1525" s="1" t="s">
        <v>512</v>
      </c>
      <c r="K1525" s="1" t="s">
        <v>512</v>
      </c>
      <c r="L1525" s="1" t="s">
        <v>512</v>
      </c>
      <c r="M1525" s="1" t="s">
        <v>512</v>
      </c>
      <c r="N1525" s="1" t="s">
        <v>512</v>
      </c>
      <c r="O1525" s="1" t="s">
        <v>512</v>
      </c>
      <c r="Q1525" s="1" t="s">
        <v>512</v>
      </c>
    </row>
    <row r="1526" spans="4:17" x14ac:dyDescent="0.25">
      <c r="D1526" s="1" t="s">
        <v>512</v>
      </c>
      <c r="E1526" s="21" t="s">
        <v>512</v>
      </c>
      <c r="F1526" s="1" t="s">
        <v>512</v>
      </c>
      <c r="G1526" s="1" t="s">
        <v>512</v>
      </c>
      <c r="H1526" s="1" t="s">
        <v>512</v>
      </c>
      <c r="I1526" s="1" t="s">
        <v>512</v>
      </c>
      <c r="J1526" s="1" t="s">
        <v>512</v>
      </c>
      <c r="K1526" s="1" t="s">
        <v>512</v>
      </c>
      <c r="L1526" s="1" t="s">
        <v>512</v>
      </c>
      <c r="M1526" s="1" t="s">
        <v>512</v>
      </c>
      <c r="N1526" s="1" t="s">
        <v>512</v>
      </c>
      <c r="O1526" s="1" t="s">
        <v>512</v>
      </c>
      <c r="Q1526" s="1" t="s">
        <v>512</v>
      </c>
    </row>
    <row r="1527" spans="4:17" x14ac:dyDescent="0.25">
      <c r="D1527" s="1" t="s">
        <v>512</v>
      </c>
      <c r="E1527" s="21" t="s">
        <v>512</v>
      </c>
      <c r="F1527" s="1" t="s">
        <v>512</v>
      </c>
      <c r="G1527" s="1" t="s">
        <v>512</v>
      </c>
      <c r="H1527" s="1" t="s">
        <v>512</v>
      </c>
      <c r="I1527" s="1" t="s">
        <v>512</v>
      </c>
      <c r="J1527" s="1" t="s">
        <v>512</v>
      </c>
      <c r="K1527" s="1" t="s">
        <v>512</v>
      </c>
      <c r="L1527" s="1" t="s">
        <v>512</v>
      </c>
      <c r="M1527" s="1" t="s">
        <v>512</v>
      </c>
      <c r="N1527" s="1" t="s">
        <v>512</v>
      </c>
      <c r="O1527" s="1" t="s">
        <v>512</v>
      </c>
      <c r="Q1527" s="1" t="s">
        <v>512</v>
      </c>
    </row>
    <row r="1528" spans="4:17" x14ac:dyDescent="0.25">
      <c r="D1528" s="1" t="s">
        <v>512</v>
      </c>
      <c r="E1528" s="21" t="s">
        <v>512</v>
      </c>
      <c r="F1528" s="1" t="s">
        <v>512</v>
      </c>
      <c r="G1528" s="1" t="s">
        <v>512</v>
      </c>
      <c r="H1528" s="1" t="s">
        <v>512</v>
      </c>
      <c r="I1528" s="1" t="s">
        <v>512</v>
      </c>
      <c r="J1528" s="1" t="s">
        <v>512</v>
      </c>
      <c r="K1528" s="1" t="s">
        <v>512</v>
      </c>
      <c r="L1528" s="1" t="s">
        <v>512</v>
      </c>
      <c r="M1528" s="1" t="s">
        <v>512</v>
      </c>
      <c r="N1528" s="1" t="s">
        <v>512</v>
      </c>
      <c r="O1528" s="1" t="s">
        <v>512</v>
      </c>
      <c r="Q1528" s="1" t="s">
        <v>512</v>
      </c>
    </row>
    <row r="1529" spans="4:17" x14ac:dyDescent="0.25">
      <c r="D1529" s="1" t="s">
        <v>512</v>
      </c>
      <c r="E1529" s="21" t="s">
        <v>512</v>
      </c>
      <c r="F1529" s="1" t="s">
        <v>512</v>
      </c>
      <c r="G1529" s="1" t="s">
        <v>512</v>
      </c>
      <c r="H1529" s="1" t="s">
        <v>512</v>
      </c>
      <c r="I1529" s="1" t="s">
        <v>512</v>
      </c>
      <c r="J1529" s="1" t="s">
        <v>512</v>
      </c>
      <c r="K1529" s="1" t="s">
        <v>512</v>
      </c>
      <c r="L1529" s="1" t="s">
        <v>512</v>
      </c>
      <c r="M1529" s="1" t="s">
        <v>512</v>
      </c>
      <c r="N1529" s="1" t="s">
        <v>512</v>
      </c>
      <c r="O1529" s="1" t="s">
        <v>512</v>
      </c>
      <c r="Q1529" s="1" t="s">
        <v>512</v>
      </c>
    </row>
    <row r="1530" spans="4:17" x14ac:dyDescent="0.25">
      <c r="D1530" s="1" t="s">
        <v>512</v>
      </c>
      <c r="E1530" s="21" t="s">
        <v>512</v>
      </c>
      <c r="F1530" s="1" t="s">
        <v>512</v>
      </c>
      <c r="G1530" s="1" t="s">
        <v>512</v>
      </c>
      <c r="H1530" s="1" t="s">
        <v>512</v>
      </c>
      <c r="I1530" s="1" t="s">
        <v>512</v>
      </c>
      <c r="J1530" s="1" t="s">
        <v>512</v>
      </c>
      <c r="K1530" s="1" t="s">
        <v>512</v>
      </c>
      <c r="L1530" s="1" t="s">
        <v>512</v>
      </c>
      <c r="M1530" s="1" t="s">
        <v>512</v>
      </c>
      <c r="N1530" s="1" t="s">
        <v>512</v>
      </c>
      <c r="O1530" s="1" t="s">
        <v>512</v>
      </c>
      <c r="Q1530" s="1" t="s">
        <v>512</v>
      </c>
    </row>
    <row r="1531" spans="4:17" x14ac:dyDescent="0.25">
      <c r="D1531" s="1" t="s">
        <v>512</v>
      </c>
      <c r="E1531" s="21" t="s">
        <v>512</v>
      </c>
      <c r="F1531" s="1" t="s">
        <v>512</v>
      </c>
      <c r="G1531" s="1" t="s">
        <v>512</v>
      </c>
      <c r="H1531" s="1" t="s">
        <v>512</v>
      </c>
      <c r="I1531" s="1" t="s">
        <v>512</v>
      </c>
      <c r="J1531" s="1" t="s">
        <v>512</v>
      </c>
      <c r="K1531" s="1" t="s">
        <v>512</v>
      </c>
      <c r="L1531" s="1" t="s">
        <v>512</v>
      </c>
      <c r="M1531" s="1" t="s">
        <v>512</v>
      </c>
      <c r="N1531" s="1" t="s">
        <v>512</v>
      </c>
      <c r="O1531" s="1" t="s">
        <v>512</v>
      </c>
      <c r="Q1531" s="1" t="s">
        <v>512</v>
      </c>
    </row>
    <row r="1532" spans="4:17" x14ac:dyDescent="0.25">
      <c r="D1532" s="1" t="s">
        <v>512</v>
      </c>
      <c r="E1532" s="21" t="s">
        <v>512</v>
      </c>
      <c r="F1532" s="1" t="s">
        <v>512</v>
      </c>
      <c r="G1532" s="1" t="s">
        <v>512</v>
      </c>
      <c r="H1532" s="1" t="s">
        <v>512</v>
      </c>
      <c r="I1532" s="1" t="s">
        <v>512</v>
      </c>
      <c r="J1532" s="1" t="s">
        <v>512</v>
      </c>
      <c r="K1532" s="1" t="s">
        <v>512</v>
      </c>
      <c r="L1532" s="1" t="s">
        <v>512</v>
      </c>
      <c r="M1532" s="1" t="s">
        <v>512</v>
      </c>
      <c r="N1532" s="1" t="s">
        <v>512</v>
      </c>
      <c r="O1532" s="1" t="s">
        <v>512</v>
      </c>
      <c r="Q1532" s="1" t="s">
        <v>512</v>
      </c>
    </row>
    <row r="1533" spans="4:17" x14ac:dyDescent="0.25">
      <c r="D1533" s="1" t="s">
        <v>512</v>
      </c>
      <c r="E1533" s="21" t="s">
        <v>512</v>
      </c>
      <c r="F1533" s="1" t="s">
        <v>512</v>
      </c>
      <c r="G1533" s="1" t="s">
        <v>512</v>
      </c>
      <c r="H1533" s="1" t="s">
        <v>512</v>
      </c>
      <c r="I1533" s="1" t="s">
        <v>512</v>
      </c>
      <c r="J1533" s="1" t="s">
        <v>512</v>
      </c>
      <c r="K1533" s="1" t="s">
        <v>512</v>
      </c>
      <c r="L1533" s="1" t="s">
        <v>512</v>
      </c>
      <c r="M1533" s="1" t="s">
        <v>512</v>
      </c>
      <c r="N1533" s="1" t="s">
        <v>512</v>
      </c>
      <c r="O1533" s="1" t="s">
        <v>512</v>
      </c>
      <c r="Q1533" s="1" t="s">
        <v>512</v>
      </c>
    </row>
    <row r="1534" spans="4:17" x14ac:dyDescent="0.25">
      <c r="D1534" s="1" t="s">
        <v>512</v>
      </c>
      <c r="E1534" s="21" t="s">
        <v>512</v>
      </c>
      <c r="F1534" s="1" t="s">
        <v>512</v>
      </c>
      <c r="G1534" s="1" t="s">
        <v>512</v>
      </c>
      <c r="H1534" s="1" t="s">
        <v>512</v>
      </c>
      <c r="I1534" s="1" t="s">
        <v>512</v>
      </c>
      <c r="J1534" s="1" t="s">
        <v>512</v>
      </c>
      <c r="K1534" s="1" t="s">
        <v>512</v>
      </c>
      <c r="L1534" s="1" t="s">
        <v>512</v>
      </c>
      <c r="M1534" s="1" t="s">
        <v>512</v>
      </c>
      <c r="N1534" s="1" t="s">
        <v>512</v>
      </c>
      <c r="O1534" s="1" t="s">
        <v>512</v>
      </c>
      <c r="Q1534" s="1" t="s">
        <v>512</v>
      </c>
    </row>
    <row r="1535" spans="4:17" x14ac:dyDescent="0.25">
      <c r="D1535" s="1" t="s">
        <v>512</v>
      </c>
      <c r="E1535" s="21" t="s">
        <v>512</v>
      </c>
      <c r="F1535" s="1" t="s">
        <v>512</v>
      </c>
      <c r="G1535" s="1" t="s">
        <v>512</v>
      </c>
      <c r="H1535" s="1" t="s">
        <v>512</v>
      </c>
      <c r="I1535" s="1" t="s">
        <v>512</v>
      </c>
      <c r="J1535" s="1" t="s">
        <v>512</v>
      </c>
      <c r="K1535" s="1" t="s">
        <v>512</v>
      </c>
      <c r="L1535" s="1" t="s">
        <v>512</v>
      </c>
      <c r="M1535" s="1" t="s">
        <v>512</v>
      </c>
      <c r="N1535" s="1" t="s">
        <v>512</v>
      </c>
      <c r="O1535" s="1" t="s">
        <v>512</v>
      </c>
      <c r="Q1535" s="1" t="s">
        <v>512</v>
      </c>
    </row>
    <row r="1536" spans="4:17" x14ac:dyDescent="0.25">
      <c r="D1536" s="1" t="s">
        <v>512</v>
      </c>
      <c r="E1536" s="21" t="s">
        <v>512</v>
      </c>
      <c r="F1536" s="1" t="s">
        <v>512</v>
      </c>
      <c r="G1536" s="1" t="s">
        <v>512</v>
      </c>
      <c r="H1536" s="1" t="s">
        <v>512</v>
      </c>
      <c r="I1536" s="1" t="s">
        <v>512</v>
      </c>
      <c r="J1536" s="1" t="s">
        <v>512</v>
      </c>
      <c r="K1536" s="1" t="s">
        <v>512</v>
      </c>
      <c r="L1536" s="1" t="s">
        <v>512</v>
      </c>
      <c r="M1536" s="1" t="s">
        <v>512</v>
      </c>
      <c r="N1536" s="1" t="s">
        <v>512</v>
      </c>
      <c r="O1536" s="1" t="s">
        <v>512</v>
      </c>
      <c r="Q1536" s="1" t="s">
        <v>512</v>
      </c>
    </row>
    <row r="1537" spans="4:17" x14ac:dyDescent="0.25">
      <c r="D1537" s="1" t="s">
        <v>512</v>
      </c>
      <c r="E1537" s="21" t="s">
        <v>512</v>
      </c>
      <c r="F1537" s="1" t="s">
        <v>512</v>
      </c>
      <c r="G1537" s="1" t="s">
        <v>512</v>
      </c>
      <c r="H1537" s="1" t="s">
        <v>512</v>
      </c>
      <c r="I1537" s="1" t="s">
        <v>512</v>
      </c>
      <c r="J1537" s="1" t="s">
        <v>512</v>
      </c>
      <c r="K1537" s="1" t="s">
        <v>512</v>
      </c>
      <c r="L1537" s="1" t="s">
        <v>512</v>
      </c>
      <c r="M1537" s="1" t="s">
        <v>512</v>
      </c>
      <c r="N1537" s="1" t="s">
        <v>512</v>
      </c>
      <c r="O1537" s="1" t="s">
        <v>512</v>
      </c>
      <c r="Q1537" s="1" t="s">
        <v>512</v>
      </c>
    </row>
    <row r="1538" spans="4:17" x14ac:dyDescent="0.25">
      <c r="D1538" s="1" t="s">
        <v>512</v>
      </c>
      <c r="E1538" s="21" t="s">
        <v>512</v>
      </c>
      <c r="F1538" s="1" t="s">
        <v>512</v>
      </c>
      <c r="G1538" s="1" t="s">
        <v>512</v>
      </c>
      <c r="H1538" s="1" t="s">
        <v>512</v>
      </c>
      <c r="I1538" s="1" t="s">
        <v>512</v>
      </c>
      <c r="J1538" s="1" t="s">
        <v>512</v>
      </c>
      <c r="K1538" s="1" t="s">
        <v>512</v>
      </c>
      <c r="L1538" s="1" t="s">
        <v>512</v>
      </c>
      <c r="M1538" s="1" t="s">
        <v>512</v>
      </c>
      <c r="N1538" s="1" t="s">
        <v>512</v>
      </c>
      <c r="O1538" s="1" t="s">
        <v>512</v>
      </c>
      <c r="Q1538" s="1" t="s">
        <v>512</v>
      </c>
    </row>
    <row r="1539" spans="4:17" x14ac:dyDescent="0.25">
      <c r="D1539" s="1" t="s">
        <v>512</v>
      </c>
      <c r="E1539" s="21" t="s">
        <v>512</v>
      </c>
      <c r="F1539" s="1" t="s">
        <v>512</v>
      </c>
      <c r="G1539" s="1" t="s">
        <v>512</v>
      </c>
      <c r="H1539" s="1" t="s">
        <v>512</v>
      </c>
      <c r="I1539" s="1" t="s">
        <v>512</v>
      </c>
      <c r="J1539" s="1" t="s">
        <v>512</v>
      </c>
      <c r="K1539" s="1" t="s">
        <v>512</v>
      </c>
      <c r="L1539" s="1" t="s">
        <v>512</v>
      </c>
      <c r="M1539" s="1" t="s">
        <v>512</v>
      </c>
      <c r="N1539" s="1" t="s">
        <v>512</v>
      </c>
      <c r="O1539" s="1" t="s">
        <v>512</v>
      </c>
      <c r="Q1539" s="1" t="s">
        <v>512</v>
      </c>
    </row>
    <row r="1540" spans="4:17" x14ac:dyDescent="0.25">
      <c r="D1540" s="1" t="s">
        <v>512</v>
      </c>
      <c r="E1540" s="21" t="s">
        <v>512</v>
      </c>
      <c r="F1540" s="1" t="s">
        <v>512</v>
      </c>
      <c r="G1540" s="1" t="s">
        <v>512</v>
      </c>
      <c r="H1540" s="1" t="s">
        <v>512</v>
      </c>
      <c r="I1540" s="1" t="s">
        <v>512</v>
      </c>
      <c r="J1540" s="1" t="s">
        <v>512</v>
      </c>
      <c r="K1540" s="1" t="s">
        <v>512</v>
      </c>
      <c r="L1540" s="1" t="s">
        <v>512</v>
      </c>
      <c r="M1540" s="1" t="s">
        <v>512</v>
      </c>
      <c r="N1540" s="1" t="s">
        <v>512</v>
      </c>
      <c r="O1540" s="1" t="s">
        <v>512</v>
      </c>
      <c r="Q1540" s="1" t="s">
        <v>512</v>
      </c>
    </row>
    <row r="1541" spans="4:17" x14ac:dyDescent="0.25">
      <c r="D1541" s="1" t="s">
        <v>512</v>
      </c>
      <c r="E1541" s="21" t="s">
        <v>512</v>
      </c>
      <c r="F1541" s="1" t="s">
        <v>512</v>
      </c>
      <c r="G1541" s="1" t="s">
        <v>512</v>
      </c>
      <c r="H1541" s="1" t="s">
        <v>512</v>
      </c>
      <c r="I1541" s="1" t="s">
        <v>512</v>
      </c>
      <c r="J1541" s="1" t="s">
        <v>512</v>
      </c>
      <c r="K1541" s="1" t="s">
        <v>512</v>
      </c>
      <c r="L1541" s="1" t="s">
        <v>512</v>
      </c>
      <c r="M1541" s="1" t="s">
        <v>512</v>
      </c>
      <c r="N1541" s="1" t="s">
        <v>512</v>
      </c>
      <c r="O1541" s="1" t="s">
        <v>512</v>
      </c>
      <c r="Q1541" s="1" t="s">
        <v>512</v>
      </c>
    </row>
    <row r="1542" spans="4:17" x14ac:dyDescent="0.25">
      <c r="D1542" s="1" t="s">
        <v>512</v>
      </c>
      <c r="E1542" s="21" t="s">
        <v>512</v>
      </c>
      <c r="F1542" s="1" t="s">
        <v>512</v>
      </c>
      <c r="G1542" s="1" t="s">
        <v>512</v>
      </c>
      <c r="H1542" s="1" t="s">
        <v>512</v>
      </c>
      <c r="I1542" s="1" t="s">
        <v>512</v>
      </c>
      <c r="J1542" s="1" t="s">
        <v>512</v>
      </c>
      <c r="K1542" s="1" t="s">
        <v>512</v>
      </c>
      <c r="L1542" s="1" t="s">
        <v>512</v>
      </c>
      <c r="M1542" s="1" t="s">
        <v>512</v>
      </c>
      <c r="N1542" s="1" t="s">
        <v>512</v>
      </c>
      <c r="O1542" s="1" t="s">
        <v>512</v>
      </c>
      <c r="Q1542" s="1" t="s">
        <v>512</v>
      </c>
    </row>
    <row r="1543" spans="4:17" x14ac:dyDescent="0.25">
      <c r="D1543" s="1" t="s">
        <v>512</v>
      </c>
      <c r="E1543" s="21" t="s">
        <v>512</v>
      </c>
      <c r="F1543" s="1" t="s">
        <v>512</v>
      </c>
      <c r="G1543" s="1" t="s">
        <v>512</v>
      </c>
      <c r="H1543" s="1" t="s">
        <v>512</v>
      </c>
      <c r="I1543" s="1" t="s">
        <v>512</v>
      </c>
      <c r="J1543" s="1" t="s">
        <v>512</v>
      </c>
      <c r="K1543" s="1" t="s">
        <v>512</v>
      </c>
      <c r="L1543" s="1" t="s">
        <v>512</v>
      </c>
      <c r="M1543" s="1" t="s">
        <v>512</v>
      </c>
      <c r="N1543" s="1" t="s">
        <v>512</v>
      </c>
      <c r="O1543" s="1" t="s">
        <v>512</v>
      </c>
      <c r="Q1543" s="1" t="s">
        <v>512</v>
      </c>
    </row>
    <row r="1544" spans="4:17" x14ac:dyDescent="0.25">
      <c r="D1544" s="1" t="s">
        <v>512</v>
      </c>
      <c r="E1544" s="21" t="s">
        <v>512</v>
      </c>
      <c r="F1544" s="1" t="s">
        <v>512</v>
      </c>
      <c r="G1544" s="1" t="s">
        <v>512</v>
      </c>
      <c r="H1544" s="1" t="s">
        <v>512</v>
      </c>
      <c r="I1544" s="1" t="s">
        <v>512</v>
      </c>
      <c r="J1544" s="1" t="s">
        <v>512</v>
      </c>
      <c r="K1544" s="1" t="s">
        <v>512</v>
      </c>
      <c r="L1544" s="1" t="s">
        <v>512</v>
      </c>
      <c r="M1544" s="1" t="s">
        <v>512</v>
      </c>
      <c r="N1544" s="1" t="s">
        <v>512</v>
      </c>
      <c r="O1544" s="1" t="s">
        <v>512</v>
      </c>
      <c r="Q1544" s="1" t="s">
        <v>512</v>
      </c>
    </row>
    <row r="1545" spans="4:17" x14ac:dyDescent="0.25">
      <c r="D1545" s="1" t="s">
        <v>512</v>
      </c>
      <c r="E1545" s="21" t="s">
        <v>512</v>
      </c>
      <c r="F1545" s="1" t="s">
        <v>512</v>
      </c>
      <c r="G1545" s="1" t="s">
        <v>512</v>
      </c>
      <c r="H1545" s="1" t="s">
        <v>512</v>
      </c>
      <c r="I1545" s="1" t="s">
        <v>512</v>
      </c>
      <c r="J1545" s="1" t="s">
        <v>512</v>
      </c>
      <c r="K1545" s="1" t="s">
        <v>512</v>
      </c>
      <c r="L1545" s="1" t="s">
        <v>512</v>
      </c>
      <c r="M1545" s="1" t="s">
        <v>512</v>
      </c>
      <c r="N1545" s="1" t="s">
        <v>512</v>
      </c>
      <c r="O1545" s="1" t="s">
        <v>512</v>
      </c>
      <c r="Q1545" s="1" t="s">
        <v>512</v>
      </c>
    </row>
    <row r="1546" spans="4:17" x14ac:dyDescent="0.25">
      <c r="D1546" s="1" t="s">
        <v>512</v>
      </c>
      <c r="E1546" s="21" t="s">
        <v>512</v>
      </c>
      <c r="F1546" s="1" t="s">
        <v>512</v>
      </c>
      <c r="G1546" s="1" t="s">
        <v>512</v>
      </c>
      <c r="H1546" s="1" t="s">
        <v>512</v>
      </c>
      <c r="I1546" s="1" t="s">
        <v>512</v>
      </c>
      <c r="J1546" s="1" t="s">
        <v>512</v>
      </c>
      <c r="K1546" s="1" t="s">
        <v>512</v>
      </c>
      <c r="L1546" s="1" t="s">
        <v>512</v>
      </c>
      <c r="M1546" s="1" t="s">
        <v>512</v>
      </c>
      <c r="N1546" s="1" t="s">
        <v>512</v>
      </c>
      <c r="O1546" s="1" t="s">
        <v>512</v>
      </c>
      <c r="Q1546" s="1" t="s">
        <v>512</v>
      </c>
    </row>
    <row r="1547" spans="4:17" x14ac:dyDescent="0.25">
      <c r="D1547" s="1" t="s">
        <v>512</v>
      </c>
      <c r="E1547" s="21" t="s">
        <v>512</v>
      </c>
      <c r="F1547" s="1" t="s">
        <v>512</v>
      </c>
      <c r="G1547" s="1" t="s">
        <v>512</v>
      </c>
      <c r="H1547" s="1" t="s">
        <v>512</v>
      </c>
      <c r="I1547" s="1" t="s">
        <v>512</v>
      </c>
      <c r="J1547" s="1" t="s">
        <v>512</v>
      </c>
      <c r="K1547" s="1" t="s">
        <v>512</v>
      </c>
      <c r="L1547" s="1" t="s">
        <v>512</v>
      </c>
      <c r="M1547" s="1" t="s">
        <v>512</v>
      </c>
      <c r="N1547" s="1" t="s">
        <v>512</v>
      </c>
      <c r="O1547" s="1" t="s">
        <v>512</v>
      </c>
      <c r="Q1547" s="1" t="s">
        <v>512</v>
      </c>
    </row>
    <row r="1548" spans="4:17" x14ac:dyDescent="0.25">
      <c r="D1548" s="1" t="s">
        <v>512</v>
      </c>
      <c r="E1548" s="21" t="s">
        <v>512</v>
      </c>
      <c r="F1548" s="1" t="s">
        <v>512</v>
      </c>
      <c r="G1548" s="1" t="s">
        <v>512</v>
      </c>
      <c r="H1548" s="1" t="s">
        <v>512</v>
      </c>
      <c r="I1548" s="1" t="s">
        <v>512</v>
      </c>
      <c r="J1548" s="1" t="s">
        <v>512</v>
      </c>
      <c r="K1548" s="1" t="s">
        <v>512</v>
      </c>
      <c r="L1548" s="1" t="s">
        <v>512</v>
      </c>
      <c r="M1548" s="1" t="s">
        <v>512</v>
      </c>
      <c r="N1548" s="1" t="s">
        <v>512</v>
      </c>
      <c r="O1548" s="1" t="s">
        <v>512</v>
      </c>
      <c r="Q1548" s="1" t="s">
        <v>512</v>
      </c>
    </row>
    <row r="1549" spans="4:17" x14ac:dyDescent="0.25">
      <c r="D1549" s="1" t="s">
        <v>512</v>
      </c>
      <c r="E1549" s="21" t="s">
        <v>512</v>
      </c>
      <c r="F1549" s="1" t="s">
        <v>512</v>
      </c>
      <c r="G1549" s="1" t="s">
        <v>512</v>
      </c>
      <c r="H1549" s="1" t="s">
        <v>512</v>
      </c>
      <c r="I1549" s="1" t="s">
        <v>512</v>
      </c>
      <c r="J1549" s="1" t="s">
        <v>512</v>
      </c>
      <c r="K1549" s="1" t="s">
        <v>512</v>
      </c>
      <c r="L1549" s="1" t="s">
        <v>512</v>
      </c>
      <c r="M1549" s="1" t="s">
        <v>512</v>
      </c>
      <c r="N1549" s="1" t="s">
        <v>512</v>
      </c>
      <c r="O1549" s="1" t="s">
        <v>512</v>
      </c>
      <c r="Q1549" s="1" t="s">
        <v>512</v>
      </c>
    </row>
    <row r="1550" spans="4:17" x14ac:dyDescent="0.25">
      <c r="D1550" s="1" t="s">
        <v>512</v>
      </c>
      <c r="E1550" s="21" t="s">
        <v>512</v>
      </c>
      <c r="F1550" s="1" t="s">
        <v>512</v>
      </c>
      <c r="G1550" s="1" t="s">
        <v>512</v>
      </c>
      <c r="H1550" s="1" t="s">
        <v>512</v>
      </c>
      <c r="I1550" s="1" t="s">
        <v>512</v>
      </c>
      <c r="J1550" s="1" t="s">
        <v>512</v>
      </c>
      <c r="K1550" s="1" t="s">
        <v>512</v>
      </c>
      <c r="L1550" s="1" t="s">
        <v>512</v>
      </c>
      <c r="M1550" s="1" t="s">
        <v>512</v>
      </c>
      <c r="N1550" s="1" t="s">
        <v>512</v>
      </c>
      <c r="O1550" s="1" t="s">
        <v>512</v>
      </c>
      <c r="Q1550" s="1" t="s">
        <v>512</v>
      </c>
    </row>
    <row r="1551" spans="4:17" x14ac:dyDescent="0.25">
      <c r="D1551" s="1" t="s">
        <v>512</v>
      </c>
      <c r="E1551" s="21" t="s">
        <v>512</v>
      </c>
      <c r="F1551" s="1" t="s">
        <v>512</v>
      </c>
      <c r="G1551" s="1" t="s">
        <v>512</v>
      </c>
      <c r="H1551" s="1" t="s">
        <v>512</v>
      </c>
      <c r="I1551" s="1" t="s">
        <v>512</v>
      </c>
      <c r="J1551" s="1" t="s">
        <v>512</v>
      </c>
      <c r="K1551" s="1" t="s">
        <v>512</v>
      </c>
      <c r="L1551" s="1" t="s">
        <v>512</v>
      </c>
      <c r="M1551" s="1" t="s">
        <v>512</v>
      </c>
      <c r="N1551" s="1" t="s">
        <v>512</v>
      </c>
      <c r="O1551" s="1" t="s">
        <v>512</v>
      </c>
      <c r="Q1551" s="1" t="s">
        <v>512</v>
      </c>
    </row>
    <row r="1552" spans="4:17" x14ac:dyDescent="0.25">
      <c r="D1552" s="1" t="s">
        <v>512</v>
      </c>
      <c r="E1552" s="21" t="s">
        <v>512</v>
      </c>
      <c r="F1552" s="1" t="s">
        <v>512</v>
      </c>
      <c r="G1552" s="1" t="s">
        <v>512</v>
      </c>
      <c r="H1552" s="1" t="s">
        <v>512</v>
      </c>
      <c r="I1552" s="1" t="s">
        <v>512</v>
      </c>
      <c r="J1552" s="1" t="s">
        <v>512</v>
      </c>
      <c r="K1552" s="1" t="s">
        <v>512</v>
      </c>
      <c r="L1552" s="1" t="s">
        <v>512</v>
      </c>
      <c r="M1552" s="1" t="s">
        <v>512</v>
      </c>
      <c r="N1552" s="1" t="s">
        <v>512</v>
      </c>
      <c r="O1552" s="1" t="s">
        <v>512</v>
      </c>
      <c r="Q1552" s="1" t="s">
        <v>512</v>
      </c>
    </row>
    <row r="1553" spans="4:17" x14ac:dyDescent="0.25">
      <c r="D1553" s="1" t="s">
        <v>512</v>
      </c>
      <c r="E1553" s="21" t="s">
        <v>512</v>
      </c>
      <c r="F1553" s="1" t="s">
        <v>512</v>
      </c>
      <c r="G1553" s="1" t="s">
        <v>512</v>
      </c>
      <c r="H1553" s="1" t="s">
        <v>512</v>
      </c>
      <c r="I1553" s="1" t="s">
        <v>512</v>
      </c>
      <c r="J1553" s="1" t="s">
        <v>512</v>
      </c>
      <c r="K1553" s="1" t="s">
        <v>512</v>
      </c>
      <c r="L1553" s="1" t="s">
        <v>512</v>
      </c>
      <c r="M1553" s="1" t="s">
        <v>512</v>
      </c>
      <c r="N1553" s="1" t="s">
        <v>512</v>
      </c>
      <c r="O1553" s="1" t="s">
        <v>512</v>
      </c>
      <c r="Q1553" s="1" t="s">
        <v>512</v>
      </c>
    </row>
    <row r="1554" spans="4:17" x14ac:dyDescent="0.25">
      <c r="D1554" s="1" t="s">
        <v>512</v>
      </c>
      <c r="E1554" s="21" t="s">
        <v>512</v>
      </c>
      <c r="F1554" s="1" t="s">
        <v>512</v>
      </c>
      <c r="G1554" s="1" t="s">
        <v>512</v>
      </c>
      <c r="H1554" s="1" t="s">
        <v>512</v>
      </c>
      <c r="I1554" s="1" t="s">
        <v>512</v>
      </c>
      <c r="J1554" s="1" t="s">
        <v>512</v>
      </c>
      <c r="K1554" s="1" t="s">
        <v>512</v>
      </c>
      <c r="L1554" s="1" t="s">
        <v>512</v>
      </c>
      <c r="M1554" s="1" t="s">
        <v>512</v>
      </c>
      <c r="N1554" s="1" t="s">
        <v>512</v>
      </c>
      <c r="O1554" s="1" t="s">
        <v>512</v>
      </c>
      <c r="Q1554" s="1" t="s">
        <v>512</v>
      </c>
    </row>
    <row r="1555" spans="4:17" x14ac:dyDescent="0.25">
      <c r="D1555" s="1" t="s">
        <v>512</v>
      </c>
      <c r="E1555" s="21" t="s">
        <v>512</v>
      </c>
      <c r="F1555" s="1" t="s">
        <v>512</v>
      </c>
      <c r="G1555" s="1" t="s">
        <v>512</v>
      </c>
      <c r="H1555" s="1" t="s">
        <v>512</v>
      </c>
      <c r="I1555" s="1" t="s">
        <v>512</v>
      </c>
      <c r="J1555" s="1" t="s">
        <v>512</v>
      </c>
      <c r="K1555" s="1" t="s">
        <v>512</v>
      </c>
      <c r="L1555" s="1" t="s">
        <v>512</v>
      </c>
      <c r="M1555" s="1" t="s">
        <v>512</v>
      </c>
      <c r="N1555" s="1" t="s">
        <v>512</v>
      </c>
      <c r="O1555" s="1" t="s">
        <v>512</v>
      </c>
      <c r="Q1555" s="1" t="s">
        <v>512</v>
      </c>
    </row>
    <row r="1556" spans="4:17" x14ac:dyDescent="0.25">
      <c r="D1556" s="1" t="s">
        <v>512</v>
      </c>
      <c r="E1556" s="21" t="s">
        <v>512</v>
      </c>
      <c r="F1556" s="1" t="s">
        <v>512</v>
      </c>
      <c r="G1556" s="1" t="s">
        <v>512</v>
      </c>
      <c r="H1556" s="1" t="s">
        <v>512</v>
      </c>
      <c r="I1556" s="1" t="s">
        <v>512</v>
      </c>
      <c r="J1556" s="1" t="s">
        <v>512</v>
      </c>
      <c r="K1556" s="1" t="s">
        <v>512</v>
      </c>
      <c r="L1556" s="1" t="s">
        <v>512</v>
      </c>
      <c r="M1556" s="1" t="s">
        <v>512</v>
      </c>
      <c r="N1556" s="1" t="s">
        <v>512</v>
      </c>
      <c r="O1556" s="1" t="s">
        <v>512</v>
      </c>
      <c r="Q1556" s="1" t="s">
        <v>512</v>
      </c>
    </row>
    <row r="1557" spans="4:17" x14ac:dyDescent="0.25">
      <c r="D1557" s="1" t="s">
        <v>512</v>
      </c>
      <c r="E1557" s="21" t="s">
        <v>512</v>
      </c>
      <c r="F1557" s="1" t="s">
        <v>512</v>
      </c>
      <c r="G1557" s="1" t="s">
        <v>512</v>
      </c>
      <c r="H1557" s="1" t="s">
        <v>512</v>
      </c>
      <c r="I1557" s="1" t="s">
        <v>512</v>
      </c>
      <c r="J1557" s="1" t="s">
        <v>512</v>
      </c>
      <c r="K1557" s="1" t="s">
        <v>512</v>
      </c>
      <c r="L1557" s="1" t="s">
        <v>512</v>
      </c>
      <c r="M1557" s="1" t="s">
        <v>512</v>
      </c>
      <c r="N1557" s="1" t="s">
        <v>512</v>
      </c>
      <c r="O1557" s="1" t="s">
        <v>512</v>
      </c>
      <c r="Q1557" s="1" t="s">
        <v>512</v>
      </c>
    </row>
    <row r="1558" spans="4:17" x14ac:dyDescent="0.25">
      <c r="D1558" s="1" t="s">
        <v>512</v>
      </c>
      <c r="E1558" s="21" t="s">
        <v>512</v>
      </c>
      <c r="F1558" s="1" t="s">
        <v>512</v>
      </c>
      <c r="G1558" s="1" t="s">
        <v>512</v>
      </c>
      <c r="H1558" s="1" t="s">
        <v>512</v>
      </c>
      <c r="I1558" s="1" t="s">
        <v>512</v>
      </c>
      <c r="J1558" s="1" t="s">
        <v>512</v>
      </c>
      <c r="K1558" s="1" t="s">
        <v>512</v>
      </c>
      <c r="L1558" s="1" t="s">
        <v>512</v>
      </c>
      <c r="M1558" s="1" t="s">
        <v>512</v>
      </c>
      <c r="N1558" s="1" t="s">
        <v>512</v>
      </c>
      <c r="O1558" s="1" t="s">
        <v>512</v>
      </c>
      <c r="Q1558" s="1" t="s">
        <v>512</v>
      </c>
    </row>
    <row r="1559" spans="4:17" x14ac:dyDescent="0.25">
      <c r="D1559" s="1" t="s">
        <v>512</v>
      </c>
      <c r="E1559" s="21" t="s">
        <v>512</v>
      </c>
      <c r="F1559" s="1" t="s">
        <v>512</v>
      </c>
      <c r="G1559" s="1" t="s">
        <v>512</v>
      </c>
      <c r="H1559" s="1" t="s">
        <v>512</v>
      </c>
      <c r="I1559" s="1" t="s">
        <v>512</v>
      </c>
      <c r="J1559" s="1" t="s">
        <v>512</v>
      </c>
      <c r="K1559" s="1" t="s">
        <v>512</v>
      </c>
      <c r="L1559" s="1" t="s">
        <v>512</v>
      </c>
      <c r="M1559" s="1" t="s">
        <v>512</v>
      </c>
      <c r="N1559" s="1" t="s">
        <v>512</v>
      </c>
      <c r="O1559" s="1" t="s">
        <v>512</v>
      </c>
      <c r="Q1559" s="1" t="s">
        <v>512</v>
      </c>
    </row>
    <row r="1560" spans="4:17" x14ac:dyDescent="0.25">
      <c r="D1560" s="1" t="s">
        <v>512</v>
      </c>
      <c r="E1560" s="21" t="s">
        <v>512</v>
      </c>
      <c r="F1560" s="1" t="s">
        <v>512</v>
      </c>
      <c r="G1560" s="1" t="s">
        <v>512</v>
      </c>
      <c r="H1560" s="1" t="s">
        <v>512</v>
      </c>
      <c r="I1560" s="1" t="s">
        <v>512</v>
      </c>
      <c r="J1560" s="1" t="s">
        <v>512</v>
      </c>
      <c r="K1560" s="1" t="s">
        <v>512</v>
      </c>
      <c r="L1560" s="1" t="s">
        <v>512</v>
      </c>
      <c r="M1560" s="1" t="s">
        <v>512</v>
      </c>
      <c r="N1560" s="1" t="s">
        <v>512</v>
      </c>
      <c r="O1560" s="1" t="s">
        <v>512</v>
      </c>
      <c r="Q1560" s="1" t="s">
        <v>512</v>
      </c>
    </row>
    <row r="1561" spans="4:17" x14ac:dyDescent="0.25">
      <c r="D1561" s="1" t="s">
        <v>512</v>
      </c>
      <c r="E1561" s="21" t="s">
        <v>512</v>
      </c>
      <c r="F1561" s="1" t="s">
        <v>512</v>
      </c>
      <c r="G1561" s="1" t="s">
        <v>512</v>
      </c>
      <c r="H1561" s="1" t="s">
        <v>512</v>
      </c>
      <c r="I1561" s="1" t="s">
        <v>512</v>
      </c>
      <c r="J1561" s="1" t="s">
        <v>512</v>
      </c>
      <c r="K1561" s="1" t="s">
        <v>512</v>
      </c>
      <c r="L1561" s="1" t="s">
        <v>512</v>
      </c>
      <c r="M1561" s="1" t="s">
        <v>512</v>
      </c>
      <c r="N1561" s="1" t="s">
        <v>512</v>
      </c>
      <c r="O1561" s="1" t="s">
        <v>512</v>
      </c>
      <c r="Q1561" s="1" t="s">
        <v>512</v>
      </c>
    </row>
    <row r="1562" spans="4:17" x14ac:dyDescent="0.25">
      <c r="D1562" s="1" t="s">
        <v>512</v>
      </c>
      <c r="E1562" s="21" t="s">
        <v>512</v>
      </c>
      <c r="F1562" s="1" t="s">
        <v>512</v>
      </c>
      <c r="G1562" s="1" t="s">
        <v>512</v>
      </c>
      <c r="H1562" s="1" t="s">
        <v>512</v>
      </c>
      <c r="I1562" s="1" t="s">
        <v>512</v>
      </c>
      <c r="J1562" s="1" t="s">
        <v>512</v>
      </c>
      <c r="K1562" s="1" t="s">
        <v>512</v>
      </c>
      <c r="L1562" s="1" t="s">
        <v>512</v>
      </c>
      <c r="M1562" s="1" t="s">
        <v>512</v>
      </c>
      <c r="N1562" s="1" t="s">
        <v>512</v>
      </c>
      <c r="O1562" s="1" t="s">
        <v>512</v>
      </c>
      <c r="Q1562" s="1" t="s">
        <v>512</v>
      </c>
    </row>
    <row r="1563" spans="4:17" x14ac:dyDescent="0.25">
      <c r="D1563" s="1" t="s">
        <v>512</v>
      </c>
      <c r="E1563" s="21" t="s">
        <v>512</v>
      </c>
      <c r="F1563" s="1" t="s">
        <v>512</v>
      </c>
      <c r="G1563" s="1" t="s">
        <v>512</v>
      </c>
      <c r="H1563" s="1" t="s">
        <v>512</v>
      </c>
      <c r="I1563" s="1" t="s">
        <v>512</v>
      </c>
      <c r="J1563" s="1" t="s">
        <v>512</v>
      </c>
      <c r="K1563" s="1" t="s">
        <v>512</v>
      </c>
      <c r="L1563" s="1" t="s">
        <v>512</v>
      </c>
      <c r="M1563" s="1" t="s">
        <v>512</v>
      </c>
      <c r="N1563" s="1" t="s">
        <v>512</v>
      </c>
      <c r="O1563" s="1" t="s">
        <v>512</v>
      </c>
      <c r="Q1563" s="1" t="s">
        <v>512</v>
      </c>
    </row>
    <row r="1564" spans="4:17" x14ac:dyDescent="0.25">
      <c r="D1564" s="1" t="s">
        <v>512</v>
      </c>
      <c r="E1564" s="21" t="s">
        <v>512</v>
      </c>
      <c r="F1564" s="1" t="s">
        <v>512</v>
      </c>
      <c r="G1564" s="1" t="s">
        <v>512</v>
      </c>
      <c r="H1564" s="1" t="s">
        <v>512</v>
      </c>
      <c r="I1564" s="1" t="s">
        <v>512</v>
      </c>
      <c r="J1564" s="1" t="s">
        <v>512</v>
      </c>
      <c r="K1564" s="1" t="s">
        <v>512</v>
      </c>
      <c r="L1564" s="1" t="s">
        <v>512</v>
      </c>
      <c r="M1564" s="1" t="s">
        <v>512</v>
      </c>
      <c r="N1564" s="1" t="s">
        <v>512</v>
      </c>
      <c r="O1564" s="1" t="s">
        <v>512</v>
      </c>
      <c r="Q1564" s="1" t="s">
        <v>512</v>
      </c>
    </row>
    <row r="1565" spans="4:17" x14ac:dyDescent="0.25">
      <c r="D1565" s="1" t="s">
        <v>512</v>
      </c>
      <c r="E1565" s="21" t="s">
        <v>512</v>
      </c>
      <c r="F1565" s="1" t="s">
        <v>512</v>
      </c>
      <c r="G1565" s="1" t="s">
        <v>512</v>
      </c>
      <c r="H1565" s="1" t="s">
        <v>512</v>
      </c>
      <c r="I1565" s="1" t="s">
        <v>512</v>
      </c>
      <c r="J1565" s="1" t="s">
        <v>512</v>
      </c>
      <c r="K1565" s="1" t="s">
        <v>512</v>
      </c>
      <c r="L1565" s="1" t="s">
        <v>512</v>
      </c>
      <c r="M1565" s="1" t="s">
        <v>512</v>
      </c>
      <c r="N1565" s="1" t="s">
        <v>512</v>
      </c>
      <c r="O1565" s="1" t="s">
        <v>512</v>
      </c>
      <c r="Q1565" s="1" t="s">
        <v>512</v>
      </c>
    </row>
    <row r="1566" spans="4:17" x14ac:dyDescent="0.25">
      <c r="D1566" s="1" t="s">
        <v>512</v>
      </c>
      <c r="E1566" s="21" t="s">
        <v>512</v>
      </c>
      <c r="F1566" s="1" t="s">
        <v>512</v>
      </c>
      <c r="G1566" s="1" t="s">
        <v>512</v>
      </c>
      <c r="H1566" s="1" t="s">
        <v>512</v>
      </c>
      <c r="I1566" s="1" t="s">
        <v>512</v>
      </c>
      <c r="J1566" s="1" t="s">
        <v>512</v>
      </c>
      <c r="K1566" s="1" t="s">
        <v>512</v>
      </c>
      <c r="L1566" s="1" t="s">
        <v>512</v>
      </c>
      <c r="M1566" s="1" t="s">
        <v>512</v>
      </c>
      <c r="N1566" s="1" t="s">
        <v>512</v>
      </c>
      <c r="O1566" s="1" t="s">
        <v>512</v>
      </c>
      <c r="Q1566" s="1" t="s">
        <v>512</v>
      </c>
    </row>
    <row r="1567" spans="4:17" x14ac:dyDescent="0.25">
      <c r="D1567" s="1" t="s">
        <v>512</v>
      </c>
      <c r="E1567" s="21" t="s">
        <v>512</v>
      </c>
      <c r="F1567" s="1" t="s">
        <v>512</v>
      </c>
      <c r="G1567" s="1" t="s">
        <v>512</v>
      </c>
      <c r="H1567" s="1" t="s">
        <v>512</v>
      </c>
      <c r="I1567" s="1" t="s">
        <v>512</v>
      </c>
      <c r="J1567" s="1" t="s">
        <v>512</v>
      </c>
      <c r="K1567" s="1" t="s">
        <v>512</v>
      </c>
      <c r="L1567" s="1" t="s">
        <v>512</v>
      </c>
      <c r="M1567" s="1" t="s">
        <v>512</v>
      </c>
      <c r="N1567" s="1" t="s">
        <v>512</v>
      </c>
      <c r="O1567" s="1" t="s">
        <v>512</v>
      </c>
      <c r="Q1567" s="1" t="s">
        <v>512</v>
      </c>
    </row>
    <row r="1568" spans="4:17" x14ac:dyDescent="0.25">
      <c r="D1568" s="1" t="s">
        <v>512</v>
      </c>
      <c r="E1568" s="21" t="s">
        <v>512</v>
      </c>
      <c r="F1568" s="1" t="s">
        <v>512</v>
      </c>
      <c r="G1568" s="1" t="s">
        <v>512</v>
      </c>
      <c r="H1568" s="1" t="s">
        <v>512</v>
      </c>
      <c r="I1568" s="1" t="s">
        <v>512</v>
      </c>
      <c r="J1568" s="1" t="s">
        <v>512</v>
      </c>
      <c r="K1568" s="1" t="s">
        <v>512</v>
      </c>
      <c r="L1568" s="1" t="s">
        <v>512</v>
      </c>
      <c r="M1568" s="1" t="s">
        <v>512</v>
      </c>
      <c r="N1568" s="1" t="s">
        <v>512</v>
      </c>
      <c r="O1568" s="1" t="s">
        <v>512</v>
      </c>
      <c r="Q1568" s="1" t="s">
        <v>512</v>
      </c>
    </row>
    <row r="1569" spans="4:17" x14ac:dyDescent="0.25">
      <c r="D1569" s="1" t="s">
        <v>512</v>
      </c>
      <c r="E1569" s="21" t="s">
        <v>512</v>
      </c>
      <c r="F1569" s="1" t="s">
        <v>512</v>
      </c>
      <c r="G1569" s="1" t="s">
        <v>512</v>
      </c>
      <c r="H1569" s="1" t="s">
        <v>512</v>
      </c>
      <c r="I1569" s="1" t="s">
        <v>512</v>
      </c>
      <c r="J1569" s="1" t="s">
        <v>512</v>
      </c>
      <c r="K1569" s="1" t="s">
        <v>512</v>
      </c>
      <c r="L1569" s="1" t="s">
        <v>512</v>
      </c>
      <c r="M1569" s="1" t="s">
        <v>512</v>
      </c>
      <c r="N1569" s="1" t="s">
        <v>512</v>
      </c>
      <c r="O1569" s="1" t="s">
        <v>512</v>
      </c>
      <c r="Q1569" s="1" t="s">
        <v>512</v>
      </c>
    </row>
    <row r="1570" spans="4:17" x14ac:dyDescent="0.25">
      <c r="D1570" s="1" t="s">
        <v>512</v>
      </c>
      <c r="E1570" s="21" t="s">
        <v>512</v>
      </c>
      <c r="F1570" s="1" t="s">
        <v>512</v>
      </c>
      <c r="G1570" s="1" t="s">
        <v>512</v>
      </c>
      <c r="H1570" s="1" t="s">
        <v>512</v>
      </c>
      <c r="I1570" s="1" t="s">
        <v>512</v>
      </c>
      <c r="J1570" s="1" t="s">
        <v>512</v>
      </c>
      <c r="K1570" s="1" t="s">
        <v>512</v>
      </c>
      <c r="L1570" s="1" t="s">
        <v>512</v>
      </c>
      <c r="M1570" s="1" t="s">
        <v>512</v>
      </c>
      <c r="N1570" s="1" t="s">
        <v>512</v>
      </c>
      <c r="O1570" s="1" t="s">
        <v>512</v>
      </c>
      <c r="Q1570" s="1" t="s">
        <v>512</v>
      </c>
    </row>
    <row r="1571" spans="4:17" x14ac:dyDescent="0.25">
      <c r="D1571" s="1" t="s">
        <v>512</v>
      </c>
      <c r="E1571" s="21" t="s">
        <v>512</v>
      </c>
      <c r="F1571" s="1" t="s">
        <v>512</v>
      </c>
      <c r="G1571" s="1" t="s">
        <v>512</v>
      </c>
      <c r="H1571" s="1" t="s">
        <v>512</v>
      </c>
      <c r="I1571" s="1" t="s">
        <v>512</v>
      </c>
      <c r="J1571" s="1" t="s">
        <v>512</v>
      </c>
      <c r="K1571" s="1" t="s">
        <v>512</v>
      </c>
      <c r="L1571" s="1" t="s">
        <v>512</v>
      </c>
      <c r="M1571" s="1" t="s">
        <v>512</v>
      </c>
      <c r="N1571" s="1" t="s">
        <v>512</v>
      </c>
      <c r="O1571" s="1" t="s">
        <v>512</v>
      </c>
      <c r="Q1571" s="1" t="s">
        <v>512</v>
      </c>
    </row>
    <row r="1572" spans="4:17" x14ac:dyDescent="0.25">
      <c r="D1572" s="1" t="s">
        <v>512</v>
      </c>
      <c r="E1572" s="21" t="s">
        <v>512</v>
      </c>
      <c r="F1572" s="1" t="s">
        <v>512</v>
      </c>
      <c r="G1572" s="1" t="s">
        <v>512</v>
      </c>
      <c r="H1572" s="1" t="s">
        <v>512</v>
      </c>
      <c r="I1572" s="1" t="s">
        <v>512</v>
      </c>
      <c r="J1572" s="1" t="s">
        <v>512</v>
      </c>
      <c r="K1572" s="1" t="s">
        <v>512</v>
      </c>
      <c r="L1572" s="1" t="s">
        <v>512</v>
      </c>
      <c r="M1572" s="1" t="s">
        <v>512</v>
      </c>
      <c r="N1572" s="1" t="s">
        <v>512</v>
      </c>
      <c r="O1572" s="1" t="s">
        <v>512</v>
      </c>
      <c r="Q1572" s="1" t="s">
        <v>512</v>
      </c>
    </row>
    <row r="1573" spans="4:17" x14ac:dyDescent="0.25">
      <c r="D1573" s="1" t="s">
        <v>512</v>
      </c>
      <c r="E1573" s="21" t="s">
        <v>512</v>
      </c>
      <c r="F1573" s="1" t="s">
        <v>512</v>
      </c>
      <c r="G1573" s="1" t="s">
        <v>512</v>
      </c>
      <c r="H1573" s="1" t="s">
        <v>512</v>
      </c>
      <c r="I1573" s="1" t="s">
        <v>512</v>
      </c>
      <c r="J1573" s="1" t="s">
        <v>512</v>
      </c>
      <c r="K1573" s="1" t="s">
        <v>512</v>
      </c>
      <c r="L1573" s="1" t="s">
        <v>512</v>
      </c>
      <c r="M1573" s="1" t="s">
        <v>512</v>
      </c>
      <c r="N1573" s="1" t="s">
        <v>512</v>
      </c>
      <c r="O1573" s="1" t="s">
        <v>512</v>
      </c>
      <c r="Q1573" s="1" t="s">
        <v>512</v>
      </c>
    </row>
    <row r="1574" spans="4:17" x14ac:dyDescent="0.25">
      <c r="D1574" s="1" t="s">
        <v>512</v>
      </c>
      <c r="E1574" s="21" t="s">
        <v>512</v>
      </c>
      <c r="F1574" s="1" t="s">
        <v>512</v>
      </c>
      <c r="G1574" s="1" t="s">
        <v>512</v>
      </c>
      <c r="H1574" s="1" t="s">
        <v>512</v>
      </c>
      <c r="I1574" s="1" t="s">
        <v>512</v>
      </c>
      <c r="J1574" s="1" t="s">
        <v>512</v>
      </c>
      <c r="K1574" s="1" t="s">
        <v>512</v>
      </c>
      <c r="L1574" s="1" t="s">
        <v>512</v>
      </c>
      <c r="M1574" s="1" t="s">
        <v>512</v>
      </c>
      <c r="N1574" s="1" t="s">
        <v>512</v>
      </c>
      <c r="O1574" s="1" t="s">
        <v>512</v>
      </c>
      <c r="Q1574" s="1" t="s">
        <v>512</v>
      </c>
    </row>
    <row r="1575" spans="4:17" x14ac:dyDescent="0.25">
      <c r="D1575" s="1" t="s">
        <v>512</v>
      </c>
      <c r="E1575" s="21" t="s">
        <v>512</v>
      </c>
      <c r="F1575" s="1" t="s">
        <v>512</v>
      </c>
      <c r="G1575" s="1" t="s">
        <v>512</v>
      </c>
      <c r="H1575" s="1" t="s">
        <v>512</v>
      </c>
      <c r="I1575" s="1" t="s">
        <v>512</v>
      </c>
      <c r="J1575" s="1" t="s">
        <v>512</v>
      </c>
      <c r="K1575" s="1" t="s">
        <v>512</v>
      </c>
      <c r="L1575" s="1" t="s">
        <v>512</v>
      </c>
      <c r="M1575" s="1" t="s">
        <v>512</v>
      </c>
      <c r="N1575" s="1" t="s">
        <v>512</v>
      </c>
      <c r="O1575" s="1" t="s">
        <v>512</v>
      </c>
      <c r="Q1575" s="1" t="s">
        <v>512</v>
      </c>
    </row>
    <row r="1576" spans="4:17" x14ac:dyDescent="0.25">
      <c r="D1576" s="1" t="s">
        <v>512</v>
      </c>
      <c r="E1576" s="21" t="s">
        <v>512</v>
      </c>
      <c r="F1576" s="1" t="s">
        <v>512</v>
      </c>
      <c r="G1576" s="1" t="s">
        <v>512</v>
      </c>
      <c r="H1576" s="1" t="s">
        <v>512</v>
      </c>
      <c r="I1576" s="1" t="s">
        <v>512</v>
      </c>
      <c r="J1576" s="1" t="s">
        <v>512</v>
      </c>
      <c r="K1576" s="1" t="s">
        <v>512</v>
      </c>
      <c r="L1576" s="1" t="s">
        <v>512</v>
      </c>
      <c r="M1576" s="1" t="s">
        <v>512</v>
      </c>
      <c r="N1576" s="1" t="s">
        <v>512</v>
      </c>
      <c r="O1576" s="1" t="s">
        <v>512</v>
      </c>
      <c r="Q1576" s="1" t="s">
        <v>512</v>
      </c>
    </row>
    <row r="1577" spans="4:17" x14ac:dyDescent="0.25">
      <c r="D1577" s="1" t="s">
        <v>512</v>
      </c>
      <c r="E1577" s="21" t="s">
        <v>512</v>
      </c>
      <c r="F1577" s="1" t="s">
        <v>512</v>
      </c>
      <c r="G1577" s="1" t="s">
        <v>512</v>
      </c>
      <c r="H1577" s="1" t="s">
        <v>512</v>
      </c>
      <c r="I1577" s="1" t="s">
        <v>512</v>
      </c>
      <c r="J1577" s="1" t="s">
        <v>512</v>
      </c>
      <c r="K1577" s="1" t="s">
        <v>512</v>
      </c>
      <c r="L1577" s="1" t="s">
        <v>512</v>
      </c>
      <c r="M1577" s="1" t="s">
        <v>512</v>
      </c>
      <c r="N1577" s="1" t="s">
        <v>512</v>
      </c>
      <c r="O1577" s="1" t="s">
        <v>512</v>
      </c>
      <c r="Q1577" s="1" t="s">
        <v>512</v>
      </c>
    </row>
    <row r="1578" spans="4:17" x14ac:dyDescent="0.25">
      <c r="D1578" s="1" t="s">
        <v>512</v>
      </c>
      <c r="E1578" s="21" t="s">
        <v>512</v>
      </c>
      <c r="F1578" s="1" t="s">
        <v>512</v>
      </c>
      <c r="G1578" s="1" t="s">
        <v>512</v>
      </c>
      <c r="H1578" s="1" t="s">
        <v>512</v>
      </c>
      <c r="I1578" s="1" t="s">
        <v>512</v>
      </c>
      <c r="J1578" s="1" t="s">
        <v>512</v>
      </c>
      <c r="K1578" s="1" t="s">
        <v>512</v>
      </c>
      <c r="L1578" s="1" t="s">
        <v>512</v>
      </c>
      <c r="M1578" s="1" t="s">
        <v>512</v>
      </c>
      <c r="N1578" s="1" t="s">
        <v>512</v>
      </c>
      <c r="O1578" s="1" t="s">
        <v>512</v>
      </c>
      <c r="Q1578" s="1" t="s">
        <v>512</v>
      </c>
    </row>
    <row r="1579" spans="4:17" x14ac:dyDescent="0.25">
      <c r="D1579" s="1" t="s">
        <v>512</v>
      </c>
      <c r="E1579" s="21" t="s">
        <v>512</v>
      </c>
      <c r="F1579" s="1" t="s">
        <v>512</v>
      </c>
      <c r="G1579" s="1" t="s">
        <v>512</v>
      </c>
      <c r="H1579" s="1" t="s">
        <v>512</v>
      </c>
      <c r="I1579" s="1" t="s">
        <v>512</v>
      </c>
      <c r="J1579" s="1" t="s">
        <v>512</v>
      </c>
      <c r="K1579" s="1" t="s">
        <v>512</v>
      </c>
      <c r="L1579" s="1" t="s">
        <v>512</v>
      </c>
      <c r="M1579" s="1" t="s">
        <v>512</v>
      </c>
      <c r="N1579" s="1" t="s">
        <v>512</v>
      </c>
      <c r="O1579" s="1" t="s">
        <v>512</v>
      </c>
      <c r="Q1579" s="1" t="s">
        <v>512</v>
      </c>
    </row>
    <row r="1580" spans="4:17" x14ac:dyDescent="0.25">
      <c r="D1580" s="1" t="s">
        <v>512</v>
      </c>
      <c r="E1580" s="21" t="s">
        <v>512</v>
      </c>
      <c r="F1580" s="1" t="s">
        <v>512</v>
      </c>
      <c r="G1580" s="1" t="s">
        <v>512</v>
      </c>
      <c r="H1580" s="1" t="s">
        <v>512</v>
      </c>
      <c r="I1580" s="1" t="s">
        <v>512</v>
      </c>
      <c r="J1580" s="1" t="s">
        <v>512</v>
      </c>
      <c r="K1580" s="1" t="s">
        <v>512</v>
      </c>
      <c r="L1580" s="1" t="s">
        <v>512</v>
      </c>
      <c r="M1580" s="1" t="s">
        <v>512</v>
      </c>
      <c r="N1580" s="1" t="s">
        <v>512</v>
      </c>
      <c r="O1580" s="1" t="s">
        <v>512</v>
      </c>
      <c r="Q1580" s="1" t="s">
        <v>512</v>
      </c>
    </row>
    <row r="1581" spans="4:17" x14ac:dyDescent="0.25">
      <c r="D1581" s="1" t="s">
        <v>512</v>
      </c>
      <c r="E1581" s="21" t="s">
        <v>512</v>
      </c>
      <c r="F1581" s="1" t="s">
        <v>512</v>
      </c>
      <c r="G1581" s="1" t="s">
        <v>512</v>
      </c>
      <c r="H1581" s="1" t="s">
        <v>512</v>
      </c>
      <c r="I1581" s="1" t="s">
        <v>512</v>
      </c>
      <c r="J1581" s="1" t="s">
        <v>512</v>
      </c>
      <c r="K1581" s="1" t="s">
        <v>512</v>
      </c>
      <c r="L1581" s="1" t="s">
        <v>512</v>
      </c>
      <c r="M1581" s="1" t="s">
        <v>512</v>
      </c>
      <c r="N1581" s="1" t="s">
        <v>512</v>
      </c>
      <c r="O1581" s="1" t="s">
        <v>512</v>
      </c>
      <c r="Q1581" s="1" t="s">
        <v>512</v>
      </c>
    </row>
    <row r="1582" spans="4:17" x14ac:dyDescent="0.25">
      <c r="D1582" s="1" t="s">
        <v>512</v>
      </c>
      <c r="E1582" s="21" t="s">
        <v>512</v>
      </c>
      <c r="F1582" s="1" t="s">
        <v>512</v>
      </c>
      <c r="G1582" s="1" t="s">
        <v>512</v>
      </c>
      <c r="H1582" s="1" t="s">
        <v>512</v>
      </c>
      <c r="I1582" s="1" t="s">
        <v>512</v>
      </c>
      <c r="J1582" s="1" t="s">
        <v>512</v>
      </c>
      <c r="K1582" s="1" t="s">
        <v>512</v>
      </c>
      <c r="L1582" s="1" t="s">
        <v>512</v>
      </c>
      <c r="M1582" s="1" t="s">
        <v>512</v>
      </c>
      <c r="N1582" s="1" t="s">
        <v>512</v>
      </c>
      <c r="O1582" s="1" t="s">
        <v>512</v>
      </c>
      <c r="Q1582" s="1" t="s">
        <v>512</v>
      </c>
    </row>
    <row r="1583" spans="4:17" x14ac:dyDescent="0.25">
      <c r="D1583" s="1" t="s">
        <v>512</v>
      </c>
      <c r="E1583" s="21" t="s">
        <v>512</v>
      </c>
      <c r="F1583" s="1" t="s">
        <v>512</v>
      </c>
      <c r="G1583" s="1" t="s">
        <v>512</v>
      </c>
      <c r="H1583" s="1" t="s">
        <v>512</v>
      </c>
      <c r="I1583" s="1" t="s">
        <v>512</v>
      </c>
      <c r="J1583" s="1" t="s">
        <v>512</v>
      </c>
      <c r="K1583" s="1" t="s">
        <v>512</v>
      </c>
      <c r="L1583" s="1" t="s">
        <v>512</v>
      </c>
      <c r="M1583" s="1" t="s">
        <v>512</v>
      </c>
      <c r="N1583" s="1" t="s">
        <v>512</v>
      </c>
      <c r="O1583" s="1" t="s">
        <v>512</v>
      </c>
      <c r="Q1583" s="1" t="s">
        <v>512</v>
      </c>
    </row>
    <row r="1584" spans="4:17" x14ac:dyDescent="0.25">
      <c r="D1584" s="1" t="s">
        <v>512</v>
      </c>
      <c r="E1584" s="21" t="s">
        <v>512</v>
      </c>
      <c r="F1584" s="1" t="s">
        <v>512</v>
      </c>
      <c r="G1584" s="1" t="s">
        <v>512</v>
      </c>
      <c r="H1584" s="1" t="s">
        <v>512</v>
      </c>
      <c r="I1584" s="1" t="s">
        <v>512</v>
      </c>
      <c r="J1584" s="1" t="s">
        <v>512</v>
      </c>
      <c r="K1584" s="1" t="s">
        <v>512</v>
      </c>
      <c r="L1584" s="1" t="s">
        <v>512</v>
      </c>
      <c r="M1584" s="1" t="s">
        <v>512</v>
      </c>
      <c r="N1584" s="1" t="s">
        <v>512</v>
      </c>
      <c r="O1584" s="1" t="s">
        <v>512</v>
      </c>
      <c r="Q1584" s="1" t="s">
        <v>512</v>
      </c>
    </row>
    <row r="1585" spans="4:17" x14ac:dyDescent="0.25">
      <c r="D1585" s="1" t="s">
        <v>512</v>
      </c>
      <c r="E1585" s="21" t="s">
        <v>512</v>
      </c>
      <c r="F1585" s="1" t="s">
        <v>512</v>
      </c>
      <c r="G1585" s="1" t="s">
        <v>512</v>
      </c>
      <c r="H1585" s="1" t="s">
        <v>512</v>
      </c>
      <c r="I1585" s="1" t="s">
        <v>512</v>
      </c>
      <c r="J1585" s="1" t="s">
        <v>512</v>
      </c>
      <c r="K1585" s="1" t="s">
        <v>512</v>
      </c>
      <c r="L1585" s="1" t="s">
        <v>512</v>
      </c>
      <c r="M1585" s="1" t="s">
        <v>512</v>
      </c>
      <c r="N1585" s="1" t="s">
        <v>512</v>
      </c>
      <c r="O1585" s="1" t="s">
        <v>512</v>
      </c>
      <c r="Q1585" s="1" t="s">
        <v>512</v>
      </c>
    </row>
    <row r="1586" spans="4:17" x14ac:dyDescent="0.25">
      <c r="D1586" s="1" t="s">
        <v>512</v>
      </c>
      <c r="E1586" s="21" t="s">
        <v>512</v>
      </c>
      <c r="F1586" s="1" t="s">
        <v>512</v>
      </c>
      <c r="G1586" s="1" t="s">
        <v>512</v>
      </c>
      <c r="H1586" s="1" t="s">
        <v>512</v>
      </c>
      <c r="I1586" s="1" t="s">
        <v>512</v>
      </c>
      <c r="J1586" s="1" t="s">
        <v>512</v>
      </c>
      <c r="K1586" s="1" t="s">
        <v>512</v>
      </c>
      <c r="L1586" s="1" t="s">
        <v>512</v>
      </c>
      <c r="M1586" s="1" t="s">
        <v>512</v>
      </c>
      <c r="N1586" s="1" t="s">
        <v>512</v>
      </c>
      <c r="O1586" s="1" t="s">
        <v>512</v>
      </c>
      <c r="Q1586" s="1" t="s">
        <v>512</v>
      </c>
    </row>
    <row r="1587" spans="4:17" x14ac:dyDescent="0.25">
      <c r="D1587" s="1" t="s">
        <v>512</v>
      </c>
      <c r="E1587" s="21" t="s">
        <v>512</v>
      </c>
      <c r="F1587" s="1" t="s">
        <v>512</v>
      </c>
      <c r="G1587" s="1" t="s">
        <v>512</v>
      </c>
      <c r="H1587" s="1" t="s">
        <v>512</v>
      </c>
      <c r="I1587" s="1" t="s">
        <v>512</v>
      </c>
      <c r="J1587" s="1" t="s">
        <v>512</v>
      </c>
      <c r="K1587" s="1" t="s">
        <v>512</v>
      </c>
      <c r="L1587" s="1" t="s">
        <v>512</v>
      </c>
      <c r="M1587" s="1" t="s">
        <v>512</v>
      </c>
      <c r="N1587" s="1" t="s">
        <v>512</v>
      </c>
      <c r="O1587" s="1" t="s">
        <v>512</v>
      </c>
      <c r="Q1587" s="1" t="s">
        <v>512</v>
      </c>
    </row>
    <row r="1588" spans="4:17" x14ac:dyDescent="0.25">
      <c r="D1588" s="1" t="s">
        <v>512</v>
      </c>
      <c r="E1588" s="21" t="s">
        <v>512</v>
      </c>
      <c r="F1588" s="1" t="s">
        <v>512</v>
      </c>
      <c r="G1588" s="1" t="s">
        <v>512</v>
      </c>
      <c r="H1588" s="1" t="s">
        <v>512</v>
      </c>
      <c r="I1588" s="1" t="s">
        <v>512</v>
      </c>
      <c r="J1588" s="1" t="s">
        <v>512</v>
      </c>
      <c r="K1588" s="1" t="s">
        <v>512</v>
      </c>
      <c r="L1588" s="1" t="s">
        <v>512</v>
      </c>
      <c r="M1588" s="1" t="s">
        <v>512</v>
      </c>
      <c r="N1588" s="1" t="s">
        <v>512</v>
      </c>
      <c r="O1588" s="1" t="s">
        <v>512</v>
      </c>
      <c r="Q1588" s="1" t="s">
        <v>512</v>
      </c>
    </row>
    <row r="1589" spans="4:17" x14ac:dyDescent="0.25">
      <c r="D1589" s="1" t="s">
        <v>512</v>
      </c>
      <c r="E1589" s="21" t="s">
        <v>512</v>
      </c>
      <c r="F1589" s="1" t="s">
        <v>512</v>
      </c>
      <c r="G1589" s="1" t="s">
        <v>512</v>
      </c>
      <c r="H1589" s="1" t="s">
        <v>512</v>
      </c>
      <c r="I1589" s="1" t="s">
        <v>512</v>
      </c>
      <c r="J1589" s="1" t="s">
        <v>512</v>
      </c>
      <c r="K1589" s="1" t="s">
        <v>512</v>
      </c>
      <c r="L1589" s="1" t="s">
        <v>512</v>
      </c>
      <c r="M1589" s="1" t="s">
        <v>512</v>
      </c>
      <c r="N1589" s="1" t="s">
        <v>512</v>
      </c>
      <c r="O1589" s="1" t="s">
        <v>512</v>
      </c>
      <c r="Q1589" s="1" t="s">
        <v>512</v>
      </c>
    </row>
    <row r="1590" spans="4:17" x14ac:dyDescent="0.25">
      <c r="D1590" s="1" t="s">
        <v>512</v>
      </c>
      <c r="E1590" s="21" t="s">
        <v>512</v>
      </c>
      <c r="F1590" s="1" t="s">
        <v>512</v>
      </c>
      <c r="G1590" s="1" t="s">
        <v>512</v>
      </c>
      <c r="H1590" s="1" t="s">
        <v>512</v>
      </c>
      <c r="I1590" s="1" t="s">
        <v>512</v>
      </c>
      <c r="J1590" s="1" t="s">
        <v>512</v>
      </c>
      <c r="K1590" s="1" t="s">
        <v>512</v>
      </c>
      <c r="L1590" s="1" t="s">
        <v>512</v>
      </c>
      <c r="M1590" s="1" t="s">
        <v>512</v>
      </c>
      <c r="N1590" s="1" t="s">
        <v>512</v>
      </c>
      <c r="O1590" s="1" t="s">
        <v>512</v>
      </c>
      <c r="Q1590" s="1" t="s">
        <v>512</v>
      </c>
    </row>
    <row r="1591" spans="4:17" x14ac:dyDescent="0.25">
      <c r="D1591" s="1" t="s">
        <v>512</v>
      </c>
      <c r="E1591" s="21" t="s">
        <v>512</v>
      </c>
      <c r="F1591" s="1" t="s">
        <v>512</v>
      </c>
      <c r="G1591" s="1" t="s">
        <v>512</v>
      </c>
      <c r="H1591" s="1" t="s">
        <v>512</v>
      </c>
      <c r="I1591" s="1" t="s">
        <v>512</v>
      </c>
      <c r="J1591" s="1" t="s">
        <v>512</v>
      </c>
      <c r="K1591" s="1" t="s">
        <v>512</v>
      </c>
      <c r="L1591" s="1" t="s">
        <v>512</v>
      </c>
      <c r="M1591" s="1" t="s">
        <v>512</v>
      </c>
      <c r="N1591" s="1" t="s">
        <v>512</v>
      </c>
      <c r="O1591" s="1" t="s">
        <v>512</v>
      </c>
      <c r="Q1591" s="1" t="s">
        <v>512</v>
      </c>
    </row>
    <row r="1592" spans="4:17" x14ac:dyDescent="0.25">
      <c r="D1592" s="1" t="s">
        <v>512</v>
      </c>
      <c r="E1592" s="21" t="s">
        <v>512</v>
      </c>
      <c r="F1592" s="1" t="s">
        <v>512</v>
      </c>
      <c r="G1592" s="1" t="s">
        <v>512</v>
      </c>
      <c r="H1592" s="1" t="s">
        <v>512</v>
      </c>
      <c r="I1592" s="1" t="s">
        <v>512</v>
      </c>
      <c r="J1592" s="1" t="s">
        <v>512</v>
      </c>
      <c r="K1592" s="1" t="s">
        <v>512</v>
      </c>
      <c r="L1592" s="1" t="s">
        <v>512</v>
      </c>
      <c r="M1592" s="1" t="s">
        <v>512</v>
      </c>
      <c r="N1592" s="1" t="s">
        <v>512</v>
      </c>
      <c r="O1592" s="1" t="s">
        <v>512</v>
      </c>
      <c r="Q1592" s="1" t="s">
        <v>512</v>
      </c>
    </row>
    <row r="1593" spans="4:17" x14ac:dyDescent="0.25">
      <c r="D1593" s="1" t="s">
        <v>512</v>
      </c>
      <c r="E1593" s="21" t="s">
        <v>512</v>
      </c>
      <c r="F1593" s="1" t="s">
        <v>512</v>
      </c>
      <c r="G1593" s="1" t="s">
        <v>512</v>
      </c>
      <c r="H1593" s="1" t="s">
        <v>512</v>
      </c>
      <c r="I1593" s="1" t="s">
        <v>512</v>
      </c>
      <c r="J1593" s="1" t="s">
        <v>512</v>
      </c>
      <c r="K1593" s="1" t="s">
        <v>512</v>
      </c>
      <c r="L1593" s="1" t="s">
        <v>512</v>
      </c>
      <c r="M1593" s="1" t="s">
        <v>512</v>
      </c>
      <c r="N1593" s="1" t="s">
        <v>512</v>
      </c>
      <c r="O1593" s="1" t="s">
        <v>512</v>
      </c>
      <c r="Q1593" s="1" t="s">
        <v>512</v>
      </c>
    </row>
    <row r="1594" spans="4:17" x14ac:dyDescent="0.25">
      <c r="D1594" s="1" t="s">
        <v>512</v>
      </c>
      <c r="E1594" s="21" t="s">
        <v>512</v>
      </c>
      <c r="F1594" s="1" t="s">
        <v>512</v>
      </c>
      <c r="G1594" s="1" t="s">
        <v>512</v>
      </c>
      <c r="H1594" s="1" t="s">
        <v>512</v>
      </c>
      <c r="I1594" s="1" t="s">
        <v>512</v>
      </c>
      <c r="J1594" s="1" t="s">
        <v>512</v>
      </c>
      <c r="K1594" s="1" t="s">
        <v>512</v>
      </c>
      <c r="L1594" s="1" t="s">
        <v>512</v>
      </c>
      <c r="M1594" s="1" t="s">
        <v>512</v>
      </c>
      <c r="N1594" s="1" t="s">
        <v>512</v>
      </c>
      <c r="O1594" s="1" t="s">
        <v>512</v>
      </c>
      <c r="Q1594" s="1" t="s">
        <v>512</v>
      </c>
    </row>
    <row r="1595" spans="4:17" x14ac:dyDescent="0.25">
      <c r="D1595" s="1" t="s">
        <v>512</v>
      </c>
      <c r="E1595" s="21" t="s">
        <v>512</v>
      </c>
      <c r="F1595" s="1" t="s">
        <v>512</v>
      </c>
      <c r="G1595" s="1" t="s">
        <v>512</v>
      </c>
      <c r="H1595" s="1" t="s">
        <v>512</v>
      </c>
      <c r="I1595" s="1" t="s">
        <v>512</v>
      </c>
      <c r="J1595" s="1" t="s">
        <v>512</v>
      </c>
      <c r="K1595" s="1" t="s">
        <v>512</v>
      </c>
      <c r="L1595" s="1" t="s">
        <v>512</v>
      </c>
      <c r="M1595" s="1" t="s">
        <v>512</v>
      </c>
      <c r="N1595" s="1" t="s">
        <v>512</v>
      </c>
      <c r="O1595" s="1" t="s">
        <v>512</v>
      </c>
      <c r="Q1595" s="1" t="s">
        <v>512</v>
      </c>
    </row>
    <row r="1596" spans="4:17" x14ac:dyDescent="0.25">
      <c r="D1596" s="1" t="s">
        <v>512</v>
      </c>
      <c r="E1596" s="21" t="s">
        <v>512</v>
      </c>
      <c r="F1596" s="1" t="s">
        <v>512</v>
      </c>
      <c r="G1596" s="1" t="s">
        <v>512</v>
      </c>
      <c r="H1596" s="1" t="s">
        <v>512</v>
      </c>
      <c r="I1596" s="1" t="s">
        <v>512</v>
      </c>
      <c r="J1596" s="1" t="s">
        <v>512</v>
      </c>
      <c r="K1596" s="1" t="s">
        <v>512</v>
      </c>
      <c r="L1596" s="1" t="s">
        <v>512</v>
      </c>
      <c r="M1596" s="1" t="s">
        <v>512</v>
      </c>
      <c r="N1596" s="1" t="s">
        <v>512</v>
      </c>
      <c r="O1596" s="1" t="s">
        <v>512</v>
      </c>
      <c r="Q1596" s="1" t="s">
        <v>512</v>
      </c>
    </row>
    <row r="1597" spans="4:17" x14ac:dyDescent="0.25">
      <c r="D1597" s="1" t="s">
        <v>512</v>
      </c>
      <c r="E1597" s="21" t="s">
        <v>512</v>
      </c>
      <c r="F1597" s="1" t="s">
        <v>512</v>
      </c>
      <c r="G1597" s="1" t="s">
        <v>512</v>
      </c>
      <c r="H1597" s="1" t="s">
        <v>512</v>
      </c>
      <c r="I1597" s="1" t="s">
        <v>512</v>
      </c>
      <c r="J1597" s="1" t="s">
        <v>512</v>
      </c>
      <c r="K1597" s="1" t="s">
        <v>512</v>
      </c>
      <c r="L1597" s="1" t="s">
        <v>512</v>
      </c>
      <c r="M1597" s="1" t="s">
        <v>512</v>
      </c>
      <c r="N1597" s="1" t="s">
        <v>512</v>
      </c>
      <c r="O1597" s="1" t="s">
        <v>512</v>
      </c>
      <c r="Q1597" s="1" t="s">
        <v>512</v>
      </c>
    </row>
    <row r="1598" spans="4:17" x14ac:dyDescent="0.25">
      <c r="D1598" s="1" t="s">
        <v>512</v>
      </c>
      <c r="E1598" s="21" t="s">
        <v>512</v>
      </c>
      <c r="F1598" s="1" t="s">
        <v>512</v>
      </c>
      <c r="G1598" s="1" t="s">
        <v>512</v>
      </c>
      <c r="H1598" s="1" t="s">
        <v>512</v>
      </c>
      <c r="I1598" s="1" t="s">
        <v>512</v>
      </c>
      <c r="J1598" s="1" t="s">
        <v>512</v>
      </c>
      <c r="K1598" s="1" t="s">
        <v>512</v>
      </c>
      <c r="L1598" s="1" t="s">
        <v>512</v>
      </c>
      <c r="M1598" s="1" t="s">
        <v>512</v>
      </c>
      <c r="N1598" s="1" t="s">
        <v>512</v>
      </c>
      <c r="O1598" s="1" t="s">
        <v>512</v>
      </c>
      <c r="Q1598" s="1" t="s">
        <v>512</v>
      </c>
    </row>
    <row r="1599" spans="4:17" x14ac:dyDescent="0.25">
      <c r="D1599" s="1" t="s">
        <v>512</v>
      </c>
      <c r="E1599" s="21" t="s">
        <v>512</v>
      </c>
      <c r="F1599" s="1" t="s">
        <v>512</v>
      </c>
      <c r="G1599" s="1" t="s">
        <v>512</v>
      </c>
      <c r="H1599" s="1" t="s">
        <v>512</v>
      </c>
      <c r="I1599" s="1" t="s">
        <v>512</v>
      </c>
      <c r="J1599" s="1" t="s">
        <v>512</v>
      </c>
      <c r="K1599" s="1" t="s">
        <v>512</v>
      </c>
      <c r="L1599" s="1" t="s">
        <v>512</v>
      </c>
      <c r="M1599" s="1" t="s">
        <v>512</v>
      </c>
      <c r="N1599" s="1" t="s">
        <v>512</v>
      </c>
      <c r="O1599" s="1" t="s">
        <v>512</v>
      </c>
      <c r="Q1599" s="1" t="s">
        <v>512</v>
      </c>
    </row>
    <row r="1600" spans="4:17" x14ac:dyDescent="0.25">
      <c r="D1600" s="1" t="s">
        <v>512</v>
      </c>
      <c r="E1600" s="21" t="s">
        <v>512</v>
      </c>
      <c r="F1600" s="1" t="s">
        <v>512</v>
      </c>
      <c r="G1600" s="1" t="s">
        <v>512</v>
      </c>
      <c r="H1600" s="1" t="s">
        <v>512</v>
      </c>
      <c r="I1600" s="1" t="s">
        <v>512</v>
      </c>
      <c r="J1600" s="1" t="s">
        <v>512</v>
      </c>
      <c r="K1600" s="1" t="s">
        <v>512</v>
      </c>
      <c r="L1600" s="1" t="s">
        <v>512</v>
      </c>
      <c r="M1600" s="1" t="s">
        <v>512</v>
      </c>
      <c r="N1600" s="1" t="s">
        <v>512</v>
      </c>
      <c r="O1600" s="1" t="s">
        <v>512</v>
      </c>
      <c r="Q1600" s="1" t="s">
        <v>512</v>
      </c>
    </row>
    <row r="1601" spans="4:17" x14ac:dyDescent="0.25">
      <c r="D1601" s="1" t="s">
        <v>512</v>
      </c>
      <c r="E1601" s="21" t="s">
        <v>512</v>
      </c>
      <c r="F1601" s="1" t="s">
        <v>512</v>
      </c>
      <c r="G1601" s="1" t="s">
        <v>512</v>
      </c>
      <c r="H1601" s="1" t="s">
        <v>512</v>
      </c>
      <c r="I1601" s="1" t="s">
        <v>512</v>
      </c>
      <c r="J1601" s="1" t="s">
        <v>512</v>
      </c>
      <c r="K1601" s="1" t="s">
        <v>512</v>
      </c>
      <c r="L1601" s="1" t="s">
        <v>512</v>
      </c>
      <c r="M1601" s="1" t="s">
        <v>512</v>
      </c>
      <c r="N1601" s="1" t="s">
        <v>512</v>
      </c>
      <c r="O1601" s="1" t="s">
        <v>512</v>
      </c>
      <c r="Q1601" s="1" t="s">
        <v>512</v>
      </c>
    </row>
    <row r="1602" spans="4:17" x14ac:dyDescent="0.25">
      <c r="D1602" s="1" t="s">
        <v>512</v>
      </c>
      <c r="E1602" s="21" t="s">
        <v>512</v>
      </c>
      <c r="F1602" s="1" t="s">
        <v>512</v>
      </c>
      <c r="G1602" s="1" t="s">
        <v>512</v>
      </c>
      <c r="H1602" s="1" t="s">
        <v>512</v>
      </c>
      <c r="I1602" s="1" t="s">
        <v>512</v>
      </c>
      <c r="J1602" s="1" t="s">
        <v>512</v>
      </c>
      <c r="K1602" s="1" t="s">
        <v>512</v>
      </c>
      <c r="L1602" s="1" t="s">
        <v>512</v>
      </c>
      <c r="M1602" s="1" t="s">
        <v>512</v>
      </c>
      <c r="N1602" s="1" t="s">
        <v>512</v>
      </c>
      <c r="O1602" s="1" t="s">
        <v>512</v>
      </c>
      <c r="Q1602" s="1" t="s">
        <v>512</v>
      </c>
    </row>
    <row r="1603" spans="4:17" x14ac:dyDescent="0.25">
      <c r="D1603" s="1" t="s">
        <v>512</v>
      </c>
      <c r="E1603" s="21" t="s">
        <v>512</v>
      </c>
      <c r="F1603" s="1" t="s">
        <v>512</v>
      </c>
      <c r="G1603" s="1" t="s">
        <v>512</v>
      </c>
      <c r="H1603" s="1" t="s">
        <v>512</v>
      </c>
      <c r="I1603" s="1" t="s">
        <v>512</v>
      </c>
      <c r="J1603" s="1" t="s">
        <v>512</v>
      </c>
      <c r="K1603" s="1" t="s">
        <v>512</v>
      </c>
      <c r="L1603" s="1" t="s">
        <v>512</v>
      </c>
      <c r="M1603" s="1" t="s">
        <v>512</v>
      </c>
      <c r="N1603" s="1" t="s">
        <v>512</v>
      </c>
      <c r="O1603" s="1" t="s">
        <v>512</v>
      </c>
      <c r="Q1603" s="1" t="s">
        <v>512</v>
      </c>
    </row>
    <row r="1604" spans="4:17" x14ac:dyDescent="0.25">
      <c r="D1604" s="1" t="s">
        <v>512</v>
      </c>
      <c r="E1604" s="21" t="s">
        <v>512</v>
      </c>
      <c r="F1604" s="1" t="s">
        <v>512</v>
      </c>
      <c r="G1604" s="1" t="s">
        <v>512</v>
      </c>
      <c r="H1604" s="1" t="s">
        <v>512</v>
      </c>
      <c r="I1604" s="1" t="s">
        <v>512</v>
      </c>
      <c r="J1604" s="1" t="s">
        <v>512</v>
      </c>
      <c r="K1604" s="1" t="s">
        <v>512</v>
      </c>
      <c r="L1604" s="1" t="s">
        <v>512</v>
      </c>
      <c r="M1604" s="1" t="s">
        <v>512</v>
      </c>
      <c r="N1604" s="1" t="s">
        <v>512</v>
      </c>
      <c r="O1604" s="1" t="s">
        <v>512</v>
      </c>
      <c r="Q1604" s="1" t="s">
        <v>512</v>
      </c>
    </row>
    <row r="1605" spans="4:17" x14ac:dyDescent="0.25">
      <c r="D1605" s="1" t="s">
        <v>512</v>
      </c>
      <c r="E1605" s="21" t="s">
        <v>512</v>
      </c>
      <c r="F1605" s="1" t="s">
        <v>512</v>
      </c>
      <c r="G1605" s="1" t="s">
        <v>512</v>
      </c>
      <c r="H1605" s="1" t="s">
        <v>512</v>
      </c>
      <c r="I1605" s="1" t="s">
        <v>512</v>
      </c>
      <c r="J1605" s="1" t="s">
        <v>512</v>
      </c>
      <c r="K1605" s="1" t="s">
        <v>512</v>
      </c>
      <c r="L1605" s="1" t="s">
        <v>512</v>
      </c>
      <c r="M1605" s="1" t="s">
        <v>512</v>
      </c>
      <c r="N1605" s="1" t="s">
        <v>512</v>
      </c>
      <c r="O1605" s="1" t="s">
        <v>512</v>
      </c>
      <c r="Q1605" s="1" t="s">
        <v>512</v>
      </c>
    </row>
    <row r="1606" spans="4:17" x14ac:dyDescent="0.25">
      <c r="D1606" s="1" t="s">
        <v>512</v>
      </c>
      <c r="E1606" s="21" t="s">
        <v>512</v>
      </c>
      <c r="F1606" s="1" t="s">
        <v>512</v>
      </c>
      <c r="G1606" s="1" t="s">
        <v>512</v>
      </c>
      <c r="H1606" s="1" t="s">
        <v>512</v>
      </c>
      <c r="I1606" s="1" t="s">
        <v>512</v>
      </c>
      <c r="J1606" s="1" t="s">
        <v>512</v>
      </c>
      <c r="K1606" s="1" t="s">
        <v>512</v>
      </c>
      <c r="L1606" s="1" t="s">
        <v>512</v>
      </c>
      <c r="M1606" s="1" t="s">
        <v>512</v>
      </c>
      <c r="N1606" s="1" t="s">
        <v>512</v>
      </c>
      <c r="O1606" s="1" t="s">
        <v>512</v>
      </c>
      <c r="Q1606" s="1" t="s">
        <v>512</v>
      </c>
    </row>
    <row r="1607" spans="4:17" x14ac:dyDescent="0.25">
      <c r="D1607" s="1" t="s">
        <v>512</v>
      </c>
      <c r="E1607" s="21" t="s">
        <v>512</v>
      </c>
      <c r="F1607" s="1" t="s">
        <v>512</v>
      </c>
      <c r="G1607" s="1" t="s">
        <v>512</v>
      </c>
      <c r="H1607" s="1" t="s">
        <v>512</v>
      </c>
      <c r="I1607" s="1" t="s">
        <v>512</v>
      </c>
      <c r="J1607" s="1" t="s">
        <v>512</v>
      </c>
      <c r="K1607" s="1" t="s">
        <v>512</v>
      </c>
      <c r="L1607" s="1" t="s">
        <v>512</v>
      </c>
      <c r="M1607" s="1" t="s">
        <v>512</v>
      </c>
      <c r="N1607" s="1" t="s">
        <v>512</v>
      </c>
      <c r="O1607" s="1" t="s">
        <v>512</v>
      </c>
      <c r="Q1607" s="1" t="s">
        <v>512</v>
      </c>
    </row>
    <row r="1608" spans="4:17" x14ac:dyDescent="0.25">
      <c r="D1608" s="1" t="s">
        <v>512</v>
      </c>
      <c r="E1608" s="21" t="s">
        <v>512</v>
      </c>
      <c r="F1608" s="1" t="s">
        <v>512</v>
      </c>
      <c r="G1608" s="1" t="s">
        <v>512</v>
      </c>
      <c r="H1608" s="1" t="s">
        <v>512</v>
      </c>
      <c r="I1608" s="1" t="s">
        <v>512</v>
      </c>
      <c r="J1608" s="1" t="s">
        <v>512</v>
      </c>
      <c r="K1608" s="1" t="s">
        <v>512</v>
      </c>
      <c r="L1608" s="1" t="s">
        <v>512</v>
      </c>
      <c r="M1608" s="1" t="s">
        <v>512</v>
      </c>
      <c r="N1608" s="1" t="s">
        <v>512</v>
      </c>
      <c r="O1608" s="1" t="s">
        <v>512</v>
      </c>
      <c r="Q1608" s="1" t="s">
        <v>512</v>
      </c>
    </row>
    <row r="1609" spans="4:17" x14ac:dyDescent="0.25">
      <c r="D1609" s="1" t="s">
        <v>512</v>
      </c>
      <c r="E1609" s="21" t="s">
        <v>512</v>
      </c>
      <c r="F1609" s="1" t="s">
        <v>512</v>
      </c>
      <c r="G1609" s="1" t="s">
        <v>512</v>
      </c>
      <c r="H1609" s="1" t="s">
        <v>512</v>
      </c>
      <c r="I1609" s="1" t="s">
        <v>512</v>
      </c>
      <c r="J1609" s="1" t="s">
        <v>512</v>
      </c>
      <c r="K1609" s="1" t="s">
        <v>512</v>
      </c>
      <c r="L1609" s="1" t="s">
        <v>512</v>
      </c>
      <c r="M1609" s="1" t="s">
        <v>512</v>
      </c>
      <c r="N1609" s="1" t="s">
        <v>512</v>
      </c>
      <c r="O1609" s="1" t="s">
        <v>512</v>
      </c>
      <c r="Q1609" s="1" t="s">
        <v>512</v>
      </c>
    </row>
    <row r="1610" spans="4:17" x14ac:dyDescent="0.25">
      <c r="D1610" s="1" t="s">
        <v>512</v>
      </c>
      <c r="E1610" s="21" t="s">
        <v>512</v>
      </c>
      <c r="F1610" s="1" t="s">
        <v>512</v>
      </c>
      <c r="G1610" s="1" t="s">
        <v>512</v>
      </c>
      <c r="H1610" s="1" t="s">
        <v>512</v>
      </c>
      <c r="I1610" s="1" t="s">
        <v>512</v>
      </c>
      <c r="J1610" s="1" t="s">
        <v>512</v>
      </c>
      <c r="K1610" s="1" t="s">
        <v>512</v>
      </c>
      <c r="L1610" s="1" t="s">
        <v>512</v>
      </c>
      <c r="M1610" s="1" t="s">
        <v>512</v>
      </c>
      <c r="N1610" s="1" t="s">
        <v>512</v>
      </c>
      <c r="O1610" s="1" t="s">
        <v>512</v>
      </c>
      <c r="Q1610" s="1" t="s">
        <v>512</v>
      </c>
    </row>
    <row r="1611" spans="4:17" x14ac:dyDescent="0.25">
      <c r="D1611" s="1" t="s">
        <v>512</v>
      </c>
      <c r="E1611" s="21" t="s">
        <v>512</v>
      </c>
      <c r="F1611" s="1" t="s">
        <v>512</v>
      </c>
      <c r="G1611" s="1" t="s">
        <v>512</v>
      </c>
      <c r="H1611" s="1" t="s">
        <v>512</v>
      </c>
      <c r="I1611" s="1" t="s">
        <v>512</v>
      </c>
      <c r="J1611" s="1" t="s">
        <v>512</v>
      </c>
      <c r="K1611" s="1" t="s">
        <v>512</v>
      </c>
      <c r="L1611" s="1" t="s">
        <v>512</v>
      </c>
      <c r="M1611" s="1" t="s">
        <v>512</v>
      </c>
      <c r="N1611" s="1" t="s">
        <v>512</v>
      </c>
      <c r="O1611" s="1" t="s">
        <v>512</v>
      </c>
      <c r="Q1611" s="1" t="s">
        <v>512</v>
      </c>
    </row>
    <row r="1612" spans="4:17" x14ac:dyDescent="0.25">
      <c r="D1612" s="1" t="s">
        <v>512</v>
      </c>
      <c r="E1612" s="21" t="s">
        <v>512</v>
      </c>
      <c r="F1612" s="1" t="s">
        <v>512</v>
      </c>
      <c r="G1612" s="1" t="s">
        <v>512</v>
      </c>
      <c r="H1612" s="1" t="s">
        <v>512</v>
      </c>
      <c r="I1612" s="1" t="s">
        <v>512</v>
      </c>
      <c r="J1612" s="1" t="s">
        <v>512</v>
      </c>
      <c r="K1612" s="1" t="s">
        <v>512</v>
      </c>
      <c r="L1612" s="1" t="s">
        <v>512</v>
      </c>
      <c r="M1612" s="1" t="s">
        <v>512</v>
      </c>
      <c r="N1612" s="1" t="s">
        <v>512</v>
      </c>
      <c r="O1612" s="1" t="s">
        <v>512</v>
      </c>
      <c r="Q1612" s="1" t="s">
        <v>512</v>
      </c>
    </row>
    <row r="1613" spans="4:17" x14ac:dyDescent="0.25">
      <c r="D1613" s="1" t="s">
        <v>512</v>
      </c>
      <c r="E1613" s="21" t="s">
        <v>512</v>
      </c>
      <c r="F1613" s="1" t="s">
        <v>512</v>
      </c>
      <c r="G1613" s="1" t="s">
        <v>512</v>
      </c>
      <c r="H1613" s="1" t="s">
        <v>512</v>
      </c>
      <c r="I1613" s="1" t="s">
        <v>512</v>
      </c>
      <c r="J1613" s="1" t="s">
        <v>512</v>
      </c>
      <c r="K1613" s="1" t="s">
        <v>512</v>
      </c>
      <c r="L1613" s="1" t="s">
        <v>512</v>
      </c>
      <c r="M1613" s="1" t="s">
        <v>512</v>
      </c>
      <c r="N1613" s="1" t="s">
        <v>512</v>
      </c>
      <c r="O1613" s="1" t="s">
        <v>512</v>
      </c>
      <c r="Q1613" s="1" t="s">
        <v>512</v>
      </c>
    </row>
    <row r="1614" spans="4:17" x14ac:dyDescent="0.25">
      <c r="D1614" s="1" t="s">
        <v>512</v>
      </c>
      <c r="E1614" s="21" t="s">
        <v>512</v>
      </c>
      <c r="F1614" s="1" t="s">
        <v>512</v>
      </c>
      <c r="G1614" s="1" t="s">
        <v>512</v>
      </c>
      <c r="H1614" s="1" t="s">
        <v>512</v>
      </c>
      <c r="I1614" s="1" t="s">
        <v>512</v>
      </c>
      <c r="J1614" s="1" t="s">
        <v>512</v>
      </c>
      <c r="K1614" s="1" t="s">
        <v>512</v>
      </c>
      <c r="L1614" s="1" t="s">
        <v>512</v>
      </c>
      <c r="M1614" s="1" t="s">
        <v>512</v>
      </c>
      <c r="N1614" s="1" t="s">
        <v>512</v>
      </c>
      <c r="O1614" s="1" t="s">
        <v>512</v>
      </c>
      <c r="Q1614" s="1" t="s">
        <v>512</v>
      </c>
    </row>
    <row r="1615" spans="4:17" x14ac:dyDescent="0.25">
      <c r="D1615" s="1" t="s">
        <v>512</v>
      </c>
      <c r="E1615" s="21" t="s">
        <v>512</v>
      </c>
      <c r="F1615" s="1" t="s">
        <v>512</v>
      </c>
      <c r="G1615" s="1" t="s">
        <v>512</v>
      </c>
      <c r="H1615" s="1" t="s">
        <v>512</v>
      </c>
      <c r="I1615" s="1" t="s">
        <v>512</v>
      </c>
      <c r="J1615" s="1" t="s">
        <v>512</v>
      </c>
      <c r="K1615" s="1" t="s">
        <v>512</v>
      </c>
      <c r="L1615" s="1" t="s">
        <v>512</v>
      </c>
      <c r="M1615" s="1" t="s">
        <v>512</v>
      </c>
      <c r="N1615" s="1" t="s">
        <v>512</v>
      </c>
      <c r="O1615" s="1" t="s">
        <v>512</v>
      </c>
      <c r="Q1615" s="1" t="s">
        <v>512</v>
      </c>
    </row>
    <row r="1616" spans="4:17" x14ac:dyDescent="0.25">
      <c r="D1616" s="1" t="s">
        <v>512</v>
      </c>
      <c r="E1616" s="21" t="s">
        <v>512</v>
      </c>
      <c r="F1616" s="1" t="s">
        <v>512</v>
      </c>
      <c r="G1616" s="1" t="s">
        <v>512</v>
      </c>
      <c r="H1616" s="1" t="s">
        <v>512</v>
      </c>
      <c r="I1616" s="1" t="s">
        <v>512</v>
      </c>
      <c r="J1616" s="1" t="s">
        <v>512</v>
      </c>
      <c r="K1616" s="1" t="s">
        <v>512</v>
      </c>
      <c r="L1616" s="1" t="s">
        <v>512</v>
      </c>
      <c r="M1616" s="1" t="s">
        <v>512</v>
      </c>
      <c r="N1616" s="1" t="s">
        <v>512</v>
      </c>
      <c r="O1616" s="1" t="s">
        <v>512</v>
      </c>
      <c r="Q1616" s="1" t="s">
        <v>512</v>
      </c>
    </row>
    <row r="1617" spans="4:17" x14ac:dyDescent="0.25">
      <c r="D1617" s="1" t="s">
        <v>512</v>
      </c>
      <c r="E1617" s="21" t="s">
        <v>512</v>
      </c>
      <c r="F1617" s="1" t="s">
        <v>512</v>
      </c>
      <c r="G1617" s="1" t="s">
        <v>512</v>
      </c>
      <c r="H1617" s="1" t="s">
        <v>512</v>
      </c>
      <c r="I1617" s="1" t="s">
        <v>512</v>
      </c>
      <c r="J1617" s="1" t="s">
        <v>512</v>
      </c>
      <c r="K1617" s="1" t="s">
        <v>512</v>
      </c>
      <c r="L1617" s="1" t="s">
        <v>512</v>
      </c>
      <c r="M1617" s="1" t="s">
        <v>512</v>
      </c>
      <c r="N1617" s="1" t="s">
        <v>512</v>
      </c>
      <c r="O1617" s="1" t="s">
        <v>512</v>
      </c>
      <c r="Q1617" s="1" t="s">
        <v>512</v>
      </c>
    </row>
    <row r="1618" spans="4:17" x14ac:dyDescent="0.25">
      <c r="D1618" s="1" t="s">
        <v>512</v>
      </c>
      <c r="E1618" s="21" t="s">
        <v>512</v>
      </c>
      <c r="F1618" s="1" t="s">
        <v>512</v>
      </c>
      <c r="G1618" s="1" t="s">
        <v>512</v>
      </c>
      <c r="H1618" s="1" t="s">
        <v>512</v>
      </c>
      <c r="I1618" s="1" t="s">
        <v>512</v>
      </c>
      <c r="J1618" s="1" t="s">
        <v>512</v>
      </c>
      <c r="K1618" s="1" t="s">
        <v>512</v>
      </c>
      <c r="L1618" s="1" t="s">
        <v>512</v>
      </c>
      <c r="M1618" s="1" t="s">
        <v>512</v>
      </c>
      <c r="N1618" s="1" t="s">
        <v>512</v>
      </c>
      <c r="O1618" s="1" t="s">
        <v>512</v>
      </c>
      <c r="Q1618" s="1" t="s">
        <v>512</v>
      </c>
    </row>
    <row r="1619" spans="4:17" x14ac:dyDescent="0.25">
      <c r="D1619" s="1" t="s">
        <v>512</v>
      </c>
      <c r="E1619" s="21" t="s">
        <v>512</v>
      </c>
      <c r="F1619" s="1" t="s">
        <v>512</v>
      </c>
      <c r="G1619" s="1" t="s">
        <v>512</v>
      </c>
      <c r="H1619" s="1" t="s">
        <v>512</v>
      </c>
      <c r="I1619" s="1" t="s">
        <v>512</v>
      </c>
      <c r="J1619" s="1" t="s">
        <v>512</v>
      </c>
      <c r="K1619" s="1" t="s">
        <v>512</v>
      </c>
      <c r="L1619" s="1" t="s">
        <v>512</v>
      </c>
      <c r="M1619" s="1" t="s">
        <v>512</v>
      </c>
      <c r="N1619" s="1" t="s">
        <v>512</v>
      </c>
      <c r="O1619" s="1" t="s">
        <v>512</v>
      </c>
      <c r="Q1619" s="1" t="s">
        <v>512</v>
      </c>
    </row>
    <row r="1620" spans="4:17" x14ac:dyDescent="0.25">
      <c r="D1620" s="1" t="s">
        <v>512</v>
      </c>
      <c r="E1620" s="21" t="s">
        <v>512</v>
      </c>
      <c r="F1620" s="1" t="s">
        <v>512</v>
      </c>
      <c r="G1620" s="1" t="s">
        <v>512</v>
      </c>
      <c r="H1620" s="1" t="s">
        <v>512</v>
      </c>
      <c r="I1620" s="1" t="s">
        <v>512</v>
      </c>
      <c r="J1620" s="1" t="s">
        <v>512</v>
      </c>
      <c r="K1620" s="1" t="s">
        <v>512</v>
      </c>
      <c r="L1620" s="1" t="s">
        <v>512</v>
      </c>
      <c r="M1620" s="1" t="s">
        <v>512</v>
      </c>
      <c r="N1620" s="1" t="s">
        <v>512</v>
      </c>
      <c r="O1620" s="1" t="s">
        <v>512</v>
      </c>
      <c r="Q1620" s="1" t="s">
        <v>512</v>
      </c>
    </row>
    <row r="1621" spans="4:17" x14ac:dyDescent="0.25">
      <c r="D1621" s="1" t="s">
        <v>512</v>
      </c>
      <c r="E1621" s="21" t="s">
        <v>512</v>
      </c>
      <c r="F1621" s="1" t="s">
        <v>512</v>
      </c>
      <c r="G1621" s="1" t="s">
        <v>512</v>
      </c>
      <c r="H1621" s="1" t="s">
        <v>512</v>
      </c>
      <c r="I1621" s="1" t="s">
        <v>512</v>
      </c>
      <c r="J1621" s="1" t="s">
        <v>512</v>
      </c>
      <c r="K1621" s="1" t="s">
        <v>512</v>
      </c>
      <c r="L1621" s="1" t="s">
        <v>512</v>
      </c>
      <c r="M1621" s="1" t="s">
        <v>512</v>
      </c>
      <c r="N1621" s="1" t="s">
        <v>512</v>
      </c>
      <c r="O1621" s="1" t="s">
        <v>512</v>
      </c>
      <c r="Q1621" s="1" t="s">
        <v>512</v>
      </c>
    </row>
    <row r="1622" spans="4:17" x14ac:dyDescent="0.25">
      <c r="D1622" s="1" t="s">
        <v>512</v>
      </c>
      <c r="E1622" s="21" t="s">
        <v>512</v>
      </c>
      <c r="F1622" s="1" t="s">
        <v>512</v>
      </c>
      <c r="G1622" s="1" t="s">
        <v>512</v>
      </c>
      <c r="H1622" s="1" t="s">
        <v>512</v>
      </c>
      <c r="I1622" s="1" t="s">
        <v>512</v>
      </c>
      <c r="J1622" s="1" t="s">
        <v>512</v>
      </c>
      <c r="K1622" s="1" t="s">
        <v>512</v>
      </c>
      <c r="L1622" s="1" t="s">
        <v>512</v>
      </c>
      <c r="M1622" s="1" t="s">
        <v>512</v>
      </c>
      <c r="N1622" s="1" t="s">
        <v>512</v>
      </c>
      <c r="O1622" s="1" t="s">
        <v>512</v>
      </c>
      <c r="Q1622" s="1" t="s">
        <v>512</v>
      </c>
    </row>
    <row r="1623" spans="4:17" x14ac:dyDescent="0.25">
      <c r="D1623" s="1" t="s">
        <v>512</v>
      </c>
      <c r="E1623" s="21" t="s">
        <v>512</v>
      </c>
      <c r="F1623" s="1" t="s">
        <v>512</v>
      </c>
      <c r="G1623" s="1" t="s">
        <v>512</v>
      </c>
      <c r="H1623" s="1" t="s">
        <v>512</v>
      </c>
      <c r="I1623" s="1" t="s">
        <v>512</v>
      </c>
      <c r="J1623" s="1" t="s">
        <v>512</v>
      </c>
      <c r="K1623" s="1" t="s">
        <v>512</v>
      </c>
      <c r="L1623" s="1" t="s">
        <v>512</v>
      </c>
      <c r="M1623" s="1" t="s">
        <v>512</v>
      </c>
      <c r="N1623" s="1" t="s">
        <v>512</v>
      </c>
      <c r="O1623" s="1" t="s">
        <v>512</v>
      </c>
      <c r="Q1623" s="1" t="s">
        <v>512</v>
      </c>
    </row>
    <row r="1624" spans="4:17" x14ac:dyDescent="0.25">
      <c r="D1624" s="1" t="s">
        <v>512</v>
      </c>
      <c r="E1624" s="21" t="s">
        <v>512</v>
      </c>
      <c r="F1624" s="1" t="s">
        <v>512</v>
      </c>
      <c r="G1624" s="1" t="s">
        <v>512</v>
      </c>
      <c r="H1624" s="1" t="s">
        <v>512</v>
      </c>
      <c r="I1624" s="1" t="s">
        <v>512</v>
      </c>
      <c r="J1624" s="1" t="s">
        <v>512</v>
      </c>
      <c r="K1624" s="1" t="s">
        <v>512</v>
      </c>
      <c r="L1624" s="1" t="s">
        <v>512</v>
      </c>
      <c r="M1624" s="1" t="s">
        <v>512</v>
      </c>
      <c r="N1624" s="1" t="s">
        <v>512</v>
      </c>
      <c r="O1624" s="1" t="s">
        <v>512</v>
      </c>
      <c r="Q1624" s="1" t="s">
        <v>512</v>
      </c>
    </row>
    <row r="1625" spans="4:17" x14ac:dyDescent="0.25">
      <c r="D1625" s="1" t="s">
        <v>512</v>
      </c>
      <c r="E1625" s="21" t="s">
        <v>512</v>
      </c>
      <c r="F1625" s="1" t="s">
        <v>512</v>
      </c>
      <c r="G1625" s="1" t="s">
        <v>512</v>
      </c>
      <c r="H1625" s="1" t="s">
        <v>512</v>
      </c>
      <c r="I1625" s="1" t="s">
        <v>512</v>
      </c>
      <c r="J1625" s="1" t="s">
        <v>512</v>
      </c>
      <c r="K1625" s="1" t="s">
        <v>512</v>
      </c>
      <c r="L1625" s="1" t="s">
        <v>512</v>
      </c>
      <c r="M1625" s="1" t="s">
        <v>512</v>
      </c>
      <c r="N1625" s="1" t="s">
        <v>512</v>
      </c>
      <c r="O1625" s="1" t="s">
        <v>512</v>
      </c>
      <c r="Q1625" s="1" t="s">
        <v>512</v>
      </c>
    </row>
    <row r="1626" spans="4:17" x14ac:dyDescent="0.25">
      <c r="D1626" s="1" t="s">
        <v>512</v>
      </c>
      <c r="E1626" s="21" t="s">
        <v>512</v>
      </c>
      <c r="F1626" s="1" t="s">
        <v>512</v>
      </c>
      <c r="G1626" s="1" t="s">
        <v>512</v>
      </c>
      <c r="H1626" s="1" t="s">
        <v>512</v>
      </c>
      <c r="I1626" s="1" t="s">
        <v>512</v>
      </c>
      <c r="J1626" s="1" t="s">
        <v>512</v>
      </c>
      <c r="K1626" s="1" t="s">
        <v>512</v>
      </c>
      <c r="L1626" s="1" t="s">
        <v>512</v>
      </c>
      <c r="M1626" s="1" t="s">
        <v>512</v>
      </c>
      <c r="N1626" s="1" t="s">
        <v>512</v>
      </c>
      <c r="O1626" s="1" t="s">
        <v>512</v>
      </c>
      <c r="Q1626" s="1" t="s">
        <v>512</v>
      </c>
    </row>
    <row r="1627" spans="4:17" x14ac:dyDescent="0.25">
      <c r="D1627" s="1" t="s">
        <v>512</v>
      </c>
      <c r="E1627" s="21" t="s">
        <v>512</v>
      </c>
      <c r="F1627" s="1" t="s">
        <v>512</v>
      </c>
      <c r="G1627" s="1" t="s">
        <v>512</v>
      </c>
      <c r="H1627" s="1" t="s">
        <v>512</v>
      </c>
      <c r="I1627" s="1" t="s">
        <v>512</v>
      </c>
      <c r="J1627" s="1" t="s">
        <v>512</v>
      </c>
      <c r="K1627" s="1" t="s">
        <v>512</v>
      </c>
      <c r="L1627" s="1" t="s">
        <v>512</v>
      </c>
      <c r="M1627" s="1" t="s">
        <v>512</v>
      </c>
      <c r="N1627" s="1" t="s">
        <v>512</v>
      </c>
      <c r="O1627" s="1" t="s">
        <v>512</v>
      </c>
      <c r="Q1627" s="1" t="s">
        <v>512</v>
      </c>
    </row>
    <row r="1628" spans="4:17" x14ac:dyDescent="0.25">
      <c r="D1628" s="1" t="s">
        <v>512</v>
      </c>
      <c r="E1628" s="21" t="s">
        <v>512</v>
      </c>
      <c r="F1628" s="1" t="s">
        <v>512</v>
      </c>
      <c r="G1628" s="1" t="s">
        <v>512</v>
      </c>
      <c r="H1628" s="1" t="s">
        <v>512</v>
      </c>
      <c r="I1628" s="1" t="s">
        <v>512</v>
      </c>
      <c r="J1628" s="1" t="s">
        <v>512</v>
      </c>
      <c r="K1628" s="1" t="s">
        <v>512</v>
      </c>
      <c r="L1628" s="1" t="s">
        <v>512</v>
      </c>
      <c r="M1628" s="1" t="s">
        <v>512</v>
      </c>
      <c r="N1628" s="1" t="s">
        <v>512</v>
      </c>
      <c r="O1628" s="1" t="s">
        <v>512</v>
      </c>
      <c r="Q1628" s="1" t="s">
        <v>512</v>
      </c>
    </row>
    <row r="1629" spans="4:17" x14ac:dyDescent="0.25">
      <c r="D1629" s="1" t="s">
        <v>512</v>
      </c>
      <c r="E1629" s="21" t="s">
        <v>512</v>
      </c>
      <c r="F1629" s="1" t="s">
        <v>512</v>
      </c>
      <c r="G1629" s="1" t="s">
        <v>512</v>
      </c>
      <c r="H1629" s="1" t="s">
        <v>512</v>
      </c>
      <c r="I1629" s="1" t="s">
        <v>512</v>
      </c>
      <c r="J1629" s="1" t="s">
        <v>512</v>
      </c>
      <c r="K1629" s="1" t="s">
        <v>512</v>
      </c>
      <c r="L1629" s="1" t="s">
        <v>512</v>
      </c>
      <c r="M1629" s="1" t="s">
        <v>512</v>
      </c>
      <c r="N1629" s="1" t="s">
        <v>512</v>
      </c>
      <c r="O1629" s="1" t="s">
        <v>512</v>
      </c>
      <c r="Q1629" s="1" t="s">
        <v>512</v>
      </c>
    </row>
    <row r="1630" spans="4:17" x14ac:dyDescent="0.25">
      <c r="D1630" s="1" t="s">
        <v>512</v>
      </c>
      <c r="E1630" s="21" t="s">
        <v>512</v>
      </c>
      <c r="F1630" s="1" t="s">
        <v>512</v>
      </c>
      <c r="G1630" s="1" t="s">
        <v>512</v>
      </c>
      <c r="H1630" s="1" t="s">
        <v>512</v>
      </c>
      <c r="I1630" s="1" t="s">
        <v>512</v>
      </c>
      <c r="J1630" s="1" t="s">
        <v>512</v>
      </c>
      <c r="K1630" s="1" t="s">
        <v>512</v>
      </c>
      <c r="L1630" s="1" t="s">
        <v>512</v>
      </c>
      <c r="M1630" s="1" t="s">
        <v>512</v>
      </c>
      <c r="N1630" s="1" t="s">
        <v>512</v>
      </c>
      <c r="O1630" s="1" t="s">
        <v>512</v>
      </c>
      <c r="Q1630" s="1" t="s">
        <v>512</v>
      </c>
    </row>
    <row r="1631" spans="4:17" x14ac:dyDescent="0.25">
      <c r="D1631" s="1" t="s">
        <v>512</v>
      </c>
      <c r="E1631" s="21" t="s">
        <v>512</v>
      </c>
      <c r="F1631" s="1" t="s">
        <v>512</v>
      </c>
      <c r="G1631" s="1" t="s">
        <v>512</v>
      </c>
      <c r="H1631" s="1" t="s">
        <v>512</v>
      </c>
      <c r="I1631" s="1" t="s">
        <v>512</v>
      </c>
      <c r="J1631" s="1" t="s">
        <v>512</v>
      </c>
      <c r="K1631" s="1" t="s">
        <v>512</v>
      </c>
      <c r="L1631" s="1" t="s">
        <v>512</v>
      </c>
      <c r="M1631" s="1" t="s">
        <v>512</v>
      </c>
      <c r="N1631" s="1" t="s">
        <v>512</v>
      </c>
      <c r="O1631" s="1" t="s">
        <v>512</v>
      </c>
      <c r="Q1631" s="1" t="s">
        <v>512</v>
      </c>
    </row>
    <row r="1632" spans="4:17" x14ac:dyDescent="0.25">
      <c r="D1632" s="1" t="s">
        <v>512</v>
      </c>
      <c r="E1632" s="21" t="s">
        <v>512</v>
      </c>
      <c r="F1632" s="1" t="s">
        <v>512</v>
      </c>
      <c r="G1632" s="1" t="s">
        <v>512</v>
      </c>
      <c r="H1632" s="1" t="s">
        <v>512</v>
      </c>
      <c r="I1632" s="1" t="s">
        <v>512</v>
      </c>
      <c r="J1632" s="1" t="s">
        <v>512</v>
      </c>
      <c r="K1632" s="1" t="s">
        <v>512</v>
      </c>
      <c r="L1632" s="1" t="s">
        <v>512</v>
      </c>
      <c r="M1632" s="1" t="s">
        <v>512</v>
      </c>
      <c r="N1632" s="1" t="s">
        <v>512</v>
      </c>
      <c r="O1632" s="1" t="s">
        <v>512</v>
      </c>
      <c r="Q1632" s="1" t="s">
        <v>512</v>
      </c>
    </row>
    <row r="1633" spans="4:17" x14ac:dyDescent="0.25">
      <c r="D1633" s="1" t="s">
        <v>512</v>
      </c>
      <c r="E1633" s="21" t="s">
        <v>512</v>
      </c>
      <c r="F1633" s="1" t="s">
        <v>512</v>
      </c>
      <c r="G1633" s="1" t="s">
        <v>512</v>
      </c>
      <c r="H1633" s="1" t="s">
        <v>512</v>
      </c>
      <c r="I1633" s="1" t="s">
        <v>512</v>
      </c>
      <c r="J1633" s="1" t="s">
        <v>512</v>
      </c>
      <c r="K1633" s="1" t="s">
        <v>512</v>
      </c>
      <c r="L1633" s="1" t="s">
        <v>512</v>
      </c>
      <c r="M1633" s="1" t="s">
        <v>512</v>
      </c>
      <c r="N1633" s="1" t="s">
        <v>512</v>
      </c>
      <c r="O1633" s="1" t="s">
        <v>512</v>
      </c>
      <c r="Q1633" s="1" t="s">
        <v>512</v>
      </c>
    </row>
    <row r="1634" spans="4:17" x14ac:dyDescent="0.25">
      <c r="D1634" s="1" t="s">
        <v>512</v>
      </c>
      <c r="E1634" s="21" t="s">
        <v>512</v>
      </c>
      <c r="F1634" s="1" t="s">
        <v>512</v>
      </c>
      <c r="G1634" s="1" t="s">
        <v>512</v>
      </c>
      <c r="H1634" s="1" t="s">
        <v>512</v>
      </c>
      <c r="I1634" s="1" t="s">
        <v>512</v>
      </c>
      <c r="J1634" s="1" t="s">
        <v>512</v>
      </c>
      <c r="K1634" s="1" t="s">
        <v>512</v>
      </c>
      <c r="L1634" s="1" t="s">
        <v>512</v>
      </c>
      <c r="M1634" s="1" t="s">
        <v>512</v>
      </c>
      <c r="N1634" s="1" t="s">
        <v>512</v>
      </c>
      <c r="O1634" s="1" t="s">
        <v>512</v>
      </c>
      <c r="Q1634" s="1" t="s">
        <v>512</v>
      </c>
    </row>
    <row r="1635" spans="4:17" x14ac:dyDescent="0.25">
      <c r="D1635" s="1" t="s">
        <v>512</v>
      </c>
      <c r="E1635" s="21" t="s">
        <v>512</v>
      </c>
      <c r="F1635" s="1" t="s">
        <v>512</v>
      </c>
      <c r="G1635" s="1" t="s">
        <v>512</v>
      </c>
      <c r="H1635" s="1" t="s">
        <v>512</v>
      </c>
      <c r="I1635" s="1" t="s">
        <v>512</v>
      </c>
      <c r="J1635" s="1" t="s">
        <v>512</v>
      </c>
      <c r="K1635" s="1" t="s">
        <v>512</v>
      </c>
      <c r="L1635" s="1" t="s">
        <v>512</v>
      </c>
      <c r="M1635" s="1" t="s">
        <v>512</v>
      </c>
      <c r="N1635" s="1" t="s">
        <v>512</v>
      </c>
      <c r="O1635" s="1" t="s">
        <v>512</v>
      </c>
      <c r="Q1635" s="1" t="s">
        <v>512</v>
      </c>
    </row>
    <row r="1636" spans="4:17" x14ac:dyDescent="0.25">
      <c r="D1636" s="1" t="s">
        <v>512</v>
      </c>
      <c r="E1636" s="21" t="s">
        <v>512</v>
      </c>
      <c r="F1636" s="1" t="s">
        <v>512</v>
      </c>
      <c r="G1636" s="1" t="s">
        <v>512</v>
      </c>
      <c r="H1636" s="1" t="s">
        <v>512</v>
      </c>
      <c r="I1636" s="1" t="s">
        <v>512</v>
      </c>
      <c r="J1636" s="1" t="s">
        <v>512</v>
      </c>
      <c r="K1636" s="1" t="s">
        <v>512</v>
      </c>
      <c r="L1636" s="1" t="s">
        <v>512</v>
      </c>
      <c r="M1636" s="1" t="s">
        <v>512</v>
      </c>
      <c r="N1636" s="1" t="s">
        <v>512</v>
      </c>
      <c r="O1636" s="1" t="s">
        <v>512</v>
      </c>
      <c r="Q1636" s="1" t="s">
        <v>512</v>
      </c>
    </row>
    <row r="1637" spans="4:17" x14ac:dyDescent="0.25">
      <c r="D1637" s="1" t="s">
        <v>512</v>
      </c>
      <c r="E1637" s="21" t="s">
        <v>512</v>
      </c>
      <c r="F1637" s="1" t="s">
        <v>512</v>
      </c>
      <c r="G1637" s="1" t="s">
        <v>512</v>
      </c>
      <c r="H1637" s="1" t="s">
        <v>512</v>
      </c>
      <c r="I1637" s="1" t="s">
        <v>512</v>
      </c>
      <c r="J1637" s="1" t="s">
        <v>512</v>
      </c>
      <c r="K1637" s="1" t="s">
        <v>512</v>
      </c>
      <c r="L1637" s="1" t="s">
        <v>512</v>
      </c>
      <c r="M1637" s="1" t="s">
        <v>512</v>
      </c>
      <c r="N1637" s="1" t="s">
        <v>512</v>
      </c>
      <c r="O1637" s="1" t="s">
        <v>512</v>
      </c>
      <c r="Q1637" s="1" t="s">
        <v>512</v>
      </c>
    </row>
    <row r="1638" spans="4:17" x14ac:dyDescent="0.25">
      <c r="D1638" s="1" t="s">
        <v>512</v>
      </c>
      <c r="E1638" s="21" t="s">
        <v>512</v>
      </c>
      <c r="F1638" s="1" t="s">
        <v>512</v>
      </c>
      <c r="G1638" s="1" t="s">
        <v>512</v>
      </c>
      <c r="H1638" s="1" t="s">
        <v>512</v>
      </c>
      <c r="I1638" s="1" t="s">
        <v>512</v>
      </c>
      <c r="J1638" s="1" t="s">
        <v>512</v>
      </c>
      <c r="K1638" s="1" t="s">
        <v>512</v>
      </c>
      <c r="L1638" s="1" t="s">
        <v>512</v>
      </c>
      <c r="M1638" s="1" t="s">
        <v>512</v>
      </c>
      <c r="N1638" s="1" t="s">
        <v>512</v>
      </c>
      <c r="O1638" s="1" t="s">
        <v>512</v>
      </c>
      <c r="Q1638" s="1" t="s">
        <v>512</v>
      </c>
    </row>
    <row r="1639" spans="4:17" x14ac:dyDescent="0.25">
      <c r="D1639" s="1" t="s">
        <v>512</v>
      </c>
      <c r="E1639" s="21" t="s">
        <v>512</v>
      </c>
      <c r="F1639" s="1" t="s">
        <v>512</v>
      </c>
      <c r="G1639" s="1" t="s">
        <v>512</v>
      </c>
      <c r="H1639" s="1" t="s">
        <v>512</v>
      </c>
      <c r="I1639" s="1" t="s">
        <v>512</v>
      </c>
      <c r="J1639" s="1" t="s">
        <v>512</v>
      </c>
      <c r="K1639" s="1" t="s">
        <v>512</v>
      </c>
      <c r="L1639" s="1" t="s">
        <v>512</v>
      </c>
      <c r="M1639" s="1" t="s">
        <v>512</v>
      </c>
      <c r="N1639" s="1" t="s">
        <v>512</v>
      </c>
      <c r="O1639" s="1" t="s">
        <v>512</v>
      </c>
      <c r="Q1639" s="1" t="s">
        <v>512</v>
      </c>
    </row>
    <row r="1640" spans="4:17" x14ac:dyDescent="0.25">
      <c r="D1640" s="1" t="s">
        <v>512</v>
      </c>
      <c r="E1640" s="21" t="s">
        <v>512</v>
      </c>
      <c r="F1640" s="1" t="s">
        <v>512</v>
      </c>
      <c r="G1640" s="1" t="s">
        <v>512</v>
      </c>
      <c r="H1640" s="1" t="s">
        <v>512</v>
      </c>
      <c r="I1640" s="1" t="s">
        <v>512</v>
      </c>
      <c r="J1640" s="1" t="s">
        <v>512</v>
      </c>
      <c r="K1640" s="1" t="s">
        <v>512</v>
      </c>
      <c r="L1640" s="1" t="s">
        <v>512</v>
      </c>
      <c r="M1640" s="1" t="s">
        <v>512</v>
      </c>
      <c r="N1640" s="1" t="s">
        <v>512</v>
      </c>
      <c r="O1640" s="1" t="s">
        <v>512</v>
      </c>
      <c r="Q1640" s="1" t="s">
        <v>512</v>
      </c>
    </row>
    <row r="1641" spans="4:17" x14ac:dyDescent="0.25">
      <c r="D1641" s="1" t="s">
        <v>512</v>
      </c>
      <c r="E1641" s="21" t="s">
        <v>512</v>
      </c>
      <c r="F1641" s="1" t="s">
        <v>512</v>
      </c>
      <c r="G1641" s="1" t="s">
        <v>512</v>
      </c>
      <c r="H1641" s="1" t="s">
        <v>512</v>
      </c>
      <c r="I1641" s="1" t="s">
        <v>512</v>
      </c>
      <c r="J1641" s="1" t="s">
        <v>512</v>
      </c>
      <c r="K1641" s="1" t="s">
        <v>512</v>
      </c>
      <c r="L1641" s="1" t="s">
        <v>512</v>
      </c>
      <c r="M1641" s="1" t="s">
        <v>512</v>
      </c>
      <c r="N1641" s="1" t="s">
        <v>512</v>
      </c>
      <c r="O1641" s="1" t="s">
        <v>512</v>
      </c>
      <c r="Q1641" s="1" t="s">
        <v>512</v>
      </c>
    </row>
    <row r="1642" spans="4:17" x14ac:dyDescent="0.25">
      <c r="D1642" s="1" t="s">
        <v>512</v>
      </c>
      <c r="E1642" s="21" t="s">
        <v>512</v>
      </c>
      <c r="F1642" s="1" t="s">
        <v>512</v>
      </c>
      <c r="G1642" s="1" t="s">
        <v>512</v>
      </c>
      <c r="H1642" s="1" t="s">
        <v>512</v>
      </c>
      <c r="I1642" s="1" t="s">
        <v>512</v>
      </c>
      <c r="J1642" s="1" t="s">
        <v>512</v>
      </c>
      <c r="K1642" s="1" t="s">
        <v>512</v>
      </c>
      <c r="L1642" s="1" t="s">
        <v>512</v>
      </c>
      <c r="M1642" s="1" t="s">
        <v>512</v>
      </c>
      <c r="N1642" s="1" t="s">
        <v>512</v>
      </c>
      <c r="O1642" s="1" t="s">
        <v>512</v>
      </c>
      <c r="Q1642" s="1" t="s">
        <v>512</v>
      </c>
    </row>
    <row r="1643" spans="4:17" x14ac:dyDescent="0.25">
      <c r="D1643" s="1" t="s">
        <v>512</v>
      </c>
      <c r="E1643" s="21" t="s">
        <v>512</v>
      </c>
      <c r="F1643" s="1" t="s">
        <v>512</v>
      </c>
      <c r="G1643" s="1" t="s">
        <v>512</v>
      </c>
      <c r="H1643" s="1" t="s">
        <v>512</v>
      </c>
      <c r="I1643" s="1" t="s">
        <v>512</v>
      </c>
      <c r="J1643" s="1" t="s">
        <v>512</v>
      </c>
      <c r="K1643" s="1" t="s">
        <v>512</v>
      </c>
      <c r="L1643" s="1" t="s">
        <v>512</v>
      </c>
      <c r="M1643" s="1" t="s">
        <v>512</v>
      </c>
      <c r="N1643" s="1" t="s">
        <v>512</v>
      </c>
      <c r="O1643" s="1" t="s">
        <v>512</v>
      </c>
      <c r="Q1643" s="1" t="s">
        <v>512</v>
      </c>
    </row>
    <row r="1644" spans="4:17" x14ac:dyDescent="0.25">
      <c r="D1644" s="1" t="s">
        <v>512</v>
      </c>
      <c r="E1644" s="21" t="s">
        <v>512</v>
      </c>
      <c r="F1644" s="1" t="s">
        <v>512</v>
      </c>
      <c r="G1644" s="1" t="s">
        <v>512</v>
      </c>
      <c r="H1644" s="1" t="s">
        <v>512</v>
      </c>
      <c r="I1644" s="1" t="s">
        <v>512</v>
      </c>
      <c r="J1644" s="1" t="s">
        <v>512</v>
      </c>
      <c r="K1644" s="1" t="s">
        <v>512</v>
      </c>
      <c r="L1644" s="1" t="s">
        <v>512</v>
      </c>
      <c r="M1644" s="1" t="s">
        <v>512</v>
      </c>
      <c r="N1644" s="1" t="s">
        <v>512</v>
      </c>
      <c r="O1644" s="1" t="s">
        <v>512</v>
      </c>
      <c r="Q1644" s="1" t="s">
        <v>512</v>
      </c>
    </row>
    <row r="1645" spans="4:17" x14ac:dyDescent="0.25">
      <c r="D1645" s="1" t="s">
        <v>512</v>
      </c>
      <c r="E1645" s="21" t="s">
        <v>512</v>
      </c>
      <c r="F1645" s="1" t="s">
        <v>512</v>
      </c>
      <c r="G1645" s="1" t="s">
        <v>512</v>
      </c>
      <c r="H1645" s="1" t="s">
        <v>512</v>
      </c>
      <c r="I1645" s="1" t="s">
        <v>512</v>
      </c>
      <c r="J1645" s="1" t="s">
        <v>512</v>
      </c>
      <c r="K1645" s="1" t="s">
        <v>512</v>
      </c>
      <c r="L1645" s="1" t="s">
        <v>512</v>
      </c>
      <c r="M1645" s="1" t="s">
        <v>512</v>
      </c>
      <c r="N1645" s="1" t="s">
        <v>512</v>
      </c>
      <c r="O1645" s="1" t="s">
        <v>512</v>
      </c>
      <c r="Q1645" s="1" t="s">
        <v>512</v>
      </c>
    </row>
    <row r="1646" spans="4:17" x14ac:dyDescent="0.25">
      <c r="D1646" s="1" t="s">
        <v>512</v>
      </c>
      <c r="E1646" s="21" t="s">
        <v>512</v>
      </c>
      <c r="F1646" s="1" t="s">
        <v>512</v>
      </c>
      <c r="G1646" s="1" t="s">
        <v>512</v>
      </c>
      <c r="H1646" s="1" t="s">
        <v>512</v>
      </c>
      <c r="I1646" s="1" t="s">
        <v>512</v>
      </c>
      <c r="J1646" s="1" t="s">
        <v>512</v>
      </c>
      <c r="K1646" s="1" t="s">
        <v>512</v>
      </c>
      <c r="L1646" s="1" t="s">
        <v>512</v>
      </c>
      <c r="M1646" s="1" t="s">
        <v>512</v>
      </c>
      <c r="N1646" s="1" t="s">
        <v>512</v>
      </c>
      <c r="O1646" s="1" t="s">
        <v>512</v>
      </c>
      <c r="Q1646" s="1" t="s">
        <v>512</v>
      </c>
    </row>
    <row r="1647" spans="4:17" x14ac:dyDescent="0.25">
      <c r="D1647" s="1" t="s">
        <v>512</v>
      </c>
      <c r="E1647" s="21" t="s">
        <v>512</v>
      </c>
      <c r="F1647" s="1" t="s">
        <v>512</v>
      </c>
      <c r="G1647" s="1" t="s">
        <v>512</v>
      </c>
      <c r="H1647" s="1" t="s">
        <v>512</v>
      </c>
      <c r="I1647" s="1" t="s">
        <v>512</v>
      </c>
      <c r="J1647" s="1" t="s">
        <v>512</v>
      </c>
      <c r="K1647" s="1" t="s">
        <v>512</v>
      </c>
      <c r="L1647" s="1" t="s">
        <v>512</v>
      </c>
      <c r="M1647" s="1" t="s">
        <v>512</v>
      </c>
      <c r="N1647" s="1" t="s">
        <v>512</v>
      </c>
      <c r="O1647" s="1" t="s">
        <v>512</v>
      </c>
      <c r="Q1647" s="1" t="s">
        <v>512</v>
      </c>
    </row>
    <row r="1648" spans="4:17" x14ac:dyDescent="0.25">
      <c r="D1648" s="1" t="s">
        <v>512</v>
      </c>
      <c r="E1648" s="21" t="s">
        <v>512</v>
      </c>
      <c r="F1648" s="1" t="s">
        <v>512</v>
      </c>
      <c r="G1648" s="1" t="s">
        <v>512</v>
      </c>
      <c r="H1648" s="1" t="s">
        <v>512</v>
      </c>
      <c r="I1648" s="1" t="s">
        <v>512</v>
      </c>
      <c r="J1648" s="1" t="s">
        <v>512</v>
      </c>
      <c r="K1648" s="1" t="s">
        <v>512</v>
      </c>
      <c r="L1648" s="1" t="s">
        <v>512</v>
      </c>
      <c r="M1648" s="1" t="s">
        <v>512</v>
      </c>
      <c r="N1648" s="1" t="s">
        <v>512</v>
      </c>
      <c r="O1648" s="1" t="s">
        <v>512</v>
      </c>
      <c r="Q1648" s="1" t="s">
        <v>512</v>
      </c>
    </row>
    <row r="1649" spans="4:17" x14ac:dyDescent="0.25">
      <c r="D1649" s="1" t="s">
        <v>512</v>
      </c>
      <c r="E1649" s="21" t="s">
        <v>512</v>
      </c>
      <c r="F1649" s="1" t="s">
        <v>512</v>
      </c>
      <c r="G1649" s="1" t="s">
        <v>512</v>
      </c>
      <c r="H1649" s="1" t="s">
        <v>512</v>
      </c>
      <c r="I1649" s="1" t="s">
        <v>512</v>
      </c>
      <c r="J1649" s="1" t="s">
        <v>512</v>
      </c>
      <c r="K1649" s="1" t="s">
        <v>512</v>
      </c>
      <c r="L1649" s="1" t="s">
        <v>512</v>
      </c>
      <c r="M1649" s="1" t="s">
        <v>512</v>
      </c>
      <c r="N1649" s="1" t="s">
        <v>512</v>
      </c>
      <c r="O1649" s="1" t="s">
        <v>512</v>
      </c>
      <c r="Q1649" s="1" t="s">
        <v>512</v>
      </c>
    </row>
    <row r="1650" spans="4:17" x14ac:dyDescent="0.25">
      <c r="D1650" s="1" t="s">
        <v>512</v>
      </c>
      <c r="E1650" s="21" t="s">
        <v>512</v>
      </c>
      <c r="F1650" s="1" t="s">
        <v>512</v>
      </c>
      <c r="G1650" s="1" t="s">
        <v>512</v>
      </c>
      <c r="H1650" s="1" t="s">
        <v>512</v>
      </c>
      <c r="I1650" s="1" t="s">
        <v>512</v>
      </c>
      <c r="J1650" s="1" t="s">
        <v>512</v>
      </c>
      <c r="K1650" s="1" t="s">
        <v>512</v>
      </c>
      <c r="L1650" s="1" t="s">
        <v>512</v>
      </c>
      <c r="M1650" s="1" t="s">
        <v>512</v>
      </c>
      <c r="N1650" s="1" t="s">
        <v>512</v>
      </c>
      <c r="O1650" s="1" t="s">
        <v>512</v>
      </c>
      <c r="Q1650" s="1" t="s">
        <v>512</v>
      </c>
    </row>
    <row r="1651" spans="4:17" x14ac:dyDescent="0.25">
      <c r="D1651" s="1" t="s">
        <v>512</v>
      </c>
      <c r="E1651" s="21" t="s">
        <v>512</v>
      </c>
      <c r="F1651" s="1" t="s">
        <v>512</v>
      </c>
      <c r="G1651" s="1" t="s">
        <v>512</v>
      </c>
      <c r="H1651" s="1" t="s">
        <v>512</v>
      </c>
      <c r="I1651" s="1" t="s">
        <v>512</v>
      </c>
      <c r="J1651" s="1" t="s">
        <v>512</v>
      </c>
      <c r="K1651" s="1" t="s">
        <v>512</v>
      </c>
      <c r="L1651" s="1" t="s">
        <v>512</v>
      </c>
      <c r="M1651" s="1" t="s">
        <v>512</v>
      </c>
      <c r="N1651" s="1" t="s">
        <v>512</v>
      </c>
      <c r="O1651" s="1" t="s">
        <v>512</v>
      </c>
      <c r="Q1651" s="1" t="s">
        <v>512</v>
      </c>
    </row>
    <row r="1652" spans="4:17" x14ac:dyDescent="0.25">
      <c r="D1652" s="1" t="s">
        <v>512</v>
      </c>
      <c r="E1652" s="21" t="s">
        <v>512</v>
      </c>
      <c r="F1652" s="1" t="s">
        <v>512</v>
      </c>
      <c r="G1652" s="1" t="s">
        <v>512</v>
      </c>
      <c r="H1652" s="1" t="s">
        <v>512</v>
      </c>
      <c r="I1652" s="1" t="s">
        <v>512</v>
      </c>
      <c r="J1652" s="1" t="s">
        <v>512</v>
      </c>
      <c r="K1652" s="1" t="s">
        <v>512</v>
      </c>
      <c r="L1652" s="1" t="s">
        <v>512</v>
      </c>
      <c r="M1652" s="1" t="s">
        <v>512</v>
      </c>
      <c r="N1652" s="1" t="s">
        <v>512</v>
      </c>
      <c r="O1652" s="1" t="s">
        <v>512</v>
      </c>
      <c r="Q1652" s="1" t="s">
        <v>512</v>
      </c>
    </row>
    <row r="1653" spans="4:17" x14ac:dyDescent="0.25">
      <c r="D1653" s="1" t="s">
        <v>512</v>
      </c>
      <c r="E1653" s="21" t="s">
        <v>512</v>
      </c>
      <c r="F1653" s="1" t="s">
        <v>512</v>
      </c>
      <c r="G1653" s="1" t="s">
        <v>512</v>
      </c>
      <c r="H1653" s="1" t="s">
        <v>512</v>
      </c>
      <c r="I1653" s="1" t="s">
        <v>512</v>
      </c>
      <c r="J1653" s="1" t="s">
        <v>512</v>
      </c>
      <c r="K1653" s="1" t="s">
        <v>512</v>
      </c>
      <c r="L1653" s="1" t="s">
        <v>512</v>
      </c>
      <c r="M1653" s="1" t="s">
        <v>512</v>
      </c>
      <c r="N1653" s="1" t="s">
        <v>512</v>
      </c>
      <c r="O1653" s="1" t="s">
        <v>512</v>
      </c>
      <c r="Q1653" s="1" t="s">
        <v>512</v>
      </c>
    </row>
    <row r="1654" spans="4:17" x14ac:dyDescent="0.25">
      <c r="D1654" s="1" t="s">
        <v>512</v>
      </c>
      <c r="E1654" s="21" t="s">
        <v>512</v>
      </c>
      <c r="F1654" s="1" t="s">
        <v>512</v>
      </c>
      <c r="G1654" s="1" t="s">
        <v>512</v>
      </c>
      <c r="H1654" s="1" t="s">
        <v>512</v>
      </c>
      <c r="I1654" s="1" t="s">
        <v>512</v>
      </c>
      <c r="J1654" s="1" t="s">
        <v>512</v>
      </c>
      <c r="K1654" s="1" t="s">
        <v>512</v>
      </c>
      <c r="L1654" s="1" t="s">
        <v>512</v>
      </c>
      <c r="M1654" s="1" t="s">
        <v>512</v>
      </c>
      <c r="N1654" s="1" t="s">
        <v>512</v>
      </c>
      <c r="O1654" s="1" t="s">
        <v>512</v>
      </c>
      <c r="Q1654" s="1" t="s">
        <v>512</v>
      </c>
    </row>
    <row r="1655" spans="4:17" x14ac:dyDescent="0.25">
      <c r="D1655" s="1" t="s">
        <v>512</v>
      </c>
      <c r="E1655" s="21" t="s">
        <v>512</v>
      </c>
      <c r="F1655" s="1" t="s">
        <v>512</v>
      </c>
      <c r="G1655" s="1" t="s">
        <v>512</v>
      </c>
      <c r="H1655" s="1" t="s">
        <v>512</v>
      </c>
      <c r="I1655" s="1" t="s">
        <v>512</v>
      </c>
      <c r="J1655" s="1" t="s">
        <v>512</v>
      </c>
      <c r="K1655" s="1" t="s">
        <v>512</v>
      </c>
      <c r="L1655" s="1" t="s">
        <v>512</v>
      </c>
      <c r="M1655" s="1" t="s">
        <v>512</v>
      </c>
      <c r="N1655" s="1" t="s">
        <v>512</v>
      </c>
      <c r="O1655" s="1" t="s">
        <v>512</v>
      </c>
      <c r="Q1655" s="1" t="s">
        <v>512</v>
      </c>
    </row>
    <row r="1656" spans="4:17" x14ac:dyDescent="0.25">
      <c r="D1656" s="1" t="s">
        <v>512</v>
      </c>
      <c r="E1656" s="21" t="s">
        <v>512</v>
      </c>
      <c r="F1656" s="1" t="s">
        <v>512</v>
      </c>
      <c r="G1656" s="1" t="s">
        <v>512</v>
      </c>
      <c r="H1656" s="1" t="s">
        <v>512</v>
      </c>
      <c r="I1656" s="1" t="s">
        <v>512</v>
      </c>
      <c r="J1656" s="1" t="s">
        <v>512</v>
      </c>
      <c r="K1656" s="1" t="s">
        <v>512</v>
      </c>
      <c r="L1656" s="1" t="s">
        <v>512</v>
      </c>
      <c r="M1656" s="1" t="s">
        <v>512</v>
      </c>
      <c r="N1656" s="1" t="s">
        <v>512</v>
      </c>
      <c r="O1656" s="1" t="s">
        <v>512</v>
      </c>
      <c r="Q1656" s="1" t="s">
        <v>512</v>
      </c>
    </row>
    <row r="1657" spans="4:17" x14ac:dyDescent="0.25">
      <c r="D1657" s="1" t="s">
        <v>512</v>
      </c>
      <c r="E1657" s="21" t="s">
        <v>512</v>
      </c>
      <c r="F1657" s="1" t="s">
        <v>512</v>
      </c>
      <c r="G1657" s="1" t="s">
        <v>512</v>
      </c>
      <c r="H1657" s="1" t="s">
        <v>512</v>
      </c>
      <c r="I1657" s="1" t="s">
        <v>512</v>
      </c>
      <c r="J1657" s="1" t="s">
        <v>512</v>
      </c>
      <c r="K1657" s="1" t="s">
        <v>512</v>
      </c>
      <c r="L1657" s="1" t="s">
        <v>512</v>
      </c>
      <c r="M1657" s="1" t="s">
        <v>512</v>
      </c>
      <c r="N1657" s="1" t="s">
        <v>512</v>
      </c>
      <c r="O1657" s="1" t="s">
        <v>512</v>
      </c>
      <c r="Q1657" s="1" t="s">
        <v>512</v>
      </c>
    </row>
    <row r="1658" spans="4:17" x14ac:dyDescent="0.25">
      <c r="D1658" s="1" t="s">
        <v>512</v>
      </c>
      <c r="E1658" s="21" t="s">
        <v>512</v>
      </c>
      <c r="F1658" s="1" t="s">
        <v>512</v>
      </c>
      <c r="G1658" s="1" t="s">
        <v>512</v>
      </c>
      <c r="H1658" s="1" t="s">
        <v>512</v>
      </c>
      <c r="I1658" s="1" t="s">
        <v>512</v>
      </c>
      <c r="J1658" s="1" t="s">
        <v>512</v>
      </c>
      <c r="K1658" s="1" t="s">
        <v>512</v>
      </c>
      <c r="L1658" s="1" t="s">
        <v>512</v>
      </c>
      <c r="M1658" s="1" t="s">
        <v>512</v>
      </c>
      <c r="N1658" s="1" t="s">
        <v>512</v>
      </c>
      <c r="O1658" s="1" t="s">
        <v>512</v>
      </c>
      <c r="Q1658" s="1" t="s">
        <v>512</v>
      </c>
    </row>
    <row r="1659" spans="4:17" x14ac:dyDescent="0.25">
      <c r="D1659" s="1" t="s">
        <v>512</v>
      </c>
      <c r="E1659" s="21" t="s">
        <v>512</v>
      </c>
      <c r="F1659" s="1" t="s">
        <v>512</v>
      </c>
      <c r="G1659" s="1" t="s">
        <v>512</v>
      </c>
      <c r="H1659" s="1" t="s">
        <v>512</v>
      </c>
      <c r="I1659" s="1" t="s">
        <v>512</v>
      </c>
      <c r="J1659" s="1" t="s">
        <v>512</v>
      </c>
      <c r="K1659" s="1" t="s">
        <v>512</v>
      </c>
      <c r="L1659" s="1" t="s">
        <v>512</v>
      </c>
      <c r="M1659" s="1" t="s">
        <v>512</v>
      </c>
      <c r="N1659" s="1" t="s">
        <v>512</v>
      </c>
      <c r="O1659" s="1" t="s">
        <v>512</v>
      </c>
      <c r="Q1659" s="1" t="s">
        <v>512</v>
      </c>
    </row>
    <row r="1660" spans="4:17" x14ac:dyDescent="0.25">
      <c r="D1660" s="1" t="s">
        <v>512</v>
      </c>
      <c r="E1660" s="21" t="s">
        <v>512</v>
      </c>
      <c r="F1660" s="1" t="s">
        <v>512</v>
      </c>
      <c r="G1660" s="1" t="s">
        <v>512</v>
      </c>
      <c r="H1660" s="1" t="s">
        <v>512</v>
      </c>
      <c r="I1660" s="1" t="s">
        <v>512</v>
      </c>
      <c r="J1660" s="1" t="s">
        <v>512</v>
      </c>
      <c r="K1660" s="1" t="s">
        <v>512</v>
      </c>
      <c r="L1660" s="1" t="s">
        <v>512</v>
      </c>
      <c r="M1660" s="1" t="s">
        <v>512</v>
      </c>
      <c r="N1660" s="1" t="s">
        <v>512</v>
      </c>
      <c r="O1660" s="1" t="s">
        <v>512</v>
      </c>
      <c r="Q1660" s="1" t="s">
        <v>512</v>
      </c>
    </row>
    <row r="1661" spans="4:17" x14ac:dyDescent="0.25">
      <c r="D1661" s="1" t="s">
        <v>512</v>
      </c>
      <c r="E1661" s="21" t="s">
        <v>512</v>
      </c>
      <c r="F1661" s="1" t="s">
        <v>512</v>
      </c>
      <c r="G1661" s="1" t="s">
        <v>512</v>
      </c>
      <c r="H1661" s="1" t="s">
        <v>512</v>
      </c>
      <c r="I1661" s="1" t="s">
        <v>512</v>
      </c>
      <c r="J1661" s="1" t="s">
        <v>512</v>
      </c>
      <c r="K1661" s="1" t="s">
        <v>512</v>
      </c>
      <c r="L1661" s="1" t="s">
        <v>512</v>
      </c>
      <c r="M1661" s="1" t="s">
        <v>512</v>
      </c>
      <c r="N1661" s="1" t="s">
        <v>512</v>
      </c>
      <c r="O1661" s="1" t="s">
        <v>512</v>
      </c>
      <c r="Q1661" s="1" t="s">
        <v>512</v>
      </c>
    </row>
    <row r="1662" spans="4:17" x14ac:dyDescent="0.25">
      <c r="D1662" s="1" t="s">
        <v>512</v>
      </c>
      <c r="E1662" s="21" t="s">
        <v>512</v>
      </c>
      <c r="F1662" s="1" t="s">
        <v>512</v>
      </c>
      <c r="G1662" s="1" t="s">
        <v>512</v>
      </c>
      <c r="H1662" s="1" t="s">
        <v>512</v>
      </c>
      <c r="I1662" s="1" t="s">
        <v>512</v>
      </c>
      <c r="J1662" s="1" t="s">
        <v>512</v>
      </c>
      <c r="K1662" s="1" t="s">
        <v>512</v>
      </c>
      <c r="L1662" s="1" t="s">
        <v>512</v>
      </c>
      <c r="M1662" s="1" t="s">
        <v>512</v>
      </c>
      <c r="N1662" s="1" t="s">
        <v>512</v>
      </c>
      <c r="O1662" s="1" t="s">
        <v>512</v>
      </c>
      <c r="Q1662" s="1" t="s">
        <v>512</v>
      </c>
    </row>
    <row r="1663" spans="4:17" x14ac:dyDescent="0.25">
      <c r="D1663" s="1" t="s">
        <v>512</v>
      </c>
      <c r="E1663" s="21" t="s">
        <v>512</v>
      </c>
      <c r="F1663" s="1" t="s">
        <v>512</v>
      </c>
      <c r="G1663" s="1" t="s">
        <v>512</v>
      </c>
      <c r="H1663" s="1" t="s">
        <v>512</v>
      </c>
      <c r="I1663" s="1" t="s">
        <v>512</v>
      </c>
      <c r="J1663" s="1" t="s">
        <v>512</v>
      </c>
      <c r="K1663" s="1" t="s">
        <v>512</v>
      </c>
      <c r="L1663" s="1" t="s">
        <v>512</v>
      </c>
      <c r="M1663" s="1" t="s">
        <v>512</v>
      </c>
      <c r="N1663" s="1" t="s">
        <v>512</v>
      </c>
      <c r="O1663" s="1" t="s">
        <v>512</v>
      </c>
      <c r="Q1663" s="1" t="s">
        <v>512</v>
      </c>
    </row>
    <row r="1664" spans="4:17" x14ac:dyDescent="0.25">
      <c r="D1664" s="1" t="s">
        <v>512</v>
      </c>
      <c r="E1664" s="21" t="s">
        <v>512</v>
      </c>
      <c r="F1664" s="1" t="s">
        <v>512</v>
      </c>
      <c r="G1664" s="1" t="s">
        <v>512</v>
      </c>
      <c r="H1664" s="1" t="s">
        <v>512</v>
      </c>
      <c r="I1664" s="1" t="s">
        <v>512</v>
      </c>
      <c r="J1664" s="1" t="s">
        <v>512</v>
      </c>
      <c r="K1664" s="1" t="s">
        <v>512</v>
      </c>
      <c r="L1664" s="1" t="s">
        <v>512</v>
      </c>
      <c r="M1664" s="1" t="s">
        <v>512</v>
      </c>
      <c r="N1664" s="1" t="s">
        <v>512</v>
      </c>
      <c r="O1664" s="1" t="s">
        <v>512</v>
      </c>
      <c r="Q1664" s="1" t="s">
        <v>512</v>
      </c>
    </row>
    <row r="1665" spans="4:17" x14ac:dyDescent="0.25">
      <c r="D1665" s="1" t="s">
        <v>512</v>
      </c>
      <c r="E1665" s="21" t="s">
        <v>512</v>
      </c>
      <c r="F1665" s="1" t="s">
        <v>512</v>
      </c>
      <c r="G1665" s="1" t="s">
        <v>512</v>
      </c>
      <c r="H1665" s="1" t="s">
        <v>512</v>
      </c>
      <c r="I1665" s="1" t="s">
        <v>512</v>
      </c>
      <c r="J1665" s="1" t="s">
        <v>512</v>
      </c>
      <c r="K1665" s="1" t="s">
        <v>512</v>
      </c>
      <c r="L1665" s="1" t="s">
        <v>512</v>
      </c>
      <c r="M1665" s="1" t="s">
        <v>512</v>
      </c>
      <c r="N1665" s="1" t="s">
        <v>512</v>
      </c>
      <c r="O1665" s="1" t="s">
        <v>512</v>
      </c>
      <c r="Q1665" s="1" t="s">
        <v>512</v>
      </c>
    </row>
    <row r="1666" spans="4:17" x14ac:dyDescent="0.25">
      <c r="D1666" s="1" t="s">
        <v>512</v>
      </c>
      <c r="E1666" s="21" t="s">
        <v>512</v>
      </c>
      <c r="F1666" s="1" t="s">
        <v>512</v>
      </c>
      <c r="G1666" s="1" t="s">
        <v>512</v>
      </c>
      <c r="H1666" s="1" t="s">
        <v>512</v>
      </c>
      <c r="I1666" s="1" t="s">
        <v>512</v>
      </c>
      <c r="J1666" s="1" t="s">
        <v>512</v>
      </c>
      <c r="K1666" s="1" t="s">
        <v>512</v>
      </c>
      <c r="L1666" s="1" t="s">
        <v>512</v>
      </c>
      <c r="M1666" s="1" t="s">
        <v>512</v>
      </c>
      <c r="N1666" s="1" t="s">
        <v>512</v>
      </c>
      <c r="O1666" s="1" t="s">
        <v>512</v>
      </c>
      <c r="Q1666" s="1" t="s">
        <v>512</v>
      </c>
    </row>
    <row r="1667" spans="4:17" x14ac:dyDescent="0.25">
      <c r="D1667" s="1" t="s">
        <v>512</v>
      </c>
      <c r="E1667" s="21" t="s">
        <v>512</v>
      </c>
      <c r="F1667" s="1" t="s">
        <v>512</v>
      </c>
      <c r="G1667" s="1" t="s">
        <v>512</v>
      </c>
      <c r="H1667" s="1" t="s">
        <v>512</v>
      </c>
      <c r="I1667" s="1" t="s">
        <v>512</v>
      </c>
      <c r="J1667" s="1" t="s">
        <v>512</v>
      </c>
      <c r="K1667" s="1" t="s">
        <v>512</v>
      </c>
      <c r="L1667" s="1" t="s">
        <v>512</v>
      </c>
      <c r="M1667" s="1" t="s">
        <v>512</v>
      </c>
      <c r="N1667" s="1" t="s">
        <v>512</v>
      </c>
      <c r="O1667" s="1" t="s">
        <v>512</v>
      </c>
      <c r="Q1667" s="1" t="s">
        <v>512</v>
      </c>
    </row>
    <row r="1668" spans="4:17" x14ac:dyDescent="0.25">
      <c r="D1668" s="1" t="s">
        <v>512</v>
      </c>
      <c r="E1668" s="21" t="s">
        <v>512</v>
      </c>
      <c r="F1668" s="1" t="s">
        <v>512</v>
      </c>
      <c r="G1668" s="1" t="s">
        <v>512</v>
      </c>
      <c r="H1668" s="1" t="s">
        <v>512</v>
      </c>
      <c r="I1668" s="1" t="s">
        <v>512</v>
      </c>
      <c r="J1668" s="1" t="s">
        <v>512</v>
      </c>
      <c r="K1668" s="1" t="s">
        <v>512</v>
      </c>
      <c r="L1668" s="1" t="s">
        <v>512</v>
      </c>
      <c r="M1668" s="1" t="s">
        <v>512</v>
      </c>
      <c r="N1668" s="1" t="s">
        <v>512</v>
      </c>
      <c r="O1668" s="1" t="s">
        <v>512</v>
      </c>
      <c r="Q1668" s="1" t="s">
        <v>512</v>
      </c>
    </row>
    <row r="1669" spans="4:17" x14ac:dyDescent="0.25">
      <c r="D1669" s="1" t="s">
        <v>512</v>
      </c>
      <c r="E1669" s="21" t="s">
        <v>512</v>
      </c>
      <c r="F1669" s="1" t="s">
        <v>512</v>
      </c>
      <c r="G1669" s="1" t="s">
        <v>512</v>
      </c>
      <c r="H1669" s="1" t="s">
        <v>512</v>
      </c>
      <c r="I1669" s="1" t="s">
        <v>512</v>
      </c>
      <c r="J1669" s="1" t="s">
        <v>512</v>
      </c>
      <c r="K1669" s="1" t="s">
        <v>512</v>
      </c>
      <c r="L1669" s="1" t="s">
        <v>512</v>
      </c>
      <c r="M1669" s="1" t="s">
        <v>512</v>
      </c>
      <c r="N1669" s="1" t="s">
        <v>512</v>
      </c>
      <c r="O1669" s="1" t="s">
        <v>512</v>
      </c>
      <c r="Q1669" s="1" t="s">
        <v>512</v>
      </c>
    </row>
    <row r="1670" spans="4:17" x14ac:dyDescent="0.25">
      <c r="D1670" s="1" t="s">
        <v>512</v>
      </c>
      <c r="E1670" s="21" t="s">
        <v>512</v>
      </c>
      <c r="F1670" s="1" t="s">
        <v>512</v>
      </c>
      <c r="G1670" s="1" t="s">
        <v>512</v>
      </c>
      <c r="H1670" s="1" t="s">
        <v>512</v>
      </c>
      <c r="I1670" s="1" t="s">
        <v>512</v>
      </c>
      <c r="J1670" s="1" t="s">
        <v>512</v>
      </c>
      <c r="K1670" s="1" t="s">
        <v>512</v>
      </c>
      <c r="L1670" s="1" t="s">
        <v>512</v>
      </c>
      <c r="M1670" s="1" t="s">
        <v>512</v>
      </c>
      <c r="N1670" s="1" t="s">
        <v>512</v>
      </c>
      <c r="O1670" s="1" t="s">
        <v>512</v>
      </c>
      <c r="Q1670" s="1" t="s">
        <v>512</v>
      </c>
    </row>
    <row r="1671" spans="4:17" x14ac:dyDescent="0.25">
      <c r="D1671" s="1" t="s">
        <v>512</v>
      </c>
      <c r="E1671" s="21" t="s">
        <v>512</v>
      </c>
      <c r="F1671" s="1" t="s">
        <v>512</v>
      </c>
      <c r="G1671" s="1" t="s">
        <v>512</v>
      </c>
      <c r="H1671" s="1" t="s">
        <v>512</v>
      </c>
      <c r="I1671" s="1" t="s">
        <v>512</v>
      </c>
      <c r="J1671" s="1" t="s">
        <v>512</v>
      </c>
      <c r="K1671" s="1" t="s">
        <v>512</v>
      </c>
      <c r="L1671" s="1" t="s">
        <v>512</v>
      </c>
      <c r="M1671" s="1" t="s">
        <v>512</v>
      </c>
      <c r="N1671" s="1" t="s">
        <v>512</v>
      </c>
      <c r="O1671" s="1" t="s">
        <v>512</v>
      </c>
      <c r="Q1671" s="1" t="s">
        <v>512</v>
      </c>
    </row>
    <row r="1672" spans="4:17" x14ac:dyDescent="0.25">
      <c r="D1672" s="1" t="s">
        <v>512</v>
      </c>
      <c r="E1672" s="21" t="s">
        <v>512</v>
      </c>
      <c r="F1672" s="1" t="s">
        <v>512</v>
      </c>
      <c r="G1672" s="1" t="s">
        <v>512</v>
      </c>
      <c r="H1672" s="1" t="s">
        <v>512</v>
      </c>
      <c r="I1672" s="1" t="s">
        <v>512</v>
      </c>
      <c r="J1672" s="1" t="s">
        <v>512</v>
      </c>
      <c r="K1672" s="1" t="s">
        <v>512</v>
      </c>
      <c r="L1672" s="1" t="s">
        <v>512</v>
      </c>
      <c r="M1672" s="1" t="s">
        <v>512</v>
      </c>
      <c r="N1672" s="1" t="s">
        <v>512</v>
      </c>
      <c r="O1672" s="1" t="s">
        <v>512</v>
      </c>
      <c r="Q1672" s="1" t="s">
        <v>512</v>
      </c>
    </row>
    <row r="1673" spans="4:17" x14ac:dyDescent="0.25">
      <c r="D1673" s="1" t="s">
        <v>512</v>
      </c>
      <c r="E1673" s="21" t="s">
        <v>512</v>
      </c>
      <c r="F1673" s="1" t="s">
        <v>512</v>
      </c>
      <c r="G1673" s="1" t="s">
        <v>512</v>
      </c>
      <c r="H1673" s="1" t="s">
        <v>512</v>
      </c>
      <c r="I1673" s="1" t="s">
        <v>512</v>
      </c>
      <c r="J1673" s="1" t="s">
        <v>512</v>
      </c>
      <c r="K1673" s="1" t="s">
        <v>512</v>
      </c>
      <c r="L1673" s="1" t="s">
        <v>512</v>
      </c>
      <c r="M1673" s="1" t="s">
        <v>512</v>
      </c>
      <c r="N1673" s="1" t="s">
        <v>512</v>
      </c>
      <c r="O1673" s="1" t="s">
        <v>512</v>
      </c>
      <c r="Q1673" s="1" t="s">
        <v>512</v>
      </c>
    </row>
    <row r="1674" spans="4:17" x14ac:dyDescent="0.25">
      <c r="D1674" s="1" t="s">
        <v>512</v>
      </c>
      <c r="E1674" s="21" t="s">
        <v>512</v>
      </c>
      <c r="F1674" s="1" t="s">
        <v>512</v>
      </c>
      <c r="G1674" s="1" t="s">
        <v>512</v>
      </c>
      <c r="H1674" s="1" t="s">
        <v>512</v>
      </c>
      <c r="I1674" s="1" t="s">
        <v>512</v>
      </c>
      <c r="J1674" s="1" t="s">
        <v>512</v>
      </c>
      <c r="K1674" s="1" t="s">
        <v>512</v>
      </c>
      <c r="L1674" s="1" t="s">
        <v>512</v>
      </c>
      <c r="M1674" s="1" t="s">
        <v>512</v>
      </c>
      <c r="N1674" s="1" t="s">
        <v>512</v>
      </c>
      <c r="O1674" s="1" t="s">
        <v>512</v>
      </c>
      <c r="Q1674" s="1" t="s">
        <v>512</v>
      </c>
    </row>
    <row r="1675" spans="4:17" x14ac:dyDescent="0.25">
      <c r="D1675" s="1" t="s">
        <v>512</v>
      </c>
      <c r="E1675" s="21" t="s">
        <v>512</v>
      </c>
      <c r="F1675" s="1" t="s">
        <v>512</v>
      </c>
      <c r="G1675" s="1" t="s">
        <v>512</v>
      </c>
      <c r="H1675" s="1" t="s">
        <v>512</v>
      </c>
      <c r="I1675" s="1" t="s">
        <v>512</v>
      </c>
      <c r="J1675" s="1" t="s">
        <v>512</v>
      </c>
      <c r="K1675" s="1" t="s">
        <v>512</v>
      </c>
      <c r="L1675" s="1" t="s">
        <v>512</v>
      </c>
      <c r="M1675" s="1" t="s">
        <v>512</v>
      </c>
      <c r="N1675" s="1" t="s">
        <v>512</v>
      </c>
      <c r="O1675" s="1" t="s">
        <v>512</v>
      </c>
      <c r="Q1675" s="1" t="s">
        <v>512</v>
      </c>
    </row>
    <row r="1676" spans="4:17" x14ac:dyDescent="0.25">
      <c r="D1676" s="1" t="s">
        <v>512</v>
      </c>
      <c r="E1676" s="21" t="s">
        <v>512</v>
      </c>
      <c r="F1676" s="1" t="s">
        <v>512</v>
      </c>
      <c r="G1676" s="1" t="s">
        <v>512</v>
      </c>
      <c r="H1676" s="1" t="s">
        <v>512</v>
      </c>
      <c r="I1676" s="1" t="s">
        <v>512</v>
      </c>
      <c r="J1676" s="1" t="s">
        <v>512</v>
      </c>
      <c r="K1676" s="1" t="s">
        <v>512</v>
      </c>
      <c r="L1676" s="1" t="s">
        <v>512</v>
      </c>
      <c r="M1676" s="1" t="s">
        <v>512</v>
      </c>
      <c r="N1676" s="1" t="s">
        <v>512</v>
      </c>
      <c r="O1676" s="1" t="s">
        <v>512</v>
      </c>
      <c r="Q1676" s="1" t="s">
        <v>512</v>
      </c>
    </row>
    <row r="1677" spans="4:17" x14ac:dyDescent="0.25">
      <c r="D1677" s="1" t="s">
        <v>512</v>
      </c>
      <c r="E1677" s="21" t="s">
        <v>512</v>
      </c>
      <c r="F1677" s="1" t="s">
        <v>512</v>
      </c>
      <c r="G1677" s="1" t="s">
        <v>512</v>
      </c>
      <c r="H1677" s="1" t="s">
        <v>512</v>
      </c>
      <c r="I1677" s="1" t="s">
        <v>512</v>
      </c>
      <c r="J1677" s="1" t="s">
        <v>512</v>
      </c>
      <c r="K1677" s="1" t="s">
        <v>512</v>
      </c>
      <c r="L1677" s="1" t="s">
        <v>512</v>
      </c>
      <c r="M1677" s="1" t="s">
        <v>512</v>
      </c>
      <c r="N1677" s="1" t="s">
        <v>512</v>
      </c>
      <c r="O1677" s="1" t="s">
        <v>512</v>
      </c>
      <c r="Q1677" s="1" t="s">
        <v>512</v>
      </c>
    </row>
    <row r="1678" spans="4:17" x14ac:dyDescent="0.25">
      <c r="D1678" s="1" t="s">
        <v>512</v>
      </c>
      <c r="E1678" s="21" t="s">
        <v>512</v>
      </c>
      <c r="F1678" s="1" t="s">
        <v>512</v>
      </c>
      <c r="G1678" s="1" t="s">
        <v>512</v>
      </c>
      <c r="H1678" s="1" t="s">
        <v>512</v>
      </c>
      <c r="I1678" s="1" t="s">
        <v>512</v>
      </c>
      <c r="J1678" s="1" t="s">
        <v>512</v>
      </c>
      <c r="K1678" s="1" t="s">
        <v>512</v>
      </c>
      <c r="L1678" s="1" t="s">
        <v>512</v>
      </c>
      <c r="M1678" s="1" t="s">
        <v>512</v>
      </c>
      <c r="N1678" s="1" t="s">
        <v>512</v>
      </c>
      <c r="O1678" s="1" t="s">
        <v>512</v>
      </c>
      <c r="Q1678" s="1" t="s">
        <v>512</v>
      </c>
    </row>
    <row r="1679" spans="4:17" x14ac:dyDescent="0.25">
      <c r="D1679" s="1" t="s">
        <v>512</v>
      </c>
      <c r="E1679" s="21" t="s">
        <v>512</v>
      </c>
      <c r="F1679" s="1" t="s">
        <v>512</v>
      </c>
      <c r="G1679" s="1" t="s">
        <v>512</v>
      </c>
      <c r="H1679" s="1" t="s">
        <v>512</v>
      </c>
      <c r="I1679" s="1" t="s">
        <v>512</v>
      </c>
      <c r="J1679" s="1" t="s">
        <v>512</v>
      </c>
      <c r="K1679" s="1" t="s">
        <v>512</v>
      </c>
      <c r="L1679" s="1" t="s">
        <v>512</v>
      </c>
      <c r="M1679" s="1" t="s">
        <v>512</v>
      </c>
      <c r="N1679" s="1" t="s">
        <v>512</v>
      </c>
      <c r="O1679" s="1" t="s">
        <v>512</v>
      </c>
      <c r="Q1679" s="1" t="s">
        <v>512</v>
      </c>
    </row>
    <row r="1680" spans="4:17" x14ac:dyDescent="0.25">
      <c r="D1680" s="1" t="s">
        <v>512</v>
      </c>
      <c r="E1680" s="21" t="s">
        <v>512</v>
      </c>
      <c r="F1680" s="1" t="s">
        <v>512</v>
      </c>
      <c r="G1680" s="1" t="s">
        <v>512</v>
      </c>
      <c r="H1680" s="1" t="s">
        <v>512</v>
      </c>
      <c r="I1680" s="1" t="s">
        <v>512</v>
      </c>
      <c r="J1680" s="1" t="s">
        <v>512</v>
      </c>
      <c r="K1680" s="1" t="s">
        <v>512</v>
      </c>
      <c r="L1680" s="1" t="s">
        <v>512</v>
      </c>
      <c r="M1680" s="1" t="s">
        <v>512</v>
      </c>
      <c r="N1680" s="1" t="s">
        <v>512</v>
      </c>
      <c r="O1680" s="1" t="s">
        <v>512</v>
      </c>
      <c r="Q1680" s="1" t="s">
        <v>512</v>
      </c>
    </row>
    <row r="1681" spans="4:17" x14ac:dyDescent="0.25">
      <c r="D1681" s="1" t="s">
        <v>512</v>
      </c>
      <c r="E1681" s="21" t="s">
        <v>512</v>
      </c>
      <c r="F1681" s="1" t="s">
        <v>512</v>
      </c>
      <c r="G1681" s="1" t="s">
        <v>512</v>
      </c>
      <c r="H1681" s="1" t="s">
        <v>512</v>
      </c>
      <c r="I1681" s="1" t="s">
        <v>512</v>
      </c>
      <c r="J1681" s="1" t="s">
        <v>512</v>
      </c>
      <c r="K1681" s="1" t="s">
        <v>512</v>
      </c>
      <c r="L1681" s="1" t="s">
        <v>512</v>
      </c>
      <c r="M1681" s="1" t="s">
        <v>512</v>
      </c>
      <c r="N1681" s="1" t="s">
        <v>512</v>
      </c>
      <c r="O1681" s="1" t="s">
        <v>512</v>
      </c>
      <c r="Q1681" s="1" t="s">
        <v>512</v>
      </c>
    </row>
    <row r="1682" spans="4:17" x14ac:dyDescent="0.25">
      <c r="D1682" s="1" t="s">
        <v>512</v>
      </c>
      <c r="E1682" s="21" t="s">
        <v>512</v>
      </c>
      <c r="F1682" s="1" t="s">
        <v>512</v>
      </c>
      <c r="G1682" s="1" t="s">
        <v>512</v>
      </c>
      <c r="H1682" s="1" t="s">
        <v>512</v>
      </c>
      <c r="I1682" s="1" t="s">
        <v>512</v>
      </c>
      <c r="J1682" s="1" t="s">
        <v>512</v>
      </c>
      <c r="K1682" s="1" t="s">
        <v>512</v>
      </c>
      <c r="L1682" s="1" t="s">
        <v>512</v>
      </c>
      <c r="M1682" s="1" t="s">
        <v>512</v>
      </c>
      <c r="N1682" s="1" t="s">
        <v>512</v>
      </c>
      <c r="O1682" s="1" t="s">
        <v>512</v>
      </c>
      <c r="Q1682" s="1" t="s">
        <v>512</v>
      </c>
    </row>
    <row r="1683" spans="4:17" x14ac:dyDescent="0.25">
      <c r="D1683" s="1" t="s">
        <v>512</v>
      </c>
      <c r="E1683" s="21" t="s">
        <v>512</v>
      </c>
      <c r="F1683" s="1" t="s">
        <v>512</v>
      </c>
      <c r="G1683" s="1" t="s">
        <v>512</v>
      </c>
      <c r="H1683" s="1" t="s">
        <v>512</v>
      </c>
      <c r="I1683" s="1" t="s">
        <v>512</v>
      </c>
      <c r="J1683" s="1" t="s">
        <v>512</v>
      </c>
      <c r="K1683" s="1" t="s">
        <v>512</v>
      </c>
      <c r="L1683" s="1" t="s">
        <v>512</v>
      </c>
      <c r="M1683" s="1" t="s">
        <v>512</v>
      </c>
      <c r="N1683" s="1" t="s">
        <v>512</v>
      </c>
      <c r="O1683" s="1" t="s">
        <v>512</v>
      </c>
      <c r="Q1683" s="1" t="s">
        <v>512</v>
      </c>
    </row>
    <row r="1684" spans="4:17" x14ac:dyDescent="0.25">
      <c r="D1684" s="1" t="s">
        <v>512</v>
      </c>
      <c r="E1684" s="21" t="s">
        <v>512</v>
      </c>
      <c r="F1684" s="1" t="s">
        <v>512</v>
      </c>
      <c r="G1684" s="1" t="s">
        <v>512</v>
      </c>
      <c r="H1684" s="1" t="s">
        <v>512</v>
      </c>
      <c r="I1684" s="1" t="s">
        <v>512</v>
      </c>
      <c r="J1684" s="1" t="s">
        <v>512</v>
      </c>
      <c r="K1684" s="1" t="s">
        <v>512</v>
      </c>
      <c r="L1684" s="1" t="s">
        <v>512</v>
      </c>
      <c r="M1684" s="1" t="s">
        <v>512</v>
      </c>
      <c r="N1684" s="1" t="s">
        <v>512</v>
      </c>
      <c r="O1684" s="1" t="s">
        <v>512</v>
      </c>
      <c r="Q1684" s="1" t="s">
        <v>512</v>
      </c>
    </row>
    <row r="1685" spans="4:17" x14ac:dyDescent="0.25">
      <c r="D1685" s="1" t="s">
        <v>512</v>
      </c>
      <c r="E1685" s="21" t="s">
        <v>512</v>
      </c>
      <c r="F1685" s="1" t="s">
        <v>512</v>
      </c>
      <c r="G1685" s="1" t="s">
        <v>512</v>
      </c>
      <c r="H1685" s="1" t="s">
        <v>512</v>
      </c>
      <c r="I1685" s="1" t="s">
        <v>512</v>
      </c>
      <c r="J1685" s="1" t="s">
        <v>512</v>
      </c>
      <c r="K1685" s="1" t="s">
        <v>512</v>
      </c>
      <c r="L1685" s="1" t="s">
        <v>512</v>
      </c>
      <c r="M1685" s="1" t="s">
        <v>512</v>
      </c>
      <c r="N1685" s="1" t="s">
        <v>512</v>
      </c>
      <c r="O1685" s="1" t="s">
        <v>512</v>
      </c>
      <c r="Q1685" s="1" t="s">
        <v>512</v>
      </c>
    </row>
    <row r="1686" spans="4:17" x14ac:dyDescent="0.25">
      <c r="D1686" s="1" t="s">
        <v>512</v>
      </c>
      <c r="E1686" s="21" t="s">
        <v>512</v>
      </c>
      <c r="F1686" s="1" t="s">
        <v>512</v>
      </c>
      <c r="G1686" s="1" t="s">
        <v>512</v>
      </c>
      <c r="H1686" s="1" t="s">
        <v>512</v>
      </c>
      <c r="I1686" s="1" t="s">
        <v>512</v>
      </c>
      <c r="J1686" s="1" t="s">
        <v>512</v>
      </c>
      <c r="K1686" s="1" t="s">
        <v>512</v>
      </c>
      <c r="L1686" s="1" t="s">
        <v>512</v>
      </c>
      <c r="M1686" s="1" t="s">
        <v>512</v>
      </c>
      <c r="N1686" s="1" t="s">
        <v>512</v>
      </c>
      <c r="O1686" s="1" t="s">
        <v>512</v>
      </c>
      <c r="Q1686" s="1" t="s">
        <v>512</v>
      </c>
    </row>
    <row r="1687" spans="4:17" x14ac:dyDescent="0.25">
      <c r="D1687" s="1" t="s">
        <v>512</v>
      </c>
      <c r="E1687" s="21" t="s">
        <v>512</v>
      </c>
      <c r="F1687" s="1" t="s">
        <v>512</v>
      </c>
      <c r="G1687" s="1" t="s">
        <v>512</v>
      </c>
      <c r="H1687" s="1" t="s">
        <v>512</v>
      </c>
      <c r="I1687" s="1" t="s">
        <v>512</v>
      </c>
      <c r="J1687" s="1" t="s">
        <v>512</v>
      </c>
      <c r="K1687" s="1" t="s">
        <v>512</v>
      </c>
      <c r="L1687" s="1" t="s">
        <v>512</v>
      </c>
      <c r="M1687" s="1" t="s">
        <v>512</v>
      </c>
      <c r="N1687" s="1" t="s">
        <v>512</v>
      </c>
      <c r="O1687" s="1" t="s">
        <v>512</v>
      </c>
      <c r="Q1687" s="1" t="s">
        <v>512</v>
      </c>
    </row>
    <row r="1688" spans="4:17" x14ac:dyDescent="0.25">
      <c r="D1688" s="1" t="s">
        <v>512</v>
      </c>
      <c r="E1688" s="21" t="s">
        <v>512</v>
      </c>
      <c r="F1688" s="1" t="s">
        <v>512</v>
      </c>
      <c r="G1688" s="1" t="s">
        <v>512</v>
      </c>
      <c r="H1688" s="1" t="s">
        <v>512</v>
      </c>
      <c r="I1688" s="1" t="s">
        <v>512</v>
      </c>
      <c r="J1688" s="1" t="s">
        <v>512</v>
      </c>
      <c r="K1688" s="1" t="s">
        <v>512</v>
      </c>
      <c r="L1688" s="1" t="s">
        <v>512</v>
      </c>
      <c r="M1688" s="1" t="s">
        <v>512</v>
      </c>
      <c r="N1688" s="1" t="s">
        <v>512</v>
      </c>
      <c r="O1688" s="1" t="s">
        <v>512</v>
      </c>
      <c r="Q1688" s="1" t="s">
        <v>512</v>
      </c>
    </row>
    <row r="1689" spans="4:17" x14ac:dyDescent="0.25">
      <c r="D1689" s="1" t="s">
        <v>512</v>
      </c>
      <c r="E1689" s="21" t="s">
        <v>512</v>
      </c>
      <c r="F1689" s="1" t="s">
        <v>512</v>
      </c>
      <c r="G1689" s="1" t="s">
        <v>512</v>
      </c>
      <c r="H1689" s="1" t="s">
        <v>512</v>
      </c>
      <c r="I1689" s="1" t="s">
        <v>512</v>
      </c>
      <c r="J1689" s="1" t="s">
        <v>512</v>
      </c>
      <c r="K1689" s="1" t="s">
        <v>512</v>
      </c>
      <c r="L1689" s="1" t="s">
        <v>512</v>
      </c>
      <c r="M1689" s="1" t="s">
        <v>512</v>
      </c>
      <c r="N1689" s="1" t="s">
        <v>512</v>
      </c>
      <c r="O1689" s="1" t="s">
        <v>512</v>
      </c>
      <c r="Q1689" s="1" t="s">
        <v>512</v>
      </c>
    </row>
    <row r="1690" spans="4:17" x14ac:dyDescent="0.25">
      <c r="D1690" s="1" t="s">
        <v>512</v>
      </c>
      <c r="E1690" s="21" t="s">
        <v>512</v>
      </c>
      <c r="F1690" s="1" t="s">
        <v>512</v>
      </c>
      <c r="G1690" s="1" t="s">
        <v>512</v>
      </c>
      <c r="H1690" s="1" t="s">
        <v>512</v>
      </c>
      <c r="I1690" s="1" t="s">
        <v>512</v>
      </c>
      <c r="J1690" s="1" t="s">
        <v>512</v>
      </c>
      <c r="K1690" s="1" t="s">
        <v>512</v>
      </c>
      <c r="L1690" s="1" t="s">
        <v>512</v>
      </c>
      <c r="M1690" s="1" t="s">
        <v>512</v>
      </c>
      <c r="N1690" s="1" t="s">
        <v>512</v>
      </c>
      <c r="O1690" s="1" t="s">
        <v>512</v>
      </c>
      <c r="Q1690" s="1" t="s">
        <v>512</v>
      </c>
    </row>
    <row r="1691" spans="4:17" x14ac:dyDescent="0.25">
      <c r="D1691" s="1" t="s">
        <v>512</v>
      </c>
      <c r="E1691" s="21" t="s">
        <v>512</v>
      </c>
      <c r="F1691" s="1" t="s">
        <v>512</v>
      </c>
      <c r="G1691" s="1" t="s">
        <v>512</v>
      </c>
      <c r="H1691" s="1" t="s">
        <v>512</v>
      </c>
      <c r="I1691" s="1" t="s">
        <v>512</v>
      </c>
      <c r="J1691" s="1" t="s">
        <v>512</v>
      </c>
      <c r="K1691" s="1" t="s">
        <v>512</v>
      </c>
      <c r="L1691" s="1" t="s">
        <v>512</v>
      </c>
      <c r="M1691" s="1" t="s">
        <v>512</v>
      </c>
      <c r="N1691" s="1" t="s">
        <v>512</v>
      </c>
      <c r="O1691" s="1" t="s">
        <v>512</v>
      </c>
      <c r="Q1691" s="1" t="s">
        <v>512</v>
      </c>
    </row>
    <row r="1692" spans="4:17" x14ac:dyDescent="0.25">
      <c r="D1692" s="1" t="s">
        <v>512</v>
      </c>
      <c r="E1692" s="21" t="s">
        <v>512</v>
      </c>
      <c r="F1692" s="1" t="s">
        <v>512</v>
      </c>
      <c r="G1692" s="1" t="s">
        <v>512</v>
      </c>
      <c r="H1692" s="1" t="s">
        <v>512</v>
      </c>
      <c r="I1692" s="1" t="s">
        <v>512</v>
      </c>
      <c r="J1692" s="1" t="s">
        <v>512</v>
      </c>
      <c r="K1692" s="1" t="s">
        <v>512</v>
      </c>
      <c r="L1692" s="1" t="s">
        <v>512</v>
      </c>
      <c r="M1692" s="1" t="s">
        <v>512</v>
      </c>
      <c r="N1692" s="1" t="s">
        <v>512</v>
      </c>
      <c r="O1692" s="1" t="s">
        <v>512</v>
      </c>
      <c r="Q1692" s="1" t="s">
        <v>512</v>
      </c>
    </row>
    <row r="1693" spans="4:17" x14ac:dyDescent="0.25">
      <c r="D1693" s="1" t="s">
        <v>512</v>
      </c>
      <c r="E1693" s="21" t="s">
        <v>512</v>
      </c>
      <c r="F1693" s="1" t="s">
        <v>512</v>
      </c>
      <c r="G1693" s="1" t="s">
        <v>512</v>
      </c>
      <c r="H1693" s="1" t="s">
        <v>512</v>
      </c>
      <c r="I1693" s="1" t="s">
        <v>512</v>
      </c>
      <c r="J1693" s="1" t="s">
        <v>512</v>
      </c>
      <c r="K1693" s="1" t="s">
        <v>512</v>
      </c>
      <c r="L1693" s="1" t="s">
        <v>512</v>
      </c>
      <c r="M1693" s="1" t="s">
        <v>512</v>
      </c>
      <c r="N1693" s="1" t="s">
        <v>512</v>
      </c>
      <c r="O1693" s="1" t="s">
        <v>512</v>
      </c>
      <c r="Q1693" s="1" t="s">
        <v>512</v>
      </c>
    </row>
    <row r="1694" spans="4:17" x14ac:dyDescent="0.25">
      <c r="D1694" s="1" t="s">
        <v>512</v>
      </c>
      <c r="E1694" s="21" t="s">
        <v>512</v>
      </c>
      <c r="F1694" s="1" t="s">
        <v>512</v>
      </c>
      <c r="G1694" s="1" t="s">
        <v>512</v>
      </c>
      <c r="H1694" s="1" t="s">
        <v>512</v>
      </c>
      <c r="I1694" s="1" t="s">
        <v>512</v>
      </c>
      <c r="J1694" s="1" t="s">
        <v>512</v>
      </c>
      <c r="K1694" s="1" t="s">
        <v>512</v>
      </c>
      <c r="L1694" s="1" t="s">
        <v>512</v>
      </c>
      <c r="M1694" s="1" t="s">
        <v>512</v>
      </c>
      <c r="N1694" s="1" t="s">
        <v>512</v>
      </c>
      <c r="O1694" s="1" t="s">
        <v>512</v>
      </c>
      <c r="Q1694" s="1" t="s">
        <v>512</v>
      </c>
    </row>
    <row r="1695" spans="4:17" x14ac:dyDescent="0.25">
      <c r="D1695" s="1" t="s">
        <v>512</v>
      </c>
      <c r="E1695" s="21" t="s">
        <v>512</v>
      </c>
      <c r="F1695" s="1" t="s">
        <v>512</v>
      </c>
      <c r="G1695" s="1" t="s">
        <v>512</v>
      </c>
      <c r="H1695" s="1" t="s">
        <v>512</v>
      </c>
      <c r="I1695" s="1" t="s">
        <v>512</v>
      </c>
      <c r="J1695" s="1" t="s">
        <v>512</v>
      </c>
      <c r="K1695" s="1" t="s">
        <v>512</v>
      </c>
      <c r="L1695" s="1" t="s">
        <v>512</v>
      </c>
      <c r="M1695" s="1" t="s">
        <v>512</v>
      </c>
      <c r="N1695" s="1" t="s">
        <v>512</v>
      </c>
      <c r="O1695" s="1" t="s">
        <v>512</v>
      </c>
      <c r="Q1695" s="1" t="s">
        <v>512</v>
      </c>
    </row>
    <row r="1696" spans="4:17" x14ac:dyDescent="0.25">
      <c r="D1696" s="1" t="s">
        <v>512</v>
      </c>
      <c r="E1696" s="21" t="s">
        <v>512</v>
      </c>
      <c r="F1696" s="1" t="s">
        <v>512</v>
      </c>
      <c r="G1696" s="1" t="s">
        <v>512</v>
      </c>
      <c r="H1696" s="1" t="s">
        <v>512</v>
      </c>
      <c r="I1696" s="1" t="s">
        <v>512</v>
      </c>
      <c r="J1696" s="1" t="s">
        <v>512</v>
      </c>
      <c r="K1696" s="1" t="s">
        <v>512</v>
      </c>
      <c r="L1696" s="1" t="s">
        <v>512</v>
      </c>
      <c r="M1696" s="1" t="s">
        <v>512</v>
      </c>
      <c r="N1696" s="1" t="s">
        <v>512</v>
      </c>
      <c r="O1696" s="1" t="s">
        <v>512</v>
      </c>
      <c r="Q1696" s="1" t="s">
        <v>512</v>
      </c>
    </row>
    <row r="1697" spans="4:17" x14ac:dyDescent="0.25">
      <c r="D1697" s="1" t="s">
        <v>512</v>
      </c>
      <c r="E1697" s="21" t="s">
        <v>512</v>
      </c>
      <c r="F1697" s="1" t="s">
        <v>512</v>
      </c>
      <c r="G1697" s="1" t="s">
        <v>512</v>
      </c>
      <c r="H1697" s="1" t="s">
        <v>512</v>
      </c>
      <c r="I1697" s="1" t="s">
        <v>512</v>
      </c>
      <c r="J1697" s="1" t="s">
        <v>512</v>
      </c>
      <c r="K1697" s="1" t="s">
        <v>512</v>
      </c>
      <c r="L1697" s="1" t="s">
        <v>512</v>
      </c>
      <c r="M1697" s="1" t="s">
        <v>512</v>
      </c>
      <c r="N1697" s="1" t="s">
        <v>512</v>
      </c>
      <c r="O1697" s="1" t="s">
        <v>512</v>
      </c>
      <c r="Q1697" s="1" t="s">
        <v>512</v>
      </c>
    </row>
    <row r="1698" spans="4:17" x14ac:dyDescent="0.25">
      <c r="D1698" s="1" t="s">
        <v>512</v>
      </c>
      <c r="E1698" s="21" t="s">
        <v>512</v>
      </c>
      <c r="F1698" s="1" t="s">
        <v>512</v>
      </c>
      <c r="G1698" s="1" t="s">
        <v>512</v>
      </c>
      <c r="H1698" s="1" t="s">
        <v>512</v>
      </c>
      <c r="I1698" s="1" t="s">
        <v>512</v>
      </c>
      <c r="J1698" s="1" t="s">
        <v>512</v>
      </c>
      <c r="K1698" s="1" t="s">
        <v>512</v>
      </c>
      <c r="L1698" s="1" t="s">
        <v>512</v>
      </c>
      <c r="M1698" s="1" t="s">
        <v>512</v>
      </c>
      <c r="N1698" s="1" t="s">
        <v>512</v>
      </c>
      <c r="O1698" s="1" t="s">
        <v>512</v>
      </c>
      <c r="Q1698" s="1" t="s">
        <v>512</v>
      </c>
    </row>
    <row r="1699" spans="4:17" x14ac:dyDescent="0.25">
      <c r="D1699" s="1" t="s">
        <v>512</v>
      </c>
      <c r="E1699" s="21" t="s">
        <v>512</v>
      </c>
      <c r="F1699" s="1" t="s">
        <v>512</v>
      </c>
      <c r="G1699" s="1" t="s">
        <v>512</v>
      </c>
      <c r="H1699" s="1" t="s">
        <v>512</v>
      </c>
      <c r="I1699" s="1" t="s">
        <v>512</v>
      </c>
      <c r="J1699" s="1" t="s">
        <v>512</v>
      </c>
      <c r="K1699" s="1" t="s">
        <v>512</v>
      </c>
      <c r="L1699" s="1" t="s">
        <v>512</v>
      </c>
      <c r="M1699" s="1" t="s">
        <v>512</v>
      </c>
      <c r="N1699" s="1" t="s">
        <v>512</v>
      </c>
      <c r="O1699" s="1" t="s">
        <v>512</v>
      </c>
      <c r="Q1699" s="1" t="s">
        <v>512</v>
      </c>
    </row>
    <row r="1700" spans="4:17" x14ac:dyDescent="0.25">
      <c r="D1700" s="1" t="s">
        <v>512</v>
      </c>
      <c r="E1700" s="21" t="s">
        <v>512</v>
      </c>
      <c r="F1700" s="1" t="s">
        <v>512</v>
      </c>
      <c r="G1700" s="1" t="s">
        <v>512</v>
      </c>
      <c r="H1700" s="1" t="s">
        <v>512</v>
      </c>
      <c r="I1700" s="1" t="s">
        <v>512</v>
      </c>
      <c r="J1700" s="1" t="s">
        <v>512</v>
      </c>
      <c r="K1700" s="1" t="s">
        <v>512</v>
      </c>
      <c r="L1700" s="1" t="s">
        <v>512</v>
      </c>
      <c r="M1700" s="1" t="s">
        <v>512</v>
      </c>
      <c r="N1700" s="1" t="s">
        <v>512</v>
      </c>
      <c r="O1700" s="1" t="s">
        <v>512</v>
      </c>
      <c r="Q1700" s="1" t="s">
        <v>512</v>
      </c>
    </row>
    <row r="1701" spans="4:17" x14ac:dyDescent="0.25">
      <c r="D1701" s="1" t="s">
        <v>512</v>
      </c>
      <c r="E1701" s="21" t="s">
        <v>512</v>
      </c>
      <c r="F1701" s="1" t="s">
        <v>512</v>
      </c>
      <c r="G1701" s="1" t="s">
        <v>512</v>
      </c>
      <c r="H1701" s="1" t="s">
        <v>512</v>
      </c>
      <c r="I1701" s="1" t="s">
        <v>512</v>
      </c>
      <c r="J1701" s="1" t="s">
        <v>512</v>
      </c>
      <c r="K1701" s="1" t="s">
        <v>512</v>
      </c>
      <c r="L1701" s="1" t="s">
        <v>512</v>
      </c>
      <c r="M1701" s="1" t="s">
        <v>512</v>
      </c>
      <c r="N1701" s="1" t="s">
        <v>512</v>
      </c>
      <c r="O1701" s="1" t="s">
        <v>512</v>
      </c>
      <c r="Q1701" s="1" t="s">
        <v>512</v>
      </c>
    </row>
    <row r="1702" spans="4:17" x14ac:dyDescent="0.25">
      <c r="D1702" s="1" t="s">
        <v>512</v>
      </c>
      <c r="E1702" s="21" t="s">
        <v>512</v>
      </c>
      <c r="F1702" s="1" t="s">
        <v>512</v>
      </c>
      <c r="G1702" s="1" t="s">
        <v>512</v>
      </c>
      <c r="H1702" s="1" t="s">
        <v>512</v>
      </c>
      <c r="I1702" s="1" t="s">
        <v>512</v>
      </c>
      <c r="J1702" s="1" t="s">
        <v>512</v>
      </c>
      <c r="K1702" s="1" t="s">
        <v>512</v>
      </c>
      <c r="L1702" s="1" t="s">
        <v>512</v>
      </c>
      <c r="M1702" s="1" t="s">
        <v>512</v>
      </c>
      <c r="N1702" s="1" t="s">
        <v>512</v>
      </c>
      <c r="O1702" s="1" t="s">
        <v>512</v>
      </c>
      <c r="Q1702" s="1" t="s">
        <v>512</v>
      </c>
    </row>
    <row r="1703" spans="4:17" x14ac:dyDescent="0.25">
      <c r="D1703" s="1" t="s">
        <v>512</v>
      </c>
      <c r="E1703" s="21" t="s">
        <v>512</v>
      </c>
      <c r="F1703" s="1" t="s">
        <v>512</v>
      </c>
      <c r="G1703" s="1" t="s">
        <v>512</v>
      </c>
      <c r="H1703" s="1" t="s">
        <v>512</v>
      </c>
      <c r="I1703" s="1" t="s">
        <v>512</v>
      </c>
      <c r="J1703" s="1" t="s">
        <v>512</v>
      </c>
      <c r="K1703" s="1" t="s">
        <v>512</v>
      </c>
      <c r="L1703" s="1" t="s">
        <v>512</v>
      </c>
      <c r="M1703" s="1" t="s">
        <v>512</v>
      </c>
      <c r="N1703" s="1" t="s">
        <v>512</v>
      </c>
      <c r="O1703" s="1" t="s">
        <v>512</v>
      </c>
      <c r="Q1703" s="1" t="s">
        <v>512</v>
      </c>
    </row>
    <row r="1704" spans="4:17" x14ac:dyDescent="0.25">
      <c r="D1704" s="1" t="s">
        <v>512</v>
      </c>
      <c r="E1704" s="21" t="s">
        <v>512</v>
      </c>
      <c r="F1704" s="1" t="s">
        <v>512</v>
      </c>
      <c r="G1704" s="1" t="s">
        <v>512</v>
      </c>
      <c r="H1704" s="1" t="s">
        <v>512</v>
      </c>
      <c r="I1704" s="1" t="s">
        <v>512</v>
      </c>
      <c r="J1704" s="1" t="s">
        <v>512</v>
      </c>
      <c r="K1704" s="1" t="s">
        <v>512</v>
      </c>
      <c r="L1704" s="1" t="s">
        <v>512</v>
      </c>
      <c r="M1704" s="1" t="s">
        <v>512</v>
      </c>
      <c r="N1704" s="1" t="s">
        <v>512</v>
      </c>
      <c r="O1704" s="1" t="s">
        <v>512</v>
      </c>
      <c r="Q1704" s="1" t="s">
        <v>512</v>
      </c>
    </row>
    <row r="1705" spans="4:17" x14ac:dyDescent="0.25">
      <c r="D1705" s="1" t="s">
        <v>512</v>
      </c>
      <c r="E1705" s="21" t="s">
        <v>512</v>
      </c>
      <c r="F1705" s="1" t="s">
        <v>512</v>
      </c>
      <c r="G1705" s="1" t="s">
        <v>512</v>
      </c>
      <c r="H1705" s="1" t="s">
        <v>512</v>
      </c>
      <c r="I1705" s="1" t="s">
        <v>512</v>
      </c>
      <c r="J1705" s="1" t="s">
        <v>512</v>
      </c>
      <c r="K1705" s="1" t="s">
        <v>512</v>
      </c>
      <c r="L1705" s="1" t="s">
        <v>512</v>
      </c>
      <c r="M1705" s="1" t="s">
        <v>512</v>
      </c>
      <c r="N1705" s="1" t="s">
        <v>512</v>
      </c>
      <c r="O1705" s="1" t="s">
        <v>512</v>
      </c>
      <c r="Q1705" s="1" t="s">
        <v>512</v>
      </c>
    </row>
    <row r="1706" spans="4:17" x14ac:dyDescent="0.25">
      <c r="D1706" s="1" t="s">
        <v>512</v>
      </c>
      <c r="E1706" s="21" t="s">
        <v>512</v>
      </c>
      <c r="F1706" s="1" t="s">
        <v>512</v>
      </c>
      <c r="G1706" s="1" t="s">
        <v>512</v>
      </c>
      <c r="H1706" s="1" t="s">
        <v>512</v>
      </c>
      <c r="I1706" s="1" t="s">
        <v>512</v>
      </c>
      <c r="J1706" s="1" t="s">
        <v>512</v>
      </c>
      <c r="K1706" s="1" t="s">
        <v>512</v>
      </c>
      <c r="L1706" s="1" t="s">
        <v>512</v>
      </c>
      <c r="M1706" s="1" t="s">
        <v>512</v>
      </c>
      <c r="N1706" s="1" t="s">
        <v>512</v>
      </c>
      <c r="O1706" s="1" t="s">
        <v>512</v>
      </c>
      <c r="Q1706" s="1" t="s">
        <v>512</v>
      </c>
    </row>
    <row r="1707" spans="4:17" x14ac:dyDescent="0.25">
      <c r="D1707" s="1" t="s">
        <v>512</v>
      </c>
      <c r="E1707" s="21" t="s">
        <v>512</v>
      </c>
      <c r="F1707" s="1" t="s">
        <v>512</v>
      </c>
      <c r="G1707" s="1" t="s">
        <v>512</v>
      </c>
      <c r="H1707" s="1" t="s">
        <v>512</v>
      </c>
      <c r="I1707" s="1" t="s">
        <v>512</v>
      </c>
      <c r="J1707" s="1" t="s">
        <v>512</v>
      </c>
      <c r="K1707" s="1" t="s">
        <v>512</v>
      </c>
      <c r="L1707" s="1" t="s">
        <v>512</v>
      </c>
      <c r="M1707" s="1" t="s">
        <v>512</v>
      </c>
      <c r="N1707" s="1" t="s">
        <v>512</v>
      </c>
      <c r="O1707" s="1" t="s">
        <v>512</v>
      </c>
      <c r="Q1707" s="1" t="s">
        <v>512</v>
      </c>
    </row>
    <row r="1708" spans="4:17" x14ac:dyDescent="0.25">
      <c r="D1708" s="1" t="s">
        <v>512</v>
      </c>
      <c r="E1708" s="21" t="s">
        <v>512</v>
      </c>
      <c r="F1708" s="1" t="s">
        <v>512</v>
      </c>
      <c r="G1708" s="1" t="s">
        <v>512</v>
      </c>
      <c r="H1708" s="1" t="s">
        <v>512</v>
      </c>
      <c r="I1708" s="1" t="s">
        <v>512</v>
      </c>
      <c r="J1708" s="1" t="s">
        <v>512</v>
      </c>
      <c r="K1708" s="1" t="s">
        <v>512</v>
      </c>
      <c r="L1708" s="1" t="s">
        <v>512</v>
      </c>
      <c r="M1708" s="1" t="s">
        <v>512</v>
      </c>
      <c r="N1708" s="1" t="s">
        <v>512</v>
      </c>
      <c r="O1708" s="1" t="s">
        <v>512</v>
      </c>
      <c r="Q1708" s="1" t="s">
        <v>512</v>
      </c>
    </row>
    <row r="1709" spans="4:17" x14ac:dyDescent="0.25">
      <c r="D1709" s="1" t="s">
        <v>512</v>
      </c>
      <c r="E1709" s="21" t="s">
        <v>512</v>
      </c>
      <c r="F1709" s="1" t="s">
        <v>512</v>
      </c>
      <c r="G1709" s="1" t="s">
        <v>512</v>
      </c>
      <c r="H1709" s="1" t="s">
        <v>512</v>
      </c>
      <c r="I1709" s="1" t="s">
        <v>512</v>
      </c>
      <c r="J1709" s="1" t="s">
        <v>512</v>
      </c>
      <c r="K1709" s="1" t="s">
        <v>512</v>
      </c>
      <c r="L1709" s="1" t="s">
        <v>512</v>
      </c>
      <c r="M1709" s="1" t="s">
        <v>512</v>
      </c>
      <c r="N1709" s="1" t="s">
        <v>512</v>
      </c>
      <c r="O1709" s="1" t="s">
        <v>512</v>
      </c>
      <c r="Q1709" s="1" t="s">
        <v>512</v>
      </c>
    </row>
    <row r="1710" spans="4:17" x14ac:dyDescent="0.25">
      <c r="D1710" s="1" t="s">
        <v>512</v>
      </c>
      <c r="E1710" s="21" t="s">
        <v>512</v>
      </c>
      <c r="F1710" s="1" t="s">
        <v>512</v>
      </c>
      <c r="G1710" s="1" t="s">
        <v>512</v>
      </c>
      <c r="H1710" s="1" t="s">
        <v>512</v>
      </c>
      <c r="I1710" s="1" t="s">
        <v>512</v>
      </c>
      <c r="J1710" s="1" t="s">
        <v>512</v>
      </c>
      <c r="K1710" s="1" t="s">
        <v>512</v>
      </c>
      <c r="L1710" s="1" t="s">
        <v>512</v>
      </c>
      <c r="M1710" s="1" t="s">
        <v>512</v>
      </c>
      <c r="N1710" s="1" t="s">
        <v>512</v>
      </c>
      <c r="O1710" s="1" t="s">
        <v>512</v>
      </c>
      <c r="Q1710" s="1" t="s">
        <v>512</v>
      </c>
    </row>
    <row r="1711" spans="4:17" x14ac:dyDescent="0.25">
      <c r="D1711" s="1" t="s">
        <v>512</v>
      </c>
      <c r="E1711" s="21" t="s">
        <v>512</v>
      </c>
      <c r="F1711" s="1" t="s">
        <v>512</v>
      </c>
      <c r="G1711" s="1" t="s">
        <v>512</v>
      </c>
      <c r="H1711" s="1" t="s">
        <v>512</v>
      </c>
      <c r="I1711" s="1" t="s">
        <v>512</v>
      </c>
      <c r="J1711" s="1" t="s">
        <v>512</v>
      </c>
      <c r="K1711" s="1" t="s">
        <v>512</v>
      </c>
      <c r="L1711" s="1" t="s">
        <v>512</v>
      </c>
      <c r="M1711" s="1" t="s">
        <v>512</v>
      </c>
      <c r="N1711" s="1" t="s">
        <v>512</v>
      </c>
      <c r="O1711" s="1" t="s">
        <v>512</v>
      </c>
      <c r="Q1711" s="1" t="s">
        <v>512</v>
      </c>
    </row>
    <row r="1712" spans="4:17" x14ac:dyDescent="0.25">
      <c r="D1712" s="1" t="s">
        <v>512</v>
      </c>
      <c r="E1712" s="21" t="s">
        <v>512</v>
      </c>
      <c r="F1712" s="1" t="s">
        <v>512</v>
      </c>
      <c r="G1712" s="1" t="s">
        <v>512</v>
      </c>
      <c r="H1712" s="1" t="s">
        <v>512</v>
      </c>
      <c r="I1712" s="1" t="s">
        <v>512</v>
      </c>
      <c r="J1712" s="1" t="s">
        <v>512</v>
      </c>
      <c r="K1712" s="1" t="s">
        <v>512</v>
      </c>
      <c r="L1712" s="1" t="s">
        <v>512</v>
      </c>
      <c r="M1712" s="1" t="s">
        <v>512</v>
      </c>
      <c r="N1712" s="1" t="s">
        <v>512</v>
      </c>
      <c r="O1712" s="1" t="s">
        <v>512</v>
      </c>
      <c r="Q1712" s="1" t="s">
        <v>512</v>
      </c>
    </row>
    <row r="1713" spans="4:17" x14ac:dyDescent="0.25">
      <c r="D1713" s="1" t="s">
        <v>512</v>
      </c>
      <c r="E1713" s="21" t="s">
        <v>512</v>
      </c>
      <c r="F1713" s="1" t="s">
        <v>512</v>
      </c>
      <c r="G1713" s="1" t="s">
        <v>512</v>
      </c>
      <c r="H1713" s="1" t="s">
        <v>512</v>
      </c>
      <c r="I1713" s="1" t="s">
        <v>512</v>
      </c>
      <c r="J1713" s="1" t="s">
        <v>512</v>
      </c>
      <c r="K1713" s="1" t="s">
        <v>512</v>
      </c>
      <c r="L1713" s="1" t="s">
        <v>512</v>
      </c>
      <c r="M1713" s="1" t="s">
        <v>512</v>
      </c>
      <c r="N1713" s="1" t="s">
        <v>512</v>
      </c>
      <c r="O1713" s="1" t="s">
        <v>512</v>
      </c>
      <c r="Q1713" s="1" t="s">
        <v>512</v>
      </c>
    </row>
    <row r="1714" spans="4:17" x14ac:dyDescent="0.25">
      <c r="D1714" s="1" t="s">
        <v>512</v>
      </c>
      <c r="E1714" s="21" t="s">
        <v>512</v>
      </c>
      <c r="F1714" s="1" t="s">
        <v>512</v>
      </c>
      <c r="G1714" s="1" t="s">
        <v>512</v>
      </c>
      <c r="H1714" s="1" t="s">
        <v>512</v>
      </c>
      <c r="I1714" s="1" t="s">
        <v>512</v>
      </c>
      <c r="J1714" s="1" t="s">
        <v>512</v>
      </c>
      <c r="K1714" s="1" t="s">
        <v>512</v>
      </c>
      <c r="L1714" s="1" t="s">
        <v>512</v>
      </c>
      <c r="M1714" s="1" t="s">
        <v>512</v>
      </c>
      <c r="N1714" s="1" t="s">
        <v>512</v>
      </c>
      <c r="O1714" s="1" t="s">
        <v>512</v>
      </c>
      <c r="Q1714" s="1" t="s">
        <v>512</v>
      </c>
    </row>
    <row r="1715" spans="4:17" x14ac:dyDescent="0.25">
      <c r="D1715" s="1" t="s">
        <v>512</v>
      </c>
      <c r="E1715" s="21" t="s">
        <v>512</v>
      </c>
      <c r="F1715" s="1" t="s">
        <v>512</v>
      </c>
      <c r="G1715" s="1" t="s">
        <v>512</v>
      </c>
      <c r="H1715" s="1" t="s">
        <v>512</v>
      </c>
      <c r="I1715" s="1" t="s">
        <v>512</v>
      </c>
      <c r="J1715" s="1" t="s">
        <v>512</v>
      </c>
      <c r="K1715" s="1" t="s">
        <v>512</v>
      </c>
      <c r="L1715" s="1" t="s">
        <v>512</v>
      </c>
      <c r="M1715" s="1" t="s">
        <v>512</v>
      </c>
      <c r="N1715" s="1" t="s">
        <v>512</v>
      </c>
      <c r="O1715" s="1" t="s">
        <v>512</v>
      </c>
      <c r="Q1715" s="1" t="s">
        <v>512</v>
      </c>
    </row>
    <row r="1716" spans="4:17" x14ac:dyDescent="0.25">
      <c r="D1716" s="1" t="s">
        <v>512</v>
      </c>
      <c r="E1716" s="21" t="s">
        <v>512</v>
      </c>
      <c r="F1716" s="1" t="s">
        <v>512</v>
      </c>
      <c r="G1716" s="1" t="s">
        <v>512</v>
      </c>
      <c r="H1716" s="1" t="s">
        <v>512</v>
      </c>
      <c r="I1716" s="1" t="s">
        <v>512</v>
      </c>
      <c r="J1716" s="1" t="s">
        <v>512</v>
      </c>
      <c r="K1716" s="1" t="s">
        <v>512</v>
      </c>
      <c r="L1716" s="1" t="s">
        <v>512</v>
      </c>
      <c r="M1716" s="1" t="s">
        <v>512</v>
      </c>
      <c r="N1716" s="1" t="s">
        <v>512</v>
      </c>
      <c r="O1716" s="1" t="s">
        <v>512</v>
      </c>
      <c r="Q1716" s="1" t="s">
        <v>512</v>
      </c>
    </row>
    <row r="1717" spans="4:17" x14ac:dyDescent="0.25">
      <c r="D1717" s="1" t="s">
        <v>512</v>
      </c>
      <c r="E1717" s="21" t="s">
        <v>512</v>
      </c>
      <c r="F1717" s="1" t="s">
        <v>512</v>
      </c>
      <c r="G1717" s="1" t="s">
        <v>512</v>
      </c>
      <c r="H1717" s="1" t="s">
        <v>512</v>
      </c>
      <c r="I1717" s="1" t="s">
        <v>512</v>
      </c>
      <c r="J1717" s="1" t="s">
        <v>512</v>
      </c>
      <c r="K1717" s="1" t="s">
        <v>512</v>
      </c>
      <c r="L1717" s="1" t="s">
        <v>512</v>
      </c>
      <c r="M1717" s="1" t="s">
        <v>512</v>
      </c>
      <c r="N1717" s="1" t="s">
        <v>512</v>
      </c>
      <c r="O1717" s="1" t="s">
        <v>512</v>
      </c>
      <c r="Q1717" s="1" t="s">
        <v>512</v>
      </c>
    </row>
    <row r="1718" spans="4:17" x14ac:dyDescent="0.25">
      <c r="D1718" s="1" t="s">
        <v>512</v>
      </c>
      <c r="E1718" s="21" t="s">
        <v>512</v>
      </c>
      <c r="F1718" s="1" t="s">
        <v>512</v>
      </c>
      <c r="G1718" s="1" t="s">
        <v>512</v>
      </c>
      <c r="H1718" s="1" t="s">
        <v>512</v>
      </c>
      <c r="I1718" s="1" t="s">
        <v>512</v>
      </c>
      <c r="J1718" s="1" t="s">
        <v>512</v>
      </c>
      <c r="K1718" s="1" t="s">
        <v>512</v>
      </c>
      <c r="L1718" s="1" t="s">
        <v>512</v>
      </c>
      <c r="M1718" s="1" t="s">
        <v>512</v>
      </c>
      <c r="N1718" s="1" t="s">
        <v>512</v>
      </c>
      <c r="O1718" s="1" t="s">
        <v>512</v>
      </c>
      <c r="Q1718" s="1" t="s">
        <v>512</v>
      </c>
    </row>
    <row r="1719" spans="4:17" x14ac:dyDescent="0.25">
      <c r="D1719" s="1" t="s">
        <v>512</v>
      </c>
      <c r="E1719" s="21" t="s">
        <v>512</v>
      </c>
      <c r="F1719" s="1" t="s">
        <v>512</v>
      </c>
      <c r="G1719" s="1" t="s">
        <v>512</v>
      </c>
      <c r="H1719" s="1" t="s">
        <v>512</v>
      </c>
      <c r="I1719" s="1" t="s">
        <v>512</v>
      </c>
      <c r="J1719" s="1" t="s">
        <v>512</v>
      </c>
      <c r="K1719" s="1" t="s">
        <v>512</v>
      </c>
      <c r="L1719" s="1" t="s">
        <v>512</v>
      </c>
      <c r="M1719" s="1" t="s">
        <v>512</v>
      </c>
      <c r="N1719" s="1" t="s">
        <v>512</v>
      </c>
      <c r="O1719" s="1" t="s">
        <v>512</v>
      </c>
      <c r="Q1719" s="1" t="s">
        <v>512</v>
      </c>
    </row>
    <row r="1720" spans="4:17" x14ac:dyDescent="0.25">
      <c r="D1720" s="1" t="s">
        <v>512</v>
      </c>
      <c r="E1720" s="21" t="s">
        <v>512</v>
      </c>
      <c r="F1720" s="1" t="s">
        <v>512</v>
      </c>
      <c r="G1720" s="1" t="s">
        <v>512</v>
      </c>
      <c r="H1720" s="1" t="s">
        <v>512</v>
      </c>
      <c r="I1720" s="1" t="s">
        <v>512</v>
      </c>
      <c r="J1720" s="1" t="s">
        <v>512</v>
      </c>
      <c r="K1720" s="1" t="s">
        <v>512</v>
      </c>
      <c r="L1720" s="1" t="s">
        <v>512</v>
      </c>
      <c r="M1720" s="1" t="s">
        <v>512</v>
      </c>
      <c r="N1720" s="1" t="s">
        <v>512</v>
      </c>
      <c r="O1720" s="1" t="s">
        <v>512</v>
      </c>
      <c r="Q1720" s="1" t="s">
        <v>512</v>
      </c>
    </row>
    <row r="1721" spans="4:17" x14ac:dyDescent="0.25">
      <c r="D1721" s="1" t="s">
        <v>512</v>
      </c>
      <c r="E1721" s="21" t="s">
        <v>512</v>
      </c>
      <c r="F1721" s="1" t="s">
        <v>512</v>
      </c>
      <c r="G1721" s="1" t="s">
        <v>512</v>
      </c>
      <c r="H1721" s="1" t="s">
        <v>512</v>
      </c>
      <c r="I1721" s="1" t="s">
        <v>512</v>
      </c>
      <c r="J1721" s="1" t="s">
        <v>512</v>
      </c>
      <c r="K1721" s="1" t="s">
        <v>512</v>
      </c>
      <c r="L1721" s="1" t="s">
        <v>512</v>
      </c>
      <c r="M1721" s="1" t="s">
        <v>512</v>
      </c>
      <c r="N1721" s="1" t="s">
        <v>512</v>
      </c>
      <c r="O1721" s="1" t="s">
        <v>512</v>
      </c>
      <c r="Q1721" s="1" t="s">
        <v>512</v>
      </c>
    </row>
    <row r="1722" spans="4:17" x14ac:dyDescent="0.25">
      <c r="D1722" s="1" t="s">
        <v>512</v>
      </c>
      <c r="E1722" s="21" t="s">
        <v>512</v>
      </c>
      <c r="F1722" s="1" t="s">
        <v>512</v>
      </c>
      <c r="G1722" s="1" t="s">
        <v>512</v>
      </c>
      <c r="H1722" s="1" t="s">
        <v>512</v>
      </c>
      <c r="I1722" s="1" t="s">
        <v>512</v>
      </c>
      <c r="J1722" s="1" t="s">
        <v>512</v>
      </c>
      <c r="K1722" s="1" t="s">
        <v>512</v>
      </c>
      <c r="L1722" s="1" t="s">
        <v>512</v>
      </c>
      <c r="M1722" s="1" t="s">
        <v>512</v>
      </c>
      <c r="N1722" s="1" t="s">
        <v>512</v>
      </c>
      <c r="O1722" s="1" t="s">
        <v>512</v>
      </c>
      <c r="Q1722" s="1" t="s">
        <v>512</v>
      </c>
    </row>
    <row r="1723" spans="4:17" x14ac:dyDescent="0.25">
      <c r="D1723" s="1" t="s">
        <v>512</v>
      </c>
      <c r="E1723" s="21" t="s">
        <v>512</v>
      </c>
      <c r="F1723" s="1" t="s">
        <v>512</v>
      </c>
      <c r="G1723" s="1" t="s">
        <v>512</v>
      </c>
      <c r="H1723" s="1" t="s">
        <v>512</v>
      </c>
      <c r="I1723" s="1" t="s">
        <v>512</v>
      </c>
      <c r="J1723" s="1" t="s">
        <v>512</v>
      </c>
      <c r="K1723" s="1" t="s">
        <v>512</v>
      </c>
      <c r="L1723" s="1" t="s">
        <v>512</v>
      </c>
      <c r="M1723" s="1" t="s">
        <v>512</v>
      </c>
      <c r="N1723" s="1" t="s">
        <v>512</v>
      </c>
      <c r="O1723" s="1" t="s">
        <v>512</v>
      </c>
      <c r="Q1723" s="1" t="s">
        <v>512</v>
      </c>
    </row>
    <row r="1724" spans="4:17" x14ac:dyDescent="0.25">
      <c r="D1724" s="1" t="s">
        <v>512</v>
      </c>
      <c r="E1724" s="21" t="s">
        <v>512</v>
      </c>
      <c r="F1724" s="1" t="s">
        <v>512</v>
      </c>
      <c r="G1724" s="1" t="s">
        <v>512</v>
      </c>
      <c r="H1724" s="1" t="s">
        <v>512</v>
      </c>
      <c r="I1724" s="1" t="s">
        <v>512</v>
      </c>
      <c r="J1724" s="1" t="s">
        <v>512</v>
      </c>
      <c r="K1724" s="1" t="s">
        <v>512</v>
      </c>
      <c r="L1724" s="1" t="s">
        <v>512</v>
      </c>
      <c r="M1724" s="1" t="s">
        <v>512</v>
      </c>
      <c r="N1724" s="1" t="s">
        <v>512</v>
      </c>
      <c r="O1724" s="1" t="s">
        <v>512</v>
      </c>
      <c r="Q1724" s="1" t="s">
        <v>512</v>
      </c>
    </row>
    <row r="1725" spans="4:17" x14ac:dyDescent="0.25">
      <c r="D1725" s="1" t="s">
        <v>512</v>
      </c>
      <c r="E1725" s="21" t="s">
        <v>512</v>
      </c>
      <c r="F1725" s="1" t="s">
        <v>512</v>
      </c>
      <c r="G1725" s="1" t="s">
        <v>512</v>
      </c>
      <c r="H1725" s="1" t="s">
        <v>512</v>
      </c>
      <c r="I1725" s="1" t="s">
        <v>512</v>
      </c>
      <c r="J1725" s="1" t="s">
        <v>512</v>
      </c>
      <c r="K1725" s="1" t="s">
        <v>512</v>
      </c>
      <c r="L1725" s="1" t="s">
        <v>512</v>
      </c>
      <c r="M1725" s="1" t="s">
        <v>512</v>
      </c>
      <c r="N1725" s="1" t="s">
        <v>512</v>
      </c>
      <c r="O1725" s="1" t="s">
        <v>512</v>
      </c>
      <c r="Q1725" s="1" t="s">
        <v>512</v>
      </c>
    </row>
    <row r="1726" spans="4:17" x14ac:dyDescent="0.25">
      <c r="D1726" s="1" t="s">
        <v>512</v>
      </c>
      <c r="E1726" s="21" t="s">
        <v>512</v>
      </c>
      <c r="F1726" s="1" t="s">
        <v>512</v>
      </c>
      <c r="G1726" s="1" t="s">
        <v>512</v>
      </c>
      <c r="H1726" s="1" t="s">
        <v>512</v>
      </c>
      <c r="I1726" s="1" t="s">
        <v>512</v>
      </c>
      <c r="J1726" s="1" t="s">
        <v>512</v>
      </c>
      <c r="K1726" s="1" t="s">
        <v>512</v>
      </c>
      <c r="L1726" s="1" t="s">
        <v>512</v>
      </c>
      <c r="M1726" s="1" t="s">
        <v>512</v>
      </c>
      <c r="N1726" s="1" t="s">
        <v>512</v>
      </c>
      <c r="O1726" s="1" t="s">
        <v>512</v>
      </c>
      <c r="Q1726" s="1" t="s">
        <v>512</v>
      </c>
    </row>
    <row r="1727" spans="4:17" x14ac:dyDescent="0.25">
      <c r="D1727" s="1" t="s">
        <v>512</v>
      </c>
      <c r="E1727" s="21" t="s">
        <v>512</v>
      </c>
      <c r="F1727" s="1" t="s">
        <v>512</v>
      </c>
      <c r="G1727" s="1" t="s">
        <v>512</v>
      </c>
      <c r="H1727" s="1" t="s">
        <v>512</v>
      </c>
      <c r="I1727" s="1" t="s">
        <v>512</v>
      </c>
      <c r="J1727" s="1" t="s">
        <v>512</v>
      </c>
      <c r="K1727" s="1" t="s">
        <v>512</v>
      </c>
      <c r="L1727" s="1" t="s">
        <v>512</v>
      </c>
      <c r="M1727" s="1" t="s">
        <v>512</v>
      </c>
      <c r="N1727" s="1" t="s">
        <v>512</v>
      </c>
      <c r="O1727" s="1" t="s">
        <v>512</v>
      </c>
      <c r="Q1727" s="1" t="s">
        <v>512</v>
      </c>
    </row>
    <row r="1728" spans="4:17" x14ac:dyDescent="0.25">
      <c r="D1728" s="1" t="s">
        <v>512</v>
      </c>
      <c r="E1728" s="21" t="s">
        <v>512</v>
      </c>
      <c r="F1728" s="1" t="s">
        <v>512</v>
      </c>
      <c r="G1728" s="1" t="s">
        <v>512</v>
      </c>
      <c r="H1728" s="1" t="s">
        <v>512</v>
      </c>
      <c r="I1728" s="1" t="s">
        <v>512</v>
      </c>
      <c r="J1728" s="1" t="s">
        <v>512</v>
      </c>
      <c r="K1728" s="1" t="s">
        <v>512</v>
      </c>
      <c r="L1728" s="1" t="s">
        <v>512</v>
      </c>
      <c r="M1728" s="1" t="s">
        <v>512</v>
      </c>
      <c r="N1728" s="1" t="s">
        <v>512</v>
      </c>
      <c r="O1728" s="1" t="s">
        <v>512</v>
      </c>
      <c r="Q1728" s="1" t="s">
        <v>512</v>
      </c>
    </row>
    <row r="1729" spans="4:17" x14ac:dyDescent="0.25">
      <c r="D1729" s="1" t="s">
        <v>512</v>
      </c>
      <c r="E1729" s="21" t="s">
        <v>512</v>
      </c>
      <c r="F1729" s="1" t="s">
        <v>512</v>
      </c>
      <c r="G1729" s="1" t="s">
        <v>512</v>
      </c>
      <c r="H1729" s="1" t="s">
        <v>512</v>
      </c>
      <c r="I1729" s="1" t="s">
        <v>512</v>
      </c>
      <c r="J1729" s="1" t="s">
        <v>512</v>
      </c>
      <c r="K1729" s="1" t="s">
        <v>512</v>
      </c>
      <c r="L1729" s="1" t="s">
        <v>512</v>
      </c>
      <c r="M1729" s="1" t="s">
        <v>512</v>
      </c>
      <c r="N1729" s="1" t="s">
        <v>512</v>
      </c>
      <c r="O1729" s="1" t="s">
        <v>512</v>
      </c>
      <c r="Q1729" s="1" t="s">
        <v>512</v>
      </c>
    </row>
    <row r="1730" spans="4:17" x14ac:dyDescent="0.25">
      <c r="D1730" s="1" t="s">
        <v>512</v>
      </c>
      <c r="E1730" s="21" t="s">
        <v>512</v>
      </c>
      <c r="F1730" s="1" t="s">
        <v>512</v>
      </c>
      <c r="G1730" s="1" t="s">
        <v>512</v>
      </c>
      <c r="H1730" s="1" t="s">
        <v>512</v>
      </c>
      <c r="I1730" s="1" t="s">
        <v>512</v>
      </c>
      <c r="J1730" s="1" t="s">
        <v>512</v>
      </c>
      <c r="K1730" s="1" t="s">
        <v>512</v>
      </c>
      <c r="L1730" s="1" t="s">
        <v>512</v>
      </c>
      <c r="M1730" s="1" t="s">
        <v>512</v>
      </c>
      <c r="N1730" s="1" t="s">
        <v>512</v>
      </c>
      <c r="O1730" s="1" t="s">
        <v>512</v>
      </c>
      <c r="Q1730" s="1" t="s">
        <v>512</v>
      </c>
    </row>
    <row r="1731" spans="4:17" x14ac:dyDescent="0.25">
      <c r="D1731" s="1" t="s">
        <v>512</v>
      </c>
      <c r="E1731" s="21" t="s">
        <v>512</v>
      </c>
      <c r="F1731" s="1" t="s">
        <v>512</v>
      </c>
      <c r="G1731" s="1" t="s">
        <v>512</v>
      </c>
      <c r="H1731" s="1" t="s">
        <v>512</v>
      </c>
      <c r="I1731" s="1" t="s">
        <v>512</v>
      </c>
      <c r="J1731" s="1" t="s">
        <v>512</v>
      </c>
      <c r="K1731" s="1" t="s">
        <v>512</v>
      </c>
      <c r="L1731" s="1" t="s">
        <v>512</v>
      </c>
      <c r="M1731" s="1" t="s">
        <v>512</v>
      </c>
      <c r="N1731" s="1" t="s">
        <v>512</v>
      </c>
      <c r="O1731" s="1" t="s">
        <v>512</v>
      </c>
      <c r="Q1731" s="1" t="s">
        <v>512</v>
      </c>
    </row>
    <row r="1732" spans="4:17" x14ac:dyDescent="0.25">
      <c r="D1732" s="1" t="s">
        <v>512</v>
      </c>
      <c r="E1732" s="21" t="s">
        <v>512</v>
      </c>
      <c r="F1732" s="1" t="s">
        <v>512</v>
      </c>
      <c r="G1732" s="1" t="s">
        <v>512</v>
      </c>
      <c r="H1732" s="1" t="s">
        <v>512</v>
      </c>
      <c r="I1732" s="1" t="s">
        <v>512</v>
      </c>
      <c r="J1732" s="1" t="s">
        <v>512</v>
      </c>
      <c r="K1732" s="1" t="s">
        <v>512</v>
      </c>
      <c r="L1732" s="1" t="s">
        <v>512</v>
      </c>
      <c r="M1732" s="1" t="s">
        <v>512</v>
      </c>
      <c r="N1732" s="1" t="s">
        <v>512</v>
      </c>
      <c r="O1732" s="1" t="s">
        <v>512</v>
      </c>
      <c r="Q1732" s="1" t="s">
        <v>512</v>
      </c>
    </row>
    <row r="1733" spans="4:17" x14ac:dyDescent="0.25">
      <c r="D1733" s="1" t="s">
        <v>512</v>
      </c>
      <c r="E1733" s="21" t="s">
        <v>512</v>
      </c>
      <c r="F1733" s="1" t="s">
        <v>512</v>
      </c>
      <c r="G1733" s="1" t="s">
        <v>512</v>
      </c>
      <c r="H1733" s="1" t="s">
        <v>512</v>
      </c>
      <c r="I1733" s="1" t="s">
        <v>512</v>
      </c>
      <c r="J1733" s="1" t="s">
        <v>512</v>
      </c>
      <c r="K1733" s="1" t="s">
        <v>512</v>
      </c>
      <c r="L1733" s="1" t="s">
        <v>512</v>
      </c>
      <c r="M1733" s="1" t="s">
        <v>512</v>
      </c>
      <c r="N1733" s="1" t="s">
        <v>512</v>
      </c>
      <c r="O1733" s="1" t="s">
        <v>512</v>
      </c>
      <c r="Q1733" s="1" t="s">
        <v>512</v>
      </c>
    </row>
    <row r="1734" spans="4:17" x14ac:dyDescent="0.25">
      <c r="D1734" s="1" t="s">
        <v>512</v>
      </c>
      <c r="E1734" s="21" t="s">
        <v>512</v>
      </c>
      <c r="F1734" s="1" t="s">
        <v>512</v>
      </c>
      <c r="G1734" s="1" t="s">
        <v>512</v>
      </c>
      <c r="H1734" s="1" t="s">
        <v>512</v>
      </c>
      <c r="I1734" s="1" t="s">
        <v>512</v>
      </c>
      <c r="J1734" s="1" t="s">
        <v>512</v>
      </c>
      <c r="K1734" s="1" t="s">
        <v>512</v>
      </c>
      <c r="L1734" s="1" t="s">
        <v>512</v>
      </c>
      <c r="M1734" s="1" t="s">
        <v>512</v>
      </c>
      <c r="N1734" s="1" t="s">
        <v>512</v>
      </c>
      <c r="O1734" s="1" t="s">
        <v>512</v>
      </c>
      <c r="Q1734" s="1" t="s">
        <v>512</v>
      </c>
    </row>
    <row r="1735" spans="4:17" x14ac:dyDescent="0.25">
      <c r="D1735" s="1" t="s">
        <v>512</v>
      </c>
      <c r="E1735" s="21" t="s">
        <v>512</v>
      </c>
      <c r="F1735" s="1" t="s">
        <v>512</v>
      </c>
      <c r="G1735" s="1" t="s">
        <v>512</v>
      </c>
      <c r="H1735" s="1" t="s">
        <v>512</v>
      </c>
      <c r="I1735" s="1" t="s">
        <v>512</v>
      </c>
      <c r="J1735" s="1" t="s">
        <v>512</v>
      </c>
      <c r="K1735" s="1" t="s">
        <v>512</v>
      </c>
      <c r="L1735" s="1" t="s">
        <v>512</v>
      </c>
      <c r="M1735" s="1" t="s">
        <v>512</v>
      </c>
      <c r="N1735" s="1" t="s">
        <v>512</v>
      </c>
      <c r="O1735" s="1" t="s">
        <v>512</v>
      </c>
      <c r="Q1735" s="1" t="s">
        <v>512</v>
      </c>
    </row>
    <row r="1736" spans="4:17" x14ac:dyDescent="0.25">
      <c r="D1736" s="1" t="s">
        <v>512</v>
      </c>
      <c r="E1736" s="21" t="s">
        <v>512</v>
      </c>
      <c r="F1736" s="1" t="s">
        <v>512</v>
      </c>
      <c r="G1736" s="1" t="s">
        <v>512</v>
      </c>
      <c r="H1736" s="1" t="s">
        <v>512</v>
      </c>
      <c r="I1736" s="1" t="s">
        <v>512</v>
      </c>
      <c r="J1736" s="1" t="s">
        <v>512</v>
      </c>
      <c r="K1736" s="1" t="s">
        <v>512</v>
      </c>
      <c r="L1736" s="1" t="s">
        <v>512</v>
      </c>
      <c r="M1736" s="1" t="s">
        <v>512</v>
      </c>
      <c r="N1736" s="1" t="s">
        <v>512</v>
      </c>
      <c r="O1736" s="1" t="s">
        <v>512</v>
      </c>
      <c r="Q1736" s="1" t="s">
        <v>512</v>
      </c>
    </row>
    <row r="1737" spans="4:17" x14ac:dyDescent="0.25">
      <c r="D1737" s="1" t="s">
        <v>512</v>
      </c>
      <c r="E1737" s="21" t="s">
        <v>512</v>
      </c>
      <c r="F1737" s="1" t="s">
        <v>512</v>
      </c>
      <c r="G1737" s="1" t="s">
        <v>512</v>
      </c>
      <c r="H1737" s="1" t="s">
        <v>512</v>
      </c>
      <c r="I1737" s="1" t="s">
        <v>512</v>
      </c>
      <c r="J1737" s="1" t="s">
        <v>512</v>
      </c>
      <c r="K1737" s="1" t="s">
        <v>512</v>
      </c>
      <c r="L1737" s="1" t="s">
        <v>512</v>
      </c>
      <c r="M1737" s="1" t="s">
        <v>512</v>
      </c>
      <c r="N1737" s="1" t="s">
        <v>512</v>
      </c>
      <c r="O1737" s="1" t="s">
        <v>512</v>
      </c>
      <c r="Q1737" s="1" t="s">
        <v>512</v>
      </c>
    </row>
    <row r="1738" spans="4:17" x14ac:dyDescent="0.25">
      <c r="D1738" s="1" t="s">
        <v>512</v>
      </c>
      <c r="E1738" s="21" t="s">
        <v>512</v>
      </c>
      <c r="F1738" s="1" t="s">
        <v>512</v>
      </c>
      <c r="G1738" s="1" t="s">
        <v>512</v>
      </c>
      <c r="H1738" s="1" t="s">
        <v>512</v>
      </c>
      <c r="I1738" s="1" t="s">
        <v>512</v>
      </c>
      <c r="J1738" s="1" t="s">
        <v>512</v>
      </c>
      <c r="K1738" s="1" t="s">
        <v>512</v>
      </c>
      <c r="L1738" s="1" t="s">
        <v>512</v>
      </c>
      <c r="M1738" s="1" t="s">
        <v>512</v>
      </c>
      <c r="N1738" s="1" t="s">
        <v>512</v>
      </c>
      <c r="O1738" s="1" t="s">
        <v>512</v>
      </c>
      <c r="Q1738" s="1" t="s">
        <v>512</v>
      </c>
    </row>
    <row r="1739" spans="4:17" x14ac:dyDescent="0.25">
      <c r="D1739" s="1" t="s">
        <v>512</v>
      </c>
      <c r="E1739" s="21" t="s">
        <v>512</v>
      </c>
      <c r="F1739" s="1" t="s">
        <v>512</v>
      </c>
      <c r="G1739" s="1" t="s">
        <v>512</v>
      </c>
      <c r="H1739" s="1" t="s">
        <v>512</v>
      </c>
      <c r="I1739" s="1" t="s">
        <v>512</v>
      </c>
      <c r="J1739" s="1" t="s">
        <v>512</v>
      </c>
      <c r="K1739" s="1" t="s">
        <v>512</v>
      </c>
      <c r="L1739" s="1" t="s">
        <v>512</v>
      </c>
      <c r="M1739" s="1" t="s">
        <v>512</v>
      </c>
      <c r="N1739" s="1" t="s">
        <v>512</v>
      </c>
      <c r="O1739" s="1" t="s">
        <v>512</v>
      </c>
      <c r="Q1739" s="1" t="s">
        <v>512</v>
      </c>
    </row>
    <row r="1740" spans="4:17" x14ac:dyDescent="0.25">
      <c r="D1740" s="1" t="s">
        <v>512</v>
      </c>
      <c r="E1740" s="21" t="s">
        <v>512</v>
      </c>
      <c r="F1740" s="1" t="s">
        <v>512</v>
      </c>
      <c r="G1740" s="1" t="s">
        <v>512</v>
      </c>
      <c r="H1740" s="1" t="s">
        <v>512</v>
      </c>
      <c r="I1740" s="1" t="s">
        <v>512</v>
      </c>
      <c r="J1740" s="1" t="s">
        <v>512</v>
      </c>
      <c r="K1740" s="1" t="s">
        <v>512</v>
      </c>
      <c r="L1740" s="1" t="s">
        <v>512</v>
      </c>
      <c r="M1740" s="1" t="s">
        <v>512</v>
      </c>
      <c r="N1740" s="1" t="s">
        <v>512</v>
      </c>
      <c r="O1740" s="1" t="s">
        <v>512</v>
      </c>
      <c r="Q1740" s="1" t="s">
        <v>512</v>
      </c>
    </row>
    <row r="1741" spans="4:17" x14ac:dyDescent="0.25">
      <c r="D1741" s="1" t="s">
        <v>512</v>
      </c>
      <c r="E1741" s="21" t="s">
        <v>512</v>
      </c>
      <c r="F1741" s="1" t="s">
        <v>512</v>
      </c>
      <c r="G1741" s="1" t="s">
        <v>512</v>
      </c>
      <c r="H1741" s="1" t="s">
        <v>512</v>
      </c>
      <c r="I1741" s="1" t="s">
        <v>512</v>
      </c>
      <c r="J1741" s="1" t="s">
        <v>512</v>
      </c>
      <c r="K1741" s="1" t="s">
        <v>512</v>
      </c>
      <c r="L1741" s="1" t="s">
        <v>512</v>
      </c>
      <c r="M1741" s="1" t="s">
        <v>512</v>
      </c>
      <c r="N1741" s="1" t="s">
        <v>512</v>
      </c>
      <c r="O1741" s="1" t="s">
        <v>512</v>
      </c>
      <c r="Q1741" s="1" t="s">
        <v>512</v>
      </c>
    </row>
    <row r="1742" spans="4:17" x14ac:dyDescent="0.25">
      <c r="D1742" s="1" t="s">
        <v>512</v>
      </c>
      <c r="E1742" s="21" t="s">
        <v>512</v>
      </c>
      <c r="F1742" s="1" t="s">
        <v>512</v>
      </c>
      <c r="G1742" s="1" t="s">
        <v>512</v>
      </c>
      <c r="H1742" s="1" t="s">
        <v>512</v>
      </c>
      <c r="I1742" s="1" t="s">
        <v>512</v>
      </c>
      <c r="J1742" s="1" t="s">
        <v>512</v>
      </c>
      <c r="K1742" s="1" t="s">
        <v>512</v>
      </c>
      <c r="L1742" s="1" t="s">
        <v>512</v>
      </c>
      <c r="M1742" s="1" t="s">
        <v>512</v>
      </c>
      <c r="N1742" s="1" t="s">
        <v>512</v>
      </c>
      <c r="O1742" s="1" t="s">
        <v>512</v>
      </c>
      <c r="Q1742" s="1" t="s">
        <v>512</v>
      </c>
    </row>
    <row r="1743" spans="4:17" x14ac:dyDescent="0.25">
      <c r="D1743" s="1" t="s">
        <v>512</v>
      </c>
      <c r="E1743" s="21" t="s">
        <v>512</v>
      </c>
      <c r="F1743" s="1" t="s">
        <v>512</v>
      </c>
      <c r="G1743" s="1" t="s">
        <v>512</v>
      </c>
      <c r="H1743" s="1" t="s">
        <v>512</v>
      </c>
      <c r="I1743" s="1" t="s">
        <v>512</v>
      </c>
      <c r="J1743" s="1" t="s">
        <v>512</v>
      </c>
      <c r="K1743" s="1" t="s">
        <v>512</v>
      </c>
      <c r="L1743" s="1" t="s">
        <v>512</v>
      </c>
      <c r="M1743" s="1" t="s">
        <v>512</v>
      </c>
      <c r="N1743" s="1" t="s">
        <v>512</v>
      </c>
      <c r="O1743" s="1" t="s">
        <v>512</v>
      </c>
      <c r="Q1743" s="1" t="s">
        <v>512</v>
      </c>
    </row>
    <row r="1744" spans="4:17" x14ac:dyDescent="0.25">
      <c r="D1744" s="1" t="s">
        <v>512</v>
      </c>
      <c r="E1744" s="21" t="s">
        <v>512</v>
      </c>
      <c r="F1744" s="1" t="s">
        <v>512</v>
      </c>
      <c r="G1744" s="1" t="s">
        <v>512</v>
      </c>
      <c r="H1744" s="1" t="s">
        <v>512</v>
      </c>
      <c r="I1744" s="1" t="s">
        <v>512</v>
      </c>
      <c r="J1744" s="1" t="s">
        <v>512</v>
      </c>
      <c r="K1744" s="1" t="s">
        <v>512</v>
      </c>
      <c r="L1744" s="1" t="s">
        <v>512</v>
      </c>
      <c r="M1744" s="1" t="s">
        <v>512</v>
      </c>
      <c r="N1744" s="1" t="s">
        <v>512</v>
      </c>
      <c r="O1744" s="1" t="s">
        <v>512</v>
      </c>
      <c r="Q1744" s="1" t="s">
        <v>512</v>
      </c>
    </row>
    <row r="1745" spans="4:17" x14ac:dyDescent="0.25">
      <c r="D1745" s="1" t="s">
        <v>512</v>
      </c>
      <c r="E1745" s="21" t="s">
        <v>512</v>
      </c>
      <c r="F1745" s="1" t="s">
        <v>512</v>
      </c>
      <c r="G1745" s="1" t="s">
        <v>512</v>
      </c>
      <c r="H1745" s="1" t="s">
        <v>512</v>
      </c>
      <c r="I1745" s="1" t="s">
        <v>512</v>
      </c>
      <c r="J1745" s="1" t="s">
        <v>512</v>
      </c>
      <c r="K1745" s="1" t="s">
        <v>512</v>
      </c>
      <c r="L1745" s="1" t="s">
        <v>512</v>
      </c>
      <c r="M1745" s="1" t="s">
        <v>512</v>
      </c>
      <c r="N1745" s="1" t="s">
        <v>512</v>
      </c>
      <c r="O1745" s="1" t="s">
        <v>512</v>
      </c>
      <c r="Q1745" s="1" t="s">
        <v>512</v>
      </c>
    </row>
    <row r="1746" spans="4:17" x14ac:dyDescent="0.25">
      <c r="D1746" s="1" t="s">
        <v>512</v>
      </c>
      <c r="E1746" s="21" t="s">
        <v>512</v>
      </c>
      <c r="F1746" s="1" t="s">
        <v>512</v>
      </c>
      <c r="G1746" s="1" t="s">
        <v>512</v>
      </c>
      <c r="H1746" s="1" t="s">
        <v>512</v>
      </c>
      <c r="I1746" s="1" t="s">
        <v>512</v>
      </c>
      <c r="J1746" s="1" t="s">
        <v>512</v>
      </c>
      <c r="K1746" s="1" t="s">
        <v>512</v>
      </c>
      <c r="L1746" s="1" t="s">
        <v>512</v>
      </c>
      <c r="M1746" s="1" t="s">
        <v>512</v>
      </c>
      <c r="N1746" s="1" t="s">
        <v>512</v>
      </c>
      <c r="O1746" s="1" t="s">
        <v>512</v>
      </c>
      <c r="Q1746" s="1" t="s">
        <v>512</v>
      </c>
    </row>
    <row r="1747" spans="4:17" x14ac:dyDescent="0.25">
      <c r="D1747" s="1" t="s">
        <v>512</v>
      </c>
      <c r="E1747" s="21" t="s">
        <v>512</v>
      </c>
      <c r="F1747" s="1" t="s">
        <v>512</v>
      </c>
      <c r="G1747" s="1" t="s">
        <v>512</v>
      </c>
      <c r="H1747" s="1" t="s">
        <v>512</v>
      </c>
      <c r="I1747" s="1" t="s">
        <v>512</v>
      </c>
      <c r="J1747" s="1" t="s">
        <v>512</v>
      </c>
      <c r="K1747" s="1" t="s">
        <v>512</v>
      </c>
      <c r="L1747" s="1" t="s">
        <v>512</v>
      </c>
      <c r="M1747" s="1" t="s">
        <v>512</v>
      </c>
      <c r="N1747" s="1" t="s">
        <v>512</v>
      </c>
      <c r="O1747" s="1" t="s">
        <v>512</v>
      </c>
      <c r="Q1747" s="1" t="s">
        <v>512</v>
      </c>
    </row>
    <row r="1748" spans="4:17" x14ac:dyDescent="0.25">
      <c r="D1748" s="1" t="s">
        <v>512</v>
      </c>
      <c r="E1748" s="21" t="s">
        <v>512</v>
      </c>
      <c r="F1748" s="1" t="s">
        <v>512</v>
      </c>
      <c r="G1748" s="1" t="s">
        <v>512</v>
      </c>
      <c r="H1748" s="1" t="s">
        <v>512</v>
      </c>
      <c r="I1748" s="1" t="s">
        <v>512</v>
      </c>
      <c r="J1748" s="1" t="s">
        <v>512</v>
      </c>
      <c r="K1748" s="1" t="s">
        <v>512</v>
      </c>
      <c r="L1748" s="1" t="s">
        <v>512</v>
      </c>
      <c r="M1748" s="1" t="s">
        <v>512</v>
      </c>
      <c r="N1748" s="1" t="s">
        <v>512</v>
      </c>
      <c r="O1748" s="1" t="s">
        <v>512</v>
      </c>
      <c r="Q1748" s="1" t="s">
        <v>512</v>
      </c>
    </row>
    <row r="1749" spans="4:17" x14ac:dyDescent="0.25">
      <c r="D1749" s="1" t="s">
        <v>512</v>
      </c>
      <c r="E1749" s="21" t="s">
        <v>512</v>
      </c>
      <c r="F1749" s="1" t="s">
        <v>512</v>
      </c>
      <c r="G1749" s="1" t="s">
        <v>512</v>
      </c>
      <c r="H1749" s="1" t="s">
        <v>512</v>
      </c>
      <c r="I1749" s="1" t="s">
        <v>512</v>
      </c>
      <c r="J1749" s="1" t="s">
        <v>512</v>
      </c>
      <c r="K1749" s="1" t="s">
        <v>512</v>
      </c>
      <c r="L1749" s="1" t="s">
        <v>512</v>
      </c>
      <c r="M1749" s="1" t="s">
        <v>512</v>
      </c>
      <c r="N1749" s="1" t="s">
        <v>512</v>
      </c>
      <c r="O1749" s="1" t="s">
        <v>512</v>
      </c>
      <c r="Q1749" s="1" t="s">
        <v>512</v>
      </c>
    </row>
    <row r="1750" spans="4:17" x14ac:dyDescent="0.25">
      <c r="D1750" s="1" t="s">
        <v>512</v>
      </c>
      <c r="E1750" s="21" t="s">
        <v>512</v>
      </c>
      <c r="F1750" s="1" t="s">
        <v>512</v>
      </c>
      <c r="G1750" s="1" t="s">
        <v>512</v>
      </c>
      <c r="H1750" s="1" t="s">
        <v>512</v>
      </c>
      <c r="I1750" s="1" t="s">
        <v>512</v>
      </c>
      <c r="J1750" s="1" t="s">
        <v>512</v>
      </c>
      <c r="K1750" s="1" t="s">
        <v>512</v>
      </c>
      <c r="L1750" s="1" t="s">
        <v>512</v>
      </c>
      <c r="M1750" s="1" t="s">
        <v>512</v>
      </c>
      <c r="N1750" s="1" t="s">
        <v>512</v>
      </c>
      <c r="O1750" s="1" t="s">
        <v>512</v>
      </c>
      <c r="Q1750" s="1" t="s">
        <v>512</v>
      </c>
    </row>
    <row r="1751" spans="4:17" x14ac:dyDescent="0.25">
      <c r="D1751" s="1" t="s">
        <v>512</v>
      </c>
      <c r="E1751" s="21" t="s">
        <v>512</v>
      </c>
      <c r="F1751" s="1" t="s">
        <v>512</v>
      </c>
      <c r="G1751" s="1" t="s">
        <v>512</v>
      </c>
      <c r="H1751" s="1" t="s">
        <v>512</v>
      </c>
      <c r="I1751" s="1" t="s">
        <v>512</v>
      </c>
      <c r="J1751" s="1" t="s">
        <v>512</v>
      </c>
      <c r="K1751" s="1" t="s">
        <v>512</v>
      </c>
      <c r="L1751" s="1" t="s">
        <v>512</v>
      </c>
      <c r="M1751" s="1" t="s">
        <v>512</v>
      </c>
      <c r="N1751" s="1" t="s">
        <v>512</v>
      </c>
      <c r="O1751" s="1" t="s">
        <v>512</v>
      </c>
      <c r="Q1751" s="1" t="s">
        <v>512</v>
      </c>
    </row>
    <row r="1752" spans="4:17" x14ac:dyDescent="0.25">
      <c r="D1752" s="1" t="s">
        <v>512</v>
      </c>
      <c r="E1752" s="21" t="s">
        <v>512</v>
      </c>
      <c r="F1752" s="1" t="s">
        <v>512</v>
      </c>
      <c r="G1752" s="1" t="s">
        <v>512</v>
      </c>
      <c r="H1752" s="1" t="s">
        <v>512</v>
      </c>
      <c r="I1752" s="1" t="s">
        <v>512</v>
      </c>
      <c r="J1752" s="1" t="s">
        <v>512</v>
      </c>
      <c r="K1752" s="1" t="s">
        <v>512</v>
      </c>
      <c r="L1752" s="1" t="s">
        <v>512</v>
      </c>
      <c r="M1752" s="1" t="s">
        <v>512</v>
      </c>
      <c r="N1752" s="1" t="s">
        <v>512</v>
      </c>
      <c r="O1752" s="1" t="s">
        <v>512</v>
      </c>
      <c r="Q1752" s="1" t="s">
        <v>512</v>
      </c>
    </row>
    <row r="1753" spans="4:17" x14ac:dyDescent="0.25">
      <c r="D1753" s="1" t="s">
        <v>512</v>
      </c>
      <c r="E1753" s="21" t="s">
        <v>512</v>
      </c>
      <c r="F1753" s="1" t="s">
        <v>512</v>
      </c>
      <c r="G1753" s="1" t="s">
        <v>512</v>
      </c>
      <c r="H1753" s="1" t="s">
        <v>512</v>
      </c>
      <c r="I1753" s="1" t="s">
        <v>512</v>
      </c>
      <c r="J1753" s="1" t="s">
        <v>512</v>
      </c>
      <c r="K1753" s="1" t="s">
        <v>512</v>
      </c>
      <c r="L1753" s="1" t="s">
        <v>512</v>
      </c>
      <c r="M1753" s="1" t="s">
        <v>512</v>
      </c>
      <c r="N1753" s="1" t="s">
        <v>512</v>
      </c>
      <c r="O1753" s="1" t="s">
        <v>512</v>
      </c>
      <c r="Q1753" s="1" t="s">
        <v>512</v>
      </c>
    </row>
    <row r="1754" spans="4:17" x14ac:dyDescent="0.25">
      <c r="D1754" s="1" t="s">
        <v>512</v>
      </c>
      <c r="E1754" s="21" t="s">
        <v>512</v>
      </c>
      <c r="F1754" s="1" t="s">
        <v>512</v>
      </c>
      <c r="G1754" s="1" t="s">
        <v>512</v>
      </c>
      <c r="H1754" s="1" t="s">
        <v>512</v>
      </c>
      <c r="I1754" s="1" t="s">
        <v>512</v>
      </c>
      <c r="J1754" s="1" t="s">
        <v>512</v>
      </c>
      <c r="K1754" s="1" t="s">
        <v>512</v>
      </c>
      <c r="L1754" s="1" t="s">
        <v>512</v>
      </c>
      <c r="M1754" s="1" t="s">
        <v>512</v>
      </c>
      <c r="N1754" s="1" t="s">
        <v>512</v>
      </c>
      <c r="O1754" s="1" t="s">
        <v>512</v>
      </c>
      <c r="Q1754" s="1" t="s">
        <v>512</v>
      </c>
    </row>
    <row r="1755" spans="4:17" x14ac:dyDescent="0.25">
      <c r="D1755" s="1" t="s">
        <v>512</v>
      </c>
      <c r="E1755" s="21" t="s">
        <v>512</v>
      </c>
      <c r="F1755" s="1" t="s">
        <v>512</v>
      </c>
      <c r="G1755" s="1" t="s">
        <v>512</v>
      </c>
      <c r="H1755" s="1" t="s">
        <v>512</v>
      </c>
      <c r="I1755" s="1" t="s">
        <v>512</v>
      </c>
      <c r="J1755" s="1" t="s">
        <v>512</v>
      </c>
      <c r="K1755" s="1" t="s">
        <v>512</v>
      </c>
      <c r="L1755" s="1" t="s">
        <v>512</v>
      </c>
      <c r="M1755" s="1" t="s">
        <v>512</v>
      </c>
      <c r="N1755" s="1" t="s">
        <v>512</v>
      </c>
      <c r="O1755" s="1" t="s">
        <v>512</v>
      </c>
      <c r="Q1755" s="1" t="s">
        <v>512</v>
      </c>
    </row>
    <row r="1756" spans="4:17" x14ac:dyDescent="0.25">
      <c r="D1756" s="1" t="s">
        <v>512</v>
      </c>
      <c r="E1756" s="21" t="s">
        <v>512</v>
      </c>
      <c r="F1756" s="1" t="s">
        <v>512</v>
      </c>
      <c r="G1756" s="1" t="s">
        <v>512</v>
      </c>
      <c r="H1756" s="1" t="s">
        <v>512</v>
      </c>
      <c r="I1756" s="1" t="s">
        <v>512</v>
      </c>
      <c r="J1756" s="1" t="s">
        <v>512</v>
      </c>
      <c r="K1756" s="1" t="s">
        <v>512</v>
      </c>
      <c r="L1756" s="1" t="s">
        <v>512</v>
      </c>
      <c r="M1756" s="1" t="s">
        <v>512</v>
      </c>
      <c r="N1756" s="1" t="s">
        <v>512</v>
      </c>
      <c r="O1756" s="1" t="s">
        <v>512</v>
      </c>
      <c r="Q1756" s="1" t="s">
        <v>512</v>
      </c>
    </row>
    <row r="1757" spans="4:17" x14ac:dyDescent="0.25">
      <c r="D1757" s="1" t="s">
        <v>512</v>
      </c>
      <c r="E1757" s="21" t="s">
        <v>512</v>
      </c>
      <c r="F1757" s="1" t="s">
        <v>512</v>
      </c>
      <c r="G1757" s="1" t="s">
        <v>512</v>
      </c>
      <c r="H1757" s="1" t="s">
        <v>512</v>
      </c>
      <c r="I1757" s="1" t="s">
        <v>512</v>
      </c>
      <c r="J1757" s="1" t="s">
        <v>512</v>
      </c>
      <c r="K1757" s="1" t="s">
        <v>512</v>
      </c>
      <c r="L1757" s="1" t="s">
        <v>512</v>
      </c>
      <c r="M1757" s="1" t="s">
        <v>512</v>
      </c>
      <c r="N1757" s="1" t="s">
        <v>512</v>
      </c>
      <c r="O1757" s="1" t="s">
        <v>512</v>
      </c>
      <c r="Q1757" s="1" t="s">
        <v>512</v>
      </c>
    </row>
    <row r="1758" spans="4:17" x14ac:dyDescent="0.25">
      <c r="D1758" s="1" t="s">
        <v>512</v>
      </c>
      <c r="E1758" s="21" t="s">
        <v>512</v>
      </c>
      <c r="F1758" s="1" t="s">
        <v>512</v>
      </c>
      <c r="G1758" s="1" t="s">
        <v>512</v>
      </c>
      <c r="H1758" s="1" t="s">
        <v>512</v>
      </c>
      <c r="I1758" s="1" t="s">
        <v>512</v>
      </c>
      <c r="J1758" s="1" t="s">
        <v>512</v>
      </c>
      <c r="K1758" s="1" t="s">
        <v>512</v>
      </c>
      <c r="L1758" s="1" t="s">
        <v>512</v>
      </c>
      <c r="M1758" s="1" t="s">
        <v>512</v>
      </c>
      <c r="N1758" s="1" t="s">
        <v>512</v>
      </c>
      <c r="O1758" s="1" t="s">
        <v>512</v>
      </c>
      <c r="Q1758" s="1" t="s">
        <v>512</v>
      </c>
    </row>
    <row r="1759" spans="4:17" x14ac:dyDescent="0.25">
      <c r="D1759" s="1" t="s">
        <v>512</v>
      </c>
      <c r="E1759" s="21" t="s">
        <v>512</v>
      </c>
      <c r="F1759" s="1" t="s">
        <v>512</v>
      </c>
      <c r="G1759" s="1" t="s">
        <v>512</v>
      </c>
      <c r="H1759" s="1" t="s">
        <v>512</v>
      </c>
      <c r="I1759" s="1" t="s">
        <v>512</v>
      </c>
      <c r="J1759" s="1" t="s">
        <v>512</v>
      </c>
      <c r="K1759" s="1" t="s">
        <v>512</v>
      </c>
      <c r="L1759" s="1" t="s">
        <v>512</v>
      </c>
      <c r="M1759" s="1" t="s">
        <v>512</v>
      </c>
      <c r="N1759" s="1" t="s">
        <v>512</v>
      </c>
      <c r="O1759" s="1" t="s">
        <v>512</v>
      </c>
      <c r="Q1759" s="1" t="s">
        <v>512</v>
      </c>
    </row>
    <row r="1760" spans="4:17" x14ac:dyDescent="0.25">
      <c r="D1760" s="1" t="s">
        <v>512</v>
      </c>
      <c r="E1760" s="21" t="s">
        <v>512</v>
      </c>
      <c r="F1760" s="1" t="s">
        <v>512</v>
      </c>
      <c r="G1760" s="1" t="s">
        <v>512</v>
      </c>
      <c r="H1760" s="1" t="s">
        <v>512</v>
      </c>
      <c r="I1760" s="1" t="s">
        <v>512</v>
      </c>
      <c r="J1760" s="1" t="s">
        <v>512</v>
      </c>
      <c r="K1760" s="1" t="s">
        <v>512</v>
      </c>
      <c r="L1760" s="1" t="s">
        <v>512</v>
      </c>
      <c r="M1760" s="1" t="s">
        <v>512</v>
      </c>
      <c r="N1760" s="1" t="s">
        <v>512</v>
      </c>
      <c r="O1760" s="1" t="s">
        <v>512</v>
      </c>
      <c r="Q1760" s="1" t="s">
        <v>512</v>
      </c>
    </row>
    <row r="1761" spans="4:17" x14ac:dyDescent="0.25">
      <c r="D1761" s="1" t="s">
        <v>512</v>
      </c>
      <c r="E1761" s="21" t="s">
        <v>512</v>
      </c>
      <c r="F1761" s="1" t="s">
        <v>512</v>
      </c>
      <c r="G1761" s="1" t="s">
        <v>512</v>
      </c>
      <c r="H1761" s="1" t="s">
        <v>512</v>
      </c>
      <c r="I1761" s="1" t="s">
        <v>512</v>
      </c>
      <c r="J1761" s="1" t="s">
        <v>512</v>
      </c>
      <c r="K1761" s="1" t="s">
        <v>512</v>
      </c>
      <c r="L1761" s="1" t="s">
        <v>512</v>
      </c>
      <c r="M1761" s="1" t="s">
        <v>512</v>
      </c>
      <c r="N1761" s="1" t="s">
        <v>512</v>
      </c>
      <c r="O1761" s="1" t="s">
        <v>512</v>
      </c>
      <c r="Q1761" s="1" t="s">
        <v>512</v>
      </c>
    </row>
    <row r="1762" spans="4:17" x14ac:dyDescent="0.25">
      <c r="D1762" s="1" t="s">
        <v>512</v>
      </c>
      <c r="E1762" s="21" t="s">
        <v>512</v>
      </c>
      <c r="F1762" s="1" t="s">
        <v>512</v>
      </c>
      <c r="G1762" s="1" t="s">
        <v>512</v>
      </c>
      <c r="H1762" s="1" t="s">
        <v>512</v>
      </c>
      <c r="I1762" s="1" t="s">
        <v>512</v>
      </c>
      <c r="J1762" s="1" t="s">
        <v>512</v>
      </c>
      <c r="K1762" s="1" t="s">
        <v>512</v>
      </c>
      <c r="L1762" s="1" t="s">
        <v>512</v>
      </c>
      <c r="M1762" s="1" t="s">
        <v>512</v>
      </c>
      <c r="N1762" s="1" t="s">
        <v>512</v>
      </c>
      <c r="O1762" s="1" t="s">
        <v>512</v>
      </c>
      <c r="Q1762" s="1" t="s">
        <v>512</v>
      </c>
    </row>
    <row r="1763" spans="4:17" x14ac:dyDescent="0.25">
      <c r="D1763" s="1" t="s">
        <v>512</v>
      </c>
      <c r="E1763" s="21" t="s">
        <v>512</v>
      </c>
      <c r="F1763" s="1" t="s">
        <v>512</v>
      </c>
      <c r="G1763" s="1" t="s">
        <v>512</v>
      </c>
      <c r="H1763" s="1" t="s">
        <v>512</v>
      </c>
      <c r="I1763" s="1" t="s">
        <v>512</v>
      </c>
      <c r="J1763" s="1" t="s">
        <v>512</v>
      </c>
      <c r="K1763" s="1" t="s">
        <v>512</v>
      </c>
      <c r="L1763" s="1" t="s">
        <v>512</v>
      </c>
      <c r="M1763" s="1" t="s">
        <v>512</v>
      </c>
      <c r="N1763" s="1" t="s">
        <v>512</v>
      </c>
      <c r="O1763" s="1" t="s">
        <v>512</v>
      </c>
      <c r="Q1763" s="1" t="s">
        <v>512</v>
      </c>
    </row>
    <row r="1764" spans="4:17" x14ac:dyDescent="0.25">
      <c r="D1764" s="1" t="s">
        <v>512</v>
      </c>
      <c r="E1764" s="21" t="s">
        <v>512</v>
      </c>
      <c r="F1764" s="1" t="s">
        <v>512</v>
      </c>
      <c r="G1764" s="1" t="s">
        <v>512</v>
      </c>
      <c r="H1764" s="1" t="s">
        <v>512</v>
      </c>
      <c r="I1764" s="1" t="s">
        <v>512</v>
      </c>
      <c r="J1764" s="1" t="s">
        <v>512</v>
      </c>
      <c r="K1764" s="1" t="s">
        <v>512</v>
      </c>
      <c r="L1764" s="1" t="s">
        <v>512</v>
      </c>
      <c r="M1764" s="1" t="s">
        <v>512</v>
      </c>
      <c r="N1764" s="1" t="s">
        <v>512</v>
      </c>
      <c r="O1764" s="1" t="s">
        <v>512</v>
      </c>
      <c r="Q1764" s="1" t="s">
        <v>512</v>
      </c>
    </row>
    <row r="1765" spans="4:17" x14ac:dyDescent="0.25">
      <c r="D1765" s="1" t="s">
        <v>512</v>
      </c>
      <c r="E1765" s="21" t="s">
        <v>512</v>
      </c>
      <c r="F1765" s="1" t="s">
        <v>512</v>
      </c>
      <c r="G1765" s="1" t="s">
        <v>512</v>
      </c>
      <c r="H1765" s="1" t="s">
        <v>512</v>
      </c>
      <c r="I1765" s="1" t="s">
        <v>512</v>
      </c>
      <c r="J1765" s="1" t="s">
        <v>512</v>
      </c>
      <c r="K1765" s="1" t="s">
        <v>512</v>
      </c>
      <c r="L1765" s="1" t="s">
        <v>512</v>
      </c>
      <c r="M1765" s="1" t="s">
        <v>512</v>
      </c>
      <c r="N1765" s="1" t="s">
        <v>512</v>
      </c>
      <c r="O1765" s="1" t="s">
        <v>512</v>
      </c>
      <c r="Q1765" s="1" t="s">
        <v>512</v>
      </c>
    </row>
    <row r="1766" spans="4:17" x14ac:dyDescent="0.25">
      <c r="D1766" s="1" t="s">
        <v>512</v>
      </c>
      <c r="E1766" s="21" t="s">
        <v>512</v>
      </c>
      <c r="F1766" s="1" t="s">
        <v>512</v>
      </c>
      <c r="G1766" s="1" t="s">
        <v>512</v>
      </c>
      <c r="H1766" s="1" t="s">
        <v>512</v>
      </c>
      <c r="I1766" s="1" t="s">
        <v>512</v>
      </c>
      <c r="J1766" s="1" t="s">
        <v>512</v>
      </c>
      <c r="K1766" s="1" t="s">
        <v>512</v>
      </c>
      <c r="L1766" s="1" t="s">
        <v>512</v>
      </c>
      <c r="M1766" s="1" t="s">
        <v>512</v>
      </c>
      <c r="N1766" s="1" t="s">
        <v>512</v>
      </c>
      <c r="O1766" s="1" t="s">
        <v>512</v>
      </c>
      <c r="Q1766" s="1" t="s">
        <v>512</v>
      </c>
    </row>
    <row r="1767" spans="4:17" x14ac:dyDescent="0.25">
      <c r="D1767" s="1" t="s">
        <v>512</v>
      </c>
      <c r="E1767" s="21" t="s">
        <v>512</v>
      </c>
      <c r="F1767" s="1" t="s">
        <v>512</v>
      </c>
      <c r="G1767" s="1" t="s">
        <v>512</v>
      </c>
      <c r="H1767" s="1" t="s">
        <v>512</v>
      </c>
      <c r="I1767" s="1" t="s">
        <v>512</v>
      </c>
      <c r="J1767" s="1" t="s">
        <v>512</v>
      </c>
      <c r="K1767" s="1" t="s">
        <v>512</v>
      </c>
      <c r="L1767" s="1" t="s">
        <v>512</v>
      </c>
      <c r="M1767" s="1" t="s">
        <v>512</v>
      </c>
      <c r="N1767" s="1" t="s">
        <v>512</v>
      </c>
      <c r="O1767" s="1" t="s">
        <v>512</v>
      </c>
      <c r="Q1767" s="1" t="s">
        <v>512</v>
      </c>
    </row>
    <row r="1768" spans="4:17" x14ac:dyDescent="0.25">
      <c r="D1768" s="1" t="s">
        <v>512</v>
      </c>
      <c r="E1768" s="21" t="s">
        <v>512</v>
      </c>
      <c r="F1768" s="1" t="s">
        <v>512</v>
      </c>
      <c r="G1768" s="1" t="s">
        <v>512</v>
      </c>
      <c r="H1768" s="1" t="s">
        <v>512</v>
      </c>
      <c r="I1768" s="1" t="s">
        <v>512</v>
      </c>
      <c r="J1768" s="1" t="s">
        <v>512</v>
      </c>
      <c r="K1768" s="1" t="s">
        <v>512</v>
      </c>
      <c r="L1768" s="1" t="s">
        <v>512</v>
      </c>
      <c r="M1768" s="1" t="s">
        <v>512</v>
      </c>
      <c r="N1768" s="1" t="s">
        <v>512</v>
      </c>
      <c r="O1768" s="1" t="s">
        <v>512</v>
      </c>
      <c r="Q1768" s="1" t="s">
        <v>512</v>
      </c>
    </row>
    <row r="1769" spans="4:17" x14ac:dyDescent="0.25">
      <c r="D1769" s="1" t="s">
        <v>512</v>
      </c>
      <c r="E1769" s="21" t="s">
        <v>512</v>
      </c>
      <c r="F1769" s="1" t="s">
        <v>512</v>
      </c>
      <c r="G1769" s="1" t="s">
        <v>512</v>
      </c>
      <c r="H1769" s="1" t="s">
        <v>512</v>
      </c>
      <c r="I1769" s="1" t="s">
        <v>512</v>
      </c>
      <c r="J1769" s="1" t="s">
        <v>512</v>
      </c>
      <c r="K1769" s="1" t="s">
        <v>512</v>
      </c>
      <c r="L1769" s="1" t="s">
        <v>512</v>
      </c>
      <c r="M1769" s="1" t="s">
        <v>512</v>
      </c>
      <c r="N1769" s="1" t="s">
        <v>512</v>
      </c>
      <c r="O1769" s="1" t="s">
        <v>512</v>
      </c>
      <c r="Q1769" s="1" t="s">
        <v>512</v>
      </c>
    </row>
    <row r="1770" spans="4:17" x14ac:dyDescent="0.25">
      <c r="D1770" s="1" t="s">
        <v>512</v>
      </c>
      <c r="E1770" s="21" t="s">
        <v>512</v>
      </c>
      <c r="F1770" s="1" t="s">
        <v>512</v>
      </c>
      <c r="G1770" s="1" t="s">
        <v>512</v>
      </c>
      <c r="H1770" s="1" t="s">
        <v>512</v>
      </c>
      <c r="I1770" s="1" t="s">
        <v>512</v>
      </c>
      <c r="J1770" s="1" t="s">
        <v>512</v>
      </c>
      <c r="K1770" s="1" t="s">
        <v>512</v>
      </c>
      <c r="L1770" s="1" t="s">
        <v>512</v>
      </c>
      <c r="M1770" s="1" t="s">
        <v>512</v>
      </c>
      <c r="N1770" s="1" t="s">
        <v>512</v>
      </c>
      <c r="O1770" s="1" t="s">
        <v>512</v>
      </c>
      <c r="Q1770" s="1" t="s">
        <v>512</v>
      </c>
    </row>
    <row r="1771" spans="4:17" x14ac:dyDescent="0.25">
      <c r="D1771" s="1" t="s">
        <v>512</v>
      </c>
      <c r="E1771" s="21" t="s">
        <v>512</v>
      </c>
      <c r="F1771" s="1" t="s">
        <v>512</v>
      </c>
      <c r="G1771" s="1" t="s">
        <v>512</v>
      </c>
      <c r="H1771" s="1" t="s">
        <v>512</v>
      </c>
      <c r="I1771" s="1" t="s">
        <v>512</v>
      </c>
      <c r="J1771" s="1" t="s">
        <v>512</v>
      </c>
      <c r="K1771" s="1" t="s">
        <v>512</v>
      </c>
      <c r="L1771" s="1" t="s">
        <v>512</v>
      </c>
      <c r="M1771" s="1" t="s">
        <v>512</v>
      </c>
      <c r="N1771" s="1" t="s">
        <v>512</v>
      </c>
      <c r="O1771" s="1" t="s">
        <v>512</v>
      </c>
      <c r="Q1771" s="1" t="s">
        <v>512</v>
      </c>
    </row>
    <row r="1772" spans="4:17" x14ac:dyDescent="0.25">
      <c r="D1772" s="1" t="s">
        <v>512</v>
      </c>
      <c r="E1772" s="21" t="s">
        <v>512</v>
      </c>
      <c r="F1772" s="1" t="s">
        <v>512</v>
      </c>
      <c r="G1772" s="1" t="s">
        <v>512</v>
      </c>
      <c r="H1772" s="1" t="s">
        <v>512</v>
      </c>
      <c r="I1772" s="1" t="s">
        <v>512</v>
      </c>
      <c r="J1772" s="1" t="s">
        <v>512</v>
      </c>
      <c r="K1772" s="1" t="s">
        <v>512</v>
      </c>
      <c r="L1772" s="1" t="s">
        <v>512</v>
      </c>
      <c r="M1772" s="1" t="s">
        <v>512</v>
      </c>
      <c r="N1772" s="1" t="s">
        <v>512</v>
      </c>
      <c r="O1772" s="1" t="s">
        <v>512</v>
      </c>
      <c r="Q1772" s="1" t="s">
        <v>512</v>
      </c>
    </row>
    <row r="1773" spans="4:17" x14ac:dyDescent="0.25">
      <c r="D1773" s="1" t="s">
        <v>512</v>
      </c>
      <c r="E1773" s="21" t="s">
        <v>512</v>
      </c>
      <c r="F1773" s="1" t="s">
        <v>512</v>
      </c>
      <c r="G1773" s="1" t="s">
        <v>512</v>
      </c>
      <c r="H1773" s="1" t="s">
        <v>512</v>
      </c>
      <c r="I1773" s="1" t="s">
        <v>512</v>
      </c>
      <c r="J1773" s="1" t="s">
        <v>512</v>
      </c>
      <c r="K1773" s="1" t="s">
        <v>512</v>
      </c>
      <c r="L1773" s="1" t="s">
        <v>512</v>
      </c>
      <c r="M1773" s="1" t="s">
        <v>512</v>
      </c>
      <c r="N1773" s="1" t="s">
        <v>512</v>
      </c>
      <c r="O1773" s="1" t="s">
        <v>512</v>
      </c>
      <c r="Q1773" s="1" t="s">
        <v>512</v>
      </c>
    </row>
    <row r="1774" spans="4:17" x14ac:dyDescent="0.25">
      <c r="D1774" s="1" t="s">
        <v>512</v>
      </c>
      <c r="E1774" s="21" t="s">
        <v>512</v>
      </c>
      <c r="F1774" s="1" t="s">
        <v>512</v>
      </c>
      <c r="G1774" s="1" t="s">
        <v>512</v>
      </c>
      <c r="H1774" s="1" t="s">
        <v>512</v>
      </c>
      <c r="I1774" s="1" t="s">
        <v>512</v>
      </c>
      <c r="J1774" s="1" t="s">
        <v>512</v>
      </c>
      <c r="K1774" s="1" t="s">
        <v>512</v>
      </c>
      <c r="L1774" s="1" t="s">
        <v>512</v>
      </c>
      <c r="M1774" s="1" t="s">
        <v>512</v>
      </c>
      <c r="N1774" s="1" t="s">
        <v>512</v>
      </c>
      <c r="O1774" s="1" t="s">
        <v>512</v>
      </c>
      <c r="Q1774" s="1" t="s">
        <v>512</v>
      </c>
    </row>
    <row r="1775" spans="4:17" x14ac:dyDescent="0.25">
      <c r="D1775" s="1" t="s">
        <v>512</v>
      </c>
      <c r="E1775" s="21" t="s">
        <v>512</v>
      </c>
      <c r="F1775" s="1" t="s">
        <v>512</v>
      </c>
      <c r="G1775" s="1" t="s">
        <v>512</v>
      </c>
      <c r="H1775" s="1" t="s">
        <v>512</v>
      </c>
      <c r="I1775" s="1" t="s">
        <v>512</v>
      </c>
      <c r="J1775" s="1" t="s">
        <v>512</v>
      </c>
      <c r="K1775" s="1" t="s">
        <v>512</v>
      </c>
      <c r="L1775" s="1" t="s">
        <v>512</v>
      </c>
      <c r="M1775" s="1" t="s">
        <v>512</v>
      </c>
      <c r="N1775" s="1" t="s">
        <v>512</v>
      </c>
      <c r="O1775" s="1" t="s">
        <v>512</v>
      </c>
      <c r="Q1775" s="1" t="s">
        <v>512</v>
      </c>
    </row>
    <row r="1776" spans="4:17" x14ac:dyDescent="0.25">
      <c r="D1776" s="1" t="s">
        <v>512</v>
      </c>
      <c r="E1776" s="21" t="s">
        <v>512</v>
      </c>
      <c r="F1776" s="1" t="s">
        <v>512</v>
      </c>
      <c r="G1776" s="1" t="s">
        <v>512</v>
      </c>
      <c r="H1776" s="1" t="s">
        <v>512</v>
      </c>
      <c r="I1776" s="1" t="s">
        <v>512</v>
      </c>
      <c r="J1776" s="1" t="s">
        <v>512</v>
      </c>
      <c r="K1776" s="1" t="s">
        <v>512</v>
      </c>
      <c r="L1776" s="1" t="s">
        <v>512</v>
      </c>
      <c r="M1776" s="1" t="s">
        <v>512</v>
      </c>
      <c r="N1776" s="1" t="s">
        <v>512</v>
      </c>
      <c r="O1776" s="1" t="s">
        <v>512</v>
      </c>
      <c r="Q1776" s="1" t="s">
        <v>512</v>
      </c>
    </row>
    <row r="1777" spans="4:17" x14ac:dyDescent="0.25">
      <c r="D1777" s="1" t="s">
        <v>512</v>
      </c>
      <c r="E1777" s="21" t="s">
        <v>512</v>
      </c>
      <c r="F1777" s="1" t="s">
        <v>512</v>
      </c>
      <c r="G1777" s="1" t="s">
        <v>512</v>
      </c>
      <c r="H1777" s="1" t="s">
        <v>512</v>
      </c>
      <c r="I1777" s="1" t="s">
        <v>512</v>
      </c>
      <c r="J1777" s="1" t="s">
        <v>512</v>
      </c>
      <c r="K1777" s="1" t="s">
        <v>512</v>
      </c>
      <c r="L1777" s="1" t="s">
        <v>512</v>
      </c>
      <c r="M1777" s="1" t="s">
        <v>512</v>
      </c>
      <c r="N1777" s="1" t="s">
        <v>512</v>
      </c>
      <c r="O1777" s="1" t="s">
        <v>512</v>
      </c>
      <c r="Q1777" s="1" t="s">
        <v>512</v>
      </c>
    </row>
    <row r="1778" spans="4:17" x14ac:dyDescent="0.25">
      <c r="D1778" s="1" t="s">
        <v>512</v>
      </c>
      <c r="E1778" s="21" t="s">
        <v>512</v>
      </c>
      <c r="F1778" s="1" t="s">
        <v>512</v>
      </c>
      <c r="G1778" s="1" t="s">
        <v>512</v>
      </c>
      <c r="H1778" s="1" t="s">
        <v>512</v>
      </c>
      <c r="I1778" s="1" t="s">
        <v>512</v>
      </c>
      <c r="J1778" s="1" t="s">
        <v>512</v>
      </c>
      <c r="K1778" s="1" t="s">
        <v>512</v>
      </c>
      <c r="L1778" s="1" t="s">
        <v>512</v>
      </c>
      <c r="M1778" s="1" t="s">
        <v>512</v>
      </c>
      <c r="N1778" s="1" t="s">
        <v>512</v>
      </c>
      <c r="O1778" s="1" t="s">
        <v>512</v>
      </c>
      <c r="Q1778" s="1" t="s">
        <v>512</v>
      </c>
    </row>
    <row r="1779" spans="4:17" x14ac:dyDescent="0.25">
      <c r="D1779" s="1" t="s">
        <v>512</v>
      </c>
      <c r="E1779" s="21" t="s">
        <v>512</v>
      </c>
      <c r="F1779" s="1" t="s">
        <v>512</v>
      </c>
      <c r="G1779" s="1" t="s">
        <v>512</v>
      </c>
      <c r="H1779" s="1" t="s">
        <v>512</v>
      </c>
      <c r="I1779" s="1" t="s">
        <v>512</v>
      </c>
      <c r="J1779" s="1" t="s">
        <v>512</v>
      </c>
      <c r="K1779" s="1" t="s">
        <v>512</v>
      </c>
      <c r="L1779" s="1" t="s">
        <v>512</v>
      </c>
      <c r="M1779" s="1" t="s">
        <v>512</v>
      </c>
      <c r="N1779" s="1" t="s">
        <v>512</v>
      </c>
      <c r="O1779" s="1" t="s">
        <v>512</v>
      </c>
      <c r="Q1779" s="1" t="s">
        <v>512</v>
      </c>
    </row>
    <row r="1780" spans="4:17" x14ac:dyDescent="0.25">
      <c r="D1780" s="1" t="s">
        <v>512</v>
      </c>
      <c r="E1780" s="21" t="s">
        <v>512</v>
      </c>
      <c r="F1780" s="1" t="s">
        <v>512</v>
      </c>
      <c r="G1780" s="1" t="s">
        <v>512</v>
      </c>
      <c r="H1780" s="1" t="s">
        <v>512</v>
      </c>
      <c r="I1780" s="1" t="s">
        <v>512</v>
      </c>
      <c r="J1780" s="1" t="s">
        <v>512</v>
      </c>
      <c r="K1780" s="1" t="s">
        <v>512</v>
      </c>
      <c r="L1780" s="1" t="s">
        <v>512</v>
      </c>
      <c r="M1780" s="1" t="s">
        <v>512</v>
      </c>
      <c r="N1780" s="1" t="s">
        <v>512</v>
      </c>
      <c r="O1780" s="1" t="s">
        <v>512</v>
      </c>
      <c r="Q1780" s="1" t="s">
        <v>512</v>
      </c>
    </row>
    <row r="1781" spans="4:17" x14ac:dyDescent="0.25">
      <c r="D1781" s="1" t="s">
        <v>512</v>
      </c>
      <c r="E1781" s="21" t="s">
        <v>512</v>
      </c>
      <c r="F1781" s="1" t="s">
        <v>512</v>
      </c>
      <c r="G1781" s="1" t="s">
        <v>512</v>
      </c>
      <c r="H1781" s="1" t="s">
        <v>512</v>
      </c>
      <c r="I1781" s="1" t="s">
        <v>512</v>
      </c>
      <c r="J1781" s="1" t="s">
        <v>512</v>
      </c>
      <c r="K1781" s="1" t="s">
        <v>512</v>
      </c>
      <c r="L1781" s="1" t="s">
        <v>512</v>
      </c>
      <c r="M1781" s="1" t="s">
        <v>512</v>
      </c>
      <c r="N1781" s="1" t="s">
        <v>512</v>
      </c>
      <c r="O1781" s="1" t="s">
        <v>512</v>
      </c>
      <c r="Q1781" s="1" t="s">
        <v>512</v>
      </c>
    </row>
    <row r="1782" spans="4:17" x14ac:dyDescent="0.25">
      <c r="D1782" s="1" t="s">
        <v>512</v>
      </c>
      <c r="E1782" s="21" t="s">
        <v>512</v>
      </c>
      <c r="F1782" s="1" t="s">
        <v>512</v>
      </c>
      <c r="G1782" s="1" t="s">
        <v>512</v>
      </c>
      <c r="H1782" s="1" t="s">
        <v>512</v>
      </c>
      <c r="I1782" s="1" t="s">
        <v>512</v>
      </c>
      <c r="J1782" s="1" t="s">
        <v>512</v>
      </c>
      <c r="K1782" s="1" t="s">
        <v>512</v>
      </c>
      <c r="L1782" s="1" t="s">
        <v>512</v>
      </c>
      <c r="M1782" s="1" t="s">
        <v>512</v>
      </c>
      <c r="N1782" s="1" t="s">
        <v>512</v>
      </c>
      <c r="O1782" s="1" t="s">
        <v>512</v>
      </c>
      <c r="Q1782" s="1" t="s">
        <v>512</v>
      </c>
    </row>
    <row r="1783" spans="4:17" x14ac:dyDescent="0.25">
      <c r="D1783" s="1" t="s">
        <v>512</v>
      </c>
      <c r="E1783" s="21" t="s">
        <v>512</v>
      </c>
      <c r="F1783" s="1" t="s">
        <v>512</v>
      </c>
      <c r="G1783" s="1" t="s">
        <v>512</v>
      </c>
      <c r="H1783" s="1" t="s">
        <v>512</v>
      </c>
      <c r="I1783" s="1" t="s">
        <v>512</v>
      </c>
      <c r="J1783" s="1" t="s">
        <v>512</v>
      </c>
      <c r="K1783" s="1" t="s">
        <v>512</v>
      </c>
      <c r="L1783" s="1" t="s">
        <v>512</v>
      </c>
      <c r="M1783" s="1" t="s">
        <v>512</v>
      </c>
      <c r="N1783" s="1" t="s">
        <v>512</v>
      </c>
      <c r="O1783" s="1" t="s">
        <v>512</v>
      </c>
      <c r="Q1783" s="1" t="s">
        <v>512</v>
      </c>
    </row>
    <row r="1784" spans="4:17" x14ac:dyDescent="0.25">
      <c r="D1784" s="1" t="s">
        <v>512</v>
      </c>
      <c r="E1784" s="21" t="s">
        <v>512</v>
      </c>
      <c r="F1784" s="1" t="s">
        <v>512</v>
      </c>
      <c r="G1784" s="1" t="s">
        <v>512</v>
      </c>
      <c r="H1784" s="1" t="s">
        <v>512</v>
      </c>
      <c r="I1784" s="1" t="s">
        <v>512</v>
      </c>
      <c r="J1784" s="1" t="s">
        <v>512</v>
      </c>
      <c r="K1784" s="1" t="s">
        <v>512</v>
      </c>
      <c r="L1784" s="1" t="s">
        <v>512</v>
      </c>
      <c r="M1784" s="1" t="s">
        <v>512</v>
      </c>
      <c r="N1784" s="1" t="s">
        <v>512</v>
      </c>
      <c r="O1784" s="1" t="s">
        <v>512</v>
      </c>
      <c r="Q1784" s="1" t="s">
        <v>512</v>
      </c>
    </row>
    <row r="1785" spans="4:17" x14ac:dyDescent="0.25">
      <c r="D1785" s="1" t="s">
        <v>512</v>
      </c>
      <c r="E1785" s="21" t="s">
        <v>512</v>
      </c>
      <c r="F1785" s="1" t="s">
        <v>512</v>
      </c>
      <c r="G1785" s="1" t="s">
        <v>512</v>
      </c>
      <c r="H1785" s="1" t="s">
        <v>512</v>
      </c>
      <c r="I1785" s="1" t="s">
        <v>512</v>
      </c>
      <c r="J1785" s="1" t="s">
        <v>512</v>
      </c>
      <c r="K1785" s="1" t="s">
        <v>512</v>
      </c>
      <c r="L1785" s="1" t="s">
        <v>512</v>
      </c>
      <c r="M1785" s="1" t="s">
        <v>512</v>
      </c>
      <c r="N1785" s="1" t="s">
        <v>512</v>
      </c>
      <c r="O1785" s="1" t="s">
        <v>512</v>
      </c>
      <c r="Q1785" s="1" t="s">
        <v>512</v>
      </c>
    </row>
    <row r="1786" spans="4:17" x14ac:dyDescent="0.25">
      <c r="D1786" s="1" t="s">
        <v>512</v>
      </c>
      <c r="E1786" s="21" t="s">
        <v>512</v>
      </c>
      <c r="F1786" s="1" t="s">
        <v>512</v>
      </c>
      <c r="G1786" s="1" t="s">
        <v>512</v>
      </c>
      <c r="H1786" s="1" t="s">
        <v>512</v>
      </c>
      <c r="I1786" s="1" t="s">
        <v>512</v>
      </c>
      <c r="J1786" s="1" t="s">
        <v>512</v>
      </c>
      <c r="K1786" s="1" t="s">
        <v>512</v>
      </c>
      <c r="L1786" s="1" t="s">
        <v>512</v>
      </c>
      <c r="M1786" s="1" t="s">
        <v>512</v>
      </c>
      <c r="N1786" s="1" t="s">
        <v>512</v>
      </c>
      <c r="O1786" s="1" t="s">
        <v>512</v>
      </c>
      <c r="Q1786" s="1" t="s">
        <v>512</v>
      </c>
    </row>
    <row r="1787" spans="4:17" x14ac:dyDescent="0.25">
      <c r="D1787" s="1" t="s">
        <v>512</v>
      </c>
      <c r="E1787" s="21" t="s">
        <v>512</v>
      </c>
      <c r="F1787" s="1" t="s">
        <v>512</v>
      </c>
      <c r="G1787" s="1" t="s">
        <v>512</v>
      </c>
      <c r="H1787" s="1" t="s">
        <v>512</v>
      </c>
      <c r="I1787" s="1" t="s">
        <v>512</v>
      </c>
      <c r="J1787" s="1" t="s">
        <v>512</v>
      </c>
      <c r="K1787" s="1" t="s">
        <v>512</v>
      </c>
      <c r="L1787" s="1" t="s">
        <v>512</v>
      </c>
      <c r="M1787" s="1" t="s">
        <v>512</v>
      </c>
      <c r="N1787" s="1" t="s">
        <v>512</v>
      </c>
      <c r="O1787" s="1" t="s">
        <v>512</v>
      </c>
      <c r="Q1787" s="1" t="s">
        <v>512</v>
      </c>
    </row>
    <row r="1788" spans="4:17" x14ac:dyDescent="0.25">
      <c r="D1788" s="1" t="s">
        <v>512</v>
      </c>
      <c r="E1788" s="21" t="s">
        <v>512</v>
      </c>
      <c r="F1788" s="1" t="s">
        <v>512</v>
      </c>
      <c r="G1788" s="1" t="s">
        <v>512</v>
      </c>
      <c r="H1788" s="1" t="s">
        <v>512</v>
      </c>
      <c r="I1788" s="1" t="s">
        <v>512</v>
      </c>
      <c r="J1788" s="1" t="s">
        <v>512</v>
      </c>
      <c r="K1788" s="1" t="s">
        <v>512</v>
      </c>
      <c r="L1788" s="1" t="s">
        <v>512</v>
      </c>
      <c r="M1788" s="1" t="s">
        <v>512</v>
      </c>
      <c r="N1788" s="1" t="s">
        <v>512</v>
      </c>
      <c r="O1788" s="1" t="s">
        <v>512</v>
      </c>
      <c r="Q1788" s="1" t="s">
        <v>512</v>
      </c>
    </row>
    <row r="1789" spans="4:17" x14ac:dyDescent="0.25">
      <c r="D1789" s="1" t="s">
        <v>512</v>
      </c>
      <c r="E1789" s="21" t="s">
        <v>512</v>
      </c>
      <c r="F1789" s="1" t="s">
        <v>512</v>
      </c>
      <c r="G1789" s="1" t="s">
        <v>512</v>
      </c>
      <c r="H1789" s="1" t="s">
        <v>512</v>
      </c>
      <c r="I1789" s="1" t="s">
        <v>512</v>
      </c>
      <c r="J1789" s="1" t="s">
        <v>512</v>
      </c>
      <c r="K1789" s="1" t="s">
        <v>512</v>
      </c>
      <c r="L1789" s="1" t="s">
        <v>512</v>
      </c>
      <c r="M1789" s="1" t="s">
        <v>512</v>
      </c>
      <c r="N1789" s="1" t="s">
        <v>512</v>
      </c>
      <c r="O1789" s="1" t="s">
        <v>512</v>
      </c>
      <c r="Q1789" s="1" t="s">
        <v>512</v>
      </c>
    </row>
    <row r="1790" spans="4:17" x14ac:dyDescent="0.25">
      <c r="D1790" s="1" t="s">
        <v>512</v>
      </c>
      <c r="E1790" s="21" t="s">
        <v>512</v>
      </c>
      <c r="F1790" s="1" t="s">
        <v>512</v>
      </c>
      <c r="G1790" s="1" t="s">
        <v>512</v>
      </c>
      <c r="H1790" s="1" t="s">
        <v>512</v>
      </c>
      <c r="I1790" s="1" t="s">
        <v>512</v>
      </c>
      <c r="J1790" s="1" t="s">
        <v>512</v>
      </c>
      <c r="K1790" s="1" t="s">
        <v>512</v>
      </c>
      <c r="L1790" s="1" t="s">
        <v>512</v>
      </c>
      <c r="M1790" s="1" t="s">
        <v>512</v>
      </c>
      <c r="N1790" s="1" t="s">
        <v>512</v>
      </c>
      <c r="O1790" s="1" t="s">
        <v>512</v>
      </c>
      <c r="Q1790" s="1" t="s">
        <v>512</v>
      </c>
    </row>
    <row r="1791" spans="4:17" x14ac:dyDescent="0.25">
      <c r="D1791" s="1" t="s">
        <v>512</v>
      </c>
      <c r="E1791" s="21" t="s">
        <v>512</v>
      </c>
      <c r="F1791" s="1" t="s">
        <v>512</v>
      </c>
      <c r="G1791" s="1" t="s">
        <v>512</v>
      </c>
      <c r="H1791" s="1" t="s">
        <v>512</v>
      </c>
      <c r="I1791" s="1" t="s">
        <v>512</v>
      </c>
      <c r="J1791" s="1" t="s">
        <v>512</v>
      </c>
      <c r="K1791" s="1" t="s">
        <v>512</v>
      </c>
      <c r="L1791" s="1" t="s">
        <v>512</v>
      </c>
      <c r="M1791" s="1" t="s">
        <v>512</v>
      </c>
      <c r="N1791" s="1" t="s">
        <v>512</v>
      </c>
      <c r="O1791" s="1" t="s">
        <v>512</v>
      </c>
      <c r="Q1791" s="1" t="s">
        <v>512</v>
      </c>
    </row>
    <row r="1792" spans="4:17" x14ac:dyDescent="0.25">
      <c r="D1792" s="1" t="s">
        <v>512</v>
      </c>
      <c r="E1792" s="21" t="s">
        <v>512</v>
      </c>
      <c r="F1792" s="1" t="s">
        <v>512</v>
      </c>
      <c r="G1792" s="1" t="s">
        <v>512</v>
      </c>
      <c r="H1792" s="1" t="s">
        <v>512</v>
      </c>
      <c r="I1792" s="1" t="s">
        <v>512</v>
      </c>
      <c r="J1792" s="1" t="s">
        <v>512</v>
      </c>
      <c r="K1792" s="1" t="s">
        <v>512</v>
      </c>
      <c r="L1792" s="1" t="s">
        <v>512</v>
      </c>
      <c r="M1792" s="1" t="s">
        <v>512</v>
      </c>
      <c r="N1792" s="1" t="s">
        <v>512</v>
      </c>
      <c r="O1792" s="1" t="s">
        <v>512</v>
      </c>
      <c r="Q1792" s="1" t="s">
        <v>512</v>
      </c>
    </row>
    <row r="1793" spans="4:17" x14ac:dyDescent="0.25">
      <c r="D1793" s="1" t="s">
        <v>512</v>
      </c>
      <c r="E1793" s="21" t="s">
        <v>512</v>
      </c>
      <c r="F1793" s="1" t="s">
        <v>512</v>
      </c>
      <c r="G1793" s="1" t="s">
        <v>512</v>
      </c>
      <c r="H1793" s="1" t="s">
        <v>512</v>
      </c>
      <c r="I1793" s="1" t="s">
        <v>512</v>
      </c>
      <c r="J1793" s="1" t="s">
        <v>512</v>
      </c>
      <c r="K1793" s="1" t="s">
        <v>512</v>
      </c>
      <c r="L1793" s="1" t="s">
        <v>512</v>
      </c>
      <c r="M1793" s="1" t="s">
        <v>512</v>
      </c>
      <c r="N1793" s="1" t="s">
        <v>512</v>
      </c>
      <c r="O1793" s="1" t="s">
        <v>512</v>
      </c>
      <c r="Q1793" s="1" t="s">
        <v>512</v>
      </c>
    </row>
    <row r="1794" spans="4:17" x14ac:dyDescent="0.25">
      <c r="D1794" s="1" t="s">
        <v>512</v>
      </c>
      <c r="E1794" s="21" t="s">
        <v>512</v>
      </c>
      <c r="F1794" s="1" t="s">
        <v>512</v>
      </c>
      <c r="G1794" s="1" t="s">
        <v>512</v>
      </c>
      <c r="H1794" s="1" t="s">
        <v>512</v>
      </c>
      <c r="I1794" s="1" t="s">
        <v>512</v>
      </c>
      <c r="J1794" s="1" t="s">
        <v>512</v>
      </c>
      <c r="K1794" s="1" t="s">
        <v>512</v>
      </c>
      <c r="L1794" s="1" t="s">
        <v>512</v>
      </c>
      <c r="M1794" s="1" t="s">
        <v>512</v>
      </c>
      <c r="N1794" s="1" t="s">
        <v>512</v>
      </c>
      <c r="O1794" s="1" t="s">
        <v>512</v>
      </c>
      <c r="Q1794" s="1" t="s">
        <v>512</v>
      </c>
    </row>
    <row r="1795" spans="4:17" x14ac:dyDescent="0.25">
      <c r="D1795" s="1" t="s">
        <v>512</v>
      </c>
      <c r="E1795" s="21" t="s">
        <v>512</v>
      </c>
      <c r="F1795" s="1" t="s">
        <v>512</v>
      </c>
      <c r="G1795" s="1" t="s">
        <v>512</v>
      </c>
      <c r="H1795" s="1" t="s">
        <v>512</v>
      </c>
      <c r="I1795" s="1" t="s">
        <v>512</v>
      </c>
      <c r="J1795" s="1" t="s">
        <v>512</v>
      </c>
      <c r="K1795" s="1" t="s">
        <v>512</v>
      </c>
      <c r="L1795" s="1" t="s">
        <v>512</v>
      </c>
      <c r="M1795" s="1" t="s">
        <v>512</v>
      </c>
      <c r="N1795" s="1" t="s">
        <v>512</v>
      </c>
      <c r="O1795" s="1" t="s">
        <v>512</v>
      </c>
      <c r="Q1795" s="1" t="s">
        <v>512</v>
      </c>
    </row>
    <row r="1796" spans="4:17" x14ac:dyDescent="0.25">
      <c r="D1796" s="1" t="s">
        <v>512</v>
      </c>
      <c r="E1796" s="21" t="s">
        <v>512</v>
      </c>
      <c r="F1796" s="1" t="s">
        <v>512</v>
      </c>
      <c r="G1796" s="1" t="s">
        <v>512</v>
      </c>
      <c r="H1796" s="1" t="s">
        <v>512</v>
      </c>
      <c r="I1796" s="1" t="s">
        <v>512</v>
      </c>
      <c r="J1796" s="1" t="s">
        <v>512</v>
      </c>
      <c r="K1796" s="1" t="s">
        <v>512</v>
      </c>
      <c r="L1796" s="1" t="s">
        <v>512</v>
      </c>
      <c r="M1796" s="1" t="s">
        <v>512</v>
      </c>
      <c r="N1796" s="1" t="s">
        <v>512</v>
      </c>
      <c r="O1796" s="1" t="s">
        <v>512</v>
      </c>
      <c r="Q1796" s="1" t="s">
        <v>512</v>
      </c>
    </row>
    <row r="1797" spans="4:17" x14ac:dyDescent="0.25">
      <c r="D1797" s="1" t="s">
        <v>512</v>
      </c>
      <c r="E1797" s="21" t="s">
        <v>512</v>
      </c>
      <c r="F1797" s="1" t="s">
        <v>512</v>
      </c>
      <c r="G1797" s="1" t="s">
        <v>512</v>
      </c>
      <c r="H1797" s="1" t="s">
        <v>512</v>
      </c>
      <c r="I1797" s="1" t="s">
        <v>512</v>
      </c>
      <c r="J1797" s="1" t="s">
        <v>512</v>
      </c>
      <c r="K1797" s="1" t="s">
        <v>512</v>
      </c>
      <c r="L1797" s="1" t="s">
        <v>512</v>
      </c>
      <c r="M1797" s="1" t="s">
        <v>512</v>
      </c>
      <c r="N1797" s="1" t="s">
        <v>512</v>
      </c>
      <c r="O1797" s="1" t="s">
        <v>512</v>
      </c>
      <c r="Q1797" s="1" t="s">
        <v>512</v>
      </c>
    </row>
    <row r="1798" spans="4:17" x14ac:dyDescent="0.25">
      <c r="D1798" s="1" t="s">
        <v>512</v>
      </c>
      <c r="E1798" s="21" t="s">
        <v>512</v>
      </c>
      <c r="F1798" s="1" t="s">
        <v>512</v>
      </c>
      <c r="G1798" s="1" t="s">
        <v>512</v>
      </c>
      <c r="H1798" s="1" t="s">
        <v>512</v>
      </c>
      <c r="I1798" s="1" t="s">
        <v>512</v>
      </c>
      <c r="J1798" s="1" t="s">
        <v>512</v>
      </c>
      <c r="K1798" s="1" t="s">
        <v>512</v>
      </c>
      <c r="L1798" s="1" t="s">
        <v>512</v>
      </c>
      <c r="M1798" s="1" t="s">
        <v>512</v>
      </c>
      <c r="N1798" s="1" t="s">
        <v>512</v>
      </c>
      <c r="O1798" s="1" t="s">
        <v>512</v>
      </c>
      <c r="Q1798" s="1" t="s">
        <v>512</v>
      </c>
    </row>
    <row r="1799" spans="4:17" x14ac:dyDescent="0.25">
      <c r="D1799" s="1" t="s">
        <v>512</v>
      </c>
      <c r="E1799" s="21" t="s">
        <v>512</v>
      </c>
      <c r="F1799" s="1" t="s">
        <v>512</v>
      </c>
      <c r="G1799" s="1" t="s">
        <v>512</v>
      </c>
      <c r="H1799" s="1" t="s">
        <v>512</v>
      </c>
      <c r="I1799" s="1" t="s">
        <v>512</v>
      </c>
      <c r="J1799" s="1" t="s">
        <v>512</v>
      </c>
      <c r="K1799" s="1" t="s">
        <v>512</v>
      </c>
      <c r="L1799" s="1" t="s">
        <v>512</v>
      </c>
      <c r="M1799" s="1" t="s">
        <v>512</v>
      </c>
      <c r="N1799" s="1" t="s">
        <v>512</v>
      </c>
      <c r="O1799" s="1" t="s">
        <v>512</v>
      </c>
      <c r="Q1799" s="1" t="s">
        <v>512</v>
      </c>
    </row>
    <row r="1800" spans="4:17" x14ac:dyDescent="0.25">
      <c r="D1800" s="1" t="s">
        <v>512</v>
      </c>
      <c r="E1800" s="21" t="s">
        <v>512</v>
      </c>
      <c r="F1800" s="1" t="s">
        <v>512</v>
      </c>
      <c r="G1800" s="1" t="s">
        <v>512</v>
      </c>
      <c r="H1800" s="1" t="s">
        <v>512</v>
      </c>
      <c r="I1800" s="1" t="s">
        <v>512</v>
      </c>
      <c r="J1800" s="1" t="s">
        <v>512</v>
      </c>
      <c r="K1800" s="1" t="s">
        <v>512</v>
      </c>
      <c r="L1800" s="1" t="s">
        <v>512</v>
      </c>
      <c r="M1800" s="1" t="s">
        <v>512</v>
      </c>
      <c r="N1800" s="1" t="s">
        <v>512</v>
      </c>
      <c r="O1800" s="1" t="s">
        <v>512</v>
      </c>
      <c r="Q1800" s="1" t="s">
        <v>512</v>
      </c>
    </row>
    <row r="1801" spans="4:17" x14ac:dyDescent="0.25">
      <c r="D1801" s="1" t="s">
        <v>512</v>
      </c>
      <c r="E1801" s="21" t="s">
        <v>512</v>
      </c>
      <c r="F1801" s="1" t="s">
        <v>512</v>
      </c>
      <c r="G1801" s="1" t="s">
        <v>512</v>
      </c>
      <c r="H1801" s="1" t="s">
        <v>512</v>
      </c>
      <c r="I1801" s="1" t="s">
        <v>512</v>
      </c>
      <c r="J1801" s="1" t="s">
        <v>512</v>
      </c>
      <c r="K1801" s="1" t="s">
        <v>512</v>
      </c>
      <c r="L1801" s="1" t="s">
        <v>512</v>
      </c>
      <c r="M1801" s="1" t="s">
        <v>512</v>
      </c>
      <c r="N1801" s="1" t="s">
        <v>512</v>
      </c>
      <c r="O1801" s="1" t="s">
        <v>512</v>
      </c>
      <c r="Q1801" s="1" t="s">
        <v>512</v>
      </c>
    </row>
    <row r="1802" spans="4:17" x14ac:dyDescent="0.25">
      <c r="D1802" s="1" t="s">
        <v>512</v>
      </c>
      <c r="E1802" s="21" t="s">
        <v>512</v>
      </c>
      <c r="F1802" s="1" t="s">
        <v>512</v>
      </c>
      <c r="G1802" s="1" t="s">
        <v>512</v>
      </c>
      <c r="H1802" s="1" t="s">
        <v>512</v>
      </c>
      <c r="I1802" s="1" t="s">
        <v>512</v>
      </c>
      <c r="J1802" s="1" t="s">
        <v>512</v>
      </c>
      <c r="K1802" s="1" t="s">
        <v>512</v>
      </c>
      <c r="L1802" s="1" t="s">
        <v>512</v>
      </c>
      <c r="M1802" s="1" t="s">
        <v>512</v>
      </c>
      <c r="N1802" s="1" t="s">
        <v>512</v>
      </c>
      <c r="O1802" s="1" t="s">
        <v>512</v>
      </c>
      <c r="Q1802" s="1" t="s">
        <v>512</v>
      </c>
    </row>
    <row r="1803" spans="4:17" x14ac:dyDescent="0.25">
      <c r="D1803" s="1" t="s">
        <v>512</v>
      </c>
      <c r="E1803" s="21" t="s">
        <v>512</v>
      </c>
      <c r="F1803" s="1" t="s">
        <v>512</v>
      </c>
      <c r="G1803" s="1" t="s">
        <v>512</v>
      </c>
      <c r="H1803" s="1" t="s">
        <v>512</v>
      </c>
      <c r="I1803" s="1" t="s">
        <v>512</v>
      </c>
      <c r="J1803" s="1" t="s">
        <v>512</v>
      </c>
      <c r="K1803" s="1" t="s">
        <v>512</v>
      </c>
      <c r="L1803" s="1" t="s">
        <v>512</v>
      </c>
      <c r="M1803" s="1" t="s">
        <v>512</v>
      </c>
      <c r="N1803" s="1" t="s">
        <v>512</v>
      </c>
      <c r="O1803" s="1" t="s">
        <v>512</v>
      </c>
      <c r="Q1803" s="1" t="s">
        <v>512</v>
      </c>
    </row>
    <row r="1804" spans="4:17" x14ac:dyDescent="0.25">
      <c r="D1804" s="1" t="s">
        <v>512</v>
      </c>
      <c r="E1804" s="21" t="s">
        <v>512</v>
      </c>
      <c r="F1804" s="1" t="s">
        <v>512</v>
      </c>
      <c r="G1804" s="1" t="s">
        <v>512</v>
      </c>
      <c r="H1804" s="1" t="s">
        <v>512</v>
      </c>
      <c r="I1804" s="1" t="s">
        <v>512</v>
      </c>
      <c r="J1804" s="1" t="s">
        <v>512</v>
      </c>
      <c r="K1804" s="1" t="s">
        <v>512</v>
      </c>
      <c r="L1804" s="1" t="s">
        <v>512</v>
      </c>
      <c r="M1804" s="1" t="s">
        <v>512</v>
      </c>
      <c r="N1804" s="1" t="s">
        <v>512</v>
      </c>
      <c r="O1804" s="1" t="s">
        <v>512</v>
      </c>
      <c r="Q1804" s="1" t="s">
        <v>512</v>
      </c>
    </row>
    <row r="1805" spans="4:17" x14ac:dyDescent="0.25">
      <c r="D1805" s="1" t="s">
        <v>512</v>
      </c>
      <c r="E1805" s="21" t="s">
        <v>512</v>
      </c>
      <c r="F1805" s="1" t="s">
        <v>512</v>
      </c>
      <c r="G1805" s="1" t="s">
        <v>512</v>
      </c>
      <c r="H1805" s="1" t="s">
        <v>512</v>
      </c>
      <c r="I1805" s="1" t="s">
        <v>512</v>
      </c>
      <c r="J1805" s="1" t="s">
        <v>512</v>
      </c>
      <c r="K1805" s="1" t="s">
        <v>512</v>
      </c>
      <c r="L1805" s="1" t="s">
        <v>512</v>
      </c>
      <c r="M1805" s="1" t="s">
        <v>512</v>
      </c>
      <c r="N1805" s="1" t="s">
        <v>512</v>
      </c>
      <c r="O1805" s="1" t="s">
        <v>512</v>
      </c>
      <c r="Q1805" s="1" t="s">
        <v>512</v>
      </c>
    </row>
    <row r="1806" spans="4:17" x14ac:dyDescent="0.25">
      <c r="D1806" s="1" t="s">
        <v>512</v>
      </c>
      <c r="E1806" s="21" t="s">
        <v>512</v>
      </c>
      <c r="F1806" s="1" t="s">
        <v>512</v>
      </c>
      <c r="G1806" s="1" t="s">
        <v>512</v>
      </c>
      <c r="H1806" s="1" t="s">
        <v>512</v>
      </c>
      <c r="I1806" s="1" t="s">
        <v>512</v>
      </c>
      <c r="J1806" s="1" t="s">
        <v>512</v>
      </c>
      <c r="K1806" s="1" t="s">
        <v>512</v>
      </c>
      <c r="L1806" s="1" t="s">
        <v>512</v>
      </c>
      <c r="M1806" s="1" t="s">
        <v>512</v>
      </c>
      <c r="N1806" s="1" t="s">
        <v>512</v>
      </c>
      <c r="O1806" s="1" t="s">
        <v>512</v>
      </c>
      <c r="Q1806" s="1" t="s">
        <v>512</v>
      </c>
    </row>
    <row r="1807" spans="4:17" x14ac:dyDescent="0.25">
      <c r="D1807" s="1" t="s">
        <v>512</v>
      </c>
      <c r="E1807" s="21" t="s">
        <v>512</v>
      </c>
      <c r="F1807" s="1" t="s">
        <v>512</v>
      </c>
      <c r="G1807" s="1" t="s">
        <v>512</v>
      </c>
      <c r="H1807" s="1" t="s">
        <v>512</v>
      </c>
      <c r="I1807" s="1" t="s">
        <v>512</v>
      </c>
      <c r="J1807" s="1" t="s">
        <v>512</v>
      </c>
      <c r="K1807" s="1" t="s">
        <v>512</v>
      </c>
      <c r="L1807" s="1" t="s">
        <v>512</v>
      </c>
      <c r="M1807" s="1" t="s">
        <v>512</v>
      </c>
      <c r="N1807" s="1" t="s">
        <v>512</v>
      </c>
      <c r="O1807" s="1" t="s">
        <v>512</v>
      </c>
      <c r="Q1807" s="1" t="s">
        <v>512</v>
      </c>
    </row>
    <row r="1808" spans="4:17" x14ac:dyDescent="0.25">
      <c r="D1808" s="1" t="s">
        <v>512</v>
      </c>
      <c r="E1808" s="21" t="s">
        <v>512</v>
      </c>
      <c r="F1808" s="1" t="s">
        <v>512</v>
      </c>
      <c r="G1808" s="1" t="s">
        <v>512</v>
      </c>
      <c r="H1808" s="1" t="s">
        <v>512</v>
      </c>
      <c r="I1808" s="1" t="s">
        <v>512</v>
      </c>
      <c r="J1808" s="1" t="s">
        <v>512</v>
      </c>
      <c r="K1808" s="1" t="s">
        <v>512</v>
      </c>
      <c r="L1808" s="1" t="s">
        <v>512</v>
      </c>
      <c r="M1808" s="1" t="s">
        <v>512</v>
      </c>
      <c r="N1808" s="1" t="s">
        <v>512</v>
      </c>
      <c r="O1808" s="1" t="s">
        <v>512</v>
      </c>
      <c r="Q1808" s="1" t="s">
        <v>512</v>
      </c>
    </row>
    <row r="1809" spans="4:17" x14ac:dyDescent="0.25">
      <c r="D1809" s="1" t="s">
        <v>512</v>
      </c>
      <c r="E1809" s="21" t="s">
        <v>512</v>
      </c>
      <c r="F1809" s="1" t="s">
        <v>512</v>
      </c>
      <c r="G1809" s="1" t="s">
        <v>512</v>
      </c>
      <c r="H1809" s="1" t="s">
        <v>512</v>
      </c>
      <c r="I1809" s="1" t="s">
        <v>512</v>
      </c>
      <c r="J1809" s="1" t="s">
        <v>512</v>
      </c>
      <c r="K1809" s="1" t="s">
        <v>512</v>
      </c>
      <c r="L1809" s="1" t="s">
        <v>512</v>
      </c>
      <c r="M1809" s="1" t="s">
        <v>512</v>
      </c>
      <c r="N1809" s="1" t="s">
        <v>512</v>
      </c>
      <c r="O1809" s="1" t="s">
        <v>512</v>
      </c>
      <c r="Q1809" s="1" t="s">
        <v>512</v>
      </c>
    </row>
    <row r="1810" spans="4:17" x14ac:dyDescent="0.25">
      <c r="D1810" s="1" t="s">
        <v>512</v>
      </c>
      <c r="E1810" s="21" t="s">
        <v>512</v>
      </c>
      <c r="F1810" s="1" t="s">
        <v>512</v>
      </c>
      <c r="G1810" s="1" t="s">
        <v>512</v>
      </c>
      <c r="H1810" s="1" t="s">
        <v>512</v>
      </c>
      <c r="I1810" s="1" t="s">
        <v>512</v>
      </c>
      <c r="J1810" s="1" t="s">
        <v>512</v>
      </c>
      <c r="K1810" s="1" t="s">
        <v>512</v>
      </c>
      <c r="L1810" s="1" t="s">
        <v>512</v>
      </c>
      <c r="M1810" s="1" t="s">
        <v>512</v>
      </c>
      <c r="N1810" s="1" t="s">
        <v>512</v>
      </c>
      <c r="O1810" s="1" t="s">
        <v>512</v>
      </c>
      <c r="Q1810" s="1" t="s">
        <v>512</v>
      </c>
    </row>
    <row r="1811" spans="4:17" x14ac:dyDescent="0.25">
      <c r="D1811" s="1" t="s">
        <v>512</v>
      </c>
      <c r="E1811" s="21" t="s">
        <v>512</v>
      </c>
      <c r="F1811" s="1" t="s">
        <v>512</v>
      </c>
      <c r="G1811" s="1" t="s">
        <v>512</v>
      </c>
      <c r="H1811" s="1" t="s">
        <v>512</v>
      </c>
      <c r="I1811" s="1" t="s">
        <v>512</v>
      </c>
      <c r="J1811" s="1" t="s">
        <v>512</v>
      </c>
      <c r="K1811" s="1" t="s">
        <v>512</v>
      </c>
      <c r="L1811" s="1" t="s">
        <v>512</v>
      </c>
      <c r="M1811" s="1" t="s">
        <v>512</v>
      </c>
      <c r="N1811" s="1" t="s">
        <v>512</v>
      </c>
      <c r="O1811" s="1" t="s">
        <v>512</v>
      </c>
      <c r="Q1811" s="1" t="s">
        <v>512</v>
      </c>
    </row>
    <row r="1812" spans="4:17" x14ac:dyDescent="0.25">
      <c r="D1812" s="1" t="s">
        <v>512</v>
      </c>
      <c r="E1812" s="21" t="s">
        <v>512</v>
      </c>
      <c r="F1812" s="1" t="s">
        <v>512</v>
      </c>
      <c r="G1812" s="1" t="s">
        <v>512</v>
      </c>
      <c r="H1812" s="1" t="s">
        <v>512</v>
      </c>
      <c r="I1812" s="1" t="s">
        <v>512</v>
      </c>
      <c r="J1812" s="1" t="s">
        <v>512</v>
      </c>
      <c r="K1812" s="1" t="s">
        <v>512</v>
      </c>
      <c r="L1812" s="1" t="s">
        <v>512</v>
      </c>
      <c r="M1812" s="1" t="s">
        <v>512</v>
      </c>
      <c r="N1812" s="1" t="s">
        <v>512</v>
      </c>
      <c r="O1812" s="1" t="s">
        <v>512</v>
      </c>
      <c r="Q1812" s="1" t="s">
        <v>512</v>
      </c>
    </row>
    <row r="1813" spans="4:17" x14ac:dyDescent="0.25">
      <c r="D1813" s="1" t="s">
        <v>512</v>
      </c>
      <c r="E1813" s="21" t="s">
        <v>512</v>
      </c>
      <c r="F1813" s="1" t="s">
        <v>512</v>
      </c>
      <c r="G1813" s="1" t="s">
        <v>512</v>
      </c>
      <c r="H1813" s="1" t="s">
        <v>512</v>
      </c>
      <c r="I1813" s="1" t="s">
        <v>512</v>
      </c>
      <c r="J1813" s="1" t="s">
        <v>512</v>
      </c>
      <c r="K1813" s="1" t="s">
        <v>512</v>
      </c>
      <c r="L1813" s="1" t="s">
        <v>512</v>
      </c>
      <c r="M1813" s="1" t="s">
        <v>512</v>
      </c>
      <c r="N1813" s="1" t="s">
        <v>512</v>
      </c>
      <c r="O1813" s="1" t="s">
        <v>512</v>
      </c>
      <c r="Q1813" s="1" t="s">
        <v>512</v>
      </c>
    </row>
    <row r="1814" spans="4:17" x14ac:dyDescent="0.25">
      <c r="D1814" s="1" t="s">
        <v>512</v>
      </c>
      <c r="E1814" s="21" t="s">
        <v>512</v>
      </c>
      <c r="F1814" s="1" t="s">
        <v>512</v>
      </c>
      <c r="G1814" s="1" t="s">
        <v>512</v>
      </c>
      <c r="H1814" s="1" t="s">
        <v>512</v>
      </c>
      <c r="I1814" s="1" t="s">
        <v>512</v>
      </c>
      <c r="J1814" s="1" t="s">
        <v>512</v>
      </c>
      <c r="K1814" s="1" t="s">
        <v>512</v>
      </c>
      <c r="L1814" s="1" t="s">
        <v>512</v>
      </c>
      <c r="M1814" s="1" t="s">
        <v>512</v>
      </c>
      <c r="N1814" s="1" t="s">
        <v>512</v>
      </c>
      <c r="O1814" s="1" t="s">
        <v>512</v>
      </c>
      <c r="Q1814" s="1" t="s">
        <v>512</v>
      </c>
    </row>
    <row r="1815" spans="4:17" x14ac:dyDescent="0.25">
      <c r="D1815" s="1" t="s">
        <v>512</v>
      </c>
      <c r="E1815" s="21" t="s">
        <v>512</v>
      </c>
      <c r="F1815" s="1" t="s">
        <v>512</v>
      </c>
      <c r="G1815" s="1" t="s">
        <v>512</v>
      </c>
      <c r="H1815" s="1" t="s">
        <v>512</v>
      </c>
      <c r="I1815" s="1" t="s">
        <v>512</v>
      </c>
      <c r="J1815" s="1" t="s">
        <v>512</v>
      </c>
      <c r="K1815" s="1" t="s">
        <v>512</v>
      </c>
      <c r="L1815" s="1" t="s">
        <v>512</v>
      </c>
      <c r="M1815" s="1" t="s">
        <v>512</v>
      </c>
      <c r="N1815" s="1" t="s">
        <v>512</v>
      </c>
      <c r="O1815" s="1" t="s">
        <v>512</v>
      </c>
      <c r="Q1815" s="1" t="s">
        <v>512</v>
      </c>
    </row>
    <row r="1816" spans="4:17" x14ac:dyDescent="0.25">
      <c r="D1816" s="1" t="s">
        <v>512</v>
      </c>
      <c r="E1816" s="21" t="s">
        <v>512</v>
      </c>
      <c r="F1816" s="1" t="s">
        <v>512</v>
      </c>
      <c r="G1816" s="1" t="s">
        <v>512</v>
      </c>
      <c r="H1816" s="1" t="s">
        <v>512</v>
      </c>
      <c r="I1816" s="1" t="s">
        <v>512</v>
      </c>
      <c r="J1816" s="1" t="s">
        <v>512</v>
      </c>
      <c r="K1816" s="1" t="s">
        <v>512</v>
      </c>
      <c r="L1816" s="1" t="s">
        <v>512</v>
      </c>
      <c r="M1816" s="1" t="s">
        <v>512</v>
      </c>
      <c r="N1816" s="1" t="s">
        <v>512</v>
      </c>
      <c r="O1816" s="1" t="s">
        <v>512</v>
      </c>
      <c r="Q1816" s="1" t="s">
        <v>512</v>
      </c>
    </row>
    <row r="1817" spans="4:17" x14ac:dyDescent="0.25">
      <c r="D1817" s="1" t="s">
        <v>512</v>
      </c>
      <c r="E1817" s="21" t="s">
        <v>512</v>
      </c>
      <c r="F1817" s="1" t="s">
        <v>512</v>
      </c>
      <c r="G1817" s="1" t="s">
        <v>512</v>
      </c>
      <c r="H1817" s="1" t="s">
        <v>512</v>
      </c>
      <c r="I1817" s="1" t="s">
        <v>512</v>
      </c>
      <c r="J1817" s="1" t="s">
        <v>512</v>
      </c>
      <c r="K1817" s="1" t="s">
        <v>512</v>
      </c>
      <c r="L1817" s="1" t="s">
        <v>512</v>
      </c>
      <c r="M1817" s="1" t="s">
        <v>512</v>
      </c>
      <c r="N1817" s="1" t="s">
        <v>512</v>
      </c>
      <c r="O1817" s="1" t="s">
        <v>512</v>
      </c>
      <c r="Q1817" s="1" t="s">
        <v>512</v>
      </c>
    </row>
    <row r="1818" spans="4:17" x14ac:dyDescent="0.25">
      <c r="D1818" s="1" t="s">
        <v>512</v>
      </c>
      <c r="E1818" s="21" t="s">
        <v>512</v>
      </c>
      <c r="F1818" s="1" t="s">
        <v>512</v>
      </c>
      <c r="G1818" s="1" t="s">
        <v>512</v>
      </c>
      <c r="H1818" s="1" t="s">
        <v>512</v>
      </c>
      <c r="I1818" s="1" t="s">
        <v>512</v>
      </c>
      <c r="J1818" s="1" t="s">
        <v>512</v>
      </c>
      <c r="K1818" s="1" t="s">
        <v>512</v>
      </c>
      <c r="L1818" s="1" t="s">
        <v>512</v>
      </c>
      <c r="M1818" s="1" t="s">
        <v>512</v>
      </c>
      <c r="N1818" s="1" t="s">
        <v>512</v>
      </c>
      <c r="O1818" s="1" t="s">
        <v>512</v>
      </c>
      <c r="Q1818" s="1" t="s">
        <v>512</v>
      </c>
    </row>
    <row r="1819" spans="4:17" x14ac:dyDescent="0.25">
      <c r="D1819" s="1" t="s">
        <v>512</v>
      </c>
      <c r="E1819" s="21" t="s">
        <v>512</v>
      </c>
      <c r="F1819" s="1" t="s">
        <v>512</v>
      </c>
      <c r="G1819" s="1" t="s">
        <v>512</v>
      </c>
      <c r="H1819" s="1" t="s">
        <v>512</v>
      </c>
      <c r="I1819" s="1" t="s">
        <v>512</v>
      </c>
      <c r="J1819" s="1" t="s">
        <v>512</v>
      </c>
      <c r="K1819" s="1" t="s">
        <v>512</v>
      </c>
      <c r="L1819" s="1" t="s">
        <v>512</v>
      </c>
      <c r="M1819" s="1" t="s">
        <v>512</v>
      </c>
      <c r="N1819" s="1" t="s">
        <v>512</v>
      </c>
      <c r="O1819" s="1" t="s">
        <v>512</v>
      </c>
      <c r="Q1819" s="1" t="s">
        <v>512</v>
      </c>
    </row>
    <row r="1820" spans="4:17" x14ac:dyDescent="0.25">
      <c r="D1820" s="1" t="s">
        <v>512</v>
      </c>
      <c r="E1820" s="21" t="s">
        <v>512</v>
      </c>
      <c r="F1820" s="1" t="s">
        <v>512</v>
      </c>
      <c r="G1820" s="1" t="s">
        <v>512</v>
      </c>
      <c r="H1820" s="1" t="s">
        <v>512</v>
      </c>
      <c r="I1820" s="1" t="s">
        <v>512</v>
      </c>
      <c r="J1820" s="1" t="s">
        <v>512</v>
      </c>
      <c r="K1820" s="1" t="s">
        <v>512</v>
      </c>
      <c r="L1820" s="1" t="s">
        <v>512</v>
      </c>
      <c r="M1820" s="1" t="s">
        <v>512</v>
      </c>
      <c r="N1820" s="1" t="s">
        <v>512</v>
      </c>
      <c r="O1820" s="1" t="s">
        <v>512</v>
      </c>
      <c r="Q1820" s="1" t="s">
        <v>512</v>
      </c>
    </row>
    <row r="1821" spans="4:17" x14ac:dyDescent="0.25">
      <c r="D1821" s="1" t="s">
        <v>512</v>
      </c>
      <c r="E1821" s="21" t="s">
        <v>512</v>
      </c>
      <c r="F1821" s="1" t="s">
        <v>512</v>
      </c>
      <c r="G1821" s="1" t="s">
        <v>512</v>
      </c>
      <c r="H1821" s="1" t="s">
        <v>512</v>
      </c>
      <c r="I1821" s="1" t="s">
        <v>512</v>
      </c>
      <c r="J1821" s="1" t="s">
        <v>512</v>
      </c>
      <c r="K1821" s="1" t="s">
        <v>512</v>
      </c>
      <c r="L1821" s="1" t="s">
        <v>512</v>
      </c>
      <c r="M1821" s="1" t="s">
        <v>512</v>
      </c>
      <c r="N1821" s="1" t="s">
        <v>512</v>
      </c>
      <c r="O1821" s="1" t="s">
        <v>512</v>
      </c>
      <c r="Q1821" s="1" t="s">
        <v>512</v>
      </c>
    </row>
    <row r="1822" spans="4:17" x14ac:dyDescent="0.25">
      <c r="D1822" s="1" t="s">
        <v>512</v>
      </c>
      <c r="E1822" s="21" t="s">
        <v>512</v>
      </c>
      <c r="F1822" s="1" t="s">
        <v>512</v>
      </c>
      <c r="G1822" s="1" t="s">
        <v>512</v>
      </c>
      <c r="H1822" s="1" t="s">
        <v>512</v>
      </c>
      <c r="I1822" s="1" t="s">
        <v>512</v>
      </c>
      <c r="J1822" s="1" t="s">
        <v>512</v>
      </c>
      <c r="K1822" s="1" t="s">
        <v>512</v>
      </c>
      <c r="L1822" s="1" t="s">
        <v>512</v>
      </c>
      <c r="M1822" s="1" t="s">
        <v>512</v>
      </c>
      <c r="N1822" s="1" t="s">
        <v>512</v>
      </c>
      <c r="O1822" s="1" t="s">
        <v>512</v>
      </c>
      <c r="Q1822" s="1" t="s">
        <v>512</v>
      </c>
    </row>
    <row r="1823" spans="4:17" x14ac:dyDescent="0.25">
      <c r="D1823" s="1" t="s">
        <v>512</v>
      </c>
      <c r="E1823" s="21" t="s">
        <v>512</v>
      </c>
      <c r="F1823" s="1" t="s">
        <v>512</v>
      </c>
      <c r="G1823" s="1" t="s">
        <v>512</v>
      </c>
      <c r="H1823" s="1" t="s">
        <v>512</v>
      </c>
      <c r="I1823" s="1" t="s">
        <v>512</v>
      </c>
      <c r="J1823" s="1" t="s">
        <v>512</v>
      </c>
      <c r="K1823" s="1" t="s">
        <v>512</v>
      </c>
      <c r="L1823" s="1" t="s">
        <v>512</v>
      </c>
      <c r="M1823" s="1" t="s">
        <v>512</v>
      </c>
      <c r="N1823" s="1" t="s">
        <v>512</v>
      </c>
      <c r="O1823" s="1" t="s">
        <v>512</v>
      </c>
      <c r="Q1823" s="1" t="s">
        <v>512</v>
      </c>
    </row>
    <row r="1824" spans="4:17" x14ac:dyDescent="0.25">
      <c r="D1824" s="1" t="s">
        <v>512</v>
      </c>
      <c r="E1824" s="21" t="s">
        <v>512</v>
      </c>
      <c r="F1824" s="1" t="s">
        <v>512</v>
      </c>
      <c r="G1824" s="1" t="s">
        <v>512</v>
      </c>
      <c r="H1824" s="1" t="s">
        <v>512</v>
      </c>
      <c r="I1824" s="1" t="s">
        <v>512</v>
      </c>
      <c r="J1824" s="1" t="s">
        <v>512</v>
      </c>
      <c r="K1824" s="1" t="s">
        <v>512</v>
      </c>
      <c r="L1824" s="1" t="s">
        <v>512</v>
      </c>
      <c r="M1824" s="1" t="s">
        <v>512</v>
      </c>
      <c r="N1824" s="1" t="s">
        <v>512</v>
      </c>
      <c r="O1824" s="1" t="s">
        <v>512</v>
      </c>
      <c r="Q1824" s="1" t="s">
        <v>512</v>
      </c>
    </row>
    <row r="1825" spans="4:17" x14ac:dyDescent="0.25">
      <c r="D1825" s="1" t="s">
        <v>512</v>
      </c>
      <c r="E1825" s="21" t="s">
        <v>512</v>
      </c>
      <c r="F1825" s="1" t="s">
        <v>512</v>
      </c>
      <c r="G1825" s="1" t="s">
        <v>512</v>
      </c>
      <c r="H1825" s="1" t="s">
        <v>512</v>
      </c>
      <c r="I1825" s="1" t="s">
        <v>512</v>
      </c>
      <c r="J1825" s="1" t="s">
        <v>512</v>
      </c>
      <c r="K1825" s="1" t="s">
        <v>512</v>
      </c>
      <c r="L1825" s="1" t="s">
        <v>512</v>
      </c>
      <c r="M1825" s="1" t="s">
        <v>512</v>
      </c>
      <c r="N1825" s="1" t="s">
        <v>512</v>
      </c>
      <c r="O1825" s="1" t="s">
        <v>512</v>
      </c>
      <c r="Q1825" s="1" t="s">
        <v>512</v>
      </c>
    </row>
    <row r="1826" spans="4:17" x14ac:dyDescent="0.25">
      <c r="D1826" s="1" t="s">
        <v>512</v>
      </c>
      <c r="E1826" s="21" t="s">
        <v>512</v>
      </c>
      <c r="F1826" s="1" t="s">
        <v>512</v>
      </c>
      <c r="G1826" s="1" t="s">
        <v>512</v>
      </c>
      <c r="H1826" s="1" t="s">
        <v>512</v>
      </c>
      <c r="I1826" s="1" t="s">
        <v>512</v>
      </c>
      <c r="J1826" s="1" t="s">
        <v>512</v>
      </c>
      <c r="K1826" s="1" t="s">
        <v>512</v>
      </c>
      <c r="L1826" s="1" t="s">
        <v>512</v>
      </c>
      <c r="M1826" s="1" t="s">
        <v>512</v>
      </c>
      <c r="N1826" s="1" t="s">
        <v>512</v>
      </c>
      <c r="O1826" s="1" t="s">
        <v>512</v>
      </c>
      <c r="Q1826" s="1" t="s">
        <v>512</v>
      </c>
    </row>
    <row r="1827" spans="4:17" x14ac:dyDescent="0.25">
      <c r="D1827" s="1" t="s">
        <v>512</v>
      </c>
      <c r="E1827" s="21" t="s">
        <v>512</v>
      </c>
      <c r="F1827" s="1" t="s">
        <v>512</v>
      </c>
      <c r="G1827" s="1" t="s">
        <v>512</v>
      </c>
      <c r="H1827" s="1" t="s">
        <v>512</v>
      </c>
      <c r="I1827" s="1" t="s">
        <v>512</v>
      </c>
      <c r="J1827" s="1" t="s">
        <v>512</v>
      </c>
      <c r="K1827" s="1" t="s">
        <v>512</v>
      </c>
      <c r="L1827" s="1" t="s">
        <v>512</v>
      </c>
      <c r="M1827" s="1" t="s">
        <v>512</v>
      </c>
      <c r="N1827" s="1" t="s">
        <v>512</v>
      </c>
      <c r="O1827" s="1" t="s">
        <v>512</v>
      </c>
      <c r="Q1827" s="1" t="s">
        <v>512</v>
      </c>
    </row>
    <row r="1828" spans="4:17" x14ac:dyDescent="0.25">
      <c r="D1828" s="1" t="s">
        <v>512</v>
      </c>
      <c r="E1828" s="21" t="s">
        <v>512</v>
      </c>
      <c r="F1828" s="1" t="s">
        <v>512</v>
      </c>
      <c r="G1828" s="1" t="s">
        <v>512</v>
      </c>
      <c r="H1828" s="1" t="s">
        <v>512</v>
      </c>
      <c r="I1828" s="1" t="s">
        <v>512</v>
      </c>
      <c r="J1828" s="1" t="s">
        <v>512</v>
      </c>
      <c r="K1828" s="1" t="s">
        <v>512</v>
      </c>
      <c r="L1828" s="1" t="s">
        <v>512</v>
      </c>
      <c r="M1828" s="1" t="s">
        <v>512</v>
      </c>
      <c r="N1828" s="1" t="s">
        <v>512</v>
      </c>
      <c r="O1828" s="1" t="s">
        <v>512</v>
      </c>
      <c r="Q1828" s="1" t="s">
        <v>512</v>
      </c>
    </row>
    <row r="1829" spans="4:17" x14ac:dyDescent="0.25">
      <c r="D1829" s="1" t="s">
        <v>512</v>
      </c>
      <c r="E1829" s="21" t="s">
        <v>512</v>
      </c>
      <c r="F1829" s="1" t="s">
        <v>512</v>
      </c>
      <c r="G1829" s="1" t="s">
        <v>512</v>
      </c>
      <c r="H1829" s="1" t="s">
        <v>512</v>
      </c>
      <c r="I1829" s="1" t="s">
        <v>512</v>
      </c>
      <c r="J1829" s="1" t="s">
        <v>512</v>
      </c>
      <c r="K1829" s="1" t="s">
        <v>512</v>
      </c>
      <c r="L1829" s="1" t="s">
        <v>512</v>
      </c>
      <c r="M1829" s="1" t="s">
        <v>512</v>
      </c>
      <c r="N1829" s="1" t="s">
        <v>512</v>
      </c>
      <c r="O1829" s="1" t="s">
        <v>512</v>
      </c>
      <c r="Q1829" s="1" t="s">
        <v>512</v>
      </c>
    </row>
    <row r="1830" spans="4:17" x14ac:dyDescent="0.25">
      <c r="D1830" s="1" t="s">
        <v>512</v>
      </c>
      <c r="E1830" s="21" t="s">
        <v>512</v>
      </c>
      <c r="F1830" s="1" t="s">
        <v>512</v>
      </c>
      <c r="G1830" s="1" t="s">
        <v>512</v>
      </c>
      <c r="H1830" s="1" t="s">
        <v>512</v>
      </c>
      <c r="I1830" s="1" t="s">
        <v>512</v>
      </c>
      <c r="J1830" s="1" t="s">
        <v>512</v>
      </c>
      <c r="K1830" s="1" t="s">
        <v>512</v>
      </c>
      <c r="L1830" s="1" t="s">
        <v>512</v>
      </c>
      <c r="M1830" s="1" t="s">
        <v>512</v>
      </c>
      <c r="N1830" s="1" t="s">
        <v>512</v>
      </c>
      <c r="O1830" s="1" t="s">
        <v>512</v>
      </c>
      <c r="Q1830" s="1" t="s">
        <v>512</v>
      </c>
    </row>
    <row r="1831" spans="4:17" x14ac:dyDescent="0.25">
      <c r="D1831" s="1" t="s">
        <v>512</v>
      </c>
      <c r="E1831" s="21" t="s">
        <v>512</v>
      </c>
      <c r="F1831" s="1" t="s">
        <v>512</v>
      </c>
      <c r="G1831" s="1" t="s">
        <v>512</v>
      </c>
      <c r="H1831" s="1" t="s">
        <v>512</v>
      </c>
      <c r="I1831" s="1" t="s">
        <v>512</v>
      </c>
      <c r="J1831" s="1" t="s">
        <v>512</v>
      </c>
      <c r="K1831" s="1" t="s">
        <v>512</v>
      </c>
      <c r="L1831" s="1" t="s">
        <v>512</v>
      </c>
      <c r="M1831" s="1" t="s">
        <v>512</v>
      </c>
      <c r="N1831" s="1" t="s">
        <v>512</v>
      </c>
      <c r="O1831" s="1" t="s">
        <v>512</v>
      </c>
      <c r="Q1831" s="1" t="s">
        <v>512</v>
      </c>
    </row>
    <row r="1832" spans="4:17" x14ac:dyDescent="0.25">
      <c r="D1832" s="1" t="s">
        <v>512</v>
      </c>
      <c r="E1832" s="21" t="s">
        <v>512</v>
      </c>
      <c r="F1832" s="1" t="s">
        <v>512</v>
      </c>
      <c r="G1832" s="1" t="s">
        <v>512</v>
      </c>
      <c r="H1832" s="1" t="s">
        <v>512</v>
      </c>
      <c r="I1832" s="1" t="s">
        <v>512</v>
      </c>
      <c r="J1832" s="1" t="s">
        <v>512</v>
      </c>
      <c r="K1832" s="1" t="s">
        <v>512</v>
      </c>
      <c r="L1832" s="1" t="s">
        <v>512</v>
      </c>
      <c r="M1832" s="1" t="s">
        <v>512</v>
      </c>
      <c r="N1832" s="1" t="s">
        <v>512</v>
      </c>
      <c r="O1832" s="1" t="s">
        <v>512</v>
      </c>
      <c r="Q1832" s="1" t="s">
        <v>512</v>
      </c>
    </row>
    <row r="1833" spans="4:17" x14ac:dyDescent="0.25">
      <c r="D1833" s="1" t="s">
        <v>512</v>
      </c>
      <c r="E1833" s="21" t="s">
        <v>512</v>
      </c>
      <c r="F1833" s="1" t="s">
        <v>512</v>
      </c>
      <c r="G1833" s="1" t="s">
        <v>512</v>
      </c>
      <c r="H1833" s="1" t="s">
        <v>512</v>
      </c>
      <c r="I1833" s="1" t="s">
        <v>512</v>
      </c>
      <c r="J1833" s="1" t="s">
        <v>512</v>
      </c>
      <c r="K1833" s="1" t="s">
        <v>512</v>
      </c>
      <c r="L1833" s="1" t="s">
        <v>512</v>
      </c>
      <c r="M1833" s="1" t="s">
        <v>512</v>
      </c>
      <c r="N1833" s="1" t="s">
        <v>512</v>
      </c>
      <c r="O1833" s="1" t="s">
        <v>512</v>
      </c>
      <c r="Q1833" s="1" t="s">
        <v>512</v>
      </c>
    </row>
    <row r="1834" spans="4:17" x14ac:dyDescent="0.25">
      <c r="D1834" s="1" t="s">
        <v>512</v>
      </c>
      <c r="E1834" s="21" t="s">
        <v>512</v>
      </c>
      <c r="F1834" s="1" t="s">
        <v>512</v>
      </c>
      <c r="G1834" s="1" t="s">
        <v>512</v>
      </c>
      <c r="H1834" s="1" t="s">
        <v>512</v>
      </c>
      <c r="I1834" s="1" t="s">
        <v>512</v>
      </c>
      <c r="J1834" s="1" t="s">
        <v>512</v>
      </c>
      <c r="K1834" s="1" t="s">
        <v>512</v>
      </c>
      <c r="L1834" s="1" t="s">
        <v>512</v>
      </c>
      <c r="M1834" s="1" t="s">
        <v>512</v>
      </c>
      <c r="N1834" s="1" t="s">
        <v>512</v>
      </c>
      <c r="O1834" s="1" t="s">
        <v>512</v>
      </c>
      <c r="Q1834" s="1" t="s">
        <v>512</v>
      </c>
    </row>
    <row r="1835" spans="4:17" x14ac:dyDescent="0.25">
      <c r="D1835" s="1" t="s">
        <v>512</v>
      </c>
      <c r="E1835" s="21" t="s">
        <v>512</v>
      </c>
      <c r="F1835" s="1" t="s">
        <v>512</v>
      </c>
      <c r="G1835" s="1" t="s">
        <v>512</v>
      </c>
      <c r="H1835" s="1" t="s">
        <v>512</v>
      </c>
      <c r="I1835" s="1" t="s">
        <v>512</v>
      </c>
      <c r="J1835" s="1" t="s">
        <v>512</v>
      </c>
      <c r="K1835" s="1" t="s">
        <v>512</v>
      </c>
      <c r="L1835" s="1" t="s">
        <v>512</v>
      </c>
      <c r="M1835" s="1" t="s">
        <v>512</v>
      </c>
      <c r="N1835" s="1" t="s">
        <v>512</v>
      </c>
      <c r="O1835" s="1" t="s">
        <v>512</v>
      </c>
      <c r="Q1835" s="1" t="s">
        <v>512</v>
      </c>
    </row>
    <row r="1836" spans="4:17" x14ac:dyDescent="0.25">
      <c r="D1836" s="1" t="s">
        <v>512</v>
      </c>
      <c r="E1836" s="21" t="s">
        <v>512</v>
      </c>
      <c r="F1836" s="1" t="s">
        <v>512</v>
      </c>
      <c r="G1836" s="1" t="s">
        <v>512</v>
      </c>
      <c r="H1836" s="1" t="s">
        <v>512</v>
      </c>
      <c r="I1836" s="1" t="s">
        <v>512</v>
      </c>
      <c r="J1836" s="1" t="s">
        <v>512</v>
      </c>
      <c r="K1836" s="1" t="s">
        <v>512</v>
      </c>
      <c r="L1836" s="1" t="s">
        <v>512</v>
      </c>
      <c r="M1836" s="1" t="s">
        <v>512</v>
      </c>
      <c r="N1836" s="1" t="s">
        <v>512</v>
      </c>
      <c r="O1836" s="1" t="s">
        <v>512</v>
      </c>
      <c r="Q1836" s="1" t="s">
        <v>512</v>
      </c>
    </row>
    <row r="1837" spans="4:17" x14ac:dyDescent="0.25">
      <c r="D1837" s="1" t="s">
        <v>512</v>
      </c>
      <c r="E1837" s="21" t="s">
        <v>512</v>
      </c>
      <c r="F1837" s="1" t="s">
        <v>512</v>
      </c>
      <c r="G1837" s="1" t="s">
        <v>512</v>
      </c>
      <c r="H1837" s="1" t="s">
        <v>512</v>
      </c>
      <c r="I1837" s="1" t="s">
        <v>512</v>
      </c>
      <c r="J1837" s="1" t="s">
        <v>512</v>
      </c>
      <c r="K1837" s="1" t="s">
        <v>512</v>
      </c>
      <c r="L1837" s="1" t="s">
        <v>512</v>
      </c>
      <c r="M1837" s="1" t="s">
        <v>512</v>
      </c>
      <c r="N1837" s="1" t="s">
        <v>512</v>
      </c>
      <c r="O1837" s="1" t="s">
        <v>512</v>
      </c>
      <c r="Q1837" s="1" t="s">
        <v>512</v>
      </c>
    </row>
    <row r="1838" spans="4:17" x14ac:dyDescent="0.25">
      <c r="D1838" s="1" t="s">
        <v>512</v>
      </c>
      <c r="E1838" s="21" t="s">
        <v>512</v>
      </c>
      <c r="F1838" s="1" t="s">
        <v>512</v>
      </c>
      <c r="G1838" s="1" t="s">
        <v>512</v>
      </c>
      <c r="H1838" s="1" t="s">
        <v>512</v>
      </c>
      <c r="I1838" s="1" t="s">
        <v>512</v>
      </c>
      <c r="J1838" s="1" t="s">
        <v>512</v>
      </c>
      <c r="K1838" s="1" t="s">
        <v>512</v>
      </c>
      <c r="L1838" s="1" t="s">
        <v>512</v>
      </c>
      <c r="M1838" s="1" t="s">
        <v>512</v>
      </c>
      <c r="N1838" s="1" t="s">
        <v>512</v>
      </c>
      <c r="O1838" s="1" t="s">
        <v>512</v>
      </c>
      <c r="Q1838" s="1" t="s">
        <v>512</v>
      </c>
    </row>
    <row r="1839" spans="4:17" x14ac:dyDescent="0.25">
      <c r="D1839" s="1" t="s">
        <v>512</v>
      </c>
      <c r="E1839" s="21" t="s">
        <v>512</v>
      </c>
      <c r="F1839" s="1" t="s">
        <v>512</v>
      </c>
      <c r="G1839" s="1" t="s">
        <v>512</v>
      </c>
      <c r="H1839" s="1" t="s">
        <v>512</v>
      </c>
      <c r="I1839" s="1" t="s">
        <v>512</v>
      </c>
      <c r="J1839" s="1" t="s">
        <v>512</v>
      </c>
      <c r="K1839" s="1" t="s">
        <v>512</v>
      </c>
      <c r="L1839" s="1" t="s">
        <v>512</v>
      </c>
      <c r="M1839" s="1" t="s">
        <v>512</v>
      </c>
      <c r="N1839" s="1" t="s">
        <v>512</v>
      </c>
      <c r="O1839" s="1" t="s">
        <v>512</v>
      </c>
      <c r="Q1839" s="1" t="s">
        <v>512</v>
      </c>
    </row>
    <row r="1840" spans="4:17" x14ac:dyDescent="0.25">
      <c r="D1840" s="1" t="s">
        <v>512</v>
      </c>
      <c r="E1840" s="21" t="s">
        <v>512</v>
      </c>
      <c r="F1840" s="1" t="s">
        <v>512</v>
      </c>
      <c r="G1840" s="1" t="s">
        <v>512</v>
      </c>
      <c r="H1840" s="1" t="s">
        <v>512</v>
      </c>
      <c r="I1840" s="1" t="s">
        <v>512</v>
      </c>
      <c r="J1840" s="1" t="s">
        <v>512</v>
      </c>
      <c r="K1840" s="1" t="s">
        <v>512</v>
      </c>
      <c r="L1840" s="1" t="s">
        <v>512</v>
      </c>
      <c r="M1840" s="1" t="s">
        <v>512</v>
      </c>
      <c r="N1840" s="1" t="s">
        <v>512</v>
      </c>
      <c r="O1840" s="1" t="s">
        <v>512</v>
      </c>
      <c r="Q1840" s="1" t="s">
        <v>512</v>
      </c>
    </row>
    <row r="1841" spans="4:17" x14ac:dyDescent="0.25">
      <c r="D1841" s="1" t="s">
        <v>512</v>
      </c>
      <c r="E1841" s="21" t="s">
        <v>512</v>
      </c>
      <c r="F1841" s="1" t="s">
        <v>512</v>
      </c>
      <c r="G1841" s="1" t="s">
        <v>512</v>
      </c>
      <c r="H1841" s="1" t="s">
        <v>512</v>
      </c>
      <c r="I1841" s="1" t="s">
        <v>512</v>
      </c>
      <c r="J1841" s="1" t="s">
        <v>512</v>
      </c>
      <c r="K1841" s="1" t="s">
        <v>512</v>
      </c>
      <c r="L1841" s="1" t="s">
        <v>512</v>
      </c>
      <c r="M1841" s="1" t="s">
        <v>512</v>
      </c>
      <c r="N1841" s="1" t="s">
        <v>512</v>
      </c>
      <c r="O1841" s="1" t="s">
        <v>512</v>
      </c>
      <c r="Q1841" s="1" t="s">
        <v>512</v>
      </c>
    </row>
    <row r="1842" spans="4:17" x14ac:dyDescent="0.25">
      <c r="D1842" s="1" t="s">
        <v>512</v>
      </c>
      <c r="E1842" s="21" t="s">
        <v>512</v>
      </c>
      <c r="F1842" s="1" t="s">
        <v>512</v>
      </c>
      <c r="G1842" s="1" t="s">
        <v>512</v>
      </c>
      <c r="H1842" s="1" t="s">
        <v>512</v>
      </c>
      <c r="I1842" s="1" t="s">
        <v>512</v>
      </c>
      <c r="J1842" s="1" t="s">
        <v>512</v>
      </c>
      <c r="K1842" s="1" t="s">
        <v>512</v>
      </c>
      <c r="L1842" s="1" t="s">
        <v>512</v>
      </c>
      <c r="M1842" s="1" t="s">
        <v>512</v>
      </c>
      <c r="N1842" s="1" t="s">
        <v>512</v>
      </c>
      <c r="O1842" s="1" t="s">
        <v>512</v>
      </c>
      <c r="Q1842" s="1" t="s">
        <v>512</v>
      </c>
    </row>
    <row r="1843" spans="4:17" x14ac:dyDescent="0.25">
      <c r="D1843" s="1" t="s">
        <v>512</v>
      </c>
      <c r="E1843" s="21" t="s">
        <v>512</v>
      </c>
      <c r="F1843" s="1" t="s">
        <v>512</v>
      </c>
      <c r="G1843" s="1" t="s">
        <v>512</v>
      </c>
      <c r="H1843" s="1" t="s">
        <v>512</v>
      </c>
      <c r="I1843" s="1" t="s">
        <v>512</v>
      </c>
      <c r="J1843" s="1" t="s">
        <v>512</v>
      </c>
      <c r="K1843" s="1" t="s">
        <v>512</v>
      </c>
      <c r="L1843" s="1" t="s">
        <v>512</v>
      </c>
      <c r="M1843" s="1" t="s">
        <v>512</v>
      </c>
      <c r="N1843" s="1" t="s">
        <v>512</v>
      </c>
      <c r="O1843" s="1" t="s">
        <v>512</v>
      </c>
      <c r="Q1843" s="1" t="s">
        <v>512</v>
      </c>
    </row>
    <row r="1844" spans="4:17" x14ac:dyDescent="0.25">
      <c r="D1844" s="1" t="s">
        <v>512</v>
      </c>
      <c r="E1844" s="21" t="s">
        <v>512</v>
      </c>
      <c r="F1844" s="1" t="s">
        <v>512</v>
      </c>
      <c r="G1844" s="1" t="s">
        <v>512</v>
      </c>
      <c r="H1844" s="1" t="s">
        <v>512</v>
      </c>
      <c r="I1844" s="1" t="s">
        <v>512</v>
      </c>
      <c r="J1844" s="1" t="s">
        <v>512</v>
      </c>
      <c r="K1844" s="1" t="s">
        <v>512</v>
      </c>
      <c r="L1844" s="1" t="s">
        <v>512</v>
      </c>
      <c r="M1844" s="1" t="s">
        <v>512</v>
      </c>
      <c r="N1844" s="1" t="s">
        <v>512</v>
      </c>
      <c r="O1844" s="1" t="s">
        <v>512</v>
      </c>
      <c r="Q1844" s="1" t="s">
        <v>512</v>
      </c>
    </row>
    <row r="1845" spans="4:17" x14ac:dyDescent="0.25">
      <c r="D1845" s="1" t="s">
        <v>512</v>
      </c>
      <c r="E1845" s="21" t="s">
        <v>512</v>
      </c>
      <c r="F1845" s="1" t="s">
        <v>512</v>
      </c>
      <c r="G1845" s="1" t="s">
        <v>512</v>
      </c>
      <c r="H1845" s="1" t="s">
        <v>512</v>
      </c>
      <c r="I1845" s="1" t="s">
        <v>512</v>
      </c>
      <c r="J1845" s="1" t="s">
        <v>512</v>
      </c>
      <c r="K1845" s="1" t="s">
        <v>512</v>
      </c>
      <c r="L1845" s="1" t="s">
        <v>512</v>
      </c>
      <c r="M1845" s="1" t="s">
        <v>512</v>
      </c>
      <c r="N1845" s="1" t="s">
        <v>512</v>
      </c>
      <c r="O1845" s="1" t="s">
        <v>512</v>
      </c>
      <c r="Q1845" s="1" t="s">
        <v>512</v>
      </c>
    </row>
    <row r="1846" spans="4:17" x14ac:dyDescent="0.25">
      <c r="D1846" s="1" t="s">
        <v>512</v>
      </c>
      <c r="E1846" s="21" t="s">
        <v>512</v>
      </c>
      <c r="F1846" s="1" t="s">
        <v>512</v>
      </c>
      <c r="G1846" s="1" t="s">
        <v>512</v>
      </c>
      <c r="H1846" s="1" t="s">
        <v>512</v>
      </c>
      <c r="I1846" s="1" t="s">
        <v>512</v>
      </c>
      <c r="J1846" s="1" t="s">
        <v>512</v>
      </c>
      <c r="K1846" s="1" t="s">
        <v>512</v>
      </c>
      <c r="L1846" s="1" t="s">
        <v>512</v>
      </c>
      <c r="M1846" s="1" t="s">
        <v>512</v>
      </c>
      <c r="N1846" s="1" t="s">
        <v>512</v>
      </c>
      <c r="O1846" s="1" t="s">
        <v>512</v>
      </c>
      <c r="Q1846" s="1" t="s">
        <v>512</v>
      </c>
    </row>
    <row r="1847" spans="4:17" x14ac:dyDescent="0.25">
      <c r="D1847" s="1" t="s">
        <v>512</v>
      </c>
      <c r="E1847" s="21" t="s">
        <v>512</v>
      </c>
      <c r="F1847" s="1" t="s">
        <v>512</v>
      </c>
      <c r="G1847" s="1" t="s">
        <v>512</v>
      </c>
      <c r="H1847" s="1" t="s">
        <v>512</v>
      </c>
      <c r="I1847" s="1" t="s">
        <v>512</v>
      </c>
      <c r="J1847" s="1" t="s">
        <v>512</v>
      </c>
      <c r="K1847" s="1" t="s">
        <v>512</v>
      </c>
      <c r="L1847" s="1" t="s">
        <v>512</v>
      </c>
      <c r="M1847" s="1" t="s">
        <v>512</v>
      </c>
      <c r="N1847" s="1" t="s">
        <v>512</v>
      </c>
      <c r="O1847" s="1" t="s">
        <v>512</v>
      </c>
      <c r="Q1847" s="1" t="s">
        <v>512</v>
      </c>
    </row>
    <row r="1848" spans="4:17" x14ac:dyDescent="0.25">
      <c r="D1848" s="1" t="s">
        <v>512</v>
      </c>
      <c r="E1848" s="21" t="s">
        <v>512</v>
      </c>
      <c r="F1848" s="1" t="s">
        <v>512</v>
      </c>
      <c r="G1848" s="1" t="s">
        <v>512</v>
      </c>
      <c r="H1848" s="1" t="s">
        <v>512</v>
      </c>
      <c r="I1848" s="1" t="s">
        <v>512</v>
      </c>
      <c r="J1848" s="1" t="s">
        <v>512</v>
      </c>
      <c r="K1848" s="1" t="s">
        <v>512</v>
      </c>
      <c r="L1848" s="1" t="s">
        <v>512</v>
      </c>
      <c r="M1848" s="1" t="s">
        <v>512</v>
      </c>
      <c r="N1848" s="1" t="s">
        <v>512</v>
      </c>
      <c r="O1848" s="1" t="s">
        <v>512</v>
      </c>
      <c r="Q1848" s="1" t="s">
        <v>512</v>
      </c>
    </row>
    <row r="1849" spans="4:17" x14ac:dyDescent="0.25">
      <c r="D1849" s="1" t="s">
        <v>512</v>
      </c>
      <c r="E1849" s="21" t="s">
        <v>512</v>
      </c>
      <c r="F1849" s="1" t="s">
        <v>512</v>
      </c>
      <c r="G1849" s="1" t="s">
        <v>512</v>
      </c>
      <c r="H1849" s="1" t="s">
        <v>512</v>
      </c>
      <c r="I1849" s="1" t="s">
        <v>512</v>
      </c>
      <c r="J1849" s="1" t="s">
        <v>512</v>
      </c>
      <c r="K1849" s="1" t="s">
        <v>512</v>
      </c>
      <c r="L1849" s="1" t="s">
        <v>512</v>
      </c>
      <c r="M1849" s="1" t="s">
        <v>512</v>
      </c>
      <c r="N1849" s="1" t="s">
        <v>512</v>
      </c>
      <c r="O1849" s="1" t="s">
        <v>512</v>
      </c>
      <c r="Q1849" s="1" t="s">
        <v>512</v>
      </c>
    </row>
    <row r="1850" spans="4:17" x14ac:dyDescent="0.25">
      <c r="D1850" s="1" t="s">
        <v>512</v>
      </c>
      <c r="E1850" s="21" t="s">
        <v>512</v>
      </c>
      <c r="F1850" s="1" t="s">
        <v>512</v>
      </c>
      <c r="G1850" s="1" t="s">
        <v>512</v>
      </c>
      <c r="H1850" s="1" t="s">
        <v>512</v>
      </c>
      <c r="I1850" s="1" t="s">
        <v>512</v>
      </c>
      <c r="J1850" s="1" t="s">
        <v>512</v>
      </c>
      <c r="K1850" s="1" t="s">
        <v>512</v>
      </c>
      <c r="L1850" s="1" t="s">
        <v>512</v>
      </c>
      <c r="M1850" s="1" t="s">
        <v>512</v>
      </c>
      <c r="N1850" s="1" t="s">
        <v>512</v>
      </c>
      <c r="O1850" s="1" t="s">
        <v>512</v>
      </c>
      <c r="Q1850" s="1" t="s">
        <v>512</v>
      </c>
    </row>
    <row r="1851" spans="4:17" x14ac:dyDescent="0.25">
      <c r="D1851" s="1" t="s">
        <v>512</v>
      </c>
      <c r="E1851" s="21" t="s">
        <v>512</v>
      </c>
      <c r="F1851" s="1" t="s">
        <v>512</v>
      </c>
      <c r="G1851" s="1" t="s">
        <v>512</v>
      </c>
      <c r="H1851" s="1" t="s">
        <v>512</v>
      </c>
      <c r="I1851" s="1" t="s">
        <v>512</v>
      </c>
      <c r="J1851" s="1" t="s">
        <v>512</v>
      </c>
      <c r="K1851" s="1" t="s">
        <v>512</v>
      </c>
      <c r="L1851" s="1" t="s">
        <v>512</v>
      </c>
      <c r="M1851" s="1" t="s">
        <v>512</v>
      </c>
      <c r="N1851" s="1" t="s">
        <v>512</v>
      </c>
      <c r="O1851" s="1" t="s">
        <v>512</v>
      </c>
      <c r="Q1851" s="1" t="s">
        <v>512</v>
      </c>
    </row>
    <row r="1852" spans="4:17" x14ac:dyDescent="0.25">
      <c r="D1852" s="1" t="s">
        <v>512</v>
      </c>
      <c r="E1852" s="21" t="s">
        <v>512</v>
      </c>
      <c r="F1852" s="1" t="s">
        <v>512</v>
      </c>
      <c r="G1852" s="1" t="s">
        <v>512</v>
      </c>
      <c r="H1852" s="1" t="s">
        <v>512</v>
      </c>
      <c r="I1852" s="1" t="s">
        <v>512</v>
      </c>
      <c r="J1852" s="1" t="s">
        <v>512</v>
      </c>
      <c r="K1852" s="1" t="s">
        <v>512</v>
      </c>
      <c r="L1852" s="1" t="s">
        <v>512</v>
      </c>
      <c r="M1852" s="1" t="s">
        <v>512</v>
      </c>
      <c r="N1852" s="1" t="s">
        <v>512</v>
      </c>
      <c r="O1852" s="1" t="s">
        <v>512</v>
      </c>
      <c r="Q1852" s="1" t="s">
        <v>512</v>
      </c>
    </row>
    <row r="1853" spans="4:17" x14ac:dyDescent="0.25">
      <c r="D1853" s="1" t="s">
        <v>512</v>
      </c>
      <c r="E1853" s="21" t="s">
        <v>512</v>
      </c>
      <c r="F1853" s="1" t="s">
        <v>512</v>
      </c>
      <c r="G1853" s="1" t="s">
        <v>512</v>
      </c>
      <c r="H1853" s="1" t="s">
        <v>512</v>
      </c>
      <c r="I1853" s="1" t="s">
        <v>512</v>
      </c>
      <c r="J1853" s="1" t="s">
        <v>512</v>
      </c>
      <c r="K1853" s="1" t="s">
        <v>512</v>
      </c>
      <c r="L1853" s="1" t="s">
        <v>512</v>
      </c>
      <c r="M1853" s="1" t="s">
        <v>512</v>
      </c>
      <c r="N1853" s="1" t="s">
        <v>512</v>
      </c>
      <c r="O1853" s="1" t="s">
        <v>512</v>
      </c>
      <c r="Q1853" s="1" t="s">
        <v>512</v>
      </c>
    </row>
    <row r="1854" spans="4:17" x14ac:dyDescent="0.25">
      <c r="D1854" s="1" t="s">
        <v>512</v>
      </c>
      <c r="E1854" s="21" t="s">
        <v>512</v>
      </c>
      <c r="F1854" s="1" t="s">
        <v>512</v>
      </c>
      <c r="G1854" s="1" t="s">
        <v>512</v>
      </c>
      <c r="H1854" s="1" t="s">
        <v>512</v>
      </c>
      <c r="I1854" s="1" t="s">
        <v>512</v>
      </c>
      <c r="J1854" s="1" t="s">
        <v>512</v>
      </c>
      <c r="K1854" s="1" t="s">
        <v>512</v>
      </c>
      <c r="L1854" s="1" t="s">
        <v>512</v>
      </c>
      <c r="M1854" s="1" t="s">
        <v>512</v>
      </c>
      <c r="N1854" s="1" t="s">
        <v>512</v>
      </c>
      <c r="O1854" s="1" t="s">
        <v>512</v>
      </c>
      <c r="Q1854" s="1" t="s">
        <v>512</v>
      </c>
    </row>
    <row r="1855" spans="4:17" x14ac:dyDescent="0.25">
      <c r="D1855" s="1" t="s">
        <v>512</v>
      </c>
      <c r="E1855" s="21" t="s">
        <v>512</v>
      </c>
      <c r="F1855" s="1" t="s">
        <v>512</v>
      </c>
      <c r="G1855" s="1" t="s">
        <v>512</v>
      </c>
      <c r="H1855" s="1" t="s">
        <v>512</v>
      </c>
      <c r="I1855" s="1" t="s">
        <v>512</v>
      </c>
      <c r="J1855" s="1" t="s">
        <v>512</v>
      </c>
      <c r="K1855" s="1" t="s">
        <v>512</v>
      </c>
      <c r="L1855" s="1" t="s">
        <v>512</v>
      </c>
      <c r="M1855" s="1" t="s">
        <v>512</v>
      </c>
      <c r="N1855" s="1" t="s">
        <v>512</v>
      </c>
      <c r="O1855" s="1" t="s">
        <v>512</v>
      </c>
      <c r="Q1855" s="1" t="s">
        <v>512</v>
      </c>
    </row>
    <row r="1856" spans="4:17" x14ac:dyDescent="0.25">
      <c r="D1856" s="1" t="s">
        <v>512</v>
      </c>
      <c r="E1856" s="21" t="s">
        <v>512</v>
      </c>
      <c r="F1856" s="1" t="s">
        <v>512</v>
      </c>
      <c r="G1856" s="1" t="s">
        <v>512</v>
      </c>
      <c r="H1856" s="1" t="s">
        <v>512</v>
      </c>
      <c r="I1856" s="1" t="s">
        <v>512</v>
      </c>
      <c r="J1856" s="1" t="s">
        <v>512</v>
      </c>
      <c r="K1856" s="1" t="s">
        <v>512</v>
      </c>
      <c r="L1856" s="1" t="s">
        <v>512</v>
      </c>
      <c r="M1856" s="1" t="s">
        <v>512</v>
      </c>
      <c r="N1856" s="1" t="s">
        <v>512</v>
      </c>
      <c r="O1856" s="1" t="s">
        <v>512</v>
      </c>
      <c r="Q1856" s="1" t="s">
        <v>512</v>
      </c>
    </row>
    <row r="1857" spans="4:17" x14ac:dyDescent="0.25">
      <c r="D1857" s="1" t="s">
        <v>512</v>
      </c>
      <c r="E1857" s="21" t="s">
        <v>512</v>
      </c>
      <c r="F1857" s="1" t="s">
        <v>512</v>
      </c>
      <c r="G1857" s="1" t="s">
        <v>512</v>
      </c>
      <c r="H1857" s="1" t="s">
        <v>512</v>
      </c>
      <c r="I1857" s="1" t="s">
        <v>512</v>
      </c>
      <c r="J1857" s="1" t="s">
        <v>512</v>
      </c>
      <c r="K1857" s="1" t="s">
        <v>512</v>
      </c>
      <c r="L1857" s="1" t="s">
        <v>512</v>
      </c>
      <c r="M1857" s="1" t="s">
        <v>512</v>
      </c>
      <c r="N1857" s="1" t="s">
        <v>512</v>
      </c>
      <c r="O1857" s="1" t="s">
        <v>512</v>
      </c>
      <c r="Q1857" s="1" t="s">
        <v>512</v>
      </c>
    </row>
    <row r="1858" spans="4:17" x14ac:dyDescent="0.25">
      <c r="D1858" s="1" t="s">
        <v>512</v>
      </c>
      <c r="E1858" s="21" t="s">
        <v>512</v>
      </c>
      <c r="F1858" s="1" t="s">
        <v>512</v>
      </c>
      <c r="G1858" s="1" t="s">
        <v>512</v>
      </c>
      <c r="H1858" s="1" t="s">
        <v>512</v>
      </c>
      <c r="I1858" s="1" t="s">
        <v>512</v>
      </c>
      <c r="J1858" s="1" t="s">
        <v>512</v>
      </c>
      <c r="K1858" s="1" t="s">
        <v>512</v>
      </c>
      <c r="L1858" s="1" t="s">
        <v>512</v>
      </c>
      <c r="M1858" s="1" t="s">
        <v>512</v>
      </c>
      <c r="N1858" s="1" t="s">
        <v>512</v>
      </c>
      <c r="O1858" s="1" t="s">
        <v>512</v>
      </c>
      <c r="Q1858" s="1" t="s">
        <v>512</v>
      </c>
    </row>
    <row r="1859" spans="4:17" x14ac:dyDescent="0.25">
      <c r="D1859" s="1" t="s">
        <v>512</v>
      </c>
      <c r="E1859" s="21" t="s">
        <v>512</v>
      </c>
      <c r="F1859" s="1" t="s">
        <v>512</v>
      </c>
      <c r="G1859" s="1" t="s">
        <v>512</v>
      </c>
      <c r="H1859" s="1" t="s">
        <v>512</v>
      </c>
      <c r="I1859" s="1" t="s">
        <v>512</v>
      </c>
      <c r="J1859" s="1" t="s">
        <v>512</v>
      </c>
      <c r="K1859" s="1" t="s">
        <v>512</v>
      </c>
      <c r="L1859" s="1" t="s">
        <v>512</v>
      </c>
      <c r="M1859" s="1" t="s">
        <v>512</v>
      </c>
      <c r="N1859" s="1" t="s">
        <v>512</v>
      </c>
      <c r="O1859" s="1" t="s">
        <v>512</v>
      </c>
      <c r="Q1859" s="1" t="s">
        <v>512</v>
      </c>
    </row>
    <row r="1860" spans="4:17" x14ac:dyDescent="0.25">
      <c r="D1860" s="1" t="s">
        <v>512</v>
      </c>
      <c r="E1860" s="21" t="s">
        <v>512</v>
      </c>
      <c r="F1860" s="1" t="s">
        <v>512</v>
      </c>
      <c r="G1860" s="1" t="s">
        <v>512</v>
      </c>
      <c r="H1860" s="1" t="s">
        <v>512</v>
      </c>
      <c r="I1860" s="1" t="s">
        <v>512</v>
      </c>
      <c r="J1860" s="1" t="s">
        <v>512</v>
      </c>
      <c r="K1860" s="1" t="s">
        <v>512</v>
      </c>
      <c r="L1860" s="1" t="s">
        <v>512</v>
      </c>
      <c r="M1860" s="1" t="s">
        <v>512</v>
      </c>
      <c r="N1860" s="1" t="s">
        <v>512</v>
      </c>
      <c r="O1860" s="1" t="s">
        <v>512</v>
      </c>
      <c r="Q1860" s="1" t="s">
        <v>512</v>
      </c>
    </row>
    <row r="1861" spans="4:17" x14ac:dyDescent="0.25">
      <c r="D1861" s="1" t="s">
        <v>512</v>
      </c>
      <c r="E1861" s="21" t="s">
        <v>512</v>
      </c>
      <c r="F1861" s="1" t="s">
        <v>512</v>
      </c>
      <c r="G1861" s="1" t="s">
        <v>512</v>
      </c>
      <c r="H1861" s="1" t="s">
        <v>512</v>
      </c>
      <c r="I1861" s="1" t="s">
        <v>512</v>
      </c>
      <c r="J1861" s="1" t="s">
        <v>512</v>
      </c>
      <c r="K1861" s="1" t="s">
        <v>512</v>
      </c>
      <c r="L1861" s="1" t="s">
        <v>512</v>
      </c>
      <c r="M1861" s="1" t="s">
        <v>512</v>
      </c>
      <c r="N1861" s="1" t="s">
        <v>512</v>
      </c>
      <c r="O1861" s="1" t="s">
        <v>512</v>
      </c>
      <c r="Q1861" s="1" t="s">
        <v>512</v>
      </c>
    </row>
    <row r="1862" spans="4:17" x14ac:dyDescent="0.25">
      <c r="D1862" s="1" t="s">
        <v>512</v>
      </c>
      <c r="E1862" s="21" t="s">
        <v>512</v>
      </c>
      <c r="F1862" s="1" t="s">
        <v>512</v>
      </c>
      <c r="G1862" s="1" t="s">
        <v>512</v>
      </c>
      <c r="H1862" s="1" t="s">
        <v>512</v>
      </c>
      <c r="I1862" s="1" t="s">
        <v>512</v>
      </c>
      <c r="J1862" s="1" t="s">
        <v>512</v>
      </c>
      <c r="K1862" s="1" t="s">
        <v>512</v>
      </c>
      <c r="L1862" s="1" t="s">
        <v>512</v>
      </c>
      <c r="M1862" s="1" t="s">
        <v>512</v>
      </c>
      <c r="N1862" s="1" t="s">
        <v>512</v>
      </c>
      <c r="O1862" s="1" t="s">
        <v>512</v>
      </c>
      <c r="Q1862" s="1" t="s">
        <v>512</v>
      </c>
    </row>
    <row r="1863" spans="4:17" x14ac:dyDescent="0.25">
      <c r="D1863" s="1" t="s">
        <v>512</v>
      </c>
      <c r="E1863" s="21" t="s">
        <v>512</v>
      </c>
      <c r="F1863" s="1" t="s">
        <v>512</v>
      </c>
      <c r="G1863" s="1" t="s">
        <v>512</v>
      </c>
      <c r="H1863" s="1" t="s">
        <v>512</v>
      </c>
      <c r="I1863" s="1" t="s">
        <v>512</v>
      </c>
      <c r="J1863" s="1" t="s">
        <v>512</v>
      </c>
      <c r="K1863" s="1" t="s">
        <v>512</v>
      </c>
      <c r="L1863" s="1" t="s">
        <v>512</v>
      </c>
      <c r="M1863" s="1" t="s">
        <v>512</v>
      </c>
      <c r="N1863" s="1" t="s">
        <v>512</v>
      </c>
      <c r="O1863" s="1" t="s">
        <v>512</v>
      </c>
      <c r="Q1863" s="1" t="s">
        <v>512</v>
      </c>
    </row>
    <row r="1864" spans="4:17" x14ac:dyDescent="0.25">
      <c r="D1864" s="1" t="s">
        <v>512</v>
      </c>
      <c r="E1864" s="21" t="s">
        <v>512</v>
      </c>
      <c r="F1864" s="1" t="s">
        <v>512</v>
      </c>
      <c r="G1864" s="1" t="s">
        <v>512</v>
      </c>
      <c r="H1864" s="1" t="s">
        <v>512</v>
      </c>
      <c r="I1864" s="1" t="s">
        <v>512</v>
      </c>
      <c r="J1864" s="1" t="s">
        <v>512</v>
      </c>
      <c r="K1864" s="1" t="s">
        <v>512</v>
      </c>
      <c r="L1864" s="1" t="s">
        <v>512</v>
      </c>
      <c r="M1864" s="1" t="s">
        <v>512</v>
      </c>
      <c r="N1864" s="1" t="s">
        <v>512</v>
      </c>
      <c r="O1864" s="1" t="s">
        <v>512</v>
      </c>
      <c r="Q1864" s="1" t="s">
        <v>512</v>
      </c>
    </row>
    <row r="1865" spans="4:17" x14ac:dyDescent="0.25">
      <c r="D1865" s="1" t="s">
        <v>512</v>
      </c>
      <c r="E1865" s="21" t="s">
        <v>512</v>
      </c>
      <c r="F1865" s="1" t="s">
        <v>512</v>
      </c>
      <c r="G1865" s="1" t="s">
        <v>512</v>
      </c>
      <c r="H1865" s="1" t="s">
        <v>512</v>
      </c>
      <c r="I1865" s="1" t="s">
        <v>512</v>
      </c>
      <c r="J1865" s="1" t="s">
        <v>512</v>
      </c>
      <c r="K1865" s="1" t="s">
        <v>512</v>
      </c>
      <c r="L1865" s="1" t="s">
        <v>512</v>
      </c>
      <c r="M1865" s="1" t="s">
        <v>512</v>
      </c>
      <c r="N1865" s="1" t="s">
        <v>512</v>
      </c>
      <c r="O1865" s="1" t="s">
        <v>512</v>
      </c>
      <c r="Q1865" s="1" t="s">
        <v>512</v>
      </c>
    </row>
    <row r="1866" spans="4:17" x14ac:dyDescent="0.25">
      <c r="D1866" s="1" t="s">
        <v>512</v>
      </c>
      <c r="E1866" s="21" t="s">
        <v>512</v>
      </c>
      <c r="F1866" s="1" t="s">
        <v>512</v>
      </c>
      <c r="G1866" s="1" t="s">
        <v>512</v>
      </c>
      <c r="H1866" s="1" t="s">
        <v>512</v>
      </c>
      <c r="I1866" s="1" t="s">
        <v>512</v>
      </c>
      <c r="J1866" s="1" t="s">
        <v>512</v>
      </c>
      <c r="K1866" s="1" t="s">
        <v>512</v>
      </c>
      <c r="L1866" s="1" t="s">
        <v>512</v>
      </c>
      <c r="M1866" s="1" t="s">
        <v>512</v>
      </c>
      <c r="N1866" s="1" t="s">
        <v>512</v>
      </c>
      <c r="O1866" s="1" t="s">
        <v>512</v>
      </c>
      <c r="Q1866" s="1" t="s">
        <v>512</v>
      </c>
    </row>
    <row r="1867" spans="4:17" x14ac:dyDescent="0.25">
      <c r="D1867" s="1" t="s">
        <v>512</v>
      </c>
      <c r="E1867" s="21" t="s">
        <v>512</v>
      </c>
      <c r="F1867" s="1" t="s">
        <v>512</v>
      </c>
      <c r="G1867" s="1" t="s">
        <v>512</v>
      </c>
      <c r="H1867" s="1" t="s">
        <v>512</v>
      </c>
      <c r="I1867" s="1" t="s">
        <v>512</v>
      </c>
      <c r="J1867" s="1" t="s">
        <v>512</v>
      </c>
      <c r="K1867" s="1" t="s">
        <v>512</v>
      </c>
      <c r="L1867" s="1" t="s">
        <v>512</v>
      </c>
      <c r="M1867" s="1" t="s">
        <v>512</v>
      </c>
      <c r="N1867" s="1" t="s">
        <v>512</v>
      </c>
      <c r="O1867" s="1" t="s">
        <v>512</v>
      </c>
      <c r="Q1867" s="1" t="s">
        <v>512</v>
      </c>
    </row>
    <row r="1868" spans="4:17" x14ac:dyDescent="0.25">
      <c r="D1868" s="1" t="s">
        <v>512</v>
      </c>
      <c r="E1868" s="21" t="s">
        <v>512</v>
      </c>
      <c r="F1868" s="1" t="s">
        <v>512</v>
      </c>
      <c r="G1868" s="1" t="s">
        <v>512</v>
      </c>
      <c r="H1868" s="1" t="s">
        <v>512</v>
      </c>
      <c r="I1868" s="1" t="s">
        <v>512</v>
      </c>
      <c r="J1868" s="1" t="s">
        <v>512</v>
      </c>
      <c r="K1868" s="1" t="s">
        <v>512</v>
      </c>
      <c r="L1868" s="1" t="s">
        <v>512</v>
      </c>
      <c r="M1868" s="1" t="s">
        <v>512</v>
      </c>
      <c r="N1868" s="1" t="s">
        <v>512</v>
      </c>
      <c r="O1868" s="1" t="s">
        <v>512</v>
      </c>
      <c r="Q1868" s="1" t="s">
        <v>512</v>
      </c>
    </row>
    <row r="1869" spans="4:17" x14ac:dyDescent="0.25">
      <c r="D1869" s="1" t="s">
        <v>512</v>
      </c>
      <c r="E1869" s="21" t="s">
        <v>512</v>
      </c>
      <c r="F1869" s="1" t="s">
        <v>512</v>
      </c>
      <c r="G1869" s="1" t="s">
        <v>512</v>
      </c>
      <c r="H1869" s="1" t="s">
        <v>512</v>
      </c>
      <c r="I1869" s="1" t="s">
        <v>512</v>
      </c>
      <c r="J1869" s="1" t="s">
        <v>512</v>
      </c>
      <c r="K1869" s="1" t="s">
        <v>512</v>
      </c>
      <c r="L1869" s="1" t="s">
        <v>512</v>
      </c>
      <c r="M1869" s="1" t="s">
        <v>512</v>
      </c>
      <c r="N1869" s="1" t="s">
        <v>512</v>
      </c>
      <c r="O1869" s="1" t="s">
        <v>512</v>
      </c>
      <c r="Q1869" s="1" t="s">
        <v>512</v>
      </c>
    </row>
    <row r="1870" spans="4:17" x14ac:dyDescent="0.25">
      <c r="D1870" s="1" t="s">
        <v>512</v>
      </c>
      <c r="E1870" s="21" t="s">
        <v>512</v>
      </c>
      <c r="F1870" s="1" t="s">
        <v>512</v>
      </c>
      <c r="G1870" s="1" t="s">
        <v>512</v>
      </c>
      <c r="H1870" s="1" t="s">
        <v>512</v>
      </c>
      <c r="I1870" s="1" t="s">
        <v>512</v>
      </c>
      <c r="J1870" s="1" t="s">
        <v>512</v>
      </c>
      <c r="K1870" s="1" t="s">
        <v>512</v>
      </c>
      <c r="L1870" s="1" t="s">
        <v>512</v>
      </c>
      <c r="M1870" s="1" t="s">
        <v>512</v>
      </c>
      <c r="N1870" s="1" t="s">
        <v>512</v>
      </c>
      <c r="O1870" s="1" t="s">
        <v>512</v>
      </c>
      <c r="Q1870" s="1" t="s">
        <v>512</v>
      </c>
    </row>
    <row r="1871" spans="4:17" x14ac:dyDescent="0.25">
      <c r="D1871" s="1" t="s">
        <v>512</v>
      </c>
      <c r="E1871" s="21" t="s">
        <v>512</v>
      </c>
      <c r="F1871" s="1" t="s">
        <v>512</v>
      </c>
      <c r="G1871" s="1" t="s">
        <v>512</v>
      </c>
      <c r="H1871" s="1" t="s">
        <v>512</v>
      </c>
      <c r="I1871" s="1" t="s">
        <v>512</v>
      </c>
      <c r="J1871" s="1" t="s">
        <v>512</v>
      </c>
      <c r="K1871" s="1" t="s">
        <v>512</v>
      </c>
      <c r="L1871" s="1" t="s">
        <v>512</v>
      </c>
      <c r="M1871" s="1" t="s">
        <v>512</v>
      </c>
      <c r="N1871" s="1" t="s">
        <v>512</v>
      </c>
      <c r="O1871" s="1" t="s">
        <v>512</v>
      </c>
      <c r="Q1871" s="1" t="s">
        <v>512</v>
      </c>
    </row>
    <row r="1872" spans="4:17" x14ac:dyDescent="0.25">
      <c r="D1872" s="1" t="s">
        <v>512</v>
      </c>
      <c r="E1872" s="21" t="s">
        <v>512</v>
      </c>
      <c r="F1872" s="1" t="s">
        <v>512</v>
      </c>
      <c r="G1872" s="1" t="s">
        <v>512</v>
      </c>
      <c r="H1872" s="1" t="s">
        <v>512</v>
      </c>
      <c r="I1872" s="1" t="s">
        <v>512</v>
      </c>
      <c r="J1872" s="1" t="s">
        <v>512</v>
      </c>
      <c r="K1872" s="1" t="s">
        <v>512</v>
      </c>
      <c r="L1872" s="1" t="s">
        <v>512</v>
      </c>
      <c r="M1872" s="1" t="s">
        <v>512</v>
      </c>
      <c r="N1872" s="1" t="s">
        <v>512</v>
      </c>
      <c r="O1872" s="1" t="s">
        <v>512</v>
      </c>
      <c r="Q1872" s="1" t="s">
        <v>512</v>
      </c>
    </row>
    <row r="1873" spans="4:17" x14ac:dyDescent="0.25">
      <c r="D1873" s="1" t="s">
        <v>512</v>
      </c>
      <c r="E1873" s="21" t="s">
        <v>512</v>
      </c>
      <c r="F1873" s="1" t="s">
        <v>512</v>
      </c>
      <c r="G1873" s="1" t="s">
        <v>512</v>
      </c>
      <c r="H1873" s="1" t="s">
        <v>512</v>
      </c>
      <c r="I1873" s="1" t="s">
        <v>512</v>
      </c>
      <c r="J1873" s="1" t="s">
        <v>512</v>
      </c>
      <c r="K1873" s="1" t="s">
        <v>512</v>
      </c>
      <c r="L1873" s="1" t="s">
        <v>512</v>
      </c>
      <c r="M1873" s="1" t="s">
        <v>512</v>
      </c>
      <c r="N1873" s="1" t="s">
        <v>512</v>
      </c>
      <c r="O1873" s="1" t="s">
        <v>512</v>
      </c>
      <c r="Q1873" s="1" t="s">
        <v>512</v>
      </c>
    </row>
    <row r="1874" spans="4:17" x14ac:dyDescent="0.25">
      <c r="D1874" s="1" t="s">
        <v>512</v>
      </c>
      <c r="E1874" s="21" t="s">
        <v>512</v>
      </c>
      <c r="F1874" s="1" t="s">
        <v>512</v>
      </c>
      <c r="G1874" s="1" t="s">
        <v>512</v>
      </c>
      <c r="H1874" s="1" t="s">
        <v>512</v>
      </c>
      <c r="I1874" s="1" t="s">
        <v>512</v>
      </c>
      <c r="J1874" s="1" t="s">
        <v>512</v>
      </c>
      <c r="K1874" s="1" t="s">
        <v>512</v>
      </c>
      <c r="L1874" s="1" t="s">
        <v>512</v>
      </c>
      <c r="M1874" s="1" t="s">
        <v>512</v>
      </c>
      <c r="N1874" s="1" t="s">
        <v>512</v>
      </c>
      <c r="O1874" s="1" t="s">
        <v>512</v>
      </c>
      <c r="Q1874" s="1" t="s">
        <v>512</v>
      </c>
    </row>
    <row r="1875" spans="4:17" x14ac:dyDescent="0.25">
      <c r="D1875" s="1" t="s">
        <v>512</v>
      </c>
      <c r="E1875" s="21" t="s">
        <v>512</v>
      </c>
      <c r="F1875" s="1" t="s">
        <v>512</v>
      </c>
      <c r="G1875" s="1" t="s">
        <v>512</v>
      </c>
      <c r="H1875" s="1" t="s">
        <v>512</v>
      </c>
      <c r="I1875" s="1" t="s">
        <v>512</v>
      </c>
      <c r="J1875" s="1" t="s">
        <v>512</v>
      </c>
      <c r="K1875" s="1" t="s">
        <v>512</v>
      </c>
      <c r="L1875" s="1" t="s">
        <v>512</v>
      </c>
      <c r="M1875" s="1" t="s">
        <v>512</v>
      </c>
      <c r="N1875" s="1" t="s">
        <v>512</v>
      </c>
      <c r="O1875" s="1" t="s">
        <v>512</v>
      </c>
      <c r="Q1875" s="1" t="s">
        <v>512</v>
      </c>
    </row>
    <row r="1876" spans="4:17" x14ac:dyDescent="0.25">
      <c r="D1876" s="1" t="s">
        <v>512</v>
      </c>
      <c r="E1876" s="21" t="s">
        <v>512</v>
      </c>
      <c r="F1876" s="1" t="s">
        <v>512</v>
      </c>
      <c r="G1876" s="1" t="s">
        <v>512</v>
      </c>
      <c r="H1876" s="1" t="s">
        <v>512</v>
      </c>
      <c r="I1876" s="1" t="s">
        <v>512</v>
      </c>
      <c r="J1876" s="1" t="s">
        <v>512</v>
      </c>
      <c r="K1876" s="1" t="s">
        <v>512</v>
      </c>
      <c r="L1876" s="1" t="s">
        <v>512</v>
      </c>
      <c r="M1876" s="1" t="s">
        <v>512</v>
      </c>
      <c r="N1876" s="1" t="s">
        <v>512</v>
      </c>
      <c r="O1876" s="1" t="s">
        <v>512</v>
      </c>
      <c r="Q1876" s="1" t="s">
        <v>512</v>
      </c>
    </row>
    <row r="1877" spans="4:17" x14ac:dyDescent="0.25">
      <c r="D1877" s="1" t="s">
        <v>512</v>
      </c>
      <c r="E1877" s="21" t="s">
        <v>512</v>
      </c>
      <c r="F1877" s="1" t="s">
        <v>512</v>
      </c>
      <c r="G1877" s="1" t="s">
        <v>512</v>
      </c>
      <c r="H1877" s="1" t="s">
        <v>512</v>
      </c>
      <c r="I1877" s="1" t="s">
        <v>512</v>
      </c>
      <c r="J1877" s="1" t="s">
        <v>512</v>
      </c>
      <c r="K1877" s="1" t="s">
        <v>512</v>
      </c>
      <c r="L1877" s="1" t="s">
        <v>512</v>
      </c>
      <c r="M1877" s="1" t="s">
        <v>512</v>
      </c>
      <c r="N1877" s="1" t="s">
        <v>512</v>
      </c>
      <c r="O1877" s="1" t="s">
        <v>512</v>
      </c>
      <c r="Q1877" s="1" t="s">
        <v>512</v>
      </c>
    </row>
    <row r="1878" spans="4:17" x14ac:dyDescent="0.25">
      <c r="D1878" s="1" t="s">
        <v>512</v>
      </c>
      <c r="E1878" s="21" t="s">
        <v>512</v>
      </c>
      <c r="F1878" s="1" t="s">
        <v>512</v>
      </c>
      <c r="G1878" s="1" t="s">
        <v>512</v>
      </c>
      <c r="H1878" s="1" t="s">
        <v>512</v>
      </c>
      <c r="I1878" s="1" t="s">
        <v>512</v>
      </c>
      <c r="J1878" s="1" t="s">
        <v>512</v>
      </c>
      <c r="K1878" s="1" t="s">
        <v>512</v>
      </c>
      <c r="L1878" s="1" t="s">
        <v>512</v>
      </c>
      <c r="M1878" s="1" t="s">
        <v>512</v>
      </c>
      <c r="N1878" s="1" t="s">
        <v>512</v>
      </c>
      <c r="O1878" s="1" t="s">
        <v>512</v>
      </c>
      <c r="Q1878" s="1" t="s">
        <v>512</v>
      </c>
    </row>
    <row r="1879" spans="4:17" x14ac:dyDescent="0.25">
      <c r="D1879" s="1" t="s">
        <v>512</v>
      </c>
      <c r="E1879" s="21" t="s">
        <v>512</v>
      </c>
      <c r="F1879" s="1" t="s">
        <v>512</v>
      </c>
      <c r="G1879" s="1" t="s">
        <v>512</v>
      </c>
      <c r="H1879" s="1" t="s">
        <v>512</v>
      </c>
      <c r="I1879" s="1" t="s">
        <v>512</v>
      </c>
      <c r="J1879" s="1" t="s">
        <v>512</v>
      </c>
      <c r="K1879" s="1" t="s">
        <v>512</v>
      </c>
      <c r="L1879" s="1" t="s">
        <v>512</v>
      </c>
      <c r="M1879" s="1" t="s">
        <v>512</v>
      </c>
      <c r="N1879" s="1" t="s">
        <v>512</v>
      </c>
      <c r="O1879" s="1" t="s">
        <v>512</v>
      </c>
      <c r="Q1879" s="1" t="s">
        <v>512</v>
      </c>
    </row>
    <row r="1880" spans="4:17" x14ac:dyDescent="0.25">
      <c r="D1880" s="1" t="s">
        <v>512</v>
      </c>
      <c r="E1880" s="21" t="s">
        <v>512</v>
      </c>
      <c r="F1880" s="1" t="s">
        <v>512</v>
      </c>
      <c r="G1880" s="1" t="s">
        <v>512</v>
      </c>
      <c r="H1880" s="1" t="s">
        <v>512</v>
      </c>
      <c r="I1880" s="1" t="s">
        <v>512</v>
      </c>
      <c r="J1880" s="1" t="s">
        <v>512</v>
      </c>
      <c r="K1880" s="1" t="s">
        <v>512</v>
      </c>
      <c r="L1880" s="1" t="s">
        <v>512</v>
      </c>
      <c r="M1880" s="1" t="s">
        <v>512</v>
      </c>
      <c r="N1880" s="1" t="s">
        <v>512</v>
      </c>
      <c r="O1880" s="1" t="s">
        <v>512</v>
      </c>
      <c r="Q1880" s="1" t="s">
        <v>512</v>
      </c>
    </row>
    <row r="1881" spans="4:17" x14ac:dyDescent="0.25">
      <c r="D1881" s="1" t="s">
        <v>512</v>
      </c>
      <c r="E1881" s="21" t="s">
        <v>512</v>
      </c>
      <c r="F1881" s="1" t="s">
        <v>512</v>
      </c>
      <c r="G1881" s="1" t="s">
        <v>512</v>
      </c>
      <c r="H1881" s="1" t="s">
        <v>512</v>
      </c>
      <c r="I1881" s="1" t="s">
        <v>512</v>
      </c>
      <c r="J1881" s="1" t="s">
        <v>512</v>
      </c>
      <c r="K1881" s="1" t="s">
        <v>512</v>
      </c>
      <c r="L1881" s="1" t="s">
        <v>512</v>
      </c>
      <c r="M1881" s="1" t="s">
        <v>512</v>
      </c>
      <c r="N1881" s="1" t="s">
        <v>512</v>
      </c>
      <c r="O1881" s="1" t="s">
        <v>512</v>
      </c>
      <c r="Q1881" s="1" t="s">
        <v>512</v>
      </c>
    </row>
    <row r="1882" spans="4:17" x14ac:dyDescent="0.25">
      <c r="D1882" s="1" t="s">
        <v>512</v>
      </c>
      <c r="E1882" s="21" t="s">
        <v>512</v>
      </c>
      <c r="F1882" s="1" t="s">
        <v>512</v>
      </c>
      <c r="G1882" s="1" t="s">
        <v>512</v>
      </c>
      <c r="H1882" s="1" t="s">
        <v>512</v>
      </c>
      <c r="I1882" s="1" t="s">
        <v>512</v>
      </c>
      <c r="J1882" s="1" t="s">
        <v>512</v>
      </c>
      <c r="K1882" s="1" t="s">
        <v>512</v>
      </c>
      <c r="L1882" s="1" t="s">
        <v>512</v>
      </c>
      <c r="M1882" s="1" t="s">
        <v>512</v>
      </c>
      <c r="N1882" s="1" t="s">
        <v>512</v>
      </c>
      <c r="O1882" s="1" t="s">
        <v>512</v>
      </c>
      <c r="Q1882" s="1" t="s">
        <v>512</v>
      </c>
    </row>
    <row r="1883" spans="4:17" x14ac:dyDescent="0.25">
      <c r="D1883" s="1" t="s">
        <v>512</v>
      </c>
      <c r="E1883" s="21" t="s">
        <v>512</v>
      </c>
      <c r="F1883" s="1" t="s">
        <v>512</v>
      </c>
      <c r="G1883" s="1" t="s">
        <v>512</v>
      </c>
      <c r="H1883" s="1" t="s">
        <v>512</v>
      </c>
      <c r="I1883" s="1" t="s">
        <v>512</v>
      </c>
      <c r="J1883" s="1" t="s">
        <v>512</v>
      </c>
      <c r="K1883" s="1" t="s">
        <v>512</v>
      </c>
      <c r="L1883" s="1" t="s">
        <v>512</v>
      </c>
      <c r="M1883" s="1" t="s">
        <v>512</v>
      </c>
      <c r="N1883" s="1" t="s">
        <v>512</v>
      </c>
      <c r="O1883" s="1" t="s">
        <v>512</v>
      </c>
      <c r="Q1883" s="1" t="s">
        <v>512</v>
      </c>
    </row>
    <row r="1884" spans="4:17" x14ac:dyDescent="0.25">
      <c r="D1884" s="1" t="s">
        <v>512</v>
      </c>
      <c r="E1884" s="21" t="s">
        <v>512</v>
      </c>
      <c r="F1884" s="1" t="s">
        <v>512</v>
      </c>
      <c r="G1884" s="1" t="s">
        <v>512</v>
      </c>
      <c r="H1884" s="1" t="s">
        <v>512</v>
      </c>
      <c r="I1884" s="1" t="s">
        <v>512</v>
      </c>
      <c r="J1884" s="1" t="s">
        <v>512</v>
      </c>
      <c r="K1884" s="1" t="s">
        <v>512</v>
      </c>
      <c r="L1884" s="1" t="s">
        <v>512</v>
      </c>
      <c r="M1884" s="1" t="s">
        <v>512</v>
      </c>
      <c r="N1884" s="1" t="s">
        <v>512</v>
      </c>
      <c r="O1884" s="1" t="s">
        <v>512</v>
      </c>
      <c r="Q1884" s="1" t="s">
        <v>512</v>
      </c>
    </row>
    <row r="1885" spans="4:17" x14ac:dyDescent="0.25">
      <c r="D1885" s="1" t="s">
        <v>512</v>
      </c>
      <c r="E1885" s="21" t="s">
        <v>512</v>
      </c>
      <c r="F1885" s="1" t="s">
        <v>512</v>
      </c>
      <c r="G1885" s="1" t="s">
        <v>512</v>
      </c>
      <c r="H1885" s="1" t="s">
        <v>512</v>
      </c>
      <c r="I1885" s="1" t="s">
        <v>512</v>
      </c>
      <c r="J1885" s="1" t="s">
        <v>512</v>
      </c>
      <c r="K1885" s="1" t="s">
        <v>512</v>
      </c>
      <c r="L1885" s="1" t="s">
        <v>512</v>
      </c>
      <c r="M1885" s="1" t="s">
        <v>512</v>
      </c>
      <c r="N1885" s="1" t="s">
        <v>512</v>
      </c>
      <c r="O1885" s="1" t="s">
        <v>512</v>
      </c>
      <c r="Q1885" s="1" t="s">
        <v>512</v>
      </c>
    </row>
    <row r="1886" spans="4:17" x14ac:dyDescent="0.25">
      <c r="D1886" s="1" t="s">
        <v>512</v>
      </c>
      <c r="E1886" s="21" t="s">
        <v>512</v>
      </c>
      <c r="F1886" s="1" t="s">
        <v>512</v>
      </c>
      <c r="G1886" s="1" t="s">
        <v>512</v>
      </c>
      <c r="H1886" s="1" t="s">
        <v>512</v>
      </c>
      <c r="I1886" s="1" t="s">
        <v>512</v>
      </c>
      <c r="J1886" s="1" t="s">
        <v>512</v>
      </c>
      <c r="K1886" s="1" t="s">
        <v>512</v>
      </c>
      <c r="L1886" s="1" t="s">
        <v>512</v>
      </c>
      <c r="M1886" s="1" t="s">
        <v>512</v>
      </c>
      <c r="N1886" s="1" t="s">
        <v>512</v>
      </c>
      <c r="O1886" s="1" t="s">
        <v>512</v>
      </c>
      <c r="Q1886" s="1" t="s">
        <v>512</v>
      </c>
    </row>
    <row r="1887" spans="4:17" x14ac:dyDescent="0.25">
      <c r="D1887" s="1" t="s">
        <v>512</v>
      </c>
      <c r="E1887" s="21" t="s">
        <v>512</v>
      </c>
      <c r="F1887" s="1" t="s">
        <v>512</v>
      </c>
      <c r="G1887" s="1" t="s">
        <v>512</v>
      </c>
      <c r="H1887" s="1" t="s">
        <v>512</v>
      </c>
      <c r="I1887" s="1" t="s">
        <v>512</v>
      </c>
      <c r="J1887" s="1" t="s">
        <v>512</v>
      </c>
      <c r="K1887" s="1" t="s">
        <v>512</v>
      </c>
      <c r="L1887" s="1" t="s">
        <v>512</v>
      </c>
      <c r="M1887" s="1" t="s">
        <v>512</v>
      </c>
      <c r="N1887" s="1" t="s">
        <v>512</v>
      </c>
      <c r="O1887" s="1" t="s">
        <v>512</v>
      </c>
      <c r="Q1887" s="1" t="s">
        <v>512</v>
      </c>
    </row>
    <row r="1888" spans="4:17" x14ac:dyDescent="0.25">
      <c r="D1888" s="1" t="s">
        <v>512</v>
      </c>
      <c r="E1888" s="21" t="s">
        <v>512</v>
      </c>
      <c r="F1888" s="1" t="s">
        <v>512</v>
      </c>
      <c r="G1888" s="1" t="s">
        <v>512</v>
      </c>
      <c r="H1888" s="1" t="s">
        <v>512</v>
      </c>
      <c r="I1888" s="1" t="s">
        <v>512</v>
      </c>
      <c r="J1888" s="1" t="s">
        <v>512</v>
      </c>
      <c r="K1888" s="1" t="s">
        <v>512</v>
      </c>
      <c r="L1888" s="1" t="s">
        <v>512</v>
      </c>
      <c r="M1888" s="1" t="s">
        <v>512</v>
      </c>
      <c r="N1888" s="1" t="s">
        <v>512</v>
      </c>
      <c r="O1888" s="1" t="s">
        <v>512</v>
      </c>
      <c r="Q1888" s="1" t="s">
        <v>512</v>
      </c>
    </row>
    <row r="1889" spans="4:17" x14ac:dyDescent="0.25">
      <c r="D1889" s="1" t="s">
        <v>512</v>
      </c>
      <c r="E1889" s="21" t="s">
        <v>512</v>
      </c>
      <c r="F1889" s="1" t="s">
        <v>512</v>
      </c>
      <c r="G1889" s="1" t="s">
        <v>512</v>
      </c>
      <c r="H1889" s="1" t="s">
        <v>512</v>
      </c>
      <c r="I1889" s="1" t="s">
        <v>512</v>
      </c>
      <c r="J1889" s="1" t="s">
        <v>512</v>
      </c>
      <c r="K1889" s="1" t="s">
        <v>512</v>
      </c>
      <c r="L1889" s="1" t="s">
        <v>512</v>
      </c>
      <c r="M1889" s="1" t="s">
        <v>512</v>
      </c>
      <c r="N1889" s="1" t="s">
        <v>512</v>
      </c>
      <c r="O1889" s="1" t="s">
        <v>512</v>
      </c>
      <c r="Q1889" s="1" t="s">
        <v>512</v>
      </c>
    </row>
    <row r="1890" spans="4:17" x14ac:dyDescent="0.25">
      <c r="D1890" s="1" t="s">
        <v>512</v>
      </c>
      <c r="E1890" s="21" t="s">
        <v>512</v>
      </c>
      <c r="F1890" s="1" t="s">
        <v>512</v>
      </c>
      <c r="G1890" s="1" t="s">
        <v>512</v>
      </c>
      <c r="H1890" s="1" t="s">
        <v>512</v>
      </c>
      <c r="I1890" s="1" t="s">
        <v>512</v>
      </c>
      <c r="J1890" s="1" t="s">
        <v>512</v>
      </c>
      <c r="K1890" s="1" t="s">
        <v>512</v>
      </c>
      <c r="L1890" s="1" t="s">
        <v>512</v>
      </c>
      <c r="M1890" s="1" t="s">
        <v>512</v>
      </c>
      <c r="N1890" s="1" t="s">
        <v>512</v>
      </c>
      <c r="O1890" s="1" t="s">
        <v>512</v>
      </c>
      <c r="Q1890" s="1" t="s">
        <v>512</v>
      </c>
    </row>
    <row r="1891" spans="4:17" x14ac:dyDescent="0.25">
      <c r="D1891" s="1" t="s">
        <v>512</v>
      </c>
      <c r="E1891" s="21" t="s">
        <v>512</v>
      </c>
      <c r="F1891" s="1" t="s">
        <v>512</v>
      </c>
      <c r="G1891" s="1" t="s">
        <v>512</v>
      </c>
      <c r="H1891" s="1" t="s">
        <v>512</v>
      </c>
      <c r="I1891" s="1" t="s">
        <v>512</v>
      </c>
      <c r="J1891" s="1" t="s">
        <v>512</v>
      </c>
      <c r="K1891" s="1" t="s">
        <v>512</v>
      </c>
      <c r="L1891" s="1" t="s">
        <v>512</v>
      </c>
      <c r="M1891" s="1" t="s">
        <v>512</v>
      </c>
      <c r="N1891" s="1" t="s">
        <v>512</v>
      </c>
      <c r="O1891" s="1" t="s">
        <v>512</v>
      </c>
      <c r="Q1891" s="1" t="s">
        <v>512</v>
      </c>
    </row>
    <row r="1892" spans="4:17" x14ac:dyDescent="0.25">
      <c r="D1892" s="1" t="s">
        <v>512</v>
      </c>
      <c r="E1892" s="21" t="s">
        <v>512</v>
      </c>
      <c r="F1892" s="1" t="s">
        <v>512</v>
      </c>
      <c r="G1892" s="1" t="s">
        <v>512</v>
      </c>
      <c r="H1892" s="1" t="s">
        <v>512</v>
      </c>
      <c r="I1892" s="1" t="s">
        <v>512</v>
      </c>
      <c r="J1892" s="1" t="s">
        <v>512</v>
      </c>
      <c r="K1892" s="1" t="s">
        <v>512</v>
      </c>
      <c r="L1892" s="1" t="s">
        <v>512</v>
      </c>
      <c r="M1892" s="1" t="s">
        <v>512</v>
      </c>
      <c r="N1892" s="1" t="s">
        <v>512</v>
      </c>
      <c r="O1892" s="1" t="s">
        <v>512</v>
      </c>
      <c r="Q1892" s="1" t="s">
        <v>512</v>
      </c>
    </row>
    <row r="1893" spans="4:17" x14ac:dyDescent="0.25">
      <c r="D1893" s="1" t="s">
        <v>512</v>
      </c>
      <c r="E1893" s="21" t="s">
        <v>512</v>
      </c>
      <c r="F1893" s="1" t="s">
        <v>512</v>
      </c>
      <c r="G1893" s="1" t="s">
        <v>512</v>
      </c>
      <c r="H1893" s="1" t="s">
        <v>512</v>
      </c>
      <c r="I1893" s="1" t="s">
        <v>512</v>
      </c>
      <c r="J1893" s="1" t="s">
        <v>512</v>
      </c>
      <c r="K1893" s="1" t="s">
        <v>512</v>
      </c>
      <c r="L1893" s="1" t="s">
        <v>512</v>
      </c>
      <c r="M1893" s="1" t="s">
        <v>512</v>
      </c>
      <c r="N1893" s="1" t="s">
        <v>512</v>
      </c>
      <c r="O1893" s="1" t="s">
        <v>512</v>
      </c>
      <c r="Q1893" s="1" t="s">
        <v>512</v>
      </c>
    </row>
    <row r="1894" spans="4:17" x14ac:dyDescent="0.25">
      <c r="D1894" s="1" t="s">
        <v>512</v>
      </c>
      <c r="E1894" s="21" t="s">
        <v>512</v>
      </c>
      <c r="F1894" s="1" t="s">
        <v>512</v>
      </c>
      <c r="G1894" s="1" t="s">
        <v>512</v>
      </c>
      <c r="H1894" s="1" t="s">
        <v>512</v>
      </c>
      <c r="I1894" s="1" t="s">
        <v>512</v>
      </c>
      <c r="J1894" s="1" t="s">
        <v>512</v>
      </c>
      <c r="K1894" s="1" t="s">
        <v>512</v>
      </c>
      <c r="L1894" s="1" t="s">
        <v>512</v>
      </c>
      <c r="M1894" s="1" t="s">
        <v>512</v>
      </c>
      <c r="N1894" s="1" t="s">
        <v>512</v>
      </c>
      <c r="O1894" s="1" t="s">
        <v>512</v>
      </c>
      <c r="Q1894" s="1" t="s">
        <v>512</v>
      </c>
    </row>
    <row r="1895" spans="4:17" x14ac:dyDescent="0.25">
      <c r="D1895" s="1" t="s">
        <v>512</v>
      </c>
      <c r="E1895" s="21" t="s">
        <v>512</v>
      </c>
      <c r="F1895" s="1" t="s">
        <v>512</v>
      </c>
      <c r="G1895" s="1" t="s">
        <v>512</v>
      </c>
      <c r="H1895" s="1" t="s">
        <v>512</v>
      </c>
      <c r="I1895" s="1" t="s">
        <v>512</v>
      </c>
      <c r="J1895" s="1" t="s">
        <v>512</v>
      </c>
      <c r="K1895" s="1" t="s">
        <v>512</v>
      </c>
      <c r="L1895" s="1" t="s">
        <v>512</v>
      </c>
      <c r="M1895" s="1" t="s">
        <v>512</v>
      </c>
      <c r="N1895" s="1" t="s">
        <v>512</v>
      </c>
      <c r="O1895" s="1" t="s">
        <v>512</v>
      </c>
      <c r="Q1895" s="1" t="s">
        <v>512</v>
      </c>
    </row>
    <row r="1896" spans="4:17" x14ac:dyDescent="0.25">
      <c r="D1896" s="1" t="s">
        <v>512</v>
      </c>
      <c r="E1896" s="21" t="s">
        <v>512</v>
      </c>
      <c r="F1896" s="1" t="s">
        <v>512</v>
      </c>
      <c r="G1896" s="1" t="s">
        <v>512</v>
      </c>
      <c r="H1896" s="1" t="s">
        <v>512</v>
      </c>
      <c r="I1896" s="1" t="s">
        <v>512</v>
      </c>
      <c r="J1896" s="1" t="s">
        <v>512</v>
      </c>
      <c r="K1896" s="1" t="s">
        <v>512</v>
      </c>
      <c r="L1896" s="1" t="s">
        <v>512</v>
      </c>
      <c r="M1896" s="1" t="s">
        <v>512</v>
      </c>
      <c r="N1896" s="1" t="s">
        <v>512</v>
      </c>
      <c r="O1896" s="1" t="s">
        <v>512</v>
      </c>
      <c r="Q1896" s="1" t="s">
        <v>512</v>
      </c>
    </row>
    <row r="1897" spans="4:17" x14ac:dyDescent="0.25">
      <c r="D1897" s="1" t="s">
        <v>512</v>
      </c>
      <c r="E1897" s="21" t="s">
        <v>512</v>
      </c>
      <c r="F1897" s="1" t="s">
        <v>512</v>
      </c>
      <c r="G1897" s="1" t="s">
        <v>512</v>
      </c>
      <c r="H1897" s="1" t="s">
        <v>512</v>
      </c>
      <c r="I1897" s="1" t="s">
        <v>512</v>
      </c>
      <c r="J1897" s="1" t="s">
        <v>512</v>
      </c>
      <c r="K1897" s="1" t="s">
        <v>512</v>
      </c>
      <c r="L1897" s="1" t="s">
        <v>512</v>
      </c>
      <c r="M1897" s="1" t="s">
        <v>512</v>
      </c>
      <c r="N1897" s="1" t="s">
        <v>512</v>
      </c>
      <c r="O1897" s="1" t="s">
        <v>512</v>
      </c>
      <c r="Q1897" s="1" t="s">
        <v>512</v>
      </c>
    </row>
    <row r="1898" spans="4:17" x14ac:dyDescent="0.25">
      <c r="D1898" s="1" t="s">
        <v>512</v>
      </c>
      <c r="E1898" s="21" t="s">
        <v>512</v>
      </c>
      <c r="F1898" s="1" t="s">
        <v>512</v>
      </c>
      <c r="G1898" s="1" t="s">
        <v>512</v>
      </c>
      <c r="H1898" s="1" t="s">
        <v>512</v>
      </c>
      <c r="I1898" s="1" t="s">
        <v>512</v>
      </c>
      <c r="J1898" s="1" t="s">
        <v>512</v>
      </c>
      <c r="K1898" s="1" t="s">
        <v>512</v>
      </c>
      <c r="L1898" s="1" t="s">
        <v>512</v>
      </c>
      <c r="M1898" s="1" t="s">
        <v>512</v>
      </c>
      <c r="N1898" s="1" t="s">
        <v>512</v>
      </c>
      <c r="O1898" s="1" t="s">
        <v>512</v>
      </c>
      <c r="Q1898" s="1" t="s">
        <v>512</v>
      </c>
    </row>
    <row r="1899" spans="4:17" x14ac:dyDescent="0.25">
      <c r="D1899" s="1" t="s">
        <v>512</v>
      </c>
      <c r="E1899" s="21" t="s">
        <v>512</v>
      </c>
      <c r="F1899" s="1" t="s">
        <v>512</v>
      </c>
      <c r="G1899" s="1" t="s">
        <v>512</v>
      </c>
      <c r="H1899" s="1" t="s">
        <v>512</v>
      </c>
      <c r="I1899" s="1" t="s">
        <v>512</v>
      </c>
      <c r="J1899" s="1" t="s">
        <v>512</v>
      </c>
      <c r="K1899" s="1" t="s">
        <v>512</v>
      </c>
      <c r="L1899" s="1" t="s">
        <v>512</v>
      </c>
      <c r="M1899" s="1" t="s">
        <v>512</v>
      </c>
      <c r="N1899" s="1" t="s">
        <v>512</v>
      </c>
      <c r="O1899" s="1" t="s">
        <v>512</v>
      </c>
      <c r="Q1899" s="1" t="s">
        <v>512</v>
      </c>
    </row>
    <row r="1900" spans="4:17" x14ac:dyDescent="0.25">
      <c r="D1900" s="1" t="s">
        <v>512</v>
      </c>
      <c r="E1900" s="21" t="s">
        <v>512</v>
      </c>
      <c r="F1900" s="1" t="s">
        <v>512</v>
      </c>
      <c r="G1900" s="1" t="s">
        <v>512</v>
      </c>
      <c r="H1900" s="1" t="s">
        <v>512</v>
      </c>
      <c r="I1900" s="1" t="s">
        <v>512</v>
      </c>
      <c r="J1900" s="1" t="s">
        <v>512</v>
      </c>
      <c r="K1900" s="1" t="s">
        <v>512</v>
      </c>
      <c r="L1900" s="1" t="s">
        <v>512</v>
      </c>
      <c r="M1900" s="1" t="s">
        <v>512</v>
      </c>
      <c r="N1900" s="1" t="s">
        <v>512</v>
      </c>
      <c r="O1900" s="1" t="s">
        <v>512</v>
      </c>
      <c r="Q1900" s="1" t="s">
        <v>512</v>
      </c>
    </row>
    <row r="1901" spans="4:17" x14ac:dyDescent="0.25">
      <c r="D1901" s="1" t="s">
        <v>512</v>
      </c>
      <c r="E1901" s="21" t="s">
        <v>512</v>
      </c>
      <c r="F1901" s="1" t="s">
        <v>512</v>
      </c>
      <c r="G1901" s="1" t="s">
        <v>512</v>
      </c>
      <c r="H1901" s="1" t="s">
        <v>512</v>
      </c>
      <c r="I1901" s="1" t="s">
        <v>512</v>
      </c>
      <c r="J1901" s="1" t="s">
        <v>512</v>
      </c>
      <c r="K1901" s="1" t="s">
        <v>512</v>
      </c>
      <c r="L1901" s="1" t="s">
        <v>512</v>
      </c>
      <c r="M1901" s="1" t="s">
        <v>512</v>
      </c>
      <c r="N1901" s="1" t="s">
        <v>512</v>
      </c>
      <c r="O1901" s="1" t="s">
        <v>512</v>
      </c>
      <c r="Q1901" s="1" t="s">
        <v>512</v>
      </c>
    </row>
    <row r="1902" spans="4:17" x14ac:dyDescent="0.25">
      <c r="D1902" s="1" t="s">
        <v>512</v>
      </c>
      <c r="E1902" s="21" t="s">
        <v>512</v>
      </c>
      <c r="F1902" s="1" t="s">
        <v>512</v>
      </c>
      <c r="G1902" s="1" t="s">
        <v>512</v>
      </c>
      <c r="H1902" s="1" t="s">
        <v>512</v>
      </c>
      <c r="I1902" s="1" t="s">
        <v>512</v>
      </c>
      <c r="J1902" s="1" t="s">
        <v>512</v>
      </c>
      <c r="K1902" s="1" t="s">
        <v>512</v>
      </c>
      <c r="L1902" s="1" t="s">
        <v>512</v>
      </c>
      <c r="M1902" s="1" t="s">
        <v>512</v>
      </c>
      <c r="N1902" s="1" t="s">
        <v>512</v>
      </c>
      <c r="O1902" s="1" t="s">
        <v>512</v>
      </c>
      <c r="Q1902" s="1" t="s">
        <v>512</v>
      </c>
    </row>
    <row r="1903" spans="4:17" x14ac:dyDescent="0.25">
      <c r="D1903" s="1" t="s">
        <v>512</v>
      </c>
      <c r="E1903" s="21" t="s">
        <v>512</v>
      </c>
      <c r="F1903" s="1" t="s">
        <v>512</v>
      </c>
      <c r="G1903" s="1" t="s">
        <v>512</v>
      </c>
      <c r="H1903" s="1" t="s">
        <v>512</v>
      </c>
      <c r="I1903" s="1" t="s">
        <v>512</v>
      </c>
      <c r="J1903" s="1" t="s">
        <v>512</v>
      </c>
      <c r="K1903" s="1" t="s">
        <v>512</v>
      </c>
      <c r="L1903" s="1" t="s">
        <v>512</v>
      </c>
      <c r="M1903" s="1" t="s">
        <v>512</v>
      </c>
      <c r="N1903" s="1" t="s">
        <v>512</v>
      </c>
      <c r="O1903" s="1" t="s">
        <v>512</v>
      </c>
      <c r="Q1903" s="1" t="s">
        <v>512</v>
      </c>
    </row>
    <row r="1904" spans="4:17" x14ac:dyDescent="0.25">
      <c r="D1904" s="1" t="s">
        <v>512</v>
      </c>
      <c r="E1904" s="21" t="s">
        <v>512</v>
      </c>
      <c r="F1904" s="1" t="s">
        <v>512</v>
      </c>
      <c r="G1904" s="1" t="s">
        <v>512</v>
      </c>
      <c r="H1904" s="1" t="s">
        <v>512</v>
      </c>
      <c r="I1904" s="1" t="s">
        <v>512</v>
      </c>
      <c r="J1904" s="1" t="s">
        <v>512</v>
      </c>
      <c r="K1904" s="1" t="s">
        <v>512</v>
      </c>
      <c r="L1904" s="1" t="s">
        <v>512</v>
      </c>
      <c r="M1904" s="1" t="s">
        <v>512</v>
      </c>
      <c r="N1904" s="1" t="s">
        <v>512</v>
      </c>
      <c r="O1904" s="1" t="s">
        <v>512</v>
      </c>
      <c r="Q1904" s="1" t="s">
        <v>512</v>
      </c>
    </row>
    <row r="1905" spans="4:17" x14ac:dyDescent="0.25">
      <c r="D1905" s="1" t="s">
        <v>512</v>
      </c>
      <c r="E1905" s="21" t="s">
        <v>512</v>
      </c>
      <c r="F1905" s="1" t="s">
        <v>512</v>
      </c>
      <c r="G1905" s="1" t="s">
        <v>512</v>
      </c>
      <c r="H1905" s="1" t="s">
        <v>512</v>
      </c>
      <c r="I1905" s="1" t="s">
        <v>512</v>
      </c>
      <c r="J1905" s="1" t="s">
        <v>512</v>
      </c>
      <c r="K1905" s="1" t="s">
        <v>512</v>
      </c>
      <c r="L1905" s="1" t="s">
        <v>512</v>
      </c>
      <c r="M1905" s="1" t="s">
        <v>512</v>
      </c>
      <c r="N1905" s="1" t="s">
        <v>512</v>
      </c>
      <c r="O1905" s="1" t="s">
        <v>512</v>
      </c>
      <c r="Q1905" s="1" t="s">
        <v>512</v>
      </c>
    </row>
    <row r="1906" spans="4:17" x14ac:dyDescent="0.25">
      <c r="D1906" s="1" t="s">
        <v>512</v>
      </c>
      <c r="E1906" s="21" t="s">
        <v>512</v>
      </c>
      <c r="F1906" s="1" t="s">
        <v>512</v>
      </c>
      <c r="G1906" s="1" t="s">
        <v>512</v>
      </c>
      <c r="H1906" s="1" t="s">
        <v>512</v>
      </c>
      <c r="I1906" s="1" t="s">
        <v>512</v>
      </c>
      <c r="J1906" s="1" t="s">
        <v>512</v>
      </c>
      <c r="K1906" s="1" t="s">
        <v>512</v>
      </c>
      <c r="L1906" s="1" t="s">
        <v>512</v>
      </c>
      <c r="M1906" s="1" t="s">
        <v>512</v>
      </c>
      <c r="N1906" s="1" t="s">
        <v>512</v>
      </c>
      <c r="O1906" s="1" t="s">
        <v>512</v>
      </c>
      <c r="Q1906" s="1" t="s">
        <v>512</v>
      </c>
    </row>
    <row r="1907" spans="4:17" x14ac:dyDescent="0.25">
      <c r="D1907" s="1" t="s">
        <v>512</v>
      </c>
      <c r="E1907" s="21" t="s">
        <v>512</v>
      </c>
      <c r="F1907" s="1" t="s">
        <v>512</v>
      </c>
      <c r="G1907" s="1" t="s">
        <v>512</v>
      </c>
      <c r="H1907" s="1" t="s">
        <v>512</v>
      </c>
      <c r="I1907" s="1" t="s">
        <v>512</v>
      </c>
      <c r="J1907" s="1" t="s">
        <v>512</v>
      </c>
      <c r="K1907" s="1" t="s">
        <v>512</v>
      </c>
      <c r="L1907" s="1" t="s">
        <v>512</v>
      </c>
      <c r="M1907" s="1" t="s">
        <v>512</v>
      </c>
      <c r="N1907" s="1" t="s">
        <v>512</v>
      </c>
      <c r="O1907" s="1" t="s">
        <v>512</v>
      </c>
      <c r="Q1907" s="1" t="s">
        <v>512</v>
      </c>
    </row>
    <row r="1908" spans="4:17" x14ac:dyDescent="0.25">
      <c r="D1908" s="1" t="s">
        <v>512</v>
      </c>
      <c r="E1908" s="21" t="s">
        <v>512</v>
      </c>
      <c r="F1908" s="1" t="s">
        <v>512</v>
      </c>
      <c r="G1908" s="1" t="s">
        <v>512</v>
      </c>
      <c r="H1908" s="1" t="s">
        <v>512</v>
      </c>
      <c r="I1908" s="1" t="s">
        <v>512</v>
      </c>
      <c r="J1908" s="1" t="s">
        <v>512</v>
      </c>
      <c r="K1908" s="1" t="s">
        <v>512</v>
      </c>
      <c r="L1908" s="1" t="s">
        <v>512</v>
      </c>
      <c r="M1908" s="1" t="s">
        <v>512</v>
      </c>
      <c r="N1908" s="1" t="s">
        <v>512</v>
      </c>
      <c r="O1908" s="1" t="s">
        <v>512</v>
      </c>
      <c r="Q1908" s="1" t="s">
        <v>512</v>
      </c>
    </row>
    <row r="1909" spans="4:17" x14ac:dyDescent="0.25">
      <c r="D1909" s="1" t="s">
        <v>512</v>
      </c>
      <c r="E1909" s="21" t="s">
        <v>512</v>
      </c>
      <c r="F1909" s="1" t="s">
        <v>512</v>
      </c>
      <c r="G1909" s="1" t="s">
        <v>512</v>
      </c>
      <c r="H1909" s="1" t="s">
        <v>512</v>
      </c>
      <c r="I1909" s="1" t="s">
        <v>512</v>
      </c>
      <c r="J1909" s="1" t="s">
        <v>512</v>
      </c>
      <c r="K1909" s="1" t="s">
        <v>512</v>
      </c>
      <c r="L1909" s="1" t="s">
        <v>512</v>
      </c>
      <c r="M1909" s="1" t="s">
        <v>512</v>
      </c>
      <c r="N1909" s="1" t="s">
        <v>512</v>
      </c>
      <c r="O1909" s="1" t="s">
        <v>512</v>
      </c>
      <c r="Q1909" s="1" t="s">
        <v>512</v>
      </c>
    </row>
    <row r="1910" spans="4:17" x14ac:dyDescent="0.25">
      <c r="D1910" s="1" t="s">
        <v>512</v>
      </c>
      <c r="E1910" s="21" t="s">
        <v>512</v>
      </c>
      <c r="F1910" s="1" t="s">
        <v>512</v>
      </c>
      <c r="G1910" s="1" t="s">
        <v>512</v>
      </c>
      <c r="H1910" s="1" t="s">
        <v>512</v>
      </c>
      <c r="I1910" s="1" t="s">
        <v>512</v>
      </c>
      <c r="J1910" s="1" t="s">
        <v>512</v>
      </c>
      <c r="K1910" s="1" t="s">
        <v>512</v>
      </c>
      <c r="L1910" s="1" t="s">
        <v>512</v>
      </c>
      <c r="M1910" s="1" t="s">
        <v>512</v>
      </c>
      <c r="N1910" s="1" t="s">
        <v>512</v>
      </c>
      <c r="O1910" s="1" t="s">
        <v>512</v>
      </c>
      <c r="Q1910" s="1" t="s">
        <v>512</v>
      </c>
    </row>
    <row r="1911" spans="4:17" x14ac:dyDescent="0.25">
      <c r="D1911" s="1" t="s">
        <v>512</v>
      </c>
      <c r="E1911" s="21" t="s">
        <v>512</v>
      </c>
      <c r="F1911" s="1" t="s">
        <v>512</v>
      </c>
      <c r="G1911" s="1" t="s">
        <v>512</v>
      </c>
      <c r="H1911" s="1" t="s">
        <v>512</v>
      </c>
      <c r="I1911" s="1" t="s">
        <v>512</v>
      </c>
      <c r="J1911" s="1" t="s">
        <v>512</v>
      </c>
      <c r="K1911" s="1" t="s">
        <v>512</v>
      </c>
      <c r="L1911" s="1" t="s">
        <v>512</v>
      </c>
      <c r="M1911" s="1" t="s">
        <v>512</v>
      </c>
      <c r="N1911" s="1" t="s">
        <v>512</v>
      </c>
      <c r="O1911" s="1" t="s">
        <v>512</v>
      </c>
      <c r="Q1911" s="1" t="s">
        <v>512</v>
      </c>
    </row>
    <row r="1912" spans="4:17" x14ac:dyDescent="0.25">
      <c r="D1912" s="1" t="s">
        <v>512</v>
      </c>
      <c r="E1912" s="21" t="s">
        <v>512</v>
      </c>
      <c r="F1912" s="1" t="s">
        <v>512</v>
      </c>
      <c r="G1912" s="1" t="s">
        <v>512</v>
      </c>
      <c r="H1912" s="1" t="s">
        <v>512</v>
      </c>
      <c r="I1912" s="1" t="s">
        <v>512</v>
      </c>
      <c r="J1912" s="1" t="s">
        <v>512</v>
      </c>
      <c r="K1912" s="1" t="s">
        <v>512</v>
      </c>
      <c r="L1912" s="1" t="s">
        <v>512</v>
      </c>
      <c r="M1912" s="1" t="s">
        <v>512</v>
      </c>
      <c r="N1912" s="1" t="s">
        <v>512</v>
      </c>
      <c r="O1912" s="1" t="s">
        <v>512</v>
      </c>
      <c r="Q1912" s="1" t="s">
        <v>512</v>
      </c>
    </row>
    <row r="1913" spans="4:17" x14ac:dyDescent="0.25">
      <c r="D1913" s="1" t="s">
        <v>512</v>
      </c>
      <c r="E1913" s="21" t="s">
        <v>512</v>
      </c>
      <c r="F1913" s="1" t="s">
        <v>512</v>
      </c>
      <c r="G1913" s="1" t="s">
        <v>512</v>
      </c>
      <c r="H1913" s="1" t="s">
        <v>512</v>
      </c>
      <c r="I1913" s="1" t="s">
        <v>512</v>
      </c>
      <c r="J1913" s="1" t="s">
        <v>512</v>
      </c>
      <c r="K1913" s="1" t="s">
        <v>512</v>
      </c>
      <c r="L1913" s="1" t="s">
        <v>512</v>
      </c>
      <c r="M1913" s="1" t="s">
        <v>512</v>
      </c>
      <c r="N1913" s="1" t="s">
        <v>512</v>
      </c>
      <c r="O1913" s="1" t="s">
        <v>512</v>
      </c>
      <c r="Q1913" s="1" t="s">
        <v>512</v>
      </c>
    </row>
    <row r="1914" spans="4:17" x14ac:dyDescent="0.25">
      <c r="D1914" s="1" t="s">
        <v>512</v>
      </c>
      <c r="E1914" s="21" t="s">
        <v>512</v>
      </c>
      <c r="F1914" s="1" t="s">
        <v>512</v>
      </c>
      <c r="G1914" s="1" t="s">
        <v>512</v>
      </c>
      <c r="H1914" s="1" t="s">
        <v>512</v>
      </c>
      <c r="I1914" s="1" t="s">
        <v>512</v>
      </c>
      <c r="J1914" s="1" t="s">
        <v>512</v>
      </c>
      <c r="K1914" s="1" t="s">
        <v>512</v>
      </c>
      <c r="L1914" s="1" t="s">
        <v>512</v>
      </c>
      <c r="M1914" s="1" t="s">
        <v>512</v>
      </c>
      <c r="N1914" s="1" t="s">
        <v>512</v>
      </c>
      <c r="O1914" s="1" t="s">
        <v>512</v>
      </c>
      <c r="Q1914" s="1" t="s">
        <v>512</v>
      </c>
    </row>
    <row r="1915" spans="4:17" x14ac:dyDescent="0.25">
      <c r="D1915" s="1" t="s">
        <v>512</v>
      </c>
      <c r="E1915" s="21" t="s">
        <v>512</v>
      </c>
      <c r="F1915" s="1" t="s">
        <v>512</v>
      </c>
      <c r="G1915" s="1" t="s">
        <v>512</v>
      </c>
      <c r="H1915" s="1" t="s">
        <v>512</v>
      </c>
      <c r="I1915" s="1" t="s">
        <v>512</v>
      </c>
      <c r="J1915" s="1" t="s">
        <v>512</v>
      </c>
      <c r="K1915" s="1" t="s">
        <v>512</v>
      </c>
      <c r="L1915" s="1" t="s">
        <v>512</v>
      </c>
      <c r="M1915" s="1" t="s">
        <v>512</v>
      </c>
      <c r="N1915" s="1" t="s">
        <v>512</v>
      </c>
      <c r="O1915" s="1" t="s">
        <v>512</v>
      </c>
      <c r="Q1915" s="1" t="s">
        <v>512</v>
      </c>
    </row>
    <row r="1916" spans="4:17" x14ac:dyDescent="0.25">
      <c r="D1916" s="1" t="s">
        <v>512</v>
      </c>
      <c r="E1916" s="21" t="s">
        <v>512</v>
      </c>
      <c r="F1916" s="1" t="s">
        <v>512</v>
      </c>
      <c r="G1916" s="1" t="s">
        <v>512</v>
      </c>
      <c r="H1916" s="1" t="s">
        <v>512</v>
      </c>
      <c r="I1916" s="1" t="s">
        <v>512</v>
      </c>
      <c r="J1916" s="1" t="s">
        <v>512</v>
      </c>
      <c r="K1916" s="1" t="s">
        <v>512</v>
      </c>
      <c r="L1916" s="1" t="s">
        <v>512</v>
      </c>
      <c r="M1916" s="1" t="s">
        <v>512</v>
      </c>
      <c r="N1916" s="1" t="s">
        <v>512</v>
      </c>
      <c r="O1916" s="1" t="s">
        <v>512</v>
      </c>
      <c r="Q1916" s="1" t="s">
        <v>512</v>
      </c>
    </row>
    <row r="1917" spans="4:17" x14ac:dyDescent="0.25">
      <c r="D1917" s="1" t="s">
        <v>512</v>
      </c>
      <c r="E1917" s="21" t="s">
        <v>512</v>
      </c>
      <c r="F1917" s="1" t="s">
        <v>512</v>
      </c>
      <c r="G1917" s="1" t="s">
        <v>512</v>
      </c>
      <c r="H1917" s="1" t="s">
        <v>512</v>
      </c>
      <c r="I1917" s="1" t="s">
        <v>512</v>
      </c>
      <c r="J1917" s="1" t="s">
        <v>512</v>
      </c>
      <c r="K1917" s="1" t="s">
        <v>512</v>
      </c>
      <c r="L1917" s="1" t="s">
        <v>512</v>
      </c>
      <c r="M1917" s="1" t="s">
        <v>512</v>
      </c>
      <c r="N1917" s="1" t="s">
        <v>512</v>
      </c>
      <c r="O1917" s="1" t="s">
        <v>512</v>
      </c>
      <c r="Q1917" s="1" t="s">
        <v>512</v>
      </c>
    </row>
    <row r="1918" spans="4:17" x14ac:dyDescent="0.25">
      <c r="D1918" s="1" t="s">
        <v>512</v>
      </c>
      <c r="E1918" s="21" t="s">
        <v>512</v>
      </c>
      <c r="F1918" s="1" t="s">
        <v>512</v>
      </c>
      <c r="G1918" s="1" t="s">
        <v>512</v>
      </c>
      <c r="H1918" s="1" t="s">
        <v>512</v>
      </c>
      <c r="I1918" s="1" t="s">
        <v>512</v>
      </c>
      <c r="J1918" s="1" t="s">
        <v>512</v>
      </c>
      <c r="K1918" s="1" t="s">
        <v>512</v>
      </c>
      <c r="L1918" s="1" t="s">
        <v>512</v>
      </c>
      <c r="M1918" s="1" t="s">
        <v>512</v>
      </c>
      <c r="N1918" s="1" t="s">
        <v>512</v>
      </c>
      <c r="O1918" s="1" t="s">
        <v>512</v>
      </c>
      <c r="Q1918" s="1" t="s">
        <v>512</v>
      </c>
    </row>
    <row r="1919" spans="4:17" x14ac:dyDescent="0.25">
      <c r="D1919" s="1" t="s">
        <v>512</v>
      </c>
      <c r="E1919" s="21" t="s">
        <v>512</v>
      </c>
      <c r="F1919" s="1" t="s">
        <v>512</v>
      </c>
      <c r="G1919" s="1" t="s">
        <v>512</v>
      </c>
      <c r="H1919" s="1" t="s">
        <v>512</v>
      </c>
      <c r="I1919" s="1" t="s">
        <v>512</v>
      </c>
      <c r="J1919" s="1" t="s">
        <v>512</v>
      </c>
      <c r="K1919" s="1" t="s">
        <v>512</v>
      </c>
      <c r="L1919" s="1" t="s">
        <v>512</v>
      </c>
      <c r="M1919" s="1" t="s">
        <v>512</v>
      </c>
      <c r="N1919" s="1" t="s">
        <v>512</v>
      </c>
      <c r="O1919" s="1" t="s">
        <v>512</v>
      </c>
      <c r="Q1919" s="1" t="s">
        <v>512</v>
      </c>
    </row>
    <row r="1920" spans="4:17" x14ac:dyDescent="0.25">
      <c r="D1920" s="1" t="s">
        <v>512</v>
      </c>
      <c r="E1920" s="21" t="s">
        <v>512</v>
      </c>
      <c r="F1920" s="1" t="s">
        <v>512</v>
      </c>
      <c r="G1920" s="1" t="s">
        <v>512</v>
      </c>
      <c r="H1920" s="1" t="s">
        <v>512</v>
      </c>
      <c r="I1920" s="1" t="s">
        <v>512</v>
      </c>
      <c r="J1920" s="1" t="s">
        <v>512</v>
      </c>
      <c r="K1920" s="1" t="s">
        <v>512</v>
      </c>
      <c r="L1920" s="1" t="s">
        <v>512</v>
      </c>
      <c r="M1920" s="1" t="s">
        <v>512</v>
      </c>
      <c r="N1920" s="1" t="s">
        <v>512</v>
      </c>
      <c r="O1920" s="1" t="s">
        <v>512</v>
      </c>
      <c r="Q1920" s="1" t="s">
        <v>512</v>
      </c>
    </row>
    <row r="1921" spans="4:17" x14ac:dyDescent="0.25">
      <c r="D1921" s="1" t="s">
        <v>512</v>
      </c>
      <c r="E1921" s="21" t="s">
        <v>512</v>
      </c>
      <c r="F1921" s="1" t="s">
        <v>512</v>
      </c>
      <c r="G1921" s="1" t="s">
        <v>512</v>
      </c>
      <c r="H1921" s="1" t="s">
        <v>512</v>
      </c>
      <c r="I1921" s="1" t="s">
        <v>512</v>
      </c>
      <c r="J1921" s="1" t="s">
        <v>512</v>
      </c>
      <c r="K1921" s="1" t="s">
        <v>512</v>
      </c>
      <c r="L1921" s="1" t="s">
        <v>512</v>
      </c>
      <c r="M1921" s="1" t="s">
        <v>512</v>
      </c>
      <c r="N1921" s="1" t="s">
        <v>512</v>
      </c>
      <c r="O1921" s="1" t="s">
        <v>512</v>
      </c>
      <c r="Q1921" s="1" t="s">
        <v>512</v>
      </c>
    </row>
    <row r="1922" spans="4:17" x14ac:dyDescent="0.25">
      <c r="D1922" s="1" t="s">
        <v>512</v>
      </c>
      <c r="E1922" s="21" t="s">
        <v>512</v>
      </c>
      <c r="F1922" s="1" t="s">
        <v>512</v>
      </c>
      <c r="G1922" s="1" t="s">
        <v>512</v>
      </c>
      <c r="H1922" s="1" t="s">
        <v>512</v>
      </c>
      <c r="I1922" s="1" t="s">
        <v>512</v>
      </c>
      <c r="J1922" s="1" t="s">
        <v>512</v>
      </c>
      <c r="K1922" s="1" t="s">
        <v>512</v>
      </c>
      <c r="L1922" s="1" t="s">
        <v>512</v>
      </c>
      <c r="M1922" s="1" t="s">
        <v>512</v>
      </c>
      <c r="N1922" s="1" t="s">
        <v>512</v>
      </c>
      <c r="O1922" s="1" t="s">
        <v>512</v>
      </c>
      <c r="Q1922" s="1" t="s">
        <v>512</v>
      </c>
    </row>
    <row r="1923" spans="4:17" x14ac:dyDescent="0.25">
      <c r="D1923" s="1" t="s">
        <v>512</v>
      </c>
      <c r="E1923" s="21" t="s">
        <v>512</v>
      </c>
      <c r="F1923" s="1" t="s">
        <v>512</v>
      </c>
      <c r="G1923" s="1" t="s">
        <v>512</v>
      </c>
      <c r="H1923" s="1" t="s">
        <v>512</v>
      </c>
      <c r="I1923" s="1" t="s">
        <v>512</v>
      </c>
      <c r="J1923" s="1" t="s">
        <v>512</v>
      </c>
      <c r="K1923" s="1" t="s">
        <v>512</v>
      </c>
      <c r="L1923" s="1" t="s">
        <v>512</v>
      </c>
      <c r="M1923" s="1" t="s">
        <v>512</v>
      </c>
      <c r="N1923" s="1" t="s">
        <v>512</v>
      </c>
      <c r="O1923" s="1" t="s">
        <v>512</v>
      </c>
      <c r="Q1923" s="1" t="s">
        <v>512</v>
      </c>
    </row>
    <row r="1924" spans="4:17" x14ac:dyDescent="0.25">
      <c r="D1924" s="1" t="s">
        <v>512</v>
      </c>
      <c r="E1924" s="21" t="s">
        <v>512</v>
      </c>
      <c r="F1924" s="1" t="s">
        <v>512</v>
      </c>
      <c r="G1924" s="1" t="s">
        <v>512</v>
      </c>
      <c r="H1924" s="1" t="s">
        <v>512</v>
      </c>
      <c r="I1924" s="1" t="s">
        <v>512</v>
      </c>
      <c r="J1924" s="1" t="s">
        <v>512</v>
      </c>
      <c r="K1924" s="1" t="s">
        <v>512</v>
      </c>
      <c r="L1924" s="1" t="s">
        <v>512</v>
      </c>
      <c r="M1924" s="1" t="s">
        <v>512</v>
      </c>
      <c r="N1924" s="1" t="s">
        <v>512</v>
      </c>
      <c r="O1924" s="1" t="s">
        <v>512</v>
      </c>
      <c r="Q1924" s="1" t="s">
        <v>512</v>
      </c>
    </row>
    <row r="1925" spans="4:17" x14ac:dyDescent="0.25">
      <c r="D1925" s="1" t="s">
        <v>512</v>
      </c>
      <c r="E1925" s="21" t="s">
        <v>512</v>
      </c>
      <c r="F1925" s="1" t="s">
        <v>512</v>
      </c>
      <c r="G1925" s="1" t="s">
        <v>512</v>
      </c>
      <c r="H1925" s="1" t="s">
        <v>512</v>
      </c>
      <c r="I1925" s="1" t="s">
        <v>512</v>
      </c>
      <c r="J1925" s="1" t="s">
        <v>512</v>
      </c>
      <c r="K1925" s="1" t="s">
        <v>512</v>
      </c>
      <c r="L1925" s="1" t="s">
        <v>512</v>
      </c>
      <c r="M1925" s="1" t="s">
        <v>512</v>
      </c>
      <c r="N1925" s="1" t="s">
        <v>512</v>
      </c>
      <c r="O1925" s="1" t="s">
        <v>512</v>
      </c>
      <c r="Q1925" s="1" t="s">
        <v>512</v>
      </c>
    </row>
    <row r="1926" spans="4:17" x14ac:dyDescent="0.25">
      <c r="D1926" s="1" t="s">
        <v>512</v>
      </c>
      <c r="E1926" s="21" t="s">
        <v>512</v>
      </c>
      <c r="F1926" s="1" t="s">
        <v>512</v>
      </c>
      <c r="G1926" s="1" t="s">
        <v>512</v>
      </c>
      <c r="H1926" s="1" t="s">
        <v>512</v>
      </c>
      <c r="I1926" s="1" t="s">
        <v>512</v>
      </c>
      <c r="J1926" s="1" t="s">
        <v>512</v>
      </c>
      <c r="K1926" s="1" t="s">
        <v>512</v>
      </c>
      <c r="L1926" s="1" t="s">
        <v>512</v>
      </c>
      <c r="M1926" s="1" t="s">
        <v>512</v>
      </c>
      <c r="N1926" s="1" t="s">
        <v>512</v>
      </c>
      <c r="O1926" s="1" t="s">
        <v>512</v>
      </c>
      <c r="Q1926" s="1" t="s">
        <v>512</v>
      </c>
    </row>
    <row r="1927" spans="4:17" x14ac:dyDescent="0.25">
      <c r="D1927" s="1" t="s">
        <v>512</v>
      </c>
      <c r="E1927" s="21" t="s">
        <v>512</v>
      </c>
      <c r="F1927" s="1" t="s">
        <v>512</v>
      </c>
      <c r="G1927" s="1" t="s">
        <v>512</v>
      </c>
      <c r="H1927" s="1" t="s">
        <v>512</v>
      </c>
      <c r="I1927" s="1" t="s">
        <v>512</v>
      </c>
      <c r="J1927" s="1" t="s">
        <v>512</v>
      </c>
      <c r="K1927" s="1" t="s">
        <v>512</v>
      </c>
      <c r="L1927" s="1" t="s">
        <v>512</v>
      </c>
      <c r="M1927" s="1" t="s">
        <v>512</v>
      </c>
      <c r="N1927" s="1" t="s">
        <v>512</v>
      </c>
      <c r="O1927" s="1" t="s">
        <v>512</v>
      </c>
      <c r="Q1927" s="1" t="s">
        <v>512</v>
      </c>
    </row>
    <row r="1928" spans="4:17" x14ac:dyDescent="0.25">
      <c r="D1928" s="1" t="s">
        <v>512</v>
      </c>
      <c r="E1928" s="21" t="s">
        <v>512</v>
      </c>
      <c r="F1928" s="1" t="s">
        <v>512</v>
      </c>
      <c r="G1928" s="1" t="s">
        <v>512</v>
      </c>
      <c r="H1928" s="1" t="s">
        <v>512</v>
      </c>
      <c r="I1928" s="1" t="s">
        <v>512</v>
      </c>
      <c r="J1928" s="1" t="s">
        <v>512</v>
      </c>
      <c r="K1928" s="1" t="s">
        <v>512</v>
      </c>
      <c r="L1928" s="1" t="s">
        <v>512</v>
      </c>
      <c r="M1928" s="1" t="s">
        <v>512</v>
      </c>
      <c r="N1928" s="1" t="s">
        <v>512</v>
      </c>
      <c r="O1928" s="1" t="s">
        <v>512</v>
      </c>
      <c r="Q1928" s="1" t="s">
        <v>512</v>
      </c>
    </row>
    <row r="1929" spans="4:17" x14ac:dyDescent="0.25">
      <c r="D1929" s="1" t="s">
        <v>512</v>
      </c>
      <c r="E1929" s="21" t="s">
        <v>512</v>
      </c>
      <c r="F1929" s="1" t="s">
        <v>512</v>
      </c>
      <c r="G1929" s="1" t="s">
        <v>512</v>
      </c>
      <c r="H1929" s="1" t="s">
        <v>512</v>
      </c>
      <c r="I1929" s="1" t="s">
        <v>512</v>
      </c>
      <c r="J1929" s="1" t="s">
        <v>512</v>
      </c>
      <c r="K1929" s="1" t="s">
        <v>512</v>
      </c>
      <c r="L1929" s="1" t="s">
        <v>512</v>
      </c>
      <c r="M1929" s="1" t="s">
        <v>512</v>
      </c>
      <c r="N1929" s="1" t="s">
        <v>512</v>
      </c>
      <c r="O1929" s="1" t="s">
        <v>512</v>
      </c>
      <c r="Q1929" s="1" t="s">
        <v>512</v>
      </c>
    </row>
    <row r="1930" spans="4:17" x14ac:dyDescent="0.25">
      <c r="D1930" s="1" t="s">
        <v>512</v>
      </c>
      <c r="E1930" s="21" t="s">
        <v>512</v>
      </c>
      <c r="F1930" s="1" t="s">
        <v>512</v>
      </c>
      <c r="G1930" s="1" t="s">
        <v>512</v>
      </c>
      <c r="H1930" s="1" t="s">
        <v>512</v>
      </c>
      <c r="I1930" s="1" t="s">
        <v>512</v>
      </c>
      <c r="J1930" s="1" t="s">
        <v>512</v>
      </c>
      <c r="K1930" s="1" t="s">
        <v>512</v>
      </c>
      <c r="L1930" s="1" t="s">
        <v>512</v>
      </c>
      <c r="M1930" s="1" t="s">
        <v>512</v>
      </c>
      <c r="N1930" s="1" t="s">
        <v>512</v>
      </c>
      <c r="O1930" s="1" t="s">
        <v>512</v>
      </c>
      <c r="Q1930" s="1" t="s">
        <v>512</v>
      </c>
    </row>
    <row r="1931" spans="4:17" x14ac:dyDescent="0.25">
      <c r="D1931" s="1" t="s">
        <v>512</v>
      </c>
      <c r="E1931" s="21" t="s">
        <v>512</v>
      </c>
      <c r="F1931" s="1" t="s">
        <v>512</v>
      </c>
      <c r="G1931" s="1" t="s">
        <v>512</v>
      </c>
      <c r="H1931" s="1" t="s">
        <v>512</v>
      </c>
      <c r="I1931" s="1" t="s">
        <v>512</v>
      </c>
      <c r="J1931" s="1" t="s">
        <v>512</v>
      </c>
      <c r="K1931" s="1" t="s">
        <v>512</v>
      </c>
      <c r="L1931" s="1" t="s">
        <v>512</v>
      </c>
      <c r="M1931" s="1" t="s">
        <v>512</v>
      </c>
      <c r="N1931" s="1" t="s">
        <v>512</v>
      </c>
      <c r="O1931" s="1" t="s">
        <v>512</v>
      </c>
      <c r="Q1931" s="1" t="s">
        <v>512</v>
      </c>
    </row>
    <row r="1932" spans="4:17" x14ac:dyDescent="0.25">
      <c r="D1932" s="1" t="s">
        <v>512</v>
      </c>
      <c r="E1932" s="21" t="s">
        <v>512</v>
      </c>
      <c r="F1932" s="1" t="s">
        <v>512</v>
      </c>
      <c r="G1932" s="1" t="s">
        <v>512</v>
      </c>
      <c r="H1932" s="1" t="s">
        <v>512</v>
      </c>
      <c r="I1932" s="1" t="s">
        <v>512</v>
      </c>
      <c r="J1932" s="1" t="s">
        <v>512</v>
      </c>
      <c r="K1932" s="1" t="s">
        <v>512</v>
      </c>
      <c r="L1932" s="1" t="s">
        <v>512</v>
      </c>
      <c r="M1932" s="1" t="s">
        <v>512</v>
      </c>
      <c r="N1932" s="1" t="s">
        <v>512</v>
      </c>
      <c r="O1932" s="1" t="s">
        <v>512</v>
      </c>
      <c r="Q1932" s="1" t="s">
        <v>512</v>
      </c>
    </row>
    <row r="1933" spans="4:17" x14ac:dyDescent="0.25">
      <c r="D1933" s="1" t="s">
        <v>512</v>
      </c>
      <c r="E1933" s="21" t="s">
        <v>512</v>
      </c>
      <c r="F1933" s="1" t="s">
        <v>512</v>
      </c>
      <c r="G1933" s="1" t="s">
        <v>512</v>
      </c>
      <c r="H1933" s="1" t="s">
        <v>512</v>
      </c>
      <c r="I1933" s="1" t="s">
        <v>512</v>
      </c>
      <c r="J1933" s="1" t="s">
        <v>512</v>
      </c>
      <c r="K1933" s="1" t="s">
        <v>512</v>
      </c>
      <c r="L1933" s="1" t="s">
        <v>512</v>
      </c>
      <c r="M1933" s="1" t="s">
        <v>512</v>
      </c>
      <c r="N1933" s="1" t="s">
        <v>512</v>
      </c>
      <c r="O1933" s="1" t="s">
        <v>512</v>
      </c>
      <c r="Q1933" s="1" t="s">
        <v>512</v>
      </c>
    </row>
    <row r="1934" spans="4:17" x14ac:dyDescent="0.25">
      <c r="D1934" s="1" t="s">
        <v>512</v>
      </c>
      <c r="E1934" s="21" t="s">
        <v>512</v>
      </c>
      <c r="F1934" s="1" t="s">
        <v>512</v>
      </c>
      <c r="G1934" s="1" t="s">
        <v>512</v>
      </c>
      <c r="H1934" s="1" t="s">
        <v>512</v>
      </c>
      <c r="I1934" s="1" t="s">
        <v>512</v>
      </c>
      <c r="J1934" s="1" t="s">
        <v>512</v>
      </c>
      <c r="K1934" s="1" t="s">
        <v>512</v>
      </c>
      <c r="L1934" s="1" t="s">
        <v>512</v>
      </c>
      <c r="M1934" s="1" t="s">
        <v>512</v>
      </c>
      <c r="N1934" s="1" t="s">
        <v>512</v>
      </c>
      <c r="O1934" s="1" t="s">
        <v>512</v>
      </c>
      <c r="Q1934" s="1" t="s">
        <v>512</v>
      </c>
    </row>
    <row r="1935" spans="4:17" x14ac:dyDescent="0.25">
      <c r="D1935" s="1" t="s">
        <v>512</v>
      </c>
      <c r="E1935" s="21" t="s">
        <v>512</v>
      </c>
      <c r="F1935" s="1" t="s">
        <v>512</v>
      </c>
      <c r="G1935" s="1" t="s">
        <v>512</v>
      </c>
      <c r="H1935" s="1" t="s">
        <v>512</v>
      </c>
      <c r="I1935" s="1" t="s">
        <v>512</v>
      </c>
      <c r="J1935" s="1" t="s">
        <v>512</v>
      </c>
      <c r="K1935" s="1" t="s">
        <v>512</v>
      </c>
      <c r="L1935" s="1" t="s">
        <v>512</v>
      </c>
      <c r="M1935" s="1" t="s">
        <v>512</v>
      </c>
      <c r="N1935" s="1" t="s">
        <v>512</v>
      </c>
      <c r="O1935" s="1" t="s">
        <v>512</v>
      </c>
      <c r="Q1935" s="1" t="s">
        <v>512</v>
      </c>
    </row>
    <row r="1936" spans="4:17" x14ac:dyDescent="0.25">
      <c r="D1936" s="1" t="s">
        <v>512</v>
      </c>
      <c r="E1936" s="21" t="s">
        <v>512</v>
      </c>
      <c r="F1936" s="1" t="s">
        <v>512</v>
      </c>
      <c r="G1936" s="1" t="s">
        <v>512</v>
      </c>
      <c r="H1936" s="1" t="s">
        <v>512</v>
      </c>
      <c r="I1936" s="1" t="s">
        <v>512</v>
      </c>
      <c r="J1936" s="1" t="s">
        <v>512</v>
      </c>
      <c r="K1936" s="1" t="s">
        <v>512</v>
      </c>
      <c r="L1936" s="1" t="s">
        <v>512</v>
      </c>
      <c r="M1936" s="1" t="s">
        <v>512</v>
      </c>
      <c r="N1936" s="1" t="s">
        <v>512</v>
      </c>
      <c r="O1936" s="1" t="s">
        <v>512</v>
      </c>
      <c r="Q1936" s="1" t="s">
        <v>512</v>
      </c>
    </row>
    <row r="1937" spans="4:17" x14ac:dyDescent="0.25">
      <c r="D1937" s="1" t="s">
        <v>512</v>
      </c>
      <c r="E1937" s="21" t="s">
        <v>512</v>
      </c>
      <c r="F1937" s="1" t="s">
        <v>512</v>
      </c>
      <c r="G1937" s="1" t="s">
        <v>512</v>
      </c>
      <c r="H1937" s="1" t="s">
        <v>512</v>
      </c>
      <c r="I1937" s="1" t="s">
        <v>512</v>
      </c>
      <c r="J1937" s="1" t="s">
        <v>512</v>
      </c>
      <c r="K1937" s="1" t="s">
        <v>512</v>
      </c>
      <c r="L1937" s="1" t="s">
        <v>512</v>
      </c>
      <c r="M1937" s="1" t="s">
        <v>512</v>
      </c>
      <c r="N1937" s="1" t="s">
        <v>512</v>
      </c>
      <c r="O1937" s="1" t="s">
        <v>512</v>
      </c>
      <c r="Q1937" s="1" t="s">
        <v>512</v>
      </c>
    </row>
    <row r="1938" spans="4:17" x14ac:dyDescent="0.25">
      <c r="D1938" s="1" t="s">
        <v>512</v>
      </c>
      <c r="E1938" s="21" t="s">
        <v>512</v>
      </c>
      <c r="F1938" s="1" t="s">
        <v>512</v>
      </c>
      <c r="G1938" s="1" t="s">
        <v>512</v>
      </c>
      <c r="H1938" s="1" t="s">
        <v>512</v>
      </c>
      <c r="I1938" s="1" t="s">
        <v>512</v>
      </c>
      <c r="J1938" s="1" t="s">
        <v>512</v>
      </c>
      <c r="K1938" s="1" t="s">
        <v>512</v>
      </c>
      <c r="L1938" s="1" t="s">
        <v>512</v>
      </c>
      <c r="M1938" s="1" t="s">
        <v>512</v>
      </c>
      <c r="N1938" s="1" t="s">
        <v>512</v>
      </c>
      <c r="O1938" s="1" t="s">
        <v>512</v>
      </c>
      <c r="Q1938" s="1" t="s">
        <v>512</v>
      </c>
    </row>
    <row r="1939" spans="4:17" x14ac:dyDescent="0.25">
      <c r="D1939" s="1" t="s">
        <v>512</v>
      </c>
      <c r="E1939" s="21" t="s">
        <v>512</v>
      </c>
      <c r="F1939" s="1" t="s">
        <v>512</v>
      </c>
      <c r="G1939" s="1" t="s">
        <v>512</v>
      </c>
      <c r="H1939" s="1" t="s">
        <v>512</v>
      </c>
      <c r="I1939" s="1" t="s">
        <v>512</v>
      </c>
      <c r="J1939" s="1" t="s">
        <v>512</v>
      </c>
      <c r="K1939" s="1" t="s">
        <v>512</v>
      </c>
      <c r="L1939" s="1" t="s">
        <v>512</v>
      </c>
      <c r="M1939" s="1" t="s">
        <v>512</v>
      </c>
      <c r="N1939" s="1" t="s">
        <v>512</v>
      </c>
      <c r="O1939" s="1" t="s">
        <v>512</v>
      </c>
      <c r="Q1939" s="1" t="s">
        <v>512</v>
      </c>
    </row>
    <row r="1940" spans="4:17" x14ac:dyDescent="0.25">
      <c r="D1940" s="1" t="s">
        <v>512</v>
      </c>
      <c r="E1940" s="21" t="s">
        <v>512</v>
      </c>
      <c r="F1940" s="1" t="s">
        <v>512</v>
      </c>
      <c r="G1940" s="1" t="s">
        <v>512</v>
      </c>
      <c r="H1940" s="1" t="s">
        <v>512</v>
      </c>
      <c r="I1940" s="1" t="s">
        <v>512</v>
      </c>
      <c r="J1940" s="1" t="s">
        <v>512</v>
      </c>
      <c r="K1940" s="1" t="s">
        <v>512</v>
      </c>
      <c r="L1940" s="1" t="s">
        <v>512</v>
      </c>
      <c r="M1940" s="1" t="s">
        <v>512</v>
      </c>
      <c r="N1940" s="1" t="s">
        <v>512</v>
      </c>
      <c r="O1940" s="1" t="s">
        <v>512</v>
      </c>
      <c r="Q1940" s="1" t="s">
        <v>512</v>
      </c>
    </row>
    <row r="1941" spans="4:17" x14ac:dyDescent="0.25">
      <c r="D1941" s="1" t="s">
        <v>512</v>
      </c>
      <c r="E1941" s="21" t="s">
        <v>512</v>
      </c>
      <c r="F1941" s="1" t="s">
        <v>512</v>
      </c>
      <c r="G1941" s="1" t="s">
        <v>512</v>
      </c>
      <c r="H1941" s="1" t="s">
        <v>512</v>
      </c>
      <c r="I1941" s="1" t="s">
        <v>512</v>
      </c>
      <c r="J1941" s="1" t="s">
        <v>512</v>
      </c>
      <c r="K1941" s="1" t="s">
        <v>512</v>
      </c>
      <c r="L1941" s="1" t="s">
        <v>512</v>
      </c>
      <c r="M1941" s="1" t="s">
        <v>512</v>
      </c>
      <c r="N1941" s="1" t="s">
        <v>512</v>
      </c>
      <c r="O1941" s="1" t="s">
        <v>512</v>
      </c>
      <c r="Q1941" s="1" t="s">
        <v>512</v>
      </c>
    </row>
    <row r="1942" spans="4:17" x14ac:dyDescent="0.25">
      <c r="D1942" s="1" t="s">
        <v>512</v>
      </c>
      <c r="E1942" s="21" t="s">
        <v>512</v>
      </c>
      <c r="F1942" s="1" t="s">
        <v>512</v>
      </c>
      <c r="G1942" s="1" t="s">
        <v>512</v>
      </c>
      <c r="H1942" s="1" t="s">
        <v>512</v>
      </c>
      <c r="I1942" s="1" t="s">
        <v>512</v>
      </c>
      <c r="J1942" s="1" t="s">
        <v>512</v>
      </c>
      <c r="K1942" s="1" t="s">
        <v>512</v>
      </c>
      <c r="L1942" s="1" t="s">
        <v>512</v>
      </c>
      <c r="M1942" s="1" t="s">
        <v>512</v>
      </c>
      <c r="N1942" s="1" t="s">
        <v>512</v>
      </c>
      <c r="O1942" s="1" t="s">
        <v>512</v>
      </c>
      <c r="Q1942" s="1" t="s">
        <v>512</v>
      </c>
    </row>
    <row r="1943" spans="4:17" x14ac:dyDescent="0.25">
      <c r="D1943" s="1" t="s">
        <v>512</v>
      </c>
      <c r="E1943" s="21" t="s">
        <v>512</v>
      </c>
      <c r="F1943" s="1" t="s">
        <v>512</v>
      </c>
      <c r="G1943" s="1" t="s">
        <v>512</v>
      </c>
      <c r="H1943" s="1" t="s">
        <v>512</v>
      </c>
      <c r="I1943" s="1" t="s">
        <v>512</v>
      </c>
      <c r="J1943" s="1" t="s">
        <v>512</v>
      </c>
      <c r="K1943" s="1" t="s">
        <v>512</v>
      </c>
      <c r="L1943" s="1" t="s">
        <v>512</v>
      </c>
      <c r="M1943" s="1" t="s">
        <v>512</v>
      </c>
      <c r="N1943" s="1" t="s">
        <v>512</v>
      </c>
      <c r="O1943" s="1" t="s">
        <v>512</v>
      </c>
      <c r="Q1943" s="1" t="s">
        <v>512</v>
      </c>
    </row>
    <row r="1944" spans="4:17" x14ac:dyDescent="0.25">
      <c r="D1944" s="1" t="s">
        <v>512</v>
      </c>
      <c r="E1944" s="21" t="s">
        <v>512</v>
      </c>
      <c r="F1944" s="1" t="s">
        <v>512</v>
      </c>
      <c r="G1944" s="1" t="s">
        <v>512</v>
      </c>
      <c r="H1944" s="1" t="s">
        <v>512</v>
      </c>
      <c r="I1944" s="1" t="s">
        <v>512</v>
      </c>
      <c r="J1944" s="1" t="s">
        <v>512</v>
      </c>
      <c r="K1944" s="1" t="s">
        <v>512</v>
      </c>
      <c r="L1944" s="1" t="s">
        <v>512</v>
      </c>
      <c r="M1944" s="1" t="s">
        <v>512</v>
      </c>
      <c r="N1944" s="1" t="s">
        <v>512</v>
      </c>
      <c r="O1944" s="1" t="s">
        <v>512</v>
      </c>
      <c r="Q1944" s="1" t="s">
        <v>512</v>
      </c>
    </row>
    <row r="1945" spans="4:17" x14ac:dyDescent="0.25">
      <c r="D1945" s="1" t="s">
        <v>512</v>
      </c>
      <c r="E1945" s="21" t="s">
        <v>512</v>
      </c>
      <c r="F1945" s="1" t="s">
        <v>512</v>
      </c>
      <c r="G1945" s="1" t="s">
        <v>512</v>
      </c>
      <c r="H1945" s="1" t="s">
        <v>512</v>
      </c>
      <c r="I1945" s="1" t="s">
        <v>512</v>
      </c>
      <c r="J1945" s="1" t="s">
        <v>512</v>
      </c>
      <c r="K1945" s="1" t="s">
        <v>512</v>
      </c>
      <c r="L1945" s="1" t="s">
        <v>512</v>
      </c>
      <c r="M1945" s="1" t="s">
        <v>512</v>
      </c>
      <c r="N1945" s="1" t="s">
        <v>512</v>
      </c>
      <c r="O1945" s="1" t="s">
        <v>512</v>
      </c>
      <c r="Q1945" s="1" t="s">
        <v>512</v>
      </c>
    </row>
    <row r="1946" spans="4:17" x14ac:dyDescent="0.25">
      <c r="D1946" s="1" t="s">
        <v>512</v>
      </c>
      <c r="E1946" s="21" t="s">
        <v>512</v>
      </c>
      <c r="F1946" s="1" t="s">
        <v>512</v>
      </c>
      <c r="G1946" s="1" t="s">
        <v>512</v>
      </c>
      <c r="H1946" s="1" t="s">
        <v>512</v>
      </c>
      <c r="I1946" s="1" t="s">
        <v>512</v>
      </c>
      <c r="J1946" s="1" t="s">
        <v>512</v>
      </c>
      <c r="K1946" s="1" t="s">
        <v>512</v>
      </c>
      <c r="L1946" s="1" t="s">
        <v>512</v>
      </c>
      <c r="M1946" s="1" t="s">
        <v>512</v>
      </c>
      <c r="N1946" s="1" t="s">
        <v>512</v>
      </c>
      <c r="O1946" s="1" t="s">
        <v>512</v>
      </c>
      <c r="Q1946" s="1" t="s">
        <v>512</v>
      </c>
    </row>
    <row r="1947" spans="4:17" x14ac:dyDescent="0.25">
      <c r="D1947" s="1" t="s">
        <v>512</v>
      </c>
      <c r="E1947" s="21" t="s">
        <v>512</v>
      </c>
      <c r="F1947" s="1" t="s">
        <v>512</v>
      </c>
      <c r="G1947" s="1" t="s">
        <v>512</v>
      </c>
      <c r="H1947" s="1" t="s">
        <v>512</v>
      </c>
      <c r="I1947" s="1" t="s">
        <v>512</v>
      </c>
      <c r="J1947" s="1" t="s">
        <v>512</v>
      </c>
      <c r="K1947" s="1" t="s">
        <v>512</v>
      </c>
      <c r="L1947" s="1" t="s">
        <v>512</v>
      </c>
      <c r="M1947" s="1" t="s">
        <v>512</v>
      </c>
      <c r="N1947" s="1" t="s">
        <v>512</v>
      </c>
      <c r="O1947" s="1" t="s">
        <v>512</v>
      </c>
      <c r="Q1947" s="1" t="s">
        <v>512</v>
      </c>
    </row>
    <row r="1948" spans="4:17" x14ac:dyDescent="0.25">
      <c r="D1948" s="1" t="s">
        <v>512</v>
      </c>
      <c r="E1948" s="21" t="s">
        <v>512</v>
      </c>
      <c r="F1948" s="1" t="s">
        <v>512</v>
      </c>
      <c r="G1948" s="1" t="s">
        <v>512</v>
      </c>
      <c r="H1948" s="1" t="s">
        <v>512</v>
      </c>
      <c r="I1948" s="1" t="s">
        <v>512</v>
      </c>
      <c r="J1948" s="1" t="s">
        <v>512</v>
      </c>
      <c r="K1948" s="1" t="s">
        <v>512</v>
      </c>
      <c r="L1948" s="1" t="s">
        <v>512</v>
      </c>
      <c r="M1948" s="1" t="s">
        <v>512</v>
      </c>
      <c r="N1948" s="1" t="s">
        <v>512</v>
      </c>
      <c r="O1948" s="1" t="s">
        <v>512</v>
      </c>
      <c r="Q1948" s="1" t="s">
        <v>512</v>
      </c>
    </row>
    <row r="1949" spans="4:17" x14ac:dyDescent="0.25">
      <c r="D1949" s="1" t="s">
        <v>512</v>
      </c>
      <c r="E1949" s="21" t="s">
        <v>512</v>
      </c>
      <c r="F1949" s="1" t="s">
        <v>512</v>
      </c>
      <c r="G1949" s="1" t="s">
        <v>512</v>
      </c>
      <c r="H1949" s="1" t="s">
        <v>512</v>
      </c>
      <c r="I1949" s="1" t="s">
        <v>512</v>
      </c>
      <c r="J1949" s="1" t="s">
        <v>512</v>
      </c>
      <c r="K1949" s="1" t="s">
        <v>512</v>
      </c>
      <c r="L1949" s="1" t="s">
        <v>512</v>
      </c>
      <c r="M1949" s="1" t="s">
        <v>512</v>
      </c>
      <c r="N1949" s="1" t="s">
        <v>512</v>
      </c>
      <c r="O1949" s="1" t="s">
        <v>512</v>
      </c>
      <c r="Q1949" s="1" t="s">
        <v>512</v>
      </c>
    </row>
    <row r="1950" spans="4:17" x14ac:dyDescent="0.25">
      <c r="D1950" s="1" t="s">
        <v>512</v>
      </c>
      <c r="E1950" s="21" t="s">
        <v>512</v>
      </c>
      <c r="F1950" s="1" t="s">
        <v>512</v>
      </c>
      <c r="G1950" s="1" t="s">
        <v>512</v>
      </c>
      <c r="H1950" s="1" t="s">
        <v>512</v>
      </c>
      <c r="I1950" s="1" t="s">
        <v>512</v>
      </c>
      <c r="J1950" s="1" t="s">
        <v>512</v>
      </c>
      <c r="K1950" s="1" t="s">
        <v>512</v>
      </c>
      <c r="L1950" s="1" t="s">
        <v>512</v>
      </c>
      <c r="M1950" s="1" t="s">
        <v>512</v>
      </c>
      <c r="N1950" s="1" t="s">
        <v>512</v>
      </c>
      <c r="O1950" s="1" t="s">
        <v>512</v>
      </c>
      <c r="Q1950" s="1" t="s">
        <v>512</v>
      </c>
    </row>
    <row r="1951" spans="4:17" x14ac:dyDescent="0.25">
      <c r="D1951" s="1" t="s">
        <v>512</v>
      </c>
      <c r="E1951" s="21" t="s">
        <v>512</v>
      </c>
      <c r="F1951" s="1" t="s">
        <v>512</v>
      </c>
      <c r="G1951" s="1" t="s">
        <v>512</v>
      </c>
      <c r="H1951" s="1" t="s">
        <v>512</v>
      </c>
      <c r="I1951" s="1" t="s">
        <v>512</v>
      </c>
      <c r="J1951" s="1" t="s">
        <v>512</v>
      </c>
      <c r="K1951" s="1" t="s">
        <v>512</v>
      </c>
      <c r="L1951" s="1" t="s">
        <v>512</v>
      </c>
      <c r="M1951" s="1" t="s">
        <v>512</v>
      </c>
      <c r="N1951" s="1" t="s">
        <v>512</v>
      </c>
      <c r="O1951" s="1" t="s">
        <v>512</v>
      </c>
      <c r="Q1951" s="1" t="s">
        <v>512</v>
      </c>
    </row>
    <row r="1952" spans="4:17" x14ac:dyDescent="0.25">
      <c r="D1952" s="1" t="s">
        <v>512</v>
      </c>
      <c r="E1952" s="21" t="s">
        <v>512</v>
      </c>
      <c r="F1952" s="1" t="s">
        <v>512</v>
      </c>
      <c r="G1952" s="1" t="s">
        <v>512</v>
      </c>
      <c r="H1952" s="1" t="s">
        <v>512</v>
      </c>
      <c r="I1952" s="1" t="s">
        <v>512</v>
      </c>
      <c r="J1952" s="1" t="s">
        <v>512</v>
      </c>
      <c r="K1952" s="1" t="s">
        <v>512</v>
      </c>
      <c r="L1952" s="1" t="s">
        <v>512</v>
      </c>
      <c r="M1952" s="1" t="s">
        <v>512</v>
      </c>
      <c r="N1952" s="1" t="s">
        <v>512</v>
      </c>
      <c r="O1952" s="1" t="s">
        <v>512</v>
      </c>
      <c r="Q1952" s="1" t="s">
        <v>512</v>
      </c>
    </row>
    <row r="1953" spans="4:17" x14ac:dyDescent="0.25">
      <c r="D1953" s="1" t="s">
        <v>512</v>
      </c>
      <c r="E1953" s="21" t="s">
        <v>512</v>
      </c>
      <c r="F1953" s="1" t="s">
        <v>512</v>
      </c>
      <c r="G1953" s="1" t="s">
        <v>512</v>
      </c>
      <c r="H1953" s="1" t="s">
        <v>512</v>
      </c>
      <c r="I1953" s="1" t="s">
        <v>512</v>
      </c>
      <c r="J1953" s="1" t="s">
        <v>512</v>
      </c>
      <c r="K1953" s="1" t="s">
        <v>512</v>
      </c>
      <c r="L1953" s="1" t="s">
        <v>512</v>
      </c>
      <c r="M1953" s="1" t="s">
        <v>512</v>
      </c>
      <c r="N1953" s="1" t="s">
        <v>512</v>
      </c>
      <c r="O1953" s="1" t="s">
        <v>512</v>
      </c>
      <c r="Q1953" s="1" t="s">
        <v>512</v>
      </c>
    </row>
    <row r="1954" spans="4:17" x14ac:dyDescent="0.25">
      <c r="D1954" s="1" t="s">
        <v>512</v>
      </c>
      <c r="E1954" s="21" t="s">
        <v>512</v>
      </c>
      <c r="F1954" s="1" t="s">
        <v>512</v>
      </c>
      <c r="G1954" s="1" t="s">
        <v>512</v>
      </c>
      <c r="H1954" s="1" t="s">
        <v>512</v>
      </c>
      <c r="I1954" s="1" t="s">
        <v>512</v>
      </c>
      <c r="J1954" s="1" t="s">
        <v>512</v>
      </c>
      <c r="K1954" s="1" t="s">
        <v>512</v>
      </c>
      <c r="L1954" s="1" t="s">
        <v>512</v>
      </c>
      <c r="M1954" s="1" t="s">
        <v>512</v>
      </c>
      <c r="N1954" s="1" t="s">
        <v>512</v>
      </c>
      <c r="O1954" s="1" t="s">
        <v>512</v>
      </c>
      <c r="Q1954" s="1" t="s">
        <v>512</v>
      </c>
    </row>
    <row r="1955" spans="4:17" x14ac:dyDescent="0.25">
      <c r="D1955" s="1" t="s">
        <v>512</v>
      </c>
      <c r="E1955" s="21" t="s">
        <v>512</v>
      </c>
      <c r="F1955" s="1" t="s">
        <v>512</v>
      </c>
      <c r="G1955" s="1" t="s">
        <v>512</v>
      </c>
      <c r="H1955" s="1" t="s">
        <v>512</v>
      </c>
      <c r="I1955" s="1" t="s">
        <v>512</v>
      </c>
      <c r="J1955" s="1" t="s">
        <v>512</v>
      </c>
      <c r="K1955" s="1" t="s">
        <v>512</v>
      </c>
      <c r="L1955" s="1" t="s">
        <v>512</v>
      </c>
      <c r="M1955" s="1" t="s">
        <v>512</v>
      </c>
      <c r="N1955" s="1" t="s">
        <v>512</v>
      </c>
      <c r="O1955" s="1" t="s">
        <v>512</v>
      </c>
      <c r="Q1955" s="1" t="s">
        <v>512</v>
      </c>
    </row>
    <row r="1956" spans="4:17" x14ac:dyDescent="0.25">
      <c r="D1956" s="1" t="s">
        <v>512</v>
      </c>
      <c r="E1956" s="21" t="s">
        <v>512</v>
      </c>
      <c r="F1956" s="1" t="s">
        <v>512</v>
      </c>
      <c r="G1956" s="1" t="s">
        <v>512</v>
      </c>
      <c r="H1956" s="1" t="s">
        <v>512</v>
      </c>
      <c r="I1956" s="1" t="s">
        <v>512</v>
      </c>
      <c r="J1956" s="1" t="s">
        <v>512</v>
      </c>
      <c r="K1956" s="1" t="s">
        <v>512</v>
      </c>
      <c r="L1956" s="1" t="s">
        <v>512</v>
      </c>
      <c r="M1956" s="1" t="s">
        <v>512</v>
      </c>
      <c r="N1956" s="1" t="s">
        <v>512</v>
      </c>
      <c r="O1956" s="1" t="s">
        <v>512</v>
      </c>
      <c r="Q1956" s="1" t="s">
        <v>512</v>
      </c>
    </row>
    <row r="1957" spans="4:17" x14ac:dyDescent="0.25">
      <c r="D1957" s="1" t="s">
        <v>512</v>
      </c>
      <c r="E1957" s="21" t="s">
        <v>512</v>
      </c>
      <c r="F1957" s="1" t="s">
        <v>512</v>
      </c>
      <c r="G1957" s="1" t="s">
        <v>512</v>
      </c>
      <c r="H1957" s="1" t="s">
        <v>512</v>
      </c>
      <c r="I1957" s="1" t="s">
        <v>512</v>
      </c>
      <c r="J1957" s="1" t="s">
        <v>512</v>
      </c>
      <c r="K1957" s="1" t="s">
        <v>512</v>
      </c>
      <c r="L1957" s="1" t="s">
        <v>512</v>
      </c>
      <c r="M1957" s="1" t="s">
        <v>512</v>
      </c>
      <c r="N1957" s="1" t="s">
        <v>512</v>
      </c>
      <c r="O1957" s="1" t="s">
        <v>512</v>
      </c>
      <c r="Q1957" s="1" t="s">
        <v>512</v>
      </c>
    </row>
    <row r="1958" spans="4:17" x14ac:dyDescent="0.25">
      <c r="D1958" s="1" t="s">
        <v>512</v>
      </c>
      <c r="E1958" s="21" t="s">
        <v>512</v>
      </c>
      <c r="F1958" s="1" t="s">
        <v>512</v>
      </c>
      <c r="G1958" s="1" t="s">
        <v>512</v>
      </c>
      <c r="H1958" s="1" t="s">
        <v>512</v>
      </c>
      <c r="I1958" s="1" t="s">
        <v>512</v>
      </c>
      <c r="J1958" s="1" t="s">
        <v>512</v>
      </c>
      <c r="K1958" s="1" t="s">
        <v>512</v>
      </c>
      <c r="L1958" s="1" t="s">
        <v>512</v>
      </c>
      <c r="M1958" s="1" t="s">
        <v>512</v>
      </c>
      <c r="N1958" s="1" t="s">
        <v>512</v>
      </c>
      <c r="O1958" s="1" t="s">
        <v>512</v>
      </c>
      <c r="Q1958" s="1" t="s">
        <v>512</v>
      </c>
    </row>
    <row r="1959" spans="4:17" x14ac:dyDescent="0.25">
      <c r="D1959" s="1" t="s">
        <v>512</v>
      </c>
      <c r="E1959" s="21" t="s">
        <v>512</v>
      </c>
      <c r="F1959" s="1" t="s">
        <v>512</v>
      </c>
      <c r="G1959" s="1" t="s">
        <v>512</v>
      </c>
      <c r="H1959" s="1" t="s">
        <v>512</v>
      </c>
      <c r="I1959" s="1" t="s">
        <v>512</v>
      </c>
      <c r="J1959" s="1" t="s">
        <v>512</v>
      </c>
      <c r="K1959" s="1" t="s">
        <v>512</v>
      </c>
      <c r="L1959" s="1" t="s">
        <v>512</v>
      </c>
      <c r="M1959" s="1" t="s">
        <v>512</v>
      </c>
      <c r="N1959" s="1" t="s">
        <v>512</v>
      </c>
      <c r="O1959" s="1" t="s">
        <v>512</v>
      </c>
      <c r="Q1959" s="1" t="s">
        <v>512</v>
      </c>
    </row>
    <row r="1960" spans="4:17" x14ac:dyDescent="0.25">
      <c r="D1960" s="1" t="s">
        <v>512</v>
      </c>
      <c r="E1960" s="21" t="s">
        <v>512</v>
      </c>
      <c r="F1960" s="1" t="s">
        <v>512</v>
      </c>
      <c r="G1960" s="1" t="s">
        <v>512</v>
      </c>
      <c r="H1960" s="1" t="s">
        <v>512</v>
      </c>
      <c r="I1960" s="1" t="s">
        <v>512</v>
      </c>
      <c r="J1960" s="1" t="s">
        <v>512</v>
      </c>
      <c r="K1960" s="1" t="s">
        <v>512</v>
      </c>
      <c r="L1960" s="1" t="s">
        <v>512</v>
      </c>
      <c r="M1960" s="1" t="s">
        <v>512</v>
      </c>
      <c r="N1960" s="1" t="s">
        <v>512</v>
      </c>
      <c r="O1960" s="1" t="s">
        <v>512</v>
      </c>
      <c r="Q1960" s="1" t="s">
        <v>512</v>
      </c>
    </row>
    <row r="1961" spans="4:17" x14ac:dyDescent="0.25">
      <c r="D1961" s="1" t="s">
        <v>512</v>
      </c>
      <c r="E1961" s="21" t="s">
        <v>512</v>
      </c>
      <c r="F1961" s="1" t="s">
        <v>512</v>
      </c>
      <c r="G1961" s="1" t="s">
        <v>512</v>
      </c>
      <c r="H1961" s="1" t="s">
        <v>512</v>
      </c>
      <c r="I1961" s="1" t="s">
        <v>512</v>
      </c>
      <c r="J1961" s="1" t="s">
        <v>512</v>
      </c>
      <c r="K1961" s="1" t="s">
        <v>512</v>
      </c>
      <c r="L1961" s="1" t="s">
        <v>512</v>
      </c>
      <c r="M1961" s="1" t="s">
        <v>512</v>
      </c>
      <c r="N1961" s="1" t="s">
        <v>512</v>
      </c>
      <c r="O1961" s="1" t="s">
        <v>512</v>
      </c>
      <c r="Q1961" s="1" t="s">
        <v>512</v>
      </c>
    </row>
    <row r="1962" spans="4:17" x14ac:dyDescent="0.25">
      <c r="D1962" s="1" t="s">
        <v>512</v>
      </c>
      <c r="E1962" s="21" t="s">
        <v>512</v>
      </c>
      <c r="F1962" s="1" t="s">
        <v>512</v>
      </c>
      <c r="G1962" s="1" t="s">
        <v>512</v>
      </c>
      <c r="H1962" s="1" t="s">
        <v>512</v>
      </c>
      <c r="I1962" s="1" t="s">
        <v>512</v>
      </c>
      <c r="J1962" s="1" t="s">
        <v>512</v>
      </c>
      <c r="K1962" s="1" t="s">
        <v>512</v>
      </c>
      <c r="L1962" s="1" t="s">
        <v>512</v>
      </c>
      <c r="M1962" s="1" t="s">
        <v>512</v>
      </c>
      <c r="N1962" s="1" t="s">
        <v>512</v>
      </c>
      <c r="O1962" s="1" t="s">
        <v>512</v>
      </c>
      <c r="Q1962" s="1" t="s">
        <v>512</v>
      </c>
    </row>
    <row r="1963" spans="4:17" x14ac:dyDescent="0.25">
      <c r="D1963" s="1" t="s">
        <v>512</v>
      </c>
      <c r="E1963" s="21" t="s">
        <v>512</v>
      </c>
      <c r="F1963" s="1" t="s">
        <v>512</v>
      </c>
      <c r="G1963" s="1" t="s">
        <v>512</v>
      </c>
      <c r="H1963" s="1" t="s">
        <v>512</v>
      </c>
      <c r="I1963" s="1" t="s">
        <v>512</v>
      </c>
      <c r="J1963" s="1" t="s">
        <v>512</v>
      </c>
      <c r="K1963" s="1" t="s">
        <v>512</v>
      </c>
      <c r="L1963" s="1" t="s">
        <v>512</v>
      </c>
      <c r="M1963" s="1" t="s">
        <v>512</v>
      </c>
      <c r="N1963" s="1" t="s">
        <v>512</v>
      </c>
      <c r="O1963" s="1" t="s">
        <v>512</v>
      </c>
      <c r="Q1963" s="1" t="s">
        <v>512</v>
      </c>
    </row>
    <row r="1964" spans="4:17" x14ac:dyDescent="0.25">
      <c r="D1964" s="1" t="s">
        <v>512</v>
      </c>
      <c r="E1964" s="21" t="s">
        <v>512</v>
      </c>
      <c r="F1964" s="1" t="s">
        <v>512</v>
      </c>
      <c r="G1964" s="1" t="s">
        <v>512</v>
      </c>
      <c r="H1964" s="1" t="s">
        <v>512</v>
      </c>
      <c r="I1964" s="1" t="s">
        <v>512</v>
      </c>
      <c r="J1964" s="1" t="s">
        <v>512</v>
      </c>
      <c r="K1964" s="1" t="s">
        <v>512</v>
      </c>
      <c r="L1964" s="1" t="s">
        <v>512</v>
      </c>
      <c r="M1964" s="1" t="s">
        <v>512</v>
      </c>
      <c r="N1964" s="1" t="s">
        <v>512</v>
      </c>
      <c r="O1964" s="1" t="s">
        <v>512</v>
      </c>
      <c r="Q1964" s="1" t="s">
        <v>512</v>
      </c>
    </row>
    <row r="1965" spans="4:17" x14ac:dyDescent="0.25">
      <c r="D1965" s="1" t="s">
        <v>512</v>
      </c>
      <c r="E1965" s="21" t="s">
        <v>512</v>
      </c>
      <c r="F1965" s="1" t="s">
        <v>512</v>
      </c>
      <c r="G1965" s="1" t="s">
        <v>512</v>
      </c>
      <c r="H1965" s="1" t="s">
        <v>512</v>
      </c>
      <c r="I1965" s="1" t="s">
        <v>512</v>
      </c>
      <c r="J1965" s="1" t="s">
        <v>512</v>
      </c>
      <c r="K1965" s="1" t="s">
        <v>512</v>
      </c>
      <c r="L1965" s="1" t="s">
        <v>512</v>
      </c>
      <c r="M1965" s="1" t="s">
        <v>512</v>
      </c>
      <c r="N1965" s="1" t="s">
        <v>512</v>
      </c>
      <c r="O1965" s="1" t="s">
        <v>512</v>
      </c>
      <c r="Q1965" s="1" t="s">
        <v>512</v>
      </c>
    </row>
    <row r="1966" spans="4:17" x14ac:dyDescent="0.25">
      <c r="D1966" s="1" t="s">
        <v>512</v>
      </c>
      <c r="E1966" s="21" t="s">
        <v>512</v>
      </c>
      <c r="F1966" s="1" t="s">
        <v>512</v>
      </c>
      <c r="G1966" s="1" t="s">
        <v>512</v>
      </c>
      <c r="H1966" s="1" t="s">
        <v>512</v>
      </c>
      <c r="I1966" s="1" t="s">
        <v>512</v>
      </c>
      <c r="J1966" s="1" t="s">
        <v>512</v>
      </c>
      <c r="K1966" s="1" t="s">
        <v>512</v>
      </c>
      <c r="L1966" s="1" t="s">
        <v>512</v>
      </c>
      <c r="M1966" s="1" t="s">
        <v>512</v>
      </c>
      <c r="N1966" s="1" t="s">
        <v>512</v>
      </c>
      <c r="O1966" s="1" t="s">
        <v>512</v>
      </c>
      <c r="Q1966" s="1" t="s">
        <v>512</v>
      </c>
    </row>
    <row r="1967" spans="4:17" x14ac:dyDescent="0.25">
      <c r="D1967" s="1" t="s">
        <v>512</v>
      </c>
      <c r="E1967" s="21" t="s">
        <v>512</v>
      </c>
      <c r="F1967" s="1" t="s">
        <v>512</v>
      </c>
      <c r="G1967" s="1" t="s">
        <v>512</v>
      </c>
      <c r="H1967" s="1" t="s">
        <v>512</v>
      </c>
      <c r="I1967" s="1" t="s">
        <v>512</v>
      </c>
      <c r="J1967" s="1" t="s">
        <v>512</v>
      </c>
      <c r="K1967" s="1" t="s">
        <v>512</v>
      </c>
      <c r="L1967" s="1" t="s">
        <v>512</v>
      </c>
      <c r="M1967" s="1" t="s">
        <v>512</v>
      </c>
      <c r="N1967" s="1" t="s">
        <v>512</v>
      </c>
      <c r="O1967" s="1" t="s">
        <v>512</v>
      </c>
      <c r="Q1967" s="1" t="s">
        <v>512</v>
      </c>
    </row>
    <row r="1968" spans="4:17" x14ac:dyDescent="0.25">
      <c r="D1968" s="1" t="s">
        <v>512</v>
      </c>
      <c r="E1968" s="21" t="s">
        <v>512</v>
      </c>
      <c r="F1968" s="1" t="s">
        <v>512</v>
      </c>
      <c r="G1968" s="1" t="s">
        <v>512</v>
      </c>
      <c r="H1968" s="1" t="s">
        <v>512</v>
      </c>
      <c r="I1968" s="1" t="s">
        <v>512</v>
      </c>
      <c r="J1968" s="1" t="s">
        <v>512</v>
      </c>
      <c r="K1968" s="1" t="s">
        <v>512</v>
      </c>
      <c r="L1968" s="1" t="s">
        <v>512</v>
      </c>
      <c r="M1968" s="1" t="s">
        <v>512</v>
      </c>
      <c r="N1968" s="1" t="s">
        <v>512</v>
      </c>
      <c r="O1968" s="1" t="s">
        <v>512</v>
      </c>
      <c r="Q1968" s="1" t="s">
        <v>512</v>
      </c>
    </row>
    <row r="1969" spans="4:17" x14ac:dyDescent="0.25">
      <c r="D1969" s="1" t="s">
        <v>512</v>
      </c>
      <c r="E1969" s="21" t="s">
        <v>512</v>
      </c>
      <c r="F1969" s="1" t="s">
        <v>512</v>
      </c>
      <c r="G1969" s="1" t="s">
        <v>512</v>
      </c>
      <c r="H1969" s="1" t="s">
        <v>512</v>
      </c>
      <c r="I1969" s="1" t="s">
        <v>512</v>
      </c>
      <c r="J1969" s="1" t="s">
        <v>512</v>
      </c>
      <c r="K1969" s="1" t="s">
        <v>512</v>
      </c>
      <c r="L1969" s="1" t="s">
        <v>512</v>
      </c>
      <c r="M1969" s="1" t="s">
        <v>512</v>
      </c>
      <c r="N1969" s="1" t="s">
        <v>512</v>
      </c>
      <c r="O1969" s="1" t="s">
        <v>512</v>
      </c>
      <c r="Q1969" s="1" t="s">
        <v>512</v>
      </c>
    </row>
    <row r="1970" spans="4:17" x14ac:dyDescent="0.25">
      <c r="D1970" s="1" t="s">
        <v>512</v>
      </c>
      <c r="E1970" s="21" t="s">
        <v>512</v>
      </c>
      <c r="F1970" s="1" t="s">
        <v>512</v>
      </c>
      <c r="G1970" s="1" t="s">
        <v>512</v>
      </c>
      <c r="H1970" s="1" t="s">
        <v>512</v>
      </c>
      <c r="I1970" s="1" t="s">
        <v>512</v>
      </c>
      <c r="J1970" s="1" t="s">
        <v>512</v>
      </c>
      <c r="K1970" s="1" t="s">
        <v>512</v>
      </c>
      <c r="L1970" s="1" t="s">
        <v>512</v>
      </c>
      <c r="M1970" s="1" t="s">
        <v>512</v>
      </c>
      <c r="N1970" s="1" t="s">
        <v>512</v>
      </c>
      <c r="O1970" s="1" t="s">
        <v>512</v>
      </c>
      <c r="Q1970" s="1" t="s">
        <v>512</v>
      </c>
    </row>
    <row r="1971" spans="4:17" x14ac:dyDescent="0.25">
      <c r="D1971" s="1" t="s">
        <v>512</v>
      </c>
      <c r="E1971" s="21" t="s">
        <v>512</v>
      </c>
      <c r="F1971" s="1" t="s">
        <v>512</v>
      </c>
      <c r="G1971" s="1" t="s">
        <v>512</v>
      </c>
      <c r="H1971" s="1" t="s">
        <v>512</v>
      </c>
      <c r="I1971" s="1" t="s">
        <v>512</v>
      </c>
      <c r="J1971" s="1" t="s">
        <v>512</v>
      </c>
      <c r="K1971" s="1" t="s">
        <v>512</v>
      </c>
      <c r="L1971" s="1" t="s">
        <v>512</v>
      </c>
      <c r="M1971" s="1" t="s">
        <v>512</v>
      </c>
      <c r="N1971" s="1" t="s">
        <v>512</v>
      </c>
      <c r="O1971" s="1" t="s">
        <v>512</v>
      </c>
      <c r="Q1971" s="1" t="s">
        <v>512</v>
      </c>
    </row>
    <row r="1972" spans="4:17" x14ac:dyDescent="0.25">
      <c r="D1972" s="1" t="s">
        <v>512</v>
      </c>
      <c r="E1972" s="21" t="s">
        <v>512</v>
      </c>
      <c r="F1972" s="1" t="s">
        <v>512</v>
      </c>
      <c r="G1972" s="1" t="s">
        <v>512</v>
      </c>
      <c r="H1972" s="1" t="s">
        <v>512</v>
      </c>
      <c r="I1972" s="1" t="s">
        <v>512</v>
      </c>
      <c r="J1972" s="1" t="s">
        <v>512</v>
      </c>
      <c r="K1972" s="1" t="s">
        <v>512</v>
      </c>
      <c r="L1972" s="1" t="s">
        <v>512</v>
      </c>
      <c r="M1972" s="1" t="s">
        <v>512</v>
      </c>
      <c r="N1972" s="1" t="s">
        <v>512</v>
      </c>
      <c r="O1972" s="1" t="s">
        <v>512</v>
      </c>
      <c r="Q1972" s="1" t="s">
        <v>512</v>
      </c>
    </row>
    <row r="1973" spans="4:17" x14ac:dyDescent="0.25">
      <c r="D1973" s="1" t="s">
        <v>512</v>
      </c>
      <c r="E1973" s="21" t="s">
        <v>512</v>
      </c>
      <c r="F1973" s="1" t="s">
        <v>512</v>
      </c>
      <c r="G1973" s="1" t="s">
        <v>512</v>
      </c>
      <c r="H1973" s="1" t="s">
        <v>512</v>
      </c>
      <c r="I1973" s="1" t="s">
        <v>512</v>
      </c>
      <c r="J1973" s="1" t="s">
        <v>512</v>
      </c>
      <c r="K1973" s="1" t="s">
        <v>512</v>
      </c>
      <c r="L1973" s="1" t="s">
        <v>512</v>
      </c>
      <c r="M1973" s="1" t="s">
        <v>512</v>
      </c>
      <c r="N1973" s="1" t="s">
        <v>512</v>
      </c>
      <c r="O1973" s="1" t="s">
        <v>512</v>
      </c>
      <c r="Q1973" s="1" t="s">
        <v>512</v>
      </c>
    </row>
    <row r="1974" spans="4:17" x14ac:dyDescent="0.25">
      <c r="D1974" s="1" t="s">
        <v>512</v>
      </c>
      <c r="E1974" s="21" t="s">
        <v>512</v>
      </c>
      <c r="F1974" s="1" t="s">
        <v>512</v>
      </c>
      <c r="G1974" s="1" t="s">
        <v>512</v>
      </c>
      <c r="H1974" s="1" t="s">
        <v>512</v>
      </c>
      <c r="I1974" s="1" t="s">
        <v>512</v>
      </c>
      <c r="J1974" s="1" t="s">
        <v>512</v>
      </c>
      <c r="K1974" s="1" t="s">
        <v>512</v>
      </c>
      <c r="L1974" s="1" t="s">
        <v>512</v>
      </c>
      <c r="M1974" s="1" t="s">
        <v>512</v>
      </c>
      <c r="N1974" s="1" t="s">
        <v>512</v>
      </c>
      <c r="O1974" s="1" t="s">
        <v>512</v>
      </c>
      <c r="Q1974" s="1" t="s">
        <v>512</v>
      </c>
    </row>
    <row r="1975" spans="4:17" x14ac:dyDescent="0.25">
      <c r="D1975" s="1" t="s">
        <v>512</v>
      </c>
      <c r="E1975" s="21" t="s">
        <v>512</v>
      </c>
      <c r="F1975" s="1" t="s">
        <v>512</v>
      </c>
      <c r="G1975" s="1" t="s">
        <v>512</v>
      </c>
      <c r="H1975" s="1" t="s">
        <v>512</v>
      </c>
      <c r="I1975" s="1" t="s">
        <v>512</v>
      </c>
      <c r="J1975" s="1" t="s">
        <v>512</v>
      </c>
      <c r="K1975" s="1" t="s">
        <v>512</v>
      </c>
      <c r="L1975" s="1" t="s">
        <v>512</v>
      </c>
      <c r="M1975" s="1" t="s">
        <v>512</v>
      </c>
      <c r="N1975" s="1" t="s">
        <v>512</v>
      </c>
      <c r="O1975" s="1" t="s">
        <v>512</v>
      </c>
      <c r="Q1975" s="1" t="s">
        <v>512</v>
      </c>
    </row>
    <row r="1976" spans="4:17" x14ac:dyDescent="0.25">
      <c r="D1976" s="1" t="s">
        <v>512</v>
      </c>
      <c r="E1976" s="21" t="s">
        <v>512</v>
      </c>
      <c r="F1976" s="1" t="s">
        <v>512</v>
      </c>
      <c r="G1976" s="1" t="s">
        <v>512</v>
      </c>
      <c r="H1976" s="1" t="s">
        <v>512</v>
      </c>
      <c r="I1976" s="1" t="s">
        <v>512</v>
      </c>
      <c r="J1976" s="1" t="s">
        <v>512</v>
      </c>
      <c r="K1976" s="1" t="s">
        <v>512</v>
      </c>
      <c r="L1976" s="1" t="s">
        <v>512</v>
      </c>
      <c r="M1976" s="1" t="s">
        <v>512</v>
      </c>
      <c r="N1976" s="1" t="s">
        <v>512</v>
      </c>
      <c r="O1976" s="1" t="s">
        <v>512</v>
      </c>
      <c r="Q1976" s="1" t="s">
        <v>512</v>
      </c>
    </row>
    <row r="1977" spans="4:17" x14ac:dyDescent="0.25">
      <c r="D1977" s="1" t="s">
        <v>512</v>
      </c>
      <c r="E1977" s="21" t="s">
        <v>512</v>
      </c>
      <c r="F1977" s="1" t="s">
        <v>512</v>
      </c>
      <c r="G1977" s="1" t="s">
        <v>512</v>
      </c>
      <c r="H1977" s="1" t="s">
        <v>512</v>
      </c>
      <c r="I1977" s="1" t="s">
        <v>512</v>
      </c>
      <c r="J1977" s="1" t="s">
        <v>512</v>
      </c>
      <c r="K1977" s="1" t="s">
        <v>512</v>
      </c>
      <c r="L1977" s="1" t="s">
        <v>512</v>
      </c>
      <c r="M1977" s="1" t="s">
        <v>512</v>
      </c>
      <c r="N1977" s="1" t="s">
        <v>512</v>
      </c>
      <c r="O1977" s="1" t="s">
        <v>512</v>
      </c>
      <c r="Q1977" s="1" t="s">
        <v>512</v>
      </c>
    </row>
    <row r="1978" spans="4:17" x14ac:dyDescent="0.25">
      <c r="D1978" s="1" t="s">
        <v>512</v>
      </c>
      <c r="E1978" s="21" t="s">
        <v>512</v>
      </c>
      <c r="F1978" s="1" t="s">
        <v>512</v>
      </c>
      <c r="G1978" s="1" t="s">
        <v>512</v>
      </c>
      <c r="H1978" s="1" t="s">
        <v>512</v>
      </c>
      <c r="I1978" s="1" t="s">
        <v>512</v>
      </c>
      <c r="J1978" s="1" t="s">
        <v>512</v>
      </c>
      <c r="K1978" s="1" t="s">
        <v>512</v>
      </c>
      <c r="L1978" s="1" t="s">
        <v>512</v>
      </c>
      <c r="M1978" s="1" t="s">
        <v>512</v>
      </c>
      <c r="N1978" s="1" t="s">
        <v>512</v>
      </c>
      <c r="O1978" s="1" t="s">
        <v>512</v>
      </c>
      <c r="Q1978" s="1" t="s">
        <v>512</v>
      </c>
    </row>
    <row r="1979" spans="4:17" x14ac:dyDescent="0.25">
      <c r="D1979" s="1" t="s">
        <v>512</v>
      </c>
      <c r="E1979" s="21" t="s">
        <v>512</v>
      </c>
      <c r="F1979" s="1" t="s">
        <v>512</v>
      </c>
      <c r="G1979" s="1" t="s">
        <v>512</v>
      </c>
      <c r="H1979" s="1" t="s">
        <v>512</v>
      </c>
      <c r="I1979" s="1" t="s">
        <v>512</v>
      </c>
      <c r="J1979" s="1" t="s">
        <v>512</v>
      </c>
      <c r="K1979" s="1" t="s">
        <v>512</v>
      </c>
      <c r="L1979" s="1" t="s">
        <v>512</v>
      </c>
      <c r="M1979" s="1" t="s">
        <v>512</v>
      </c>
      <c r="N1979" s="1" t="s">
        <v>512</v>
      </c>
      <c r="O1979" s="1" t="s">
        <v>512</v>
      </c>
      <c r="Q1979" s="1" t="s">
        <v>512</v>
      </c>
    </row>
    <row r="1980" spans="4:17" x14ac:dyDescent="0.25">
      <c r="D1980" s="1" t="s">
        <v>512</v>
      </c>
      <c r="E1980" s="21" t="s">
        <v>512</v>
      </c>
      <c r="F1980" s="1" t="s">
        <v>512</v>
      </c>
      <c r="G1980" s="1" t="s">
        <v>512</v>
      </c>
      <c r="H1980" s="1" t="s">
        <v>512</v>
      </c>
      <c r="I1980" s="1" t="s">
        <v>512</v>
      </c>
      <c r="J1980" s="1" t="s">
        <v>512</v>
      </c>
      <c r="K1980" s="1" t="s">
        <v>512</v>
      </c>
      <c r="L1980" s="1" t="s">
        <v>512</v>
      </c>
      <c r="M1980" s="1" t="s">
        <v>512</v>
      </c>
      <c r="N1980" s="1" t="s">
        <v>512</v>
      </c>
      <c r="O1980" s="1" t="s">
        <v>512</v>
      </c>
      <c r="Q1980" s="1" t="s">
        <v>512</v>
      </c>
    </row>
    <row r="1981" spans="4:17" x14ac:dyDescent="0.25">
      <c r="D1981" s="1" t="s">
        <v>512</v>
      </c>
      <c r="E1981" s="21" t="s">
        <v>512</v>
      </c>
      <c r="F1981" s="1" t="s">
        <v>512</v>
      </c>
      <c r="G1981" s="1" t="s">
        <v>512</v>
      </c>
      <c r="H1981" s="1" t="s">
        <v>512</v>
      </c>
      <c r="I1981" s="1" t="s">
        <v>512</v>
      </c>
      <c r="J1981" s="1" t="s">
        <v>512</v>
      </c>
      <c r="K1981" s="1" t="s">
        <v>512</v>
      </c>
      <c r="L1981" s="1" t="s">
        <v>512</v>
      </c>
      <c r="M1981" s="1" t="s">
        <v>512</v>
      </c>
      <c r="N1981" s="1" t="s">
        <v>512</v>
      </c>
      <c r="O1981" s="1" t="s">
        <v>512</v>
      </c>
      <c r="Q1981" s="1" t="s">
        <v>512</v>
      </c>
    </row>
    <row r="1982" spans="4:17" x14ac:dyDescent="0.25">
      <c r="D1982" s="1" t="s">
        <v>512</v>
      </c>
      <c r="E1982" s="21" t="s">
        <v>512</v>
      </c>
      <c r="F1982" s="1" t="s">
        <v>512</v>
      </c>
      <c r="G1982" s="1" t="s">
        <v>512</v>
      </c>
      <c r="H1982" s="1" t="s">
        <v>512</v>
      </c>
      <c r="I1982" s="1" t="s">
        <v>512</v>
      </c>
      <c r="J1982" s="1" t="s">
        <v>512</v>
      </c>
      <c r="K1982" s="1" t="s">
        <v>512</v>
      </c>
      <c r="L1982" s="1" t="s">
        <v>512</v>
      </c>
      <c r="M1982" s="1" t="s">
        <v>512</v>
      </c>
      <c r="N1982" s="1" t="s">
        <v>512</v>
      </c>
      <c r="O1982" s="1" t="s">
        <v>512</v>
      </c>
      <c r="Q1982" s="1" t="s">
        <v>512</v>
      </c>
    </row>
    <row r="1983" spans="4:17" x14ac:dyDescent="0.25">
      <c r="D1983" s="1" t="s">
        <v>512</v>
      </c>
      <c r="E1983" s="21" t="s">
        <v>512</v>
      </c>
      <c r="F1983" s="1" t="s">
        <v>512</v>
      </c>
      <c r="G1983" s="1" t="s">
        <v>512</v>
      </c>
      <c r="H1983" s="1" t="s">
        <v>512</v>
      </c>
      <c r="I1983" s="1" t="s">
        <v>512</v>
      </c>
      <c r="J1983" s="1" t="s">
        <v>512</v>
      </c>
      <c r="K1983" s="1" t="s">
        <v>512</v>
      </c>
      <c r="L1983" s="1" t="s">
        <v>512</v>
      </c>
      <c r="M1983" s="1" t="s">
        <v>512</v>
      </c>
      <c r="N1983" s="1" t="s">
        <v>512</v>
      </c>
      <c r="O1983" s="1" t="s">
        <v>512</v>
      </c>
      <c r="Q1983" s="1" t="s">
        <v>512</v>
      </c>
    </row>
    <row r="1984" spans="4:17" x14ac:dyDescent="0.25">
      <c r="D1984" s="1" t="s">
        <v>512</v>
      </c>
      <c r="E1984" s="21" t="s">
        <v>512</v>
      </c>
      <c r="F1984" s="1" t="s">
        <v>512</v>
      </c>
      <c r="G1984" s="1" t="s">
        <v>512</v>
      </c>
      <c r="H1984" s="1" t="s">
        <v>512</v>
      </c>
      <c r="I1984" s="1" t="s">
        <v>512</v>
      </c>
      <c r="J1984" s="1" t="s">
        <v>512</v>
      </c>
      <c r="K1984" s="1" t="s">
        <v>512</v>
      </c>
      <c r="L1984" s="1" t="s">
        <v>512</v>
      </c>
      <c r="M1984" s="1" t="s">
        <v>512</v>
      </c>
      <c r="N1984" s="1" t="s">
        <v>512</v>
      </c>
      <c r="O1984" s="1" t="s">
        <v>512</v>
      </c>
      <c r="Q1984" s="1" t="s">
        <v>512</v>
      </c>
    </row>
    <row r="1985" spans="4:17" x14ac:dyDescent="0.25">
      <c r="D1985" s="1" t="s">
        <v>512</v>
      </c>
      <c r="E1985" s="21" t="s">
        <v>512</v>
      </c>
      <c r="F1985" s="1" t="s">
        <v>512</v>
      </c>
      <c r="G1985" s="1" t="s">
        <v>512</v>
      </c>
      <c r="H1985" s="1" t="s">
        <v>512</v>
      </c>
      <c r="I1985" s="1" t="s">
        <v>512</v>
      </c>
      <c r="J1985" s="1" t="s">
        <v>512</v>
      </c>
      <c r="K1985" s="1" t="s">
        <v>512</v>
      </c>
      <c r="L1985" s="1" t="s">
        <v>512</v>
      </c>
      <c r="M1985" s="1" t="s">
        <v>512</v>
      </c>
      <c r="N1985" s="1" t="s">
        <v>512</v>
      </c>
      <c r="O1985" s="1" t="s">
        <v>512</v>
      </c>
      <c r="Q1985" s="1" t="s">
        <v>512</v>
      </c>
    </row>
    <row r="1986" spans="4:17" x14ac:dyDescent="0.25">
      <c r="D1986" s="1" t="s">
        <v>512</v>
      </c>
      <c r="E1986" s="21" t="s">
        <v>512</v>
      </c>
      <c r="F1986" s="1" t="s">
        <v>512</v>
      </c>
      <c r="G1986" s="1" t="s">
        <v>512</v>
      </c>
      <c r="H1986" s="1" t="s">
        <v>512</v>
      </c>
      <c r="I1986" s="1" t="s">
        <v>512</v>
      </c>
      <c r="J1986" s="1" t="s">
        <v>512</v>
      </c>
      <c r="K1986" s="1" t="s">
        <v>512</v>
      </c>
      <c r="L1986" s="1" t="s">
        <v>512</v>
      </c>
      <c r="M1986" s="1" t="s">
        <v>512</v>
      </c>
      <c r="N1986" s="1" t="s">
        <v>512</v>
      </c>
      <c r="O1986" s="1" t="s">
        <v>512</v>
      </c>
      <c r="Q1986" s="1" t="s">
        <v>512</v>
      </c>
    </row>
    <row r="1987" spans="4:17" x14ac:dyDescent="0.25">
      <c r="D1987" s="1" t="s">
        <v>512</v>
      </c>
      <c r="E1987" s="21" t="s">
        <v>512</v>
      </c>
      <c r="F1987" s="1" t="s">
        <v>512</v>
      </c>
      <c r="G1987" s="1" t="s">
        <v>512</v>
      </c>
      <c r="H1987" s="1" t="s">
        <v>512</v>
      </c>
      <c r="I1987" s="1" t="s">
        <v>512</v>
      </c>
      <c r="J1987" s="1" t="s">
        <v>512</v>
      </c>
      <c r="K1987" s="1" t="s">
        <v>512</v>
      </c>
      <c r="L1987" s="1" t="s">
        <v>512</v>
      </c>
      <c r="M1987" s="1" t="s">
        <v>512</v>
      </c>
      <c r="N1987" s="1" t="s">
        <v>512</v>
      </c>
      <c r="O1987" s="1" t="s">
        <v>512</v>
      </c>
      <c r="Q1987" s="1" t="s">
        <v>512</v>
      </c>
    </row>
    <row r="1988" spans="4:17" x14ac:dyDescent="0.25">
      <c r="D1988" s="1" t="s">
        <v>512</v>
      </c>
      <c r="E1988" s="21" t="s">
        <v>512</v>
      </c>
      <c r="F1988" s="1" t="s">
        <v>512</v>
      </c>
      <c r="G1988" s="1" t="s">
        <v>512</v>
      </c>
      <c r="H1988" s="1" t="s">
        <v>512</v>
      </c>
      <c r="I1988" s="1" t="s">
        <v>512</v>
      </c>
      <c r="J1988" s="1" t="s">
        <v>512</v>
      </c>
      <c r="K1988" s="1" t="s">
        <v>512</v>
      </c>
      <c r="L1988" s="1" t="s">
        <v>512</v>
      </c>
      <c r="M1988" s="1" t="s">
        <v>512</v>
      </c>
      <c r="N1988" s="1" t="s">
        <v>512</v>
      </c>
      <c r="O1988" s="1" t="s">
        <v>512</v>
      </c>
      <c r="Q1988" s="1" t="s">
        <v>512</v>
      </c>
    </row>
    <row r="1989" spans="4:17" x14ac:dyDescent="0.25">
      <c r="D1989" s="1" t="s">
        <v>512</v>
      </c>
      <c r="E1989" s="21" t="s">
        <v>512</v>
      </c>
      <c r="F1989" s="1" t="s">
        <v>512</v>
      </c>
      <c r="G1989" s="1" t="s">
        <v>512</v>
      </c>
      <c r="H1989" s="1" t="s">
        <v>512</v>
      </c>
      <c r="I1989" s="1" t="s">
        <v>512</v>
      </c>
      <c r="J1989" s="1" t="s">
        <v>512</v>
      </c>
      <c r="K1989" s="1" t="s">
        <v>512</v>
      </c>
      <c r="L1989" s="1" t="s">
        <v>512</v>
      </c>
      <c r="M1989" s="1" t="s">
        <v>512</v>
      </c>
      <c r="N1989" s="1" t="s">
        <v>512</v>
      </c>
      <c r="O1989" s="1" t="s">
        <v>512</v>
      </c>
      <c r="Q1989" s="1" t="s">
        <v>512</v>
      </c>
    </row>
    <row r="1990" spans="4:17" x14ac:dyDescent="0.25">
      <c r="D1990" s="1" t="s">
        <v>512</v>
      </c>
      <c r="E1990" s="21" t="s">
        <v>512</v>
      </c>
      <c r="F1990" s="1" t="s">
        <v>512</v>
      </c>
      <c r="G1990" s="1" t="s">
        <v>512</v>
      </c>
      <c r="H1990" s="1" t="s">
        <v>512</v>
      </c>
      <c r="I1990" s="1" t="s">
        <v>512</v>
      </c>
      <c r="J1990" s="1" t="s">
        <v>512</v>
      </c>
      <c r="K1990" s="1" t="s">
        <v>512</v>
      </c>
      <c r="L1990" s="1" t="s">
        <v>512</v>
      </c>
      <c r="M1990" s="1" t="s">
        <v>512</v>
      </c>
      <c r="N1990" s="1" t="s">
        <v>512</v>
      </c>
      <c r="O1990" s="1" t="s">
        <v>512</v>
      </c>
      <c r="Q1990" s="1" t="s">
        <v>512</v>
      </c>
    </row>
    <row r="1991" spans="4:17" x14ac:dyDescent="0.25">
      <c r="D1991" s="1" t="s">
        <v>512</v>
      </c>
      <c r="E1991" s="21" t="s">
        <v>512</v>
      </c>
      <c r="F1991" s="1" t="s">
        <v>512</v>
      </c>
      <c r="G1991" s="1" t="s">
        <v>512</v>
      </c>
      <c r="H1991" s="1" t="s">
        <v>512</v>
      </c>
      <c r="I1991" s="1" t="s">
        <v>512</v>
      </c>
      <c r="J1991" s="1" t="s">
        <v>512</v>
      </c>
      <c r="K1991" s="1" t="s">
        <v>512</v>
      </c>
      <c r="L1991" s="1" t="s">
        <v>512</v>
      </c>
      <c r="M1991" s="1" t="s">
        <v>512</v>
      </c>
      <c r="N1991" s="1" t="s">
        <v>512</v>
      </c>
      <c r="O1991" s="1" t="s">
        <v>512</v>
      </c>
      <c r="Q1991" s="1" t="s">
        <v>512</v>
      </c>
    </row>
    <row r="1992" spans="4:17" x14ac:dyDescent="0.25">
      <c r="D1992" s="1" t="s">
        <v>512</v>
      </c>
      <c r="E1992" s="21" t="s">
        <v>512</v>
      </c>
      <c r="F1992" s="1" t="s">
        <v>512</v>
      </c>
      <c r="G1992" s="1" t="s">
        <v>512</v>
      </c>
      <c r="H1992" s="1" t="s">
        <v>512</v>
      </c>
      <c r="I1992" s="1" t="s">
        <v>512</v>
      </c>
      <c r="J1992" s="1" t="s">
        <v>512</v>
      </c>
      <c r="K1992" s="1" t="s">
        <v>512</v>
      </c>
      <c r="L1992" s="1" t="s">
        <v>512</v>
      </c>
      <c r="M1992" s="1" t="s">
        <v>512</v>
      </c>
      <c r="N1992" s="1" t="s">
        <v>512</v>
      </c>
      <c r="O1992" s="1" t="s">
        <v>512</v>
      </c>
      <c r="Q1992" s="1" t="s">
        <v>512</v>
      </c>
    </row>
    <row r="1993" spans="4:17" x14ac:dyDescent="0.25">
      <c r="D1993" s="1" t="s">
        <v>512</v>
      </c>
      <c r="E1993" s="21" t="s">
        <v>512</v>
      </c>
      <c r="F1993" s="1" t="s">
        <v>512</v>
      </c>
      <c r="G1993" s="1" t="s">
        <v>512</v>
      </c>
      <c r="H1993" s="1" t="s">
        <v>512</v>
      </c>
      <c r="I1993" s="1" t="s">
        <v>512</v>
      </c>
      <c r="J1993" s="1" t="s">
        <v>512</v>
      </c>
      <c r="K1993" s="1" t="s">
        <v>512</v>
      </c>
      <c r="L1993" s="1" t="s">
        <v>512</v>
      </c>
      <c r="M1993" s="1" t="s">
        <v>512</v>
      </c>
      <c r="N1993" s="1" t="s">
        <v>512</v>
      </c>
      <c r="O1993" s="1" t="s">
        <v>512</v>
      </c>
      <c r="Q1993" s="1" t="s">
        <v>512</v>
      </c>
    </row>
    <row r="1994" spans="4:17" x14ac:dyDescent="0.25">
      <c r="D1994" s="1" t="s">
        <v>512</v>
      </c>
      <c r="E1994" s="21" t="s">
        <v>512</v>
      </c>
      <c r="F1994" s="1" t="s">
        <v>512</v>
      </c>
      <c r="G1994" s="1" t="s">
        <v>512</v>
      </c>
      <c r="H1994" s="1" t="s">
        <v>512</v>
      </c>
      <c r="I1994" s="1" t="s">
        <v>512</v>
      </c>
      <c r="J1994" s="1" t="s">
        <v>512</v>
      </c>
      <c r="K1994" s="1" t="s">
        <v>512</v>
      </c>
      <c r="L1994" s="1" t="s">
        <v>512</v>
      </c>
      <c r="M1994" s="1" t="s">
        <v>512</v>
      </c>
      <c r="N1994" s="1" t="s">
        <v>512</v>
      </c>
      <c r="O1994" s="1" t="s">
        <v>512</v>
      </c>
      <c r="Q1994" s="1" t="s">
        <v>512</v>
      </c>
    </row>
    <row r="1995" spans="4:17" x14ac:dyDescent="0.25">
      <c r="D1995" s="1" t="s">
        <v>512</v>
      </c>
      <c r="E1995" s="21" t="s">
        <v>512</v>
      </c>
      <c r="F1995" s="1" t="s">
        <v>512</v>
      </c>
      <c r="G1995" s="1" t="s">
        <v>512</v>
      </c>
      <c r="H1995" s="1" t="s">
        <v>512</v>
      </c>
      <c r="I1995" s="1" t="s">
        <v>512</v>
      </c>
      <c r="J1995" s="1" t="s">
        <v>512</v>
      </c>
      <c r="K1995" s="1" t="s">
        <v>512</v>
      </c>
      <c r="L1995" s="1" t="s">
        <v>512</v>
      </c>
      <c r="M1995" s="1" t="s">
        <v>512</v>
      </c>
      <c r="N1995" s="1" t="s">
        <v>512</v>
      </c>
      <c r="O1995" s="1" t="s">
        <v>512</v>
      </c>
      <c r="Q1995" s="1" t="s">
        <v>512</v>
      </c>
    </row>
    <row r="1996" spans="4:17" x14ac:dyDescent="0.25">
      <c r="D1996" s="1" t="s">
        <v>512</v>
      </c>
      <c r="E1996" s="21" t="s">
        <v>512</v>
      </c>
      <c r="F1996" s="1" t="s">
        <v>512</v>
      </c>
      <c r="G1996" s="1" t="s">
        <v>512</v>
      </c>
      <c r="H1996" s="1" t="s">
        <v>512</v>
      </c>
      <c r="I1996" s="1" t="s">
        <v>512</v>
      </c>
      <c r="J1996" s="1" t="s">
        <v>512</v>
      </c>
      <c r="K1996" s="1" t="s">
        <v>512</v>
      </c>
      <c r="L1996" s="1" t="s">
        <v>512</v>
      </c>
      <c r="M1996" s="1" t="s">
        <v>512</v>
      </c>
      <c r="N1996" s="1" t="s">
        <v>512</v>
      </c>
      <c r="O1996" s="1" t="s">
        <v>512</v>
      </c>
      <c r="Q1996" s="1" t="s">
        <v>512</v>
      </c>
    </row>
    <row r="1997" spans="4:17" x14ac:dyDescent="0.25">
      <c r="D1997" s="1" t="s">
        <v>512</v>
      </c>
      <c r="E1997" s="21" t="s">
        <v>512</v>
      </c>
      <c r="F1997" s="1" t="s">
        <v>512</v>
      </c>
      <c r="G1997" s="1" t="s">
        <v>512</v>
      </c>
      <c r="H1997" s="1" t="s">
        <v>512</v>
      </c>
      <c r="I1997" s="1" t="s">
        <v>512</v>
      </c>
      <c r="J1997" s="1" t="s">
        <v>512</v>
      </c>
      <c r="K1997" s="1" t="s">
        <v>512</v>
      </c>
      <c r="L1997" s="1" t="s">
        <v>512</v>
      </c>
      <c r="M1997" s="1" t="s">
        <v>512</v>
      </c>
      <c r="N1997" s="1" t="s">
        <v>512</v>
      </c>
      <c r="O1997" s="1" t="s">
        <v>512</v>
      </c>
      <c r="Q1997" s="1" t="s">
        <v>512</v>
      </c>
    </row>
    <row r="1998" spans="4:17" x14ac:dyDescent="0.25">
      <c r="D1998" s="1" t="s">
        <v>512</v>
      </c>
      <c r="E1998" s="21" t="s">
        <v>512</v>
      </c>
      <c r="F1998" s="1" t="s">
        <v>512</v>
      </c>
      <c r="G1998" s="1" t="s">
        <v>512</v>
      </c>
      <c r="H1998" s="1" t="s">
        <v>512</v>
      </c>
      <c r="I1998" s="1" t="s">
        <v>512</v>
      </c>
      <c r="J1998" s="1" t="s">
        <v>512</v>
      </c>
      <c r="K1998" s="1" t="s">
        <v>512</v>
      </c>
      <c r="L1998" s="1" t="s">
        <v>512</v>
      </c>
      <c r="M1998" s="1" t="s">
        <v>512</v>
      </c>
      <c r="N1998" s="1" t="s">
        <v>512</v>
      </c>
      <c r="O1998" s="1" t="s">
        <v>512</v>
      </c>
      <c r="Q1998" s="1" t="s">
        <v>512</v>
      </c>
    </row>
    <row r="1999" spans="4:17" x14ac:dyDescent="0.25">
      <c r="D1999" s="1" t="s">
        <v>512</v>
      </c>
      <c r="E1999" s="21" t="s">
        <v>512</v>
      </c>
      <c r="F1999" s="1" t="s">
        <v>512</v>
      </c>
      <c r="G1999" s="1" t="s">
        <v>512</v>
      </c>
      <c r="H1999" s="1" t="s">
        <v>512</v>
      </c>
      <c r="I1999" s="1" t="s">
        <v>512</v>
      </c>
      <c r="J1999" s="1" t="s">
        <v>512</v>
      </c>
      <c r="K1999" s="1" t="s">
        <v>512</v>
      </c>
      <c r="L1999" s="1" t="s">
        <v>512</v>
      </c>
      <c r="M1999" s="1" t="s">
        <v>512</v>
      </c>
      <c r="N1999" s="1" t="s">
        <v>512</v>
      </c>
      <c r="O1999" s="1" t="s">
        <v>512</v>
      </c>
      <c r="Q1999" s="1" t="s">
        <v>512</v>
      </c>
    </row>
    <row r="2000" spans="4:17" x14ac:dyDescent="0.25">
      <c r="D2000" s="1" t="s">
        <v>512</v>
      </c>
      <c r="E2000" s="21" t="s">
        <v>512</v>
      </c>
      <c r="F2000" s="1" t="s">
        <v>512</v>
      </c>
      <c r="G2000" s="1" t="s">
        <v>512</v>
      </c>
      <c r="H2000" s="1" t="s">
        <v>512</v>
      </c>
      <c r="I2000" s="1" t="s">
        <v>512</v>
      </c>
      <c r="J2000" s="1" t="s">
        <v>512</v>
      </c>
      <c r="K2000" s="1" t="s">
        <v>512</v>
      </c>
      <c r="L2000" s="1" t="s">
        <v>512</v>
      </c>
      <c r="M2000" s="1" t="s">
        <v>512</v>
      </c>
      <c r="N2000" s="1" t="s">
        <v>512</v>
      </c>
      <c r="O2000" s="1" t="s">
        <v>512</v>
      </c>
      <c r="Q2000" s="1" t="s">
        <v>512</v>
      </c>
    </row>
    <row r="2001" spans="4:17" x14ac:dyDescent="0.25">
      <c r="D2001" s="1" t="s">
        <v>512</v>
      </c>
      <c r="E2001" s="21" t="s">
        <v>512</v>
      </c>
      <c r="F2001" s="1" t="s">
        <v>512</v>
      </c>
      <c r="G2001" s="1" t="s">
        <v>512</v>
      </c>
      <c r="H2001" s="1" t="s">
        <v>512</v>
      </c>
      <c r="I2001" s="1" t="s">
        <v>512</v>
      </c>
      <c r="J2001" s="1" t="s">
        <v>512</v>
      </c>
      <c r="K2001" s="1" t="s">
        <v>512</v>
      </c>
      <c r="L2001" s="1" t="s">
        <v>512</v>
      </c>
      <c r="M2001" s="1" t="s">
        <v>512</v>
      </c>
      <c r="N2001" s="1" t="s">
        <v>512</v>
      </c>
      <c r="O2001" s="1" t="s">
        <v>512</v>
      </c>
      <c r="Q2001" s="1" t="s">
        <v>512</v>
      </c>
    </row>
    <row r="2002" spans="4:17" x14ac:dyDescent="0.25">
      <c r="D2002" s="1" t="s">
        <v>512</v>
      </c>
      <c r="E2002" s="21" t="s">
        <v>512</v>
      </c>
      <c r="F2002" s="1" t="s">
        <v>512</v>
      </c>
      <c r="G2002" s="1" t="s">
        <v>512</v>
      </c>
      <c r="H2002" s="1" t="s">
        <v>512</v>
      </c>
      <c r="I2002" s="1" t="s">
        <v>512</v>
      </c>
      <c r="J2002" s="1" t="s">
        <v>512</v>
      </c>
      <c r="K2002" s="1" t="s">
        <v>512</v>
      </c>
      <c r="L2002" s="1" t="s">
        <v>512</v>
      </c>
      <c r="M2002" s="1" t="s">
        <v>512</v>
      </c>
      <c r="N2002" s="1" t="s">
        <v>512</v>
      </c>
      <c r="O2002" s="1" t="s">
        <v>512</v>
      </c>
      <c r="Q2002" s="1" t="s">
        <v>512</v>
      </c>
    </row>
    <row r="2003" spans="4:17" x14ac:dyDescent="0.25">
      <c r="D2003" s="1" t="s">
        <v>512</v>
      </c>
      <c r="E2003" s="21" t="s">
        <v>512</v>
      </c>
      <c r="F2003" s="1" t="s">
        <v>512</v>
      </c>
      <c r="G2003" s="1" t="s">
        <v>512</v>
      </c>
      <c r="H2003" s="1" t="s">
        <v>512</v>
      </c>
      <c r="I2003" s="1" t="s">
        <v>512</v>
      </c>
      <c r="J2003" s="1" t="s">
        <v>512</v>
      </c>
      <c r="K2003" s="1" t="s">
        <v>512</v>
      </c>
      <c r="L2003" s="1" t="s">
        <v>512</v>
      </c>
      <c r="M2003" s="1" t="s">
        <v>512</v>
      </c>
      <c r="N2003" s="1" t="s">
        <v>512</v>
      </c>
      <c r="O2003" s="1" t="s">
        <v>512</v>
      </c>
      <c r="Q2003" s="1" t="s">
        <v>512</v>
      </c>
    </row>
    <row r="2004" spans="4:17" x14ac:dyDescent="0.25">
      <c r="D2004" s="1" t="s">
        <v>512</v>
      </c>
      <c r="E2004" s="21" t="s">
        <v>512</v>
      </c>
      <c r="F2004" s="1" t="s">
        <v>512</v>
      </c>
      <c r="G2004" s="1" t="s">
        <v>512</v>
      </c>
      <c r="H2004" s="1" t="s">
        <v>512</v>
      </c>
      <c r="I2004" s="1" t="s">
        <v>512</v>
      </c>
      <c r="J2004" s="1" t="s">
        <v>512</v>
      </c>
      <c r="K2004" s="1" t="s">
        <v>512</v>
      </c>
      <c r="L2004" s="1" t="s">
        <v>512</v>
      </c>
      <c r="M2004" s="1" t="s">
        <v>512</v>
      </c>
      <c r="N2004" s="1" t="s">
        <v>512</v>
      </c>
      <c r="O2004" s="1" t="s">
        <v>512</v>
      </c>
      <c r="Q2004" s="1" t="s">
        <v>512</v>
      </c>
    </row>
    <row r="2005" spans="4:17" x14ac:dyDescent="0.25">
      <c r="D2005" s="1" t="s">
        <v>512</v>
      </c>
      <c r="E2005" s="21" t="s">
        <v>512</v>
      </c>
      <c r="F2005" s="1" t="s">
        <v>512</v>
      </c>
      <c r="G2005" s="1" t="s">
        <v>512</v>
      </c>
      <c r="H2005" s="1" t="s">
        <v>512</v>
      </c>
      <c r="I2005" s="1" t="s">
        <v>512</v>
      </c>
      <c r="J2005" s="1" t="s">
        <v>512</v>
      </c>
      <c r="K2005" s="1" t="s">
        <v>512</v>
      </c>
      <c r="L2005" s="1" t="s">
        <v>512</v>
      </c>
      <c r="M2005" s="1" t="s">
        <v>512</v>
      </c>
      <c r="N2005" s="1" t="s">
        <v>512</v>
      </c>
      <c r="O2005" s="1" t="s">
        <v>512</v>
      </c>
      <c r="Q2005" s="1" t="s">
        <v>512</v>
      </c>
    </row>
    <row r="2006" spans="4:17" x14ac:dyDescent="0.25">
      <c r="D2006" s="1" t="s">
        <v>512</v>
      </c>
      <c r="E2006" s="21" t="s">
        <v>512</v>
      </c>
      <c r="F2006" s="1" t="s">
        <v>512</v>
      </c>
      <c r="G2006" s="1" t="s">
        <v>512</v>
      </c>
      <c r="H2006" s="1" t="s">
        <v>512</v>
      </c>
      <c r="I2006" s="1" t="s">
        <v>512</v>
      </c>
      <c r="J2006" s="1" t="s">
        <v>512</v>
      </c>
      <c r="K2006" s="1" t="s">
        <v>512</v>
      </c>
      <c r="L2006" s="1" t="s">
        <v>512</v>
      </c>
      <c r="M2006" s="1" t="s">
        <v>512</v>
      </c>
      <c r="N2006" s="1" t="s">
        <v>512</v>
      </c>
      <c r="O2006" s="1" t="s">
        <v>512</v>
      </c>
      <c r="Q2006" s="1" t="s">
        <v>512</v>
      </c>
    </row>
    <row r="2007" spans="4:17" x14ac:dyDescent="0.25">
      <c r="D2007" s="1" t="s">
        <v>512</v>
      </c>
      <c r="E2007" s="21" t="s">
        <v>512</v>
      </c>
      <c r="F2007" s="1" t="s">
        <v>512</v>
      </c>
      <c r="G2007" s="1" t="s">
        <v>512</v>
      </c>
      <c r="H2007" s="1" t="s">
        <v>512</v>
      </c>
      <c r="I2007" s="1" t="s">
        <v>512</v>
      </c>
      <c r="J2007" s="1" t="s">
        <v>512</v>
      </c>
      <c r="K2007" s="1" t="s">
        <v>512</v>
      </c>
      <c r="L2007" s="1" t="s">
        <v>512</v>
      </c>
      <c r="M2007" s="1" t="s">
        <v>512</v>
      </c>
      <c r="N2007" s="1" t="s">
        <v>512</v>
      </c>
      <c r="O2007" s="1" t="s">
        <v>512</v>
      </c>
      <c r="Q2007" s="1" t="s">
        <v>512</v>
      </c>
    </row>
    <row r="2008" spans="4:17" x14ac:dyDescent="0.25">
      <c r="D2008" s="1" t="s">
        <v>512</v>
      </c>
      <c r="E2008" s="21" t="s">
        <v>512</v>
      </c>
      <c r="F2008" s="1" t="s">
        <v>512</v>
      </c>
      <c r="G2008" s="1" t="s">
        <v>512</v>
      </c>
      <c r="H2008" s="1" t="s">
        <v>512</v>
      </c>
      <c r="I2008" s="1" t="s">
        <v>512</v>
      </c>
      <c r="J2008" s="1" t="s">
        <v>512</v>
      </c>
      <c r="K2008" s="1" t="s">
        <v>512</v>
      </c>
      <c r="L2008" s="1" t="s">
        <v>512</v>
      </c>
      <c r="M2008" s="1" t="s">
        <v>512</v>
      </c>
      <c r="N2008" s="1" t="s">
        <v>512</v>
      </c>
      <c r="O2008" s="1" t="s">
        <v>512</v>
      </c>
      <c r="Q2008" s="1" t="s">
        <v>512</v>
      </c>
    </row>
    <row r="2009" spans="4:17" x14ac:dyDescent="0.25">
      <c r="D2009" s="1" t="s">
        <v>512</v>
      </c>
      <c r="E2009" s="21" t="s">
        <v>512</v>
      </c>
      <c r="F2009" s="1" t="s">
        <v>512</v>
      </c>
      <c r="G2009" s="1" t="s">
        <v>512</v>
      </c>
      <c r="H2009" s="1" t="s">
        <v>512</v>
      </c>
      <c r="I2009" s="1" t="s">
        <v>512</v>
      </c>
      <c r="J2009" s="1" t="s">
        <v>512</v>
      </c>
      <c r="K2009" s="1" t="s">
        <v>512</v>
      </c>
      <c r="L2009" s="1" t="s">
        <v>512</v>
      </c>
      <c r="M2009" s="1" t="s">
        <v>512</v>
      </c>
      <c r="N2009" s="1" t="s">
        <v>512</v>
      </c>
      <c r="O2009" s="1" t="s">
        <v>512</v>
      </c>
      <c r="Q2009" s="1" t="s">
        <v>512</v>
      </c>
    </row>
    <row r="2010" spans="4:17" x14ac:dyDescent="0.25">
      <c r="D2010" s="1" t="s">
        <v>512</v>
      </c>
      <c r="E2010" s="21" t="s">
        <v>512</v>
      </c>
      <c r="F2010" s="1" t="s">
        <v>512</v>
      </c>
      <c r="G2010" s="1" t="s">
        <v>512</v>
      </c>
      <c r="H2010" s="1" t="s">
        <v>512</v>
      </c>
      <c r="I2010" s="1" t="s">
        <v>512</v>
      </c>
      <c r="J2010" s="1" t="s">
        <v>512</v>
      </c>
      <c r="K2010" s="1" t="s">
        <v>512</v>
      </c>
      <c r="L2010" s="1" t="s">
        <v>512</v>
      </c>
      <c r="M2010" s="1" t="s">
        <v>512</v>
      </c>
      <c r="N2010" s="1" t="s">
        <v>512</v>
      </c>
      <c r="O2010" s="1" t="s">
        <v>512</v>
      </c>
      <c r="Q2010" s="1" t="s">
        <v>512</v>
      </c>
    </row>
    <row r="2011" spans="4:17" x14ac:dyDescent="0.25">
      <c r="D2011" s="1" t="s">
        <v>512</v>
      </c>
      <c r="E2011" s="21" t="s">
        <v>512</v>
      </c>
      <c r="F2011" s="1" t="s">
        <v>512</v>
      </c>
      <c r="G2011" s="1" t="s">
        <v>512</v>
      </c>
      <c r="H2011" s="1" t="s">
        <v>512</v>
      </c>
      <c r="I2011" s="1" t="s">
        <v>512</v>
      </c>
      <c r="J2011" s="1" t="s">
        <v>512</v>
      </c>
      <c r="K2011" s="1" t="s">
        <v>512</v>
      </c>
      <c r="L2011" s="1" t="s">
        <v>512</v>
      </c>
      <c r="M2011" s="1" t="s">
        <v>512</v>
      </c>
      <c r="N2011" s="1" t="s">
        <v>512</v>
      </c>
      <c r="O2011" s="1" t="s">
        <v>512</v>
      </c>
      <c r="Q2011" s="1" t="s">
        <v>512</v>
      </c>
    </row>
    <row r="2012" spans="4:17" x14ac:dyDescent="0.25">
      <c r="D2012" s="1" t="s">
        <v>512</v>
      </c>
      <c r="E2012" s="21" t="s">
        <v>512</v>
      </c>
      <c r="F2012" s="1" t="s">
        <v>512</v>
      </c>
      <c r="G2012" s="1" t="s">
        <v>512</v>
      </c>
      <c r="H2012" s="1" t="s">
        <v>512</v>
      </c>
      <c r="I2012" s="1" t="s">
        <v>512</v>
      </c>
      <c r="J2012" s="1" t="s">
        <v>512</v>
      </c>
      <c r="K2012" s="1" t="s">
        <v>512</v>
      </c>
      <c r="L2012" s="1" t="s">
        <v>512</v>
      </c>
      <c r="M2012" s="1" t="s">
        <v>512</v>
      </c>
      <c r="N2012" s="1" t="s">
        <v>512</v>
      </c>
      <c r="O2012" s="1" t="s">
        <v>512</v>
      </c>
      <c r="Q2012" s="1" t="s">
        <v>512</v>
      </c>
    </row>
    <row r="2013" spans="4:17" x14ac:dyDescent="0.25">
      <c r="D2013" s="1" t="s">
        <v>512</v>
      </c>
      <c r="E2013" s="21" t="s">
        <v>512</v>
      </c>
      <c r="F2013" s="1" t="s">
        <v>512</v>
      </c>
      <c r="G2013" s="1" t="s">
        <v>512</v>
      </c>
      <c r="H2013" s="1" t="s">
        <v>512</v>
      </c>
      <c r="I2013" s="1" t="s">
        <v>512</v>
      </c>
      <c r="J2013" s="1" t="s">
        <v>512</v>
      </c>
      <c r="K2013" s="1" t="s">
        <v>512</v>
      </c>
      <c r="L2013" s="1" t="s">
        <v>512</v>
      </c>
      <c r="M2013" s="1" t="s">
        <v>512</v>
      </c>
      <c r="N2013" s="1" t="s">
        <v>512</v>
      </c>
      <c r="O2013" s="1" t="s">
        <v>512</v>
      </c>
      <c r="Q2013" s="1" t="s">
        <v>512</v>
      </c>
    </row>
    <row r="2014" spans="4:17" x14ac:dyDescent="0.25">
      <c r="D2014" s="1" t="s">
        <v>512</v>
      </c>
      <c r="E2014" s="21" t="s">
        <v>512</v>
      </c>
      <c r="F2014" s="1" t="s">
        <v>512</v>
      </c>
      <c r="G2014" s="1" t="s">
        <v>512</v>
      </c>
      <c r="H2014" s="1" t="s">
        <v>512</v>
      </c>
      <c r="I2014" s="1" t="s">
        <v>512</v>
      </c>
      <c r="J2014" s="1" t="s">
        <v>512</v>
      </c>
      <c r="K2014" s="1" t="s">
        <v>512</v>
      </c>
      <c r="L2014" s="1" t="s">
        <v>512</v>
      </c>
      <c r="M2014" s="1" t="s">
        <v>512</v>
      </c>
      <c r="N2014" s="1" t="s">
        <v>512</v>
      </c>
      <c r="O2014" s="1" t="s">
        <v>512</v>
      </c>
      <c r="Q2014" s="1" t="s">
        <v>512</v>
      </c>
    </row>
    <row r="2015" spans="4:17" x14ac:dyDescent="0.25">
      <c r="D2015" s="1" t="s">
        <v>512</v>
      </c>
      <c r="E2015" s="21" t="s">
        <v>512</v>
      </c>
      <c r="F2015" s="1" t="s">
        <v>512</v>
      </c>
      <c r="G2015" s="1" t="s">
        <v>512</v>
      </c>
      <c r="H2015" s="1" t="s">
        <v>512</v>
      </c>
      <c r="I2015" s="1" t="s">
        <v>512</v>
      </c>
      <c r="J2015" s="1" t="s">
        <v>512</v>
      </c>
      <c r="K2015" s="1" t="s">
        <v>512</v>
      </c>
      <c r="L2015" s="1" t="s">
        <v>512</v>
      </c>
      <c r="M2015" s="1" t="s">
        <v>512</v>
      </c>
      <c r="N2015" s="1" t="s">
        <v>512</v>
      </c>
      <c r="O2015" s="1" t="s">
        <v>512</v>
      </c>
      <c r="Q2015" s="1" t="s">
        <v>512</v>
      </c>
    </row>
    <row r="2016" spans="4:17" x14ac:dyDescent="0.25">
      <c r="D2016" s="1" t="s">
        <v>512</v>
      </c>
      <c r="E2016" s="21" t="s">
        <v>512</v>
      </c>
      <c r="F2016" s="1" t="s">
        <v>512</v>
      </c>
      <c r="G2016" s="1" t="s">
        <v>512</v>
      </c>
      <c r="H2016" s="1" t="s">
        <v>512</v>
      </c>
      <c r="I2016" s="1" t="s">
        <v>512</v>
      </c>
      <c r="J2016" s="1" t="s">
        <v>512</v>
      </c>
      <c r="K2016" s="1" t="s">
        <v>512</v>
      </c>
      <c r="L2016" s="1" t="s">
        <v>512</v>
      </c>
      <c r="M2016" s="1" t="s">
        <v>512</v>
      </c>
      <c r="N2016" s="1" t="s">
        <v>512</v>
      </c>
      <c r="O2016" s="1" t="s">
        <v>512</v>
      </c>
      <c r="Q2016" s="1" t="s">
        <v>512</v>
      </c>
    </row>
    <row r="2017" spans="4:17" x14ac:dyDescent="0.25">
      <c r="D2017" s="1" t="s">
        <v>512</v>
      </c>
      <c r="E2017" s="21" t="s">
        <v>512</v>
      </c>
      <c r="F2017" s="1" t="s">
        <v>512</v>
      </c>
      <c r="G2017" s="1" t="s">
        <v>512</v>
      </c>
      <c r="H2017" s="1" t="s">
        <v>512</v>
      </c>
      <c r="I2017" s="1" t="s">
        <v>512</v>
      </c>
      <c r="J2017" s="1" t="s">
        <v>512</v>
      </c>
      <c r="K2017" s="1" t="s">
        <v>512</v>
      </c>
      <c r="L2017" s="1" t="s">
        <v>512</v>
      </c>
      <c r="M2017" s="1" t="s">
        <v>512</v>
      </c>
      <c r="N2017" s="1" t="s">
        <v>512</v>
      </c>
      <c r="O2017" s="1" t="s">
        <v>512</v>
      </c>
      <c r="Q2017" s="1" t="s">
        <v>512</v>
      </c>
    </row>
    <row r="2018" spans="4:17" x14ac:dyDescent="0.25">
      <c r="D2018" s="1" t="s">
        <v>512</v>
      </c>
      <c r="E2018" s="21" t="s">
        <v>512</v>
      </c>
      <c r="F2018" s="1" t="s">
        <v>512</v>
      </c>
      <c r="G2018" s="1" t="s">
        <v>512</v>
      </c>
      <c r="H2018" s="1" t="s">
        <v>512</v>
      </c>
      <c r="I2018" s="1" t="s">
        <v>512</v>
      </c>
      <c r="J2018" s="1" t="s">
        <v>512</v>
      </c>
      <c r="K2018" s="1" t="s">
        <v>512</v>
      </c>
      <c r="L2018" s="1" t="s">
        <v>512</v>
      </c>
      <c r="M2018" s="1" t="s">
        <v>512</v>
      </c>
      <c r="N2018" s="1" t="s">
        <v>512</v>
      </c>
      <c r="O2018" s="1" t="s">
        <v>512</v>
      </c>
      <c r="Q2018" s="1" t="s">
        <v>512</v>
      </c>
    </row>
    <row r="2019" spans="4:17" x14ac:dyDescent="0.25">
      <c r="D2019" s="1" t="s">
        <v>512</v>
      </c>
      <c r="E2019" s="21" t="s">
        <v>512</v>
      </c>
      <c r="F2019" s="1" t="s">
        <v>512</v>
      </c>
      <c r="G2019" s="1" t="s">
        <v>512</v>
      </c>
      <c r="H2019" s="1" t="s">
        <v>512</v>
      </c>
      <c r="I2019" s="1" t="s">
        <v>512</v>
      </c>
      <c r="J2019" s="1" t="s">
        <v>512</v>
      </c>
      <c r="K2019" s="1" t="s">
        <v>512</v>
      </c>
      <c r="L2019" s="1" t="s">
        <v>512</v>
      </c>
      <c r="M2019" s="1" t="s">
        <v>512</v>
      </c>
      <c r="N2019" s="1" t="s">
        <v>512</v>
      </c>
      <c r="O2019" s="1" t="s">
        <v>512</v>
      </c>
      <c r="Q2019" s="1" t="s">
        <v>512</v>
      </c>
    </row>
    <row r="2020" spans="4:17" x14ac:dyDescent="0.25">
      <c r="D2020" s="1" t="s">
        <v>512</v>
      </c>
      <c r="E2020" s="21" t="s">
        <v>512</v>
      </c>
      <c r="F2020" s="1" t="s">
        <v>512</v>
      </c>
      <c r="G2020" s="1" t="s">
        <v>512</v>
      </c>
      <c r="H2020" s="1" t="s">
        <v>512</v>
      </c>
      <c r="I2020" s="1" t="s">
        <v>512</v>
      </c>
      <c r="J2020" s="1" t="s">
        <v>512</v>
      </c>
      <c r="K2020" s="1" t="s">
        <v>512</v>
      </c>
      <c r="L2020" s="1" t="s">
        <v>512</v>
      </c>
      <c r="M2020" s="1" t="s">
        <v>512</v>
      </c>
      <c r="N2020" s="1" t="s">
        <v>512</v>
      </c>
      <c r="O2020" s="1" t="s">
        <v>512</v>
      </c>
      <c r="Q2020" s="1" t="s">
        <v>512</v>
      </c>
    </row>
    <row r="2021" spans="4:17" x14ac:dyDescent="0.25">
      <c r="D2021" s="1" t="s">
        <v>512</v>
      </c>
      <c r="E2021" s="21" t="s">
        <v>512</v>
      </c>
      <c r="F2021" s="1" t="s">
        <v>512</v>
      </c>
      <c r="G2021" s="1" t="s">
        <v>512</v>
      </c>
      <c r="H2021" s="1" t="s">
        <v>512</v>
      </c>
      <c r="I2021" s="1" t="s">
        <v>512</v>
      </c>
      <c r="J2021" s="1" t="s">
        <v>512</v>
      </c>
      <c r="K2021" s="1" t="s">
        <v>512</v>
      </c>
      <c r="L2021" s="1" t="s">
        <v>512</v>
      </c>
      <c r="M2021" s="1" t="s">
        <v>512</v>
      </c>
      <c r="N2021" s="1" t="s">
        <v>512</v>
      </c>
      <c r="O2021" s="1" t="s">
        <v>512</v>
      </c>
      <c r="Q2021" s="1" t="s">
        <v>512</v>
      </c>
    </row>
    <row r="2022" spans="4:17" x14ac:dyDescent="0.25">
      <c r="D2022" s="1" t="s">
        <v>512</v>
      </c>
      <c r="E2022" s="21" t="s">
        <v>512</v>
      </c>
      <c r="F2022" s="1" t="s">
        <v>512</v>
      </c>
      <c r="G2022" s="1" t="s">
        <v>512</v>
      </c>
      <c r="H2022" s="1" t="s">
        <v>512</v>
      </c>
      <c r="I2022" s="1" t="s">
        <v>512</v>
      </c>
      <c r="J2022" s="1" t="s">
        <v>512</v>
      </c>
      <c r="K2022" s="1" t="s">
        <v>512</v>
      </c>
      <c r="L2022" s="1" t="s">
        <v>512</v>
      </c>
      <c r="M2022" s="1" t="s">
        <v>512</v>
      </c>
      <c r="N2022" s="1" t="s">
        <v>512</v>
      </c>
      <c r="O2022" s="1" t="s">
        <v>512</v>
      </c>
      <c r="Q2022" s="1" t="s">
        <v>512</v>
      </c>
    </row>
    <row r="2023" spans="4:17" x14ac:dyDescent="0.25">
      <c r="D2023" s="1" t="s">
        <v>512</v>
      </c>
      <c r="E2023" s="21" t="s">
        <v>512</v>
      </c>
      <c r="F2023" s="1" t="s">
        <v>512</v>
      </c>
      <c r="G2023" s="1" t="s">
        <v>512</v>
      </c>
      <c r="H2023" s="1" t="s">
        <v>512</v>
      </c>
      <c r="I2023" s="1" t="s">
        <v>512</v>
      </c>
      <c r="J2023" s="1" t="s">
        <v>512</v>
      </c>
      <c r="K2023" s="1" t="s">
        <v>512</v>
      </c>
      <c r="L2023" s="1" t="s">
        <v>512</v>
      </c>
      <c r="M2023" s="1" t="s">
        <v>512</v>
      </c>
      <c r="N2023" s="1" t="s">
        <v>512</v>
      </c>
      <c r="O2023" s="1" t="s">
        <v>512</v>
      </c>
      <c r="Q2023" s="1" t="s">
        <v>512</v>
      </c>
    </row>
    <row r="2024" spans="4:17" x14ac:dyDescent="0.25">
      <c r="D2024" s="1" t="s">
        <v>512</v>
      </c>
      <c r="E2024" s="21" t="s">
        <v>512</v>
      </c>
      <c r="F2024" s="1" t="s">
        <v>512</v>
      </c>
      <c r="G2024" s="1" t="s">
        <v>512</v>
      </c>
      <c r="H2024" s="1" t="s">
        <v>512</v>
      </c>
      <c r="I2024" s="1" t="s">
        <v>512</v>
      </c>
      <c r="J2024" s="1" t="s">
        <v>512</v>
      </c>
      <c r="K2024" s="1" t="s">
        <v>512</v>
      </c>
      <c r="L2024" s="1" t="s">
        <v>512</v>
      </c>
      <c r="M2024" s="1" t="s">
        <v>512</v>
      </c>
      <c r="N2024" s="1" t="s">
        <v>512</v>
      </c>
      <c r="O2024" s="1" t="s">
        <v>512</v>
      </c>
      <c r="Q2024" s="1" t="s">
        <v>512</v>
      </c>
    </row>
    <row r="2025" spans="4:17" x14ac:dyDescent="0.25">
      <c r="D2025" s="1" t="s">
        <v>512</v>
      </c>
      <c r="E2025" s="21" t="s">
        <v>512</v>
      </c>
      <c r="F2025" s="1" t="s">
        <v>512</v>
      </c>
      <c r="G2025" s="1" t="s">
        <v>512</v>
      </c>
      <c r="H2025" s="1" t="s">
        <v>512</v>
      </c>
      <c r="I2025" s="1" t="s">
        <v>512</v>
      </c>
      <c r="J2025" s="1" t="s">
        <v>512</v>
      </c>
      <c r="K2025" s="1" t="s">
        <v>512</v>
      </c>
      <c r="L2025" s="1" t="s">
        <v>512</v>
      </c>
      <c r="M2025" s="1" t="s">
        <v>512</v>
      </c>
      <c r="N2025" s="1" t="s">
        <v>512</v>
      </c>
      <c r="O2025" s="1" t="s">
        <v>512</v>
      </c>
      <c r="Q2025" s="1" t="s">
        <v>512</v>
      </c>
    </row>
    <row r="2026" spans="4:17" x14ac:dyDescent="0.25">
      <c r="D2026" s="1" t="s">
        <v>512</v>
      </c>
      <c r="E2026" s="21" t="s">
        <v>512</v>
      </c>
      <c r="F2026" s="1" t="s">
        <v>512</v>
      </c>
      <c r="G2026" s="1" t="s">
        <v>512</v>
      </c>
      <c r="H2026" s="1" t="s">
        <v>512</v>
      </c>
      <c r="I2026" s="1" t="s">
        <v>512</v>
      </c>
      <c r="J2026" s="1" t="s">
        <v>512</v>
      </c>
      <c r="K2026" s="1" t="s">
        <v>512</v>
      </c>
      <c r="L2026" s="1" t="s">
        <v>512</v>
      </c>
      <c r="M2026" s="1" t="s">
        <v>512</v>
      </c>
      <c r="N2026" s="1" t="s">
        <v>512</v>
      </c>
      <c r="O2026" s="1" t="s">
        <v>512</v>
      </c>
      <c r="Q2026" s="1" t="s">
        <v>512</v>
      </c>
    </row>
    <row r="2027" spans="4:17" x14ac:dyDescent="0.25">
      <c r="D2027" s="1" t="s">
        <v>512</v>
      </c>
      <c r="E2027" s="21" t="s">
        <v>512</v>
      </c>
      <c r="F2027" s="1" t="s">
        <v>512</v>
      </c>
      <c r="G2027" s="1" t="s">
        <v>512</v>
      </c>
      <c r="H2027" s="1" t="s">
        <v>512</v>
      </c>
      <c r="I2027" s="1" t="s">
        <v>512</v>
      </c>
      <c r="J2027" s="1" t="s">
        <v>512</v>
      </c>
      <c r="K2027" s="1" t="s">
        <v>512</v>
      </c>
      <c r="L2027" s="1" t="s">
        <v>512</v>
      </c>
      <c r="M2027" s="1" t="s">
        <v>512</v>
      </c>
      <c r="N2027" s="1" t="s">
        <v>512</v>
      </c>
      <c r="O2027" s="1" t="s">
        <v>512</v>
      </c>
      <c r="Q2027" s="1" t="s">
        <v>512</v>
      </c>
    </row>
    <row r="2028" spans="4:17" x14ac:dyDescent="0.25">
      <c r="D2028" s="1" t="s">
        <v>512</v>
      </c>
      <c r="E2028" s="21" t="s">
        <v>512</v>
      </c>
      <c r="F2028" s="1" t="s">
        <v>512</v>
      </c>
      <c r="G2028" s="1" t="s">
        <v>512</v>
      </c>
      <c r="H2028" s="1" t="s">
        <v>512</v>
      </c>
      <c r="I2028" s="1" t="s">
        <v>512</v>
      </c>
      <c r="J2028" s="1" t="s">
        <v>512</v>
      </c>
      <c r="K2028" s="1" t="s">
        <v>512</v>
      </c>
      <c r="L2028" s="1" t="s">
        <v>512</v>
      </c>
      <c r="M2028" s="1" t="s">
        <v>512</v>
      </c>
      <c r="N2028" s="1" t="s">
        <v>512</v>
      </c>
      <c r="O2028" s="1" t="s">
        <v>512</v>
      </c>
      <c r="Q2028" s="1" t="s">
        <v>512</v>
      </c>
    </row>
    <row r="2029" spans="4:17" x14ac:dyDescent="0.25">
      <c r="D2029" s="1" t="s">
        <v>512</v>
      </c>
      <c r="E2029" s="21" t="s">
        <v>512</v>
      </c>
      <c r="F2029" s="1" t="s">
        <v>512</v>
      </c>
      <c r="G2029" s="1" t="s">
        <v>512</v>
      </c>
      <c r="H2029" s="1" t="s">
        <v>512</v>
      </c>
      <c r="I2029" s="1" t="s">
        <v>512</v>
      </c>
      <c r="J2029" s="1" t="s">
        <v>512</v>
      </c>
      <c r="K2029" s="1" t="s">
        <v>512</v>
      </c>
      <c r="L2029" s="1" t="s">
        <v>512</v>
      </c>
      <c r="M2029" s="1" t="s">
        <v>512</v>
      </c>
      <c r="N2029" s="1" t="s">
        <v>512</v>
      </c>
      <c r="O2029" s="1" t="s">
        <v>512</v>
      </c>
      <c r="Q2029" s="1" t="s">
        <v>512</v>
      </c>
    </row>
    <row r="2030" spans="4:17" x14ac:dyDescent="0.25">
      <c r="D2030" s="1" t="s">
        <v>512</v>
      </c>
      <c r="E2030" s="21" t="s">
        <v>512</v>
      </c>
      <c r="F2030" s="1" t="s">
        <v>512</v>
      </c>
      <c r="G2030" s="1" t="s">
        <v>512</v>
      </c>
      <c r="H2030" s="1" t="s">
        <v>512</v>
      </c>
      <c r="I2030" s="1" t="s">
        <v>512</v>
      </c>
      <c r="J2030" s="1" t="s">
        <v>512</v>
      </c>
      <c r="K2030" s="1" t="s">
        <v>512</v>
      </c>
      <c r="L2030" s="1" t="s">
        <v>512</v>
      </c>
      <c r="M2030" s="1" t="s">
        <v>512</v>
      </c>
      <c r="N2030" s="1" t="s">
        <v>512</v>
      </c>
      <c r="O2030" s="1" t="s">
        <v>512</v>
      </c>
      <c r="Q2030" s="1" t="s">
        <v>512</v>
      </c>
    </row>
    <row r="2031" spans="4:17" x14ac:dyDescent="0.25">
      <c r="D2031" s="1" t="s">
        <v>512</v>
      </c>
      <c r="E2031" s="21" t="s">
        <v>512</v>
      </c>
      <c r="F2031" s="1" t="s">
        <v>512</v>
      </c>
      <c r="G2031" s="1" t="s">
        <v>512</v>
      </c>
      <c r="H2031" s="1" t="s">
        <v>512</v>
      </c>
      <c r="I2031" s="1" t="s">
        <v>512</v>
      </c>
      <c r="J2031" s="1" t="s">
        <v>512</v>
      </c>
      <c r="K2031" s="1" t="s">
        <v>512</v>
      </c>
      <c r="L2031" s="1" t="s">
        <v>512</v>
      </c>
      <c r="M2031" s="1" t="s">
        <v>512</v>
      </c>
      <c r="N2031" s="1" t="s">
        <v>512</v>
      </c>
      <c r="O2031" s="1" t="s">
        <v>512</v>
      </c>
      <c r="Q2031" s="1" t="s">
        <v>512</v>
      </c>
    </row>
    <row r="2032" spans="4:17" x14ac:dyDescent="0.25">
      <c r="D2032" s="1" t="s">
        <v>512</v>
      </c>
      <c r="E2032" s="21" t="s">
        <v>512</v>
      </c>
      <c r="F2032" s="1" t="s">
        <v>512</v>
      </c>
      <c r="G2032" s="1" t="s">
        <v>512</v>
      </c>
      <c r="H2032" s="1" t="s">
        <v>512</v>
      </c>
      <c r="I2032" s="1" t="s">
        <v>512</v>
      </c>
      <c r="J2032" s="1" t="s">
        <v>512</v>
      </c>
      <c r="K2032" s="1" t="s">
        <v>512</v>
      </c>
      <c r="L2032" s="1" t="s">
        <v>512</v>
      </c>
      <c r="M2032" s="1" t="s">
        <v>512</v>
      </c>
      <c r="N2032" s="1" t="s">
        <v>512</v>
      </c>
      <c r="O2032" s="1" t="s">
        <v>512</v>
      </c>
      <c r="Q2032" s="1" t="s">
        <v>512</v>
      </c>
    </row>
    <row r="2033" spans="4:17" x14ac:dyDescent="0.25">
      <c r="D2033" s="1" t="s">
        <v>512</v>
      </c>
      <c r="E2033" s="21" t="s">
        <v>512</v>
      </c>
      <c r="F2033" s="1" t="s">
        <v>512</v>
      </c>
      <c r="G2033" s="1" t="s">
        <v>512</v>
      </c>
      <c r="H2033" s="1" t="s">
        <v>512</v>
      </c>
      <c r="I2033" s="1" t="s">
        <v>512</v>
      </c>
      <c r="J2033" s="1" t="s">
        <v>512</v>
      </c>
      <c r="K2033" s="1" t="s">
        <v>512</v>
      </c>
      <c r="L2033" s="1" t="s">
        <v>512</v>
      </c>
      <c r="M2033" s="1" t="s">
        <v>512</v>
      </c>
      <c r="N2033" s="1" t="s">
        <v>512</v>
      </c>
      <c r="O2033" s="1" t="s">
        <v>512</v>
      </c>
      <c r="Q2033" s="1" t="s">
        <v>512</v>
      </c>
    </row>
    <row r="2034" spans="4:17" x14ac:dyDescent="0.25">
      <c r="D2034" s="1" t="s">
        <v>512</v>
      </c>
      <c r="E2034" s="21" t="s">
        <v>512</v>
      </c>
      <c r="F2034" s="1" t="s">
        <v>512</v>
      </c>
      <c r="G2034" s="1" t="s">
        <v>512</v>
      </c>
      <c r="H2034" s="1" t="s">
        <v>512</v>
      </c>
      <c r="I2034" s="1" t="s">
        <v>512</v>
      </c>
      <c r="J2034" s="1" t="s">
        <v>512</v>
      </c>
      <c r="K2034" s="1" t="s">
        <v>512</v>
      </c>
      <c r="L2034" s="1" t="s">
        <v>512</v>
      </c>
      <c r="M2034" s="1" t="s">
        <v>512</v>
      </c>
      <c r="N2034" s="1" t="s">
        <v>512</v>
      </c>
      <c r="O2034" s="1" t="s">
        <v>512</v>
      </c>
      <c r="Q2034" s="1" t="s">
        <v>512</v>
      </c>
    </row>
    <row r="2035" spans="4:17" x14ac:dyDescent="0.25">
      <c r="D2035" s="1" t="s">
        <v>512</v>
      </c>
      <c r="E2035" s="21" t="s">
        <v>512</v>
      </c>
      <c r="F2035" s="1" t="s">
        <v>512</v>
      </c>
      <c r="G2035" s="1" t="s">
        <v>512</v>
      </c>
      <c r="H2035" s="1" t="s">
        <v>512</v>
      </c>
      <c r="I2035" s="1" t="s">
        <v>512</v>
      </c>
      <c r="J2035" s="1" t="s">
        <v>512</v>
      </c>
      <c r="K2035" s="1" t="s">
        <v>512</v>
      </c>
      <c r="L2035" s="1" t="s">
        <v>512</v>
      </c>
      <c r="M2035" s="1" t="s">
        <v>512</v>
      </c>
      <c r="N2035" s="1" t="s">
        <v>512</v>
      </c>
      <c r="O2035" s="1" t="s">
        <v>512</v>
      </c>
      <c r="Q2035" s="1" t="s">
        <v>512</v>
      </c>
    </row>
    <row r="2036" spans="4:17" x14ac:dyDescent="0.25">
      <c r="D2036" s="1" t="s">
        <v>512</v>
      </c>
      <c r="E2036" s="21" t="s">
        <v>512</v>
      </c>
      <c r="F2036" s="1" t="s">
        <v>512</v>
      </c>
      <c r="G2036" s="1" t="s">
        <v>512</v>
      </c>
      <c r="H2036" s="1" t="s">
        <v>512</v>
      </c>
      <c r="I2036" s="1" t="s">
        <v>512</v>
      </c>
      <c r="J2036" s="1" t="s">
        <v>512</v>
      </c>
      <c r="K2036" s="1" t="s">
        <v>512</v>
      </c>
      <c r="L2036" s="1" t="s">
        <v>512</v>
      </c>
      <c r="M2036" s="1" t="s">
        <v>512</v>
      </c>
      <c r="N2036" s="1" t="s">
        <v>512</v>
      </c>
      <c r="O2036" s="1" t="s">
        <v>512</v>
      </c>
      <c r="Q2036" s="1" t="s">
        <v>512</v>
      </c>
    </row>
    <row r="2037" spans="4:17" x14ac:dyDescent="0.25">
      <c r="D2037" s="1" t="s">
        <v>512</v>
      </c>
      <c r="E2037" s="21" t="s">
        <v>512</v>
      </c>
      <c r="F2037" s="1" t="s">
        <v>512</v>
      </c>
      <c r="G2037" s="1" t="s">
        <v>512</v>
      </c>
      <c r="H2037" s="1" t="s">
        <v>512</v>
      </c>
      <c r="I2037" s="1" t="s">
        <v>512</v>
      </c>
      <c r="J2037" s="1" t="s">
        <v>512</v>
      </c>
      <c r="K2037" s="1" t="s">
        <v>512</v>
      </c>
      <c r="L2037" s="1" t="s">
        <v>512</v>
      </c>
      <c r="M2037" s="1" t="s">
        <v>512</v>
      </c>
      <c r="N2037" s="1" t="s">
        <v>512</v>
      </c>
      <c r="O2037" s="1" t="s">
        <v>512</v>
      </c>
      <c r="Q2037" s="1" t="s">
        <v>512</v>
      </c>
    </row>
    <row r="2038" spans="4:17" x14ac:dyDescent="0.25">
      <c r="D2038" s="1" t="s">
        <v>512</v>
      </c>
      <c r="E2038" s="21" t="s">
        <v>512</v>
      </c>
      <c r="F2038" s="1" t="s">
        <v>512</v>
      </c>
      <c r="G2038" s="1" t="s">
        <v>512</v>
      </c>
      <c r="H2038" s="1" t="s">
        <v>512</v>
      </c>
      <c r="I2038" s="1" t="s">
        <v>512</v>
      </c>
      <c r="J2038" s="1" t="s">
        <v>512</v>
      </c>
      <c r="K2038" s="1" t="s">
        <v>512</v>
      </c>
      <c r="L2038" s="1" t="s">
        <v>512</v>
      </c>
      <c r="M2038" s="1" t="s">
        <v>512</v>
      </c>
      <c r="N2038" s="1" t="s">
        <v>512</v>
      </c>
      <c r="O2038" s="1" t="s">
        <v>512</v>
      </c>
      <c r="Q2038" s="1" t="s">
        <v>512</v>
      </c>
    </row>
    <row r="2039" spans="4:17" x14ac:dyDescent="0.25">
      <c r="D2039" s="1" t="s">
        <v>512</v>
      </c>
      <c r="E2039" s="21" t="s">
        <v>512</v>
      </c>
      <c r="F2039" s="1" t="s">
        <v>512</v>
      </c>
      <c r="G2039" s="1" t="s">
        <v>512</v>
      </c>
      <c r="H2039" s="1" t="s">
        <v>512</v>
      </c>
      <c r="I2039" s="1" t="s">
        <v>512</v>
      </c>
      <c r="J2039" s="1" t="s">
        <v>512</v>
      </c>
      <c r="K2039" s="1" t="s">
        <v>512</v>
      </c>
      <c r="L2039" s="1" t="s">
        <v>512</v>
      </c>
      <c r="M2039" s="1" t="s">
        <v>512</v>
      </c>
      <c r="N2039" s="1" t="s">
        <v>512</v>
      </c>
      <c r="O2039" s="1" t="s">
        <v>512</v>
      </c>
      <c r="Q2039" s="1" t="s">
        <v>512</v>
      </c>
    </row>
    <row r="2040" spans="4:17" x14ac:dyDescent="0.25">
      <c r="D2040" s="1" t="s">
        <v>512</v>
      </c>
      <c r="E2040" s="21" t="s">
        <v>512</v>
      </c>
      <c r="F2040" s="1" t="s">
        <v>512</v>
      </c>
      <c r="G2040" s="1" t="s">
        <v>512</v>
      </c>
      <c r="H2040" s="1" t="s">
        <v>512</v>
      </c>
      <c r="I2040" s="1" t="s">
        <v>512</v>
      </c>
      <c r="J2040" s="1" t="s">
        <v>512</v>
      </c>
      <c r="K2040" s="1" t="s">
        <v>512</v>
      </c>
      <c r="L2040" s="1" t="s">
        <v>512</v>
      </c>
      <c r="M2040" s="1" t="s">
        <v>512</v>
      </c>
      <c r="N2040" s="1" t="s">
        <v>512</v>
      </c>
      <c r="O2040" s="1" t="s">
        <v>512</v>
      </c>
      <c r="Q2040" s="1" t="s">
        <v>512</v>
      </c>
    </row>
    <row r="2041" spans="4:17" x14ac:dyDescent="0.25">
      <c r="D2041" s="1" t="s">
        <v>512</v>
      </c>
      <c r="E2041" s="21" t="s">
        <v>512</v>
      </c>
      <c r="F2041" s="1" t="s">
        <v>512</v>
      </c>
      <c r="G2041" s="1" t="s">
        <v>512</v>
      </c>
      <c r="H2041" s="1" t="s">
        <v>512</v>
      </c>
      <c r="I2041" s="1" t="s">
        <v>512</v>
      </c>
      <c r="J2041" s="1" t="s">
        <v>512</v>
      </c>
      <c r="K2041" s="1" t="s">
        <v>512</v>
      </c>
      <c r="L2041" s="1" t="s">
        <v>512</v>
      </c>
      <c r="M2041" s="1" t="s">
        <v>512</v>
      </c>
      <c r="N2041" s="1" t="s">
        <v>512</v>
      </c>
      <c r="O2041" s="1" t="s">
        <v>512</v>
      </c>
      <c r="Q2041" s="1" t="s">
        <v>512</v>
      </c>
    </row>
    <row r="2042" spans="4:17" x14ac:dyDescent="0.25">
      <c r="D2042" s="1" t="s">
        <v>512</v>
      </c>
      <c r="E2042" s="21" t="s">
        <v>512</v>
      </c>
      <c r="F2042" s="1" t="s">
        <v>512</v>
      </c>
      <c r="G2042" s="1" t="s">
        <v>512</v>
      </c>
      <c r="H2042" s="1" t="s">
        <v>512</v>
      </c>
      <c r="I2042" s="1" t="s">
        <v>512</v>
      </c>
      <c r="J2042" s="1" t="s">
        <v>512</v>
      </c>
      <c r="K2042" s="1" t="s">
        <v>512</v>
      </c>
      <c r="L2042" s="1" t="s">
        <v>512</v>
      </c>
      <c r="M2042" s="1" t="s">
        <v>512</v>
      </c>
      <c r="N2042" s="1" t="s">
        <v>512</v>
      </c>
      <c r="O2042" s="1" t="s">
        <v>512</v>
      </c>
      <c r="Q2042" s="1" t="s">
        <v>512</v>
      </c>
    </row>
    <row r="2043" spans="4:17" x14ac:dyDescent="0.25">
      <c r="D2043" s="1" t="s">
        <v>512</v>
      </c>
      <c r="E2043" s="21" t="s">
        <v>512</v>
      </c>
      <c r="F2043" s="1" t="s">
        <v>512</v>
      </c>
      <c r="G2043" s="1" t="s">
        <v>512</v>
      </c>
      <c r="H2043" s="1" t="s">
        <v>512</v>
      </c>
      <c r="I2043" s="1" t="s">
        <v>512</v>
      </c>
      <c r="J2043" s="1" t="s">
        <v>512</v>
      </c>
      <c r="K2043" s="1" t="s">
        <v>512</v>
      </c>
      <c r="L2043" s="1" t="s">
        <v>512</v>
      </c>
      <c r="M2043" s="1" t="s">
        <v>512</v>
      </c>
      <c r="N2043" s="1" t="s">
        <v>512</v>
      </c>
      <c r="O2043" s="1" t="s">
        <v>512</v>
      </c>
      <c r="Q2043" s="1" t="s">
        <v>512</v>
      </c>
    </row>
    <row r="2044" spans="4:17" x14ac:dyDescent="0.25">
      <c r="D2044" s="1" t="s">
        <v>512</v>
      </c>
      <c r="E2044" s="21" t="s">
        <v>512</v>
      </c>
      <c r="F2044" s="1" t="s">
        <v>512</v>
      </c>
      <c r="G2044" s="1" t="s">
        <v>512</v>
      </c>
      <c r="H2044" s="1" t="s">
        <v>512</v>
      </c>
      <c r="I2044" s="1" t="s">
        <v>512</v>
      </c>
      <c r="J2044" s="1" t="s">
        <v>512</v>
      </c>
      <c r="K2044" s="1" t="s">
        <v>512</v>
      </c>
      <c r="L2044" s="1" t="s">
        <v>512</v>
      </c>
      <c r="M2044" s="1" t="s">
        <v>512</v>
      </c>
      <c r="N2044" s="1" t="s">
        <v>512</v>
      </c>
      <c r="O2044" s="1" t="s">
        <v>512</v>
      </c>
      <c r="Q2044" s="1" t="s">
        <v>512</v>
      </c>
    </row>
    <row r="2045" spans="4:17" x14ac:dyDescent="0.25">
      <c r="D2045" s="1" t="s">
        <v>512</v>
      </c>
      <c r="E2045" s="21" t="s">
        <v>512</v>
      </c>
      <c r="F2045" s="1" t="s">
        <v>512</v>
      </c>
      <c r="G2045" s="1" t="s">
        <v>512</v>
      </c>
      <c r="H2045" s="1" t="s">
        <v>512</v>
      </c>
      <c r="I2045" s="1" t="s">
        <v>512</v>
      </c>
      <c r="J2045" s="1" t="s">
        <v>512</v>
      </c>
      <c r="K2045" s="1" t="s">
        <v>512</v>
      </c>
      <c r="L2045" s="1" t="s">
        <v>512</v>
      </c>
      <c r="M2045" s="1" t="s">
        <v>512</v>
      </c>
      <c r="N2045" s="1" t="s">
        <v>512</v>
      </c>
      <c r="O2045" s="1" t="s">
        <v>512</v>
      </c>
      <c r="Q2045" s="1" t="s">
        <v>512</v>
      </c>
    </row>
    <row r="2046" spans="4:17" x14ac:dyDescent="0.25">
      <c r="D2046" s="1" t="s">
        <v>512</v>
      </c>
      <c r="E2046" s="21" t="s">
        <v>512</v>
      </c>
      <c r="F2046" s="1" t="s">
        <v>512</v>
      </c>
      <c r="G2046" s="1" t="s">
        <v>512</v>
      </c>
      <c r="H2046" s="1" t="s">
        <v>512</v>
      </c>
      <c r="I2046" s="1" t="s">
        <v>512</v>
      </c>
      <c r="J2046" s="1" t="s">
        <v>512</v>
      </c>
      <c r="K2046" s="1" t="s">
        <v>512</v>
      </c>
      <c r="L2046" s="1" t="s">
        <v>512</v>
      </c>
      <c r="M2046" s="1" t="s">
        <v>512</v>
      </c>
      <c r="N2046" s="1" t="s">
        <v>512</v>
      </c>
      <c r="O2046" s="1" t="s">
        <v>512</v>
      </c>
      <c r="Q2046" s="1" t="s">
        <v>512</v>
      </c>
    </row>
    <row r="2047" spans="4:17" x14ac:dyDescent="0.25">
      <c r="D2047" s="1" t="s">
        <v>512</v>
      </c>
      <c r="E2047" s="21" t="s">
        <v>512</v>
      </c>
      <c r="F2047" s="1" t="s">
        <v>512</v>
      </c>
      <c r="G2047" s="1" t="s">
        <v>512</v>
      </c>
      <c r="H2047" s="1" t="s">
        <v>512</v>
      </c>
      <c r="I2047" s="1" t="s">
        <v>512</v>
      </c>
      <c r="J2047" s="1" t="s">
        <v>512</v>
      </c>
      <c r="K2047" s="1" t="s">
        <v>512</v>
      </c>
      <c r="L2047" s="1" t="s">
        <v>512</v>
      </c>
      <c r="M2047" s="1" t="s">
        <v>512</v>
      </c>
      <c r="N2047" s="1" t="s">
        <v>512</v>
      </c>
      <c r="O2047" s="1" t="s">
        <v>512</v>
      </c>
      <c r="Q2047" s="1" t="s">
        <v>512</v>
      </c>
    </row>
    <row r="2048" spans="4:17" x14ac:dyDescent="0.25">
      <c r="D2048" s="1" t="s">
        <v>512</v>
      </c>
      <c r="E2048" s="21" t="s">
        <v>512</v>
      </c>
      <c r="F2048" s="1" t="s">
        <v>512</v>
      </c>
      <c r="G2048" s="1" t="s">
        <v>512</v>
      </c>
      <c r="H2048" s="1" t="s">
        <v>512</v>
      </c>
      <c r="I2048" s="1" t="s">
        <v>512</v>
      </c>
      <c r="J2048" s="1" t="s">
        <v>512</v>
      </c>
      <c r="K2048" s="1" t="s">
        <v>512</v>
      </c>
      <c r="L2048" s="1" t="s">
        <v>512</v>
      </c>
      <c r="M2048" s="1" t="s">
        <v>512</v>
      </c>
      <c r="N2048" s="1" t="s">
        <v>512</v>
      </c>
      <c r="O2048" s="1" t="s">
        <v>512</v>
      </c>
      <c r="Q2048" s="1" t="s">
        <v>512</v>
      </c>
    </row>
    <row r="2049" spans="4:17" x14ac:dyDescent="0.25">
      <c r="D2049" s="1" t="s">
        <v>512</v>
      </c>
      <c r="E2049" s="21" t="s">
        <v>512</v>
      </c>
      <c r="F2049" s="1" t="s">
        <v>512</v>
      </c>
      <c r="G2049" s="1" t="s">
        <v>512</v>
      </c>
      <c r="H2049" s="1" t="s">
        <v>512</v>
      </c>
      <c r="I2049" s="1" t="s">
        <v>512</v>
      </c>
      <c r="J2049" s="1" t="s">
        <v>512</v>
      </c>
      <c r="K2049" s="1" t="s">
        <v>512</v>
      </c>
      <c r="L2049" s="1" t="s">
        <v>512</v>
      </c>
      <c r="M2049" s="1" t="s">
        <v>512</v>
      </c>
      <c r="N2049" s="1" t="s">
        <v>512</v>
      </c>
      <c r="O2049" s="1" t="s">
        <v>512</v>
      </c>
      <c r="Q2049" s="1" t="s">
        <v>512</v>
      </c>
    </row>
    <row r="2050" spans="4:17" x14ac:dyDescent="0.25">
      <c r="D2050" s="1" t="s">
        <v>512</v>
      </c>
      <c r="E2050" s="21" t="s">
        <v>512</v>
      </c>
      <c r="F2050" s="1" t="s">
        <v>512</v>
      </c>
      <c r="G2050" s="1" t="s">
        <v>512</v>
      </c>
      <c r="H2050" s="1" t="s">
        <v>512</v>
      </c>
      <c r="I2050" s="1" t="s">
        <v>512</v>
      </c>
      <c r="J2050" s="1" t="s">
        <v>512</v>
      </c>
      <c r="K2050" s="1" t="s">
        <v>512</v>
      </c>
      <c r="L2050" s="1" t="s">
        <v>512</v>
      </c>
      <c r="M2050" s="1" t="s">
        <v>512</v>
      </c>
      <c r="N2050" s="1" t="s">
        <v>512</v>
      </c>
      <c r="O2050" s="1" t="s">
        <v>512</v>
      </c>
      <c r="Q2050" s="1" t="s">
        <v>512</v>
      </c>
    </row>
    <row r="2051" spans="4:17" x14ac:dyDescent="0.25">
      <c r="D2051" s="1" t="s">
        <v>512</v>
      </c>
      <c r="E2051" s="21" t="s">
        <v>512</v>
      </c>
      <c r="F2051" s="1" t="s">
        <v>512</v>
      </c>
      <c r="G2051" s="1" t="s">
        <v>512</v>
      </c>
      <c r="H2051" s="1" t="s">
        <v>512</v>
      </c>
      <c r="I2051" s="1" t="s">
        <v>512</v>
      </c>
      <c r="J2051" s="1" t="s">
        <v>512</v>
      </c>
      <c r="K2051" s="1" t="s">
        <v>512</v>
      </c>
      <c r="L2051" s="1" t="s">
        <v>512</v>
      </c>
      <c r="M2051" s="1" t="s">
        <v>512</v>
      </c>
      <c r="N2051" s="1" t="s">
        <v>512</v>
      </c>
      <c r="O2051" s="1" t="s">
        <v>512</v>
      </c>
      <c r="Q2051" s="1" t="s">
        <v>512</v>
      </c>
    </row>
    <row r="2052" spans="4:17" x14ac:dyDescent="0.25">
      <c r="D2052" s="1" t="s">
        <v>512</v>
      </c>
      <c r="E2052" s="21" t="s">
        <v>512</v>
      </c>
      <c r="F2052" s="1" t="s">
        <v>512</v>
      </c>
      <c r="G2052" s="1" t="s">
        <v>512</v>
      </c>
      <c r="H2052" s="1" t="s">
        <v>512</v>
      </c>
      <c r="I2052" s="1" t="s">
        <v>512</v>
      </c>
      <c r="J2052" s="1" t="s">
        <v>512</v>
      </c>
      <c r="K2052" s="1" t="s">
        <v>512</v>
      </c>
      <c r="L2052" s="1" t="s">
        <v>512</v>
      </c>
      <c r="M2052" s="1" t="s">
        <v>512</v>
      </c>
      <c r="N2052" s="1" t="s">
        <v>512</v>
      </c>
      <c r="O2052" s="1" t="s">
        <v>512</v>
      </c>
      <c r="Q2052" s="1" t="s">
        <v>512</v>
      </c>
    </row>
    <row r="2053" spans="4:17" x14ac:dyDescent="0.25">
      <c r="D2053" s="1" t="s">
        <v>512</v>
      </c>
      <c r="E2053" s="21" t="s">
        <v>512</v>
      </c>
      <c r="F2053" s="1" t="s">
        <v>512</v>
      </c>
      <c r="G2053" s="1" t="s">
        <v>512</v>
      </c>
      <c r="H2053" s="1" t="s">
        <v>512</v>
      </c>
      <c r="I2053" s="1" t="s">
        <v>512</v>
      </c>
      <c r="J2053" s="1" t="s">
        <v>512</v>
      </c>
      <c r="K2053" s="1" t="s">
        <v>512</v>
      </c>
      <c r="L2053" s="1" t="s">
        <v>512</v>
      </c>
      <c r="M2053" s="1" t="s">
        <v>512</v>
      </c>
      <c r="N2053" s="1" t="s">
        <v>512</v>
      </c>
      <c r="O2053" s="1" t="s">
        <v>512</v>
      </c>
      <c r="Q2053" s="1" t="s">
        <v>512</v>
      </c>
    </row>
    <row r="2054" spans="4:17" x14ac:dyDescent="0.25">
      <c r="D2054" s="1" t="s">
        <v>512</v>
      </c>
      <c r="E2054" s="21" t="s">
        <v>512</v>
      </c>
      <c r="F2054" s="1" t="s">
        <v>512</v>
      </c>
      <c r="G2054" s="1" t="s">
        <v>512</v>
      </c>
      <c r="H2054" s="1" t="s">
        <v>512</v>
      </c>
      <c r="I2054" s="1" t="s">
        <v>512</v>
      </c>
      <c r="J2054" s="1" t="s">
        <v>512</v>
      </c>
      <c r="K2054" s="1" t="s">
        <v>512</v>
      </c>
      <c r="L2054" s="1" t="s">
        <v>512</v>
      </c>
      <c r="M2054" s="1" t="s">
        <v>512</v>
      </c>
      <c r="N2054" s="1" t="s">
        <v>512</v>
      </c>
      <c r="O2054" s="1" t="s">
        <v>512</v>
      </c>
      <c r="Q2054" s="1" t="s">
        <v>512</v>
      </c>
    </row>
    <row r="2055" spans="4:17" x14ac:dyDescent="0.25">
      <c r="D2055" s="1" t="s">
        <v>512</v>
      </c>
      <c r="E2055" s="21" t="s">
        <v>512</v>
      </c>
      <c r="F2055" s="1" t="s">
        <v>512</v>
      </c>
      <c r="G2055" s="1" t="s">
        <v>512</v>
      </c>
      <c r="H2055" s="1" t="s">
        <v>512</v>
      </c>
      <c r="I2055" s="1" t="s">
        <v>512</v>
      </c>
      <c r="J2055" s="1" t="s">
        <v>512</v>
      </c>
      <c r="K2055" s="1" t="s">
        <v>512</v>
      </c>
      <c r="L2055" s="1" t="s">
        <v>512</v>
      </c>
      <c r="M2055" s="1" t="s">
        <v>512</v>
      </c>
      <c r="N2055" s="1" t="s">
        <v>512</v>
      </c>
      <c r="O2055" s="1" t="s">
        <v>512</v>
      </c>
      <c r="Q2055" s="1" t="s">
        <v>512</v>
      </c>
    </row>
    <row r="2056" spans="4:17" x14ac:dyDescent="0.25">
      <c r="D2056" s="1" t="s">
        <v>512</v>
      </c>
      <c r="E2056" s="21" t="s">
        <v>512</v>
      </c>
      <c r="F2056" s="1" t="s">
        <v>512</v>
      </c>
      <c r="G2056" s="1" t="s">
        <v>512</v>
      </c>
      <c r="H2056" s="1" t="s">
        <v>512</v>
      </c>
      <c r="I2056" s="1" t="s">
        <v>512</v>
      </c>
      <c r="J2056" s="1" t="s">
        <v>512</v>
      </c>
      <c r="K2056" s="1" t="s">
        <v>512</v>
      </c>
      <c r="L2056" s="1" t="s">
        <v>512</v>
      </c>
      <c r="M2056" s="1" t="s">
        <v>512</v>
      </c>
      <c r="N2056" s="1" t="s">
        <v>512</v>
      </c>
      <c r="O2056" s="1" t="s">
        <v>512</v>
      </c>
      <c r="Q2056" s="1" t="s">
        <v>512</v>
      </c>
    </row>
    <row r="2057" spans="4:17" x14ac:dyDescent="0.25">
      <c r="D2057" s="1" t="s">
        <v>512</v>
      </c>
      <c r="E2057" s="21" t="s">
        <v>512</v>
      </c>
      <c r="F2057" s="1" t="s">
        <v>512</v>
      </c>
      <c r="G2057" s="1" t="s">
        <v>512</v>
      </c>
      <c r="H2057" s="1" t="s">
        <v>512</v>
      </c>
      <c r="I2057" s="1" t="s">
        <v>512</v>
      </c>
      <c r="J2057" s="1" t="s">
        <v>512</v>
      </c>
      <c r="K2057" s="1" t="s">
        <v>512</v>
      </c>
      <c r="L2057" s="1" t="s">
        <v>512</v>
      </c>
      <c r="M2057" s="1" t="s">
        <v>512</v>
      </c>
      <c r="N2057" s="1" t="s">
        <v>512</v>
      </c>
      <c r="O2057" s="1" t="s">
        <v>512</v>
      </c>
      <c r="Q2057" s="1" t="s">
        <v>512</v>
      </c>
    </row>
    <row r="2058" spans="4:17" x14ac:dyDescent="0.25">
      <c r="D2058" s="1" t="s">
        <v>512</v>
      </c>
      <c r="E2058" s="21" t="s">
        <v>512</v>
      </c>
      <c r="F2058" s="1" t="s">
        <v>512</v>
      </c>
      <c r="G2058" s="1" t="s">
        <v>512</v>
      </c>
      <c r="H2058" s="1" t="s">
        <v>512</v>
      </c>
      <c r="I2058" s="1" t="s">
        <v>512</v>
      </c>
      <c r="J2058" s="1" t="s">
        <v>512</v>
      </c>
      <c r="K2058" s="1" t="s">
        <v>512</v>
      </c>
      <c r="L2058" s="1" t="s">
        <v>512</v>
      </c>
      <c r="M2058" s="1" t="s">
        <v>512</v>
      </c>
      <c r="N2058" s="1" t="s">
        <v>512</v>
      </c>
      <c r="O2058" s="1" t="s">
        <v>512</v>
      </c>
      <c r="Q2058" s="1" t="s">
        <v>512</v>
      </c>
    </row>
    <row r="2059" spans="4:17" x14ac:dyDescent="0.25">
      <c r="D2059" s="1" t="s">
        <v>512</v>
      </c>
      <c r="E2059" s="21" t="s">
        <v>512</v>
      </c>
      <c r="F2059" s="1" t="s">
        <v>512</v>
      </c>
      <c r="G2059" s="1" t="s">
        <v>512</v>
      </c>
      <c r="H2059" s="1" t="s">
        <v>512</v>
      </c>
      <c r="I2059" s="1" t="s">
        <v>512</v>
      </c>
      <c r="J2059" s="1" t="s">
        <v>512</v>
      </c>
      <c r="K2059" s="1" t="s">
        <v>512</v>
      </c>
      <c r="L2059" s="1" t="s">
        <v>512</v>
      </c>
      <c r="M2059" s="1" t="s">
        <v>512</v>
      </c>
      <c r="N2059" s="1" t="s">
        <v>512</v>
      </c>
      <c r="O2059" s="1" t="s">
        <v>512</v>
      </c>
      <c r="Q2059" s="1" t="s">
        <v>512</v>
      </c>
    </row>
    <row r="2060" spans="4:17" x14ac:dyDescent="0.25">
      <c r="D2060" s="1" t="s">
        <v>512</v>
      </c>
      <c r="E2060" s="21" t="s">
        <v>512</v>
      </c>
      <c r="F2060" s="1" t="s">
        <v>512</v>
      </c>
      <c r="G2060" s="1" t="s">
        <v>512</v>
      </c>
      <c r="H2060" s="1" t="s">
        <v>512</v>
      </c>
      <c r="I2060" s="1" t="s">
        <v>512</v>
      </c>
      <c r="J2060" s="1" t="s">
        <v>512</v>
      </c>
      <c r="K2060" s="1" t="s">
        <v>512</v>
      </c>
      <c r="L2060" s="1" t="s">
        <v>512</v>
      </c>
      <c r="M2060" s="1" t="s">
        <v>512</v>
      </c>
      <c r="N2060" s="1" t="s">
        <v>512</v>
      </c>
      <c r="O2060" s="1" t="s">
        <v>512</v>
      </c>
      <c r="Q2060" s="1" t="s">
        <v>512</v>
      </c>
    </row>
    <row r="2061" spans="4:17" x14ac:dyDescent="0.25">
      <c r="D2061" s="1" t="s">
        <v>512</v>
      </c>
      <c r="E2061" s="21" t="s">
        <v>512</v>
      </c>
      <c r="F2061" s="1" t="s">
        <v>512</v>
      </c>
      <c r="G2061" s="1" t="s">
        <v>512</v>
      </c>
      <c r="H2061" s="1" t="s">
        <v>512</v>
      </c>
      <c r="I2061" s="1" t="s">
        <v>512</v>
      </c>
      <c r="J2061" s="1" t="s">
        <v>512</v>
      </c>
      <c r="K2061" s="1" t="s">
        <v>512</v>
      </c>
      <c r="L2061" s="1" t="s">
        <v>512</v>
      </c>
      <c r="M2061" s="1" t="s">
        <v>512</v>
      </c>
      <c r="N2061" s="1" t="s">
        <v>512</v>
      </c>
      <c r="O2061" s="1" t="s">
        <v>512</v>
      </c>
      <c r="Q2061" s="1" t="s">
        <v>512</v>
      </c>
    </row>
    <row r="2062" spans="4:17" x14ac:dyDescent="0.25">
      <c r="D2062" s="1" t="s">
        <v>512</v>
      </c>
      <c r="E2062" s="21" t="s">
        <v>512</v>
      </c>
      <c r="F2062" s="1" t="s">
        <v>512</v>
      </c>
      <c r="G2062" s="1" t="s">
        <v>512</v>
      </c>
      <c r="H2062" s="1" t="s">
        <v>512</v>
      </c>
      <c r="I2062" s="1" t="s">
        <v>512</v>
      </c>
      <c r="J2062" s="1" t="s">
        <v>512</v>
      </c>
      <c r="K2062" s="1" t="s">
        <v>512</v>
      </c>
      <c r="L2062" s="1" t="s">
        <v>512</v>
      </c>
      <c r="M2062" s="1" t="s">
        <v>512</v>
      </c>
      <c r="N2062" s="1" t="s">
        <v>512</v>
      </c>
      <c r="O2062" s="1" t="s">
        <v>512</v>
      </c>
      <c r="Q2062" s="1" t="s">
        <v>512</v>
      </c>
    </row>
    <row r="2063" spans="4:17" x14ac:dyDescent="0.25">
      <c r="D2063" s="1" t="s">
        <v>512</v>
      </c>
      <c r="E2063" s="21" t="s">
        <v>512</v>
      </c>
      <c r="F2063" s="1" t="s">
        <v>512</v>
      </c>
      <c r="G2063" s="1" t="s">
        <v>512</v>
      </c>
      <c r="H2063" s="1" t="s">
        <v>512</v>
      </c>
      <c r="I2063" s="1" t="s">
        <v>512</v>
      </c>
      <c r="J2063" s="1" t="s">
        <v>512</v>
      </c>
      <c r="K2063" s="1" t="s">
        <v>512</v>
      </c>
      <c r="L2063" s="1" t="s">
        <v>512</v>
      </c>
      <c r="M2063" s="1" t="s">
        <v>512</v>
      </c>
      <c r="N2063" s="1" t="s">
        <v>512</v>
      </c>
      <c r="O2063" s="1" t="s">
        <v>512</v>
      </c>
      <c r="Q2063" s="1" t="s">
        <v>512</v>
      </c>
    </row>
    <row r="2064" spans="4:17" x14ac:dyDescent="0.25">
      <c r="D2064" s="1" t="s">
        <v>512</v>
      </c>
      <c r="E2064" s="21" t="s">
        <v>512</v>
      </c>
      <c r="F2064" s="1" t="s">
        <v>512</v>
      </c>
      <c r="G2064" s="1" t="s">
        <v>512</v>
      </c>
      <c r="H2064" s="1" t="s">
        <v>512</v>
      </c>
      <c r="I2064" s="1" t="s">
        <v>512</v>
      </c>
      <c r="J2064" s="1" t="s">
        <v>512</v>
      </c>
      <c r="K2064" s="1" t="s">
        <v>512</v>
      </c>
      <c r="L2064" s="1" t="s">
        <v>512</v>
      </c>
      <c r="M2064" s="1" t="s">
        <v>512</v>
      </c>
      <c r="N2064" s="1" t="s">
        <v>512</v>
      </c>
      <c r="O2064" s="1" t="s">
        <v>512</v>
      </c>
      <c r="Q2064" s="1" t="s">
        <v>512</v>
      </c>
    </row>
    <row r="2065" spans="4:17" x14ac:dyDescent="0.25">
      <c r="D2065" s="1" t="s">
        <v>512</v>
      </c>
      <c r="E2065" s="21" t="s">
        <v>512</v>
      </c>
      <c r="F2065" s="1" t="s">
        <v>512</v>
      </c>
      <c r="G2065" s="1" t="s">
        <v>512</v>
      </c>
      <c r="H2065" s="1" t="s">
        <v>512</v>
      </c>
      <c r="I2065" s="1" t="s">
        <v>512</v>
      </c>
      <c r="J2065" s="1" t="s">
        <v>512</v>
      </c>
      <c r="K2065" s="1" t="s">
        <v>512</v>
      </c>
      <c r="L2065" s="1" t="s">
        <v>512</v>
      </c>
      <c r="M2065" s="1" t="s">
        <v>512</v>
      </c>
      <c r="N2065" s="1" t="s">
        <v>512</v>
      </c>
      <c r="O2065" s="1" t="s">
        <v>512</v>
      </c>
      <c r="Q2065" s="1" t="s">
        <v>512</v>
      </c>
    </row>
    <row r="2066" spans="4:17" x14ac:dyDescent="0.25">
      <c r="D2066" s="1" t="s">
        <v>512</v>
      </c>
      <c r="E2066" s="21" t="s">
        <v>512</v>
      </c>
      <c r="F2066" s="1" t="s">
        <v>512</v>
      </c>
      <c r="G2066" s="1" t="s">
        <v>512</v>
      </c>
      <c r="H2066" s="1" t="s">
        <v>512</v>
      </c>
      <c r="I2066" s="1" t="s">
        <v>512</v>
      </c>
      <c r="J2066" s="1" t="s">
        <v>512</v>
      </c>
      <c r="K2066" s="1" t="s">
        <v>512</v>
      </c>
      <c r="L2066" s="1" t="s">
        <v>512</v>
      </c>
      <c r="M2066" s="1" t="s">
        <v>512</v>
      </c>
      <c r="N2066" s="1" t="s">
        <v>512</v>
      </c>
      <c r="O2066" s="1" t="s">
        <v>512</v>
      </c>
      <c r="Q2066" s="1" t="s">
        <v>512</v>
      </c>
    </row>
    <row r="2067" spans="4:17" x14ac:dyDescent="0.25">
      <c r="D2067" s="1" t="s">
        <v>512</v>
      </c>
      <c r="E2067" s="21" t="s">
        <v>512</v>
      </c>
      <c r="F2067" s="1" t="s">
        <v>512</v>
      </c>
      <c r="G2067" s="1" t="s">
        <v>512</v>
      </c>
      <c r="H2067" s="1" t="s">
        <v>512</v>
      </c>
      <c r="I2067" s="1" t="s">
        <v>512</v>
      </c>
      <c r="J2067" s="1" t="s">
        <v>512</v>
      </c>
      <c r="K2067" s="1" t="s">
        <v>512</v>
      </c>
      <c r="L2067" s="1" t="s">
        <v>512</v>
      </c>
      <c r="M2067" s="1" t="s">
        <v>512</v>
      </c>
      <c r="N2067" s="1" t="s">
        <v>512</v>
      </c>
      <c r="O2067" s="1" t="s">
        <v>512</v>
      </c>
      <c r="Q2067" s="1" t="s">
        <v>512</v>
      </c>
    </row>
    <row r="2068" spans="4:17" x14ac:dyDescent="0.25">
      <c r="D2068" s="1" t="s">
        <v>512</v>
      </c>
      <c r="E2068" s="21" t="s">
        <v>512</v>
      </c>
      <c r="F2068" s="1" t="s">
        <v>512</v>
      </c>
      <c r="G2068" s="1" t="s">
        <v>512</v>
      </c>
      <c r="H2068" s="1" t="s">
        <v>512</v>
      </c>
      <c r="I2068" s="1" t="s">
        <v>512</v>
      </c>
      <c r="J2068" s="1" t="s">
        <v>512</v>
      </c>
      <c r="K2068" s="1" t="s">
        <v>512</v>
      </c>
      <c r="L2068" s="1" t="s">
        <v>512</v>
      </c>
      <c r="M2068" s="1" t="s">
        <v>512</v>
      </c>
      <c r="N2068" s="1" t="s">
        <v>512</v>
      </c>
      <c r="O2068" s="1" t="s">
        <v>512</v>
      </c>
      <c r="Q2068" s="1" t="s">
        <v>512</v>
      </c>
    </row>
    <row r="2069" spans="4:17" x14ac:dyDescent="0.25">
      <c r="D2069" s="1" t="s">
        <v>512</v>
      </c>
      <c r="E2069" s="21" t="s">
        <v>512</v>
      </c>
      <c r="F2069" s="1" t="s">
        <v>512</v>
      </c>
      <c r="G2069" s="1" t="s">
        <v>512</v>
      </c>
      <c r="H2069" s="1" t="s">
        <v>512</v>
      </c>
      <c r="I2069" s="1" t="s">
        <v>512</v>
      </c>
      <c r="J2069" s="1" t="s">
        <v>512</v>
      </c>
      <c r="K2069" s="1" t="s">
        <v>512</v>
      </c>
      <c r="L2069" s="1" t="s">
        <v>512</v>
      </c>
      <c r="M2069" s="1" t="s">
        <v>512</v>
      </c>
      <c r="N2069" s="1" t="s">
        <v>512</v>
      </c>
      <c r="O2069" s="1" t="s">
        <v>512</v>
      </c>
      <c r="Q2069" s="1" t="s">
        <v>512</v>
      </c>
    </row>
    <row r="2070" spans="4:17" x14ac:dyDescent="0.25">
      <c r="D2070" s="1" t="s">
        <v>512</v>
      </c>
      <c r="E2070" s="21" t="s">
        <v>512</v>
      </c>
      <c r="F2070" s="1" t="s">
        <v>512</v>
      </c>
      <c r="G2070" s="1" t="s">
        <v>512</v>
      </c>
      <c r="H2070" s="1" t="s">
        <v>512</v>
      </c>
      <c r="I2070" s="1" t="s">
        <v>512</v>
      </c>
      <c r="J2070" s="1" t="s">
        <v>512</v>
      </c>
      <c r="K2070" s="1" t="s">
        <v>512</v>
      </c>
      <c r="L2070" s="1" t="s">
        <v>512</v>
      </c>
      <c r="M2070" s="1" t="s">
        <v>512</v>
      </c>
      <c r="N2070" s="1" t="s">
        <v>512</v>
      </c>
      <c r="O2070" s="1" t="s">
        <v>512</v>
      </c>
      <c r="Q2070" s="1" t="s">
        <v>512</v>
      </c>
    </row>
    <row r="2071" spans="4:17" x14ac:dyDescent="0.25">
      <c r="D2071" s="1" t="s">
        <v>512</v>
      </c>
      <c r="E2071" s="21" t="s">
        <v>512</v>
      </c>
      <c r="F2071" s="1" t="s">
        <v>512</v>
      </c>
      <c r="G2071" s="1" t="s">
        <v>512</v>
      </c>
      <c r="H2071" s="1" t="s">
        <v>512</v>
      </c>
      <c r="I2071" s="1" t="s">
        <v>512</v>
      </c>
      <c r="J2071" s="1" t="s">
        <v>512</v>
      </c>
      <c r="K2071" s="1" t="s">
        <v>512</v>
      </c>
      <c r="L2071" s="1" t="s">
        <v>512</v>
      </c>
      <c r="M2071" s="1" t="s">
        <v>512</v>
      </c>
      <c r="N2071" s="1" t="s">
        <v>512</v>
      </c>
      <c r="O2071" s="1" t="s">
        <v>512</v>
      </c>
      <c r="Q2071" s="1" t="s">
        <v>512</v>
      </c>
    </row>
    <row r="2072" spans="4:17" x14ac:dyDescent="0.25">
      <c r="D2072" s="1" t="s">
        <v>512</v>
      </c>
      <c r="E2072" s="21" t="s">
        <v>512</v>
      </c>
      <c r="F2072" s="1" t="s">
        <v>512</v>
      </c>
      <c r="G2072" s="1" t="s">
        <v>512</v>
      </c>
      <c r="H2072" s="1" t="s">
        <v>512</v>
      </c>
      <c r="I2072" s="1" t="s">
        <v>512</v>
      </c>
      <c r="J2072" s="1" t="s">
        <v>512</v>
      </c>
      <c r="K2072" s="1" t="s">
        <v>512</v>
      </c>
      <c r="L2072" s="1" t="s">
        <v>512</v>
      </c>
      <c r="M2072" s="1" t="s">
        <v>512</v>
      </c>
      <c r="N2072" s="1" t="s">
        <v>512</v>
      </c>
      <c r="O2072" s="1" t="s">
        <v>512</v>
      </c>
      <c r="Q2072" s="1" t="s">
        <v>512</v>
      </c>
    </row>
    <row r="2073" spans="4:17" x14ac:dyDescent="0.25">
      <c r="D2073" s="1" t="s">
        <v>512</v>
      </c>
      <c r="E2073" s="21" t="s">
        <v>512</v>
      </c>
      <c r="F2073" s="1" t="s">
        <v>512</v>
      </c>
      <c r="G2073" s="1" t="s">
        <v>512</v>
      </c>
      <c r="H2073" s="1" t="s">
        <v>512</v>
      </c>
      <c r="I2073" s="1" t="s">
        <v>512</v>
      </c>
      <c r="J2073" s="1" t="s">
        <v>512</v>
      </c>
      <c r="K2073" s="1" t="s">
        <v>512</v>
      </c>
      <c r="L2073" s="1" t="s">
        <v>512</v>
      </c>
      <c r="M2073" s="1" t="s">
        <v>512</v>
      </c>
      <c r="N2073" s="1" t="s">
        <v>512</v>
      </c>
      <c r="O2073" s="1" t="s">
        <v>512</v>
      </c>
      <c r="Q2073" s="1" t="s">
        <v>512</v>
      </c>
    </row>
    <row r="2074" spans="4:17" x14ac:dyDescent="0.25">
      <c r="D2074" s="1" t="s">
        <v>512</v>
      </c>
      <c r="E2074" s="21" t="s">
        <v>512</v>
      </c>
      <c r="F2074" s="1" t="s">
        <v>512</v>
      </c>
      <c r="G2074" s="1" t="s">
        <v>512</v>
      </c>
      <c r="H2074" s="1" t="s">
        <v>512</v>
      </c>
      <c r="I2074" s="1" t="s">
        <v>512</v>
      </c>
      <c r="J2074" s="1" t="s">
        <v>512</v>
      </c>
      <c r="K2074" s="1" t="s">
        <v>512</v>
      </c>
      <c r="L2074" s="1" t="s">
        <v>512</v>
      </c>
      <c r="M2074" s="1" t="s">
        <v>512</v>
      </c>
      <c r="N2074" s="1" t="s">
        <v>512</v>
      </c>
      <c r="O2074" s="1" t="s">
        <v>512</v>
      </c>
      <c r="Q2074" s="1" t="s">
        <v>512</v>
      </c>
    </row>
    <row r="2075" spans="4:17" x14ac:dyDescent="0.25">
      <c r="D2075" s="1" t="s">
        <v>512</v>
      </c>
      <c r="E2075" s="21" t="s">
        <v>512</v>
      </c>
      <c r="F2075" s="1" t="s">
        <v>512</v>
      </c>
      <c r="G2075" s="1" t="s">
        <v>512</v>
      </c>
      <c r="H2075" s="1" t="s">
        <v>512</v>
      </c>
      <c r="I2075" s="1" t="s">
        <v>512</v>
      </c>
      <c r="J2075" s="1" t="s">
        <v>512</v>
      </c>
      <c r="K2075" s="1" t="s">
        <v>512</v>
      </c>
      <c r="L2075" s="1" t="s">
        <v>512</v>
      </c>
      <c r="M2075" s="1" t="s">
        <v>512</v>
      </c>
      <c r="N2075" s="1" t="s">
        <v>512</v>
      </c>
      <c r="O2075" s="1" t="s">
        <v>512</v>
      </c>
      <c r="Q2075" s="1" t="s">
        <v>512</v>
      </c>
    </row>
    <row r="2076" spans="4:17" x14ac:dyDescent="0.25">
      <c r="D2076" s="1" t="s">
        <v>512</v>
      </c>
      <c r="E2076" s="21" t="s">
        <v>512</v>
      </c>
      <c r="F2076" s="1" t="s">
        <v>512</v>
      </c>
      <c r="G2076" s="1" t="s">
        <v>512</v>
      </c>
      <c r="H2076" s="1" t="s">
        <v>512</v>
      </c>
      <c r="I2076" s="1" t="s">
        <v>512</v>
      </c>
      <c r="J2076" s="1" t="s">
        <v>512</v>
      </c>
      <c r="K2076" s="1" t="s">
        <v>512</v>
      </c>
      <c r="L2076" s="1" t="s">
        <v>512</v>
      </c>
      <c r="M2076" s="1" t="s">
        <v>512</v>
      </c>
      <c r="N2076" s="1" t="s">
        <v>512</v>
      </c>
      <c r="O2076" s="1" t="s">
        <v>512</v>
      </c>
      <c r="Q2076" s="1" t="s">
        <v>512</v>
      </c>
    </row>
    <row r="2077" spans="4:17" x14ac:dyDescent="0.25">
      <c r="D2077" s="1" t="s">
        <v>512</v>
      </c>
      <c r="E2077" s="21" t="s">
        <v>512</v>
      </c>
      <c r="F2077" s="1" t="s">
        <v>512</v>
      </c>
      <c r="G2077" s="1" t="s">
        <v>512</v>
      </c>
      <c r="H2077" s="1" t="s">
        <v>512</v>
      </c>
      <c r="I2077" s="1" t="s">
        <v>512</v>
      </c>
      <c r="J2077" s="1" t="s">
        <v>512</v>
      </c>
      <c r="K2077" s="1" t="s">
        <v>512</v>
      </c>
      <c r="L2077" s="1" t="s">
        <v>512</v>
      </c>
      <c r="M2077" s="1" t="s">
        <v>512</v>
      </c>
      <c r="N2077" s="1" t="s">
        <v>512</v>
      </c>
      <c r="O2077" s="1" t="s">
        <v>512</v>
      </c>
      <c r="Q2077" s="1" t="s">
        <v>512</v>
      </c>
    </row>
    <row r="2078" spans="4:17" x14ac:dyDescent="0.25">
      <c r="D2078" s="1" t="s">
        <v>512</v>
      </c>
      <c r="E2078" s="21" t="s">
        <v>512</v>
      </c>
      <c r="F2078" s="1" t="s">
        <v>512</v>
      </c>
      <c r="G2078" s="1" t="s">
        <v>512</v>
      </c>
      <c r="H2078" s="1" t="s">
        <v>512</v>
      </c>
      <c r="I2078" s="1" t="s">
        <v>512</v>
      </c>
      <c r="J2078" s="1" t="s">
        <v>512</v>
      </c>
      <c r="K2078" s="1" t="s">
        <v>512</v>
      </c>
      <c r="L2078" s="1" t="s">
        <v>512</v>
      </c>
      <c r="M2078" s="1" t="s">
        <v>512</v>
      </c>
      <c r="N2078" s="1" t="s">
        <v>512</v>
      </c>
      <c r="O2078" s="1" t="s">
        <v>512</v>
      </c>
      <c r="Q2078" s="1" t="s">
        <v>512</v>
      </c>
    </row>
    <row r="2079" spans="4:17" x14ac:dyDescent="0.25">
      <c r="D2079" s="1" t="s">
        <v>512</v>
      </c>
      <c r="E2079" s="21" t="s">
        <v>512</v>
      </c>
      <c r="F2079" s="1" t="s">
        <v>512</v>
      </c>
      <c r="G2079" s="1" t="s">
        <v>512</v>
      </c>
      <c r="H2079" s="1" t="s">
        <v>512</v>
      </c>
      <c r="I2079" s="1" t="s">
        <v>512</v>
      </c>
      <c r="J2079" s="1" t="s">
        <v>512</v>
      </c>
      <c r="K2079" s="1" t="s">
        <v>512</v>
      </c>
      <c r="L2079" s="1" t="s">
        <v>512</v>
      </c>
      <c r="M2079" s="1" t="s">
        <v>512</v>
      </c>
      <c r="N2079" s="1" t="s">
        <v>512</v>
      </c>
      <c r="O2079" s="1" t="s">
        <v>512</v>
      </c>
      <c r="Q2079" s="1" t="s">
        <v>512</v>
      </c>
    </row>
    <row r="2080" spans="4:17" x14ac:dyDescent="0.25">
      <c r="D2080" s="1" t="s">
        <v>512</v>
      </c>
      <c r="E2080" s="21" t="s">
        <v>512</v>
      </c>
      <c r="F2080" s="1" t="s">
        <v>512</v>
      </c>
      <c r="G2080" s="1" t="s">
        <v>512</v>
      </c>
      <c r="H2080" s="1" t="s">
        <v>512</v>
      </c>
      <c r="I2080" s="1" t="s">
        <v>512</v>
      </c>
      <c r="J2080" s="1" t="s">
        <v>512</v>
      </c>
      <c r="K2080" s="1" t="s">
        <v>512</v>
      </c>
      <c r="L2080" s="1" t="s">
        <v>512</v>
      </c>
      <c r="M2080" s="1" t="s">
        <v>512</v>
      </c>
      <c r="N2080" s="1" t="s">
        <v>512</v>
      </c>
      <c r="O2080" s="1" t="s">
        <v>512</v>
      </c>
      <c r="Q2080" s="1" t="s">
        <v>512</v>
      </c>
    </row>
    <row r="2081" spans="4:17" x14ac:dyDescent="0.25">
      <c r="D2081" s="1" t="s">
        <v>512</v>
      </c>
      <c r="E2081" s="21" t="s">
        <v>512</v>
      </c>
      <c r="F2081" s="1" t="s">
        <v>512</v>
      </c>
      <c r="G2081" s="1" t="s">
        <v>512</v>
      </c>
      <c r="H2081" s="1" t="s">
        <v>512</v>
      </c>
      <c r="I2081" s="1" t="s">
        <v>512</v>
      </c>
      <c r="J2081" s="1" t="s">
        <v>512</v>
      </c>
      <c r="K2081" s="1" t="s">
        <v>512</v>
      </c>
      <c r="L2081" s="1" t="s">
        <v>512</v>
      </c>
      <c r="M2081" s="1" t="s">
        <v>512</v>
      </c>
      <c r="N2081" s="1" t="s">
        <v>512</v>
      </c>
      <c r="O2081" s="1" t="s">
        <v>512</v>
      </c>
      <c r="Q2081" s="1" t="s">
        <v>512</v>
      </c>
    </row>
    <row r="2082" spans="4:17" x14ac:dyDescent="0.25">
      <c r="D2082" s="1" t="s">
        <v>512</v>
      </c>
      <c r="E2082" s="21" t="s">
        <v>512</v>
      </c>
      <c r="F2082" s="1" t="s">
        <v>512</v>
      </c>
      <c r="G2082" s="1" t="s">
        <v>512</v>
      </c>
      <c r="H2082" s="1" t="s">
        <v>512</v>
      </c>
      <c r="I2082" s="1" t="s">
        <v>512</v>
      </c>
      <c r="J2082" s="1" t="s">
        <v>512</v>
      </c>
      <c r="K2082" s="1" t="s">
        <v>512</v>
      </c>
      <c r="L2082" s="1" t="s">
        <v>512</v>
      </c>
      <c r="M2082" s="1" t="s">
        <v>512</v>
      </c>
      <c r="N2082" s="1" t="s">
        <v>512</v>
      </c>
      <c r="O2082" s="1" t="s">
        <v>512</v>
      </c>
      <c r="Q2082" s="1" t="s">
        <v>512</v>
      </c>
    </row>
    <row r="2083" spans="4:17" x14ac:dyDescent="0.25">
      <c r="D2083" s="1" t="s">
        <v>512</v>
      </c>
      <c r="E2083" s="21" t="s">
        <v>512</v>
      </c>
      <c r="F2083" s="1" t="s">
        <v>512</v>
      </c>
      <c r="G2083" s="1" t="s">
        <v>512</v>
      </c>
      <c r="H2083" s="1" t="s">
        <v>512</v>
      </c>
      <c r="I2083" s="1" t="s">
        <v>512</v>
      </c>
      <c r="J2083" s="1" t="s">
        <v>512</v>
      </c>
      <c r="K2083" s="1" t="s">
        <v>512</v>
      </c>
      <c r="L2083" s="1" t="s">
        <v>512</v>
      </c>
      <c r="M2083" s="1" t="s">
        <v>512</v>
      </c>
      <c r="N2083" s="1" t="s">
        <v>512</v>
      </c>
      <c r="O2083" s="1" t="s">
        <v>512</v>
      </c>
      <c r="Q2083" s="1" t="s">
        <v>512</v>
      </c>
    </row>
    <row r="2084" spans="4:17" x14ac:dyDescent="0.25">
      <c r="D2084" s="1" t="s">
        <v>512</v>
      </c>
      <c r="E2084" s="21" t="s">
        <v>512</v>
      </c>
      <c r="F2084" s="1" t="s">
        <v>512</v>
      </c>
      <c r="G2084" s="1" t="s">
        <v>512</v>
      </c>
      <c r="H2084" s="1" t="s">
        <v>512</v>
      </c>
      <c r="I2084" s="1" t="s">
        <v>512</v>
      </c>
      <c r="J2084" s="1" t="s">
        <v>512</v>
      </c>
      <c r="K2084" s="1" t="s">
        <v>512</v>
      </c>
      <c r="L2084" s="1" t="s">
        <v>512</v>
      </c>
      <c r="M2084" s="1" t="s">
        <v>512</v>
      </c>
      <c r="N2084" s="1" t="s">
        <v>512</v>
      </c>
      <c r="O2084" s="1" t="s">
        <v>512</v>
      </c>
      <c r="Q2084" s="1" t="s">
        <v>512</v>
      </c>
    </row>
    <row r="2085" spans="4:17" x14ac:dyDescent="0.25">
      <c r="D2085" s="1" t="s">
        <v>512</v>
      </c>
      <c r="E2085" s="21" t="s">
        <v>512</v>
      </c>
      <c r="F2085" s="1" t="s">
        <v>512</v>
      </c>
      <c r="G2085" s="1" t="s">
        <v>512</v>
      </c>
      <c r="H2085" s="1" t="s">
        <v>512</v>
      </c>
      <c r="I2085" s="1" t="s">
        <v>512</v>
      </c>
      <c r="J2085" s="1" t="s">
        <v>512</v>
      </c>
      <c r="K2085" s="1" t="s">
        <v>512</v>
      </c>
      <c r="L2085" s="1" t="s">
        <v>512</v>
      </c>
      <c r="M2085" s="1" t="s">
        <v>512</v>
      </c>
      <c r="N2085" s="1" t="s">
        <v>512</v>
      </c>
      <c r="O2085" s="1" t="s">
        <v>512</v>
      </c>
      <c r="Q2085" s="1" t="s">
        <v>512</v>
      </c>
    </row>
    <row r="2086" spans="4:17" x14ac:dyDescent="0.25">
      <c r="D2086" s="1" t="s">
        <v>512</v>
      </c>
      <c r="E2086" s="21" t="s">
        <v>512</v>
      </c>
      <c r="F2086" s="1" t="s">
        <v>512</v>
      </c>
      <c r="G2086" s="1" t="s">
        <v>512</v>
      </c>
      <c r="H2086" s="1" t="s">
        <v>512</v>
      </c>
      <c r="I2086" s="1" t="s">
        <v>512</v>
      </c>
      <c r="J2086" s="1" t="s">
        <v>512</v>
      </c>
      <c r="K2086" s="1" t="s">
        <v>512</v>
      </c>
      <c r="L2086" s="1" t="s">
        <v>512</v>
      </c>
      <c r="M2086" s="1" t="s">
        <v>512</v>
      </c>
      <c r="N2086" s="1" t="s">
        <v>512</v>
      </c>
      <c r="O2086" s="1" t="s">
        <v>512</v>
      </c>
      <c r="Q2086" s="1" t="s">
        <v>512</v>
      </c>
    </row>
    <row r="2087" spans="4:17" x14ac:dyDescent="0.25">
      <c r="D2087" s="1" t="s">
        <v>512</v>
      </c>
      <c r="E2087" s="21" t="s">
        <v>512</v>
      </c>
      <c r="F2087" s="1" t="s">
        <v>512</v>
      </c>
      <c r="G2087" s="1" t="s">
        <v>512</v>
      </c>
      <c r="H2087" s="1" t="s">
        <v>512</v>
      </c>
      <c r="I2087" s="1" t="s">
        <v>512</v>
      </c>
      <c r="J2087" s="1" t="s">
        <v>512</v>
      </c>
      <c r="K2087" s="1" t="s">
        <v>512</v>
      </c>
      <c r="L2087" s="1" t="s">
        <v>512</v>
      </c>
      <c r="M2087" s="1" t="s">
        <v>512</v>
      </c>
      <c r="N2087" s="1" t="s">
        <v>512</v>
      </c>
      <c r="O2087" s="1" t="s">
        <v>512</v>
      </c>
      <c r="Q2087" s="1" t="s">
        <v>512</v>
      </c>
    </row>
    <row r="2088" spans="4:17" x14ac:dyDescent="0.25">
      <c r="D2088" s="1" t="s">
        <v>512</v>
      </c>
      <c r="E2088" s="21" t="s">
        <v>512</v>
      </c>
      <c r="F2088" s="1" t="s">
        <v>512</v>
      </c>
      <c r="G2088" s="1" t="s">
        <v>512</v>
      </c>
      <c r="H2088" s="1" t="s">
        <v>512</v>
      </c>
      <c r="I2088" s="1" t="s">
        <v>512</v>
      </c>
      <c r="J2088" s="1" t="s">
        <v>512</v>
      </c>
      <c r="K2088" s="1" t="s">
        <v>512</v>
      </c>
      <c r="L2088" s="1" t="s">
        <v>512</v>
      </c>
      <c r="M2088" s="1" t="s">
        <v>512</v>
      </c>
      <c r="N2088" s="1" t="s">
        <v>512</v>
      </c>
      <c r="O2088" s="1" t="s">
        <v>512</v>
      </c>
      <c r="Q2088" s="1" t="s">
        <v>512</v>
      </c>
    </row>
    <row r="2089" spans="4:17" x14ac:dyDescent="0.25">
      <c r="D2089" s="1" t="s">
        <v>512</v>
      </c>
      <c r="E2089" s="21" t="s">
        <v>512</v>
      </c>
      <c r="F2089" s="1" t="s">
        <v>512</v>
      </c>
      <c r="G2089" s="1" t="s">
        <v>512</v>
      </c>
      <c r="H2089" s="1" t="s">
        <v>512</v>
      </c>
      <c r="I2089" s="1" t="s">
        <v>512</v>
      </c>
      <c r="J2089" s="1" t="s">
        <v>512</v>
      </c>
      <c r="K2089" s="1" t="s">
        <v>512</v>
      </c>
      <c r="L2089" s="1" t="s">
        <v>512</v>
      </c>
      <c r="M2089" s="1" t="s">
        <v>512</v>
      </c>
      <c r="N2089" s="1" t="s">
        <v>512</v>
      </c>
      <c r="O2089" s="1" t="s">
        <v>512</v>
      </c>
      <c r="Q2089" s="1" t="s">
        <v>512</v>
      </c>
    </row>
    <row r="2090" spans="4:17" x14ac:dyDescent="0.25">
      <c r="D2090" s="1" t="s">
        <v>512</v>
      </c>
      <c r="E2090" s="21" t="s">
        <v>512</v>
      </c>
      <c r="F2090" s="1" t="s">
        <v>512</v>
      </c>
      <c r="G2090" s="1" t="s">
        <v>512</v>
      </c>
      <c r="H2090" s="1" t="s">
        <v>512</v>
      </c>
      <c r="I2090" s="1" t="s">
        <v>512</v>
      </c>
      <c r="J2090" s="1" t="s">
        <v>512</v>
      </c>
      <c r="K2090" s="1" t="s">
        <v>512</v>
      </c>
      <c r="L2090" s="1" t="s">
        <v>512</v>
      </c>
      <c r="M2090" s="1" t="s">
        <v>512</v>
      </c>
      <c r="N2090" s="1" t="s">
        <v>512</v>
      </c>
      <c r="O2090" s="1" t="s">
        <v>512</v>
      </c>
      <c r="Q2090" s="1" t="s">
        <v>512</v>
      </c>
    </row>
    <row r="2091" spans="4:17" x14ac:dyDescent="0.25">
      <c r="D2091" s="1" t="s">
        <v>512</v>
      </c>
      <c r="E2091" s="21" t="s">
        <v>512</v>
      </c>
      <c r="F2091" s="1" t="s">
        <v>512</v>
      </c>
      <c r="G2091" s="1" t="s">
        <v>512</v>
      </c>
      <c r="H2091" s="1" t="s">
        <v>512</v>
      </c>
      <c r="I2091" s="1" t="s">
        <v>512</v>
      </c>
      <c r="J2091" s="1" t="s">
        <v>512</v>
      </c>
      <c r="K2091" s="1" t="s">
        <v>512</v>
      </c>
      <c r="L2091" s="1" t="s">
        <v>512</v>
      </c>
      <c r="M2091" s="1" t="s">
        <v>512</v>
      </c>
      <c r="N2091" s="1" t="s">
        <v>512</v>
      </c>
      <c r="O2091" s="1" t="s">
        <v>512</v>
      </c>
      <c r="Q2091" s="1" t="s">
        <v>512</v>
      </c>
    </row>
    <row r="2092" spans="4:17" x14ac:dyDescent="0.25">
      <c r="D2092" s="1" t="s">
        <v>512</v>
      </c>
      <c r="E2092" s="21" t="s">
        <v>512</v>
      </c>
      <c r="F2092" s="1" t="s">
        <v>512</v>
      </c>
      <c r="G2092" s="1" t="s">
        <v>512</v>
      </c>
      <c r="H2092" s="1" t="s">
        <v>512</v>
      </c>
      <c r="I2092" s="1" t="s">
        <v>512</v>
      </c>
      <c r="J2092" s="1" t="s">
        <v>512</v>
      </c>
      <c r="K2092" s="1" t="s">
        <v>512</v>
      </c>
      <c r="L2092" s="1" t="s">
        <v>512</v>
      </c>
      <c r="M2092" s="1" t="s">
        <v>512</v>
      </c>
      <c r="N2092" s="1" t="s">
        <v>512</v>
      </c>
      <c r="O2092" s="1" t="s">
        <v>512</v>
      </c>
      <c r="Q2092" s="1" t="s">
        <v>512</v>
      </c>
    </row>
    <row r="2093" spans="4:17" x14ac:dyDescent="0.25">
      <c r="D2093" s="1" t="s">
        <v>512</v>
      </c>
      <c r="E2093" s="21" t="s">
        <v>512</v>
      </c>
      <c r="F2093" s="1" t="s">
        <v>512</v>
      </c>
      <c r="G2093" s="1" t="s">
        <v>512</v>
      </c>
      <c r="H2093" s="1" t="s">
        <v>512</v>
      </c>
      <c r="I2093" s="1" t="s">
        <v>512</v>
      </c>
      <c r="J2093" s="1" t="s">
        <v>512</v>
      </c>
      <c r="K2093" s="1" t="s">
        <v>512</v>
      </c>
      <c r="L2093" s="1" t="s">
        <v>512</v>
      </c>
      <c r="M2093" s="1" t="s">
        <v>512</v>
      </c>
      <c r="N2093" s="1" t="s">
        <v>512</v>
      </c>
      <c r="O2093" s="1" t="s">
        <v>512</v>
      </c>
      <c r="Q2093" s="1" t="s">
        <v>512</v>
      </c>
    </row>
    <row r="2094" spans="4:17" x14ac:dyDescent="0.25">
      <c r="D2094" s="1" t="s">
        <v>512</v>
      </c>
      <c r="E2094" s="21" t="s">
        <v>512</v>
      </c>
      <c r="F2094" s="1" t="s">
        <v>512</v>
      </c>
      <c r="G2094" s="1" t="s">
        <v>512</v>
      </c>
      <c r="H2094" s="1" t="s">
        <v>512</v>
      </c>
      <c r="I2094" s="1" t="s">
        <v>512</v>
      </c>
      <c r="J2094" s="1" t="s">
        <v>512</v>
      </c>
      <c r="K2094" s="1" t="s">
        <v>512</v>
      </c>
      <c r="L2094" s="1" t="s">
        <v>512</v>
      </c>
      <c r="M2094" s="1" t="s">
        <v>512</v>
      </c>
      <c r="N2094" s="1" t="s">
        <v>512</v>
      </c>
      <c r="O2094" s="1" t="s">
        <v>512</v>
      </c>
      <c r="Q2094" s="1" t="s">
        <v>512</v>
      </c>
    </row>
    <row r="2095" spans="4:17" x14ac:dyDescent="0.25">
      <c r="D2095" s="1" t="s">
        <v>512</v>
      </c>
      <c r="E2095" s="21" t="s">
        <v>512</v>
      </c>
      <c r="F2095" s="1" t="s">
        <v>512</v>
      </c>
      <c r="G2095" s="1" t="s">
        <v>512</v>
      </c>
      <c r="H2095" s="1" t="s">
        <v>512</v>
      </c>
      <c r="I2095" s="1" t="s">
        <v>512</v>
      </c>
      <c r="J2095" s="1" t="s">
        <v>512</v>
      </c>
      <c r="K2095" s="1" t="s">
        <v>512</v>
      </c>
      <c r="L2095" s="1" t="s">
        <v>512</v>
      </c>
      <c r="M2095" s="1" t="s">
        <v>512</v>
      </c>
      <c r="N2095" s="1" t="s">
        <v>512</v>
      </c>
      <c r="O2095" s="1" t="s">
        <v>512</v>
      </c>
      <c r="Q2095" s="1" t="s">
        <v>512</v>
      </c>
    </row>
    <row r="2096" spans="4:17" x14ac:dyDescent="0.25">
      <c r="D2096" s="1" t="s">
        <v>512</v>
      </c>
      <c r="E2096" s="21" t="s">
        <v>512</v>
      </c>
      <c r="F2096" s="1" t="s">
        <v>512</v>
      </c>
      <c r="G2096" s="1" t="s">
        <v>512</v>
      </c>
      <c r="H2096" s="1" t="s">
        <v>512</v>
      </c>
      <c r="I2096" s="1" t="s">
        <v>512</v>
      </c>
      <c r="J2096" s="1" t="s">
        <v>512</v>
      </c>
      <c r="K2096" s="1" t="s">
        <v>512</v>
      </c>
      <c r="L2096" s="1" t="s">
        <v>512</v>
      </c>
      <c r="M2096" s="1" t="s">
        <v>512</v>
      </c>
      <c r="N2096" s="1" t="s">
        <v>512</v>
      </c>
      <c r="O2096" s="1" t="s">
        <v>512</v>
      </c>
      <c r="Q2096" s="1" t="s">
        <v>512</v>
      </c>
    </row>
    <row r="2097" spans="4:17" x14ac:dyDescent="0.25">
      <c r="D2097" s="1" t="s">
        <v>512</v>
      </c>
      <c r="E2097" s="21" t="s">
        <v>512</v>
      </c>
      <c r="F2097" s="1" t="s">
        <v>512</v>
      </c>
      <c r="G2097" s="1" t="s">
        <v>512</v>
      </c>
      <c r="H2097" s="1" t="s">
        <v>512</v>
      </c>
      <c r="I2097" s="1" t="s">
        <v>512</v>
      </c>
      <c r="J2097" s="1" t="s">
        <v>512</v>
      </c>
      <c r="K2097" s="1" t="s">
        <v>512</v>
      </c>
      <c r="L2097" s="1" t="s">
        <v>512</v>
      </c>
      <c r="M2097" s="1" t="s">
        <v>512</v>
      </c>
      <c r="N2097" s="1" t="s">
        <v>512</v>
      </c>
      <c r="O2097" s="1" t="s">
        <v>512</v>
      </c>
      <c r="Q2097" s="1" t="s">
        <v>512</v>
      </c>
    </row>
    <row r="2098" spans="4:17" x14ac:dyDescent="0.25">
      <c r="D2098" s="1" t="s">
        <v>512</v>
      </c>
      <c r="E2098" s="21" t="s">
        <v>512</v>
      </c>
      <c r="F2098" s="1" t="s">
        <v>512</v>
      </c>
      <c r="G2098" s="1" t="s">
        <v>512</v>
      </c>
      <c r="H2098" s="1" t="s">
        <v>512</v>
      </c>
      <c r="I2098" s="1" t="s">
        <v>512</v>
      </c>
      <c r="J2098" s="1" t="s">
        <v>512</v>
      </c>
      <c r="K2098" s="1" t="s">
        <v>512</v>
      </c>
      <c r="L2098" s="1" t="s">
        <v>512</v>
      </c>
      <c r="M2098" s="1" t="s">
        <v>512</v>
      </c>
      <c r="N2098" s="1" t="s">
        <v>512</v>
      </c>
      <c r="O2098" s="1" t="s">
        <v>512</v>
      </c>
      <c r="Q2098" s="1" t="s">
        <v>512</v>
      </c>
    </row>
    <row r="2099" spans="4:17" x14ac:dyDescent="0.25">
      <c r="D2099" s="1" t="s">
        <v>512</v>
      </c>
      <c r="E2099" s="21" t="s">
        <v>512</v>
      </c>
      <c r="F2099" s="1" t="s">
        <v>512</v>
      </c>
      <c r="G2099" s="1" t="s">
        <v>512</v>
      </c>
      <c r="H2099" s="1" t="s">
        <v>512</v>
      </c>
      <c r="I2099" s="1" t="s">
        <v>512</v>
      </c>
      <c r="J2099" s="1" t="s">
        <v>512</v>
      </c>
      <c r="K2099" s="1" t="s">
        <v>512</v>
      </c>
      <c r="L2099" s="1" t="s">
        <v>512</v>
      </c>
      <c r="M2099" s="1" t="s">
        <v>512</v>
      </c>
      <c r="N2099" s="1" t="s">
        <v>512</v>
      </c>
      <c r="O2099" s="1" t="s">
        <v>512</v>
      </c>
      <c r="Q2099" s="1" t="s">
        <v>512</v>
      </c>
    </row>
    <row r="2100" spans="4:17" x14ac:dyDescent="0.25">
      <c r="D2100" s="1" t="s">
        <v>512</v>
      </c>
      <c r="E2100" s="21" t="s">
        <v>512</v>
      </c>
      <c r="F2100" s="1" t="s">
        <v>512</v>
      </c>
      <c r="G2100" s="1" t="s">
        <v>512</v>
      </c>
      <c r="H2100" s="1" t="s">
        <v>512</v>
      </c>
      <c r="I2100" s="1" t="s">
        <v>512</v>
      </c>
      <c r="J2100" s="1" t="s">
        <v>512</v>
      </c>
      <c r="K2100" s="1" t="s">
        <v>512</v>
      </c>
      <c r="L2100" s="1" t="s">
        <v>512</v>
      </c>
      <c r="M2100" s="1" t="s">
        <v>512</v>
      </c>
      <c r="N2100" s="1" t="s">
        <v>512</v>
      </c>
      <c r="O2100" s="1" t="s">
        <v>512</v>
      </c>
      <c r="Q2100" s="1" t="s">
        <v>512</v>
      </c>
    </row>
    <row r="2101" spans="4:17" x14ac:dyDescent="0.25">
      <c r="D2101" s="1" t="s">
        <v>512</v>
      </c>
      <c r="E2101" s="21" t="s">
        <v>512</v>
      </c>
      <c r="F2101" s="1" t="s">
        <v>512</v>
      </c>
      <c r="G2101" s="1" t="s">
        <v>512</v>
      </c>
      <c r="H2101" s="1" t="s">
        <v>512</v>
      </c>
      <c r="I2101" s="1" t="s">
        <v>512</v>
      </c>
      <c r="J2101" s="1" t="s">
        <v>512</v>
      </c>
      <c r="K2101" s="1" t="s">
        <v>512</v>
      </c>
      <c r="L2101" s="1" t="s">
        <v>512</v>
      </c>
      <c r="M2101" s="1" t="s">
        <v>512</v>
      </c>
      <c r="N2101" s="1" t="s">
        <v>512</v>
      </c>
      <c r="O2101" s="1" t="s">
        <v>512</v>
      </c>
      <c r="Q2101" s="1" t="s">
        <v>512</v>
      </c>
    </row>
    <row r="2102" spans="4:17" x14ac:dyDescent="0.25">
      <c r="D2102" s="1" t="s">
        <v>512</v>
      </c>
      <c r="E2102" s="21" t="s">
        <v>512</v>
      </c>
      <c r="F2102" s="1" t="s">
        <v>512</v>
      </c>
      <c r="G2102" s="1" t="s">
        <v>512</v>
      </c>
      <c r="H2102" s="1" t="s">
        <v>512</v>
      </c>
      <c r="I2102" s="1" t="s">
        <v>512</v>
      </c>
      <c r="J2102" s="1" t="s">
        <v>512</v>
      </c>
      <c r="K2102" s="1" t="s">
        <v>512</v>
      </c>
      <c r="L2102" s="1" t="s">
        <v>512</v>
      </c>
      <c r="M2102" s="1" t="s">
        <v>512</v>
      </c>
      <c r="N2102" s="1" t="s">
        <v>512</v>
      </c>
      <c r="O2102" s="1" t="s">
        <v>512</v>
      </c>
      <c r="Q2102" s="1" t="s">
        <v>512</v>
      </c>
    </row>
    <row r="2103" spans="4:17" x14ac:dyDescent="0.25">
      <c r="D2103" s="1" t="s">
        <v>512</v>
      </c>
      <c r="E2103" s="21" t="s">
        <v>512</v>
      </c>
      <c r="F2103" s="1" t="s">
        <v>512</v>
      </c>
      <c r="G2103" s="1" t="s">
        <v>512</v>
      </c>
      <c r="H2103" s="1" t="s">
        <v>512</v>
      </c>
      <c r="I2103" s="1" t="s">
        <v>512</v>
      </c>
      <c r="J2103" s="1" t="s">
        <v>512</v>
      </c>
      <c r="K2103" s="1" t="s">
        <v>512</v>
      </c>
      <c r="L2103" s="1" t="s">
        <v>512</v>
      </c>
      <c r="M2103" s="1" t="s">
        <v>512</v>
      </c>
      <c r="N2103" s="1" t="s">
        <v>512</v>
      </c>
      <c r="O2103" s="1" t="s">
        <v>512</v>
      </c>
      <c r="Q2103" s="1" t="s">
        <v>512</v>
      </c>
    </row>
    <row r="2104" spans="4:17" x14ac:dyDescent="0.25">
      <c r="D2104" s="1" t="s">
        <v>512</v>
      </c>
      <c r="E2104" s="21" t="s">
        <v>512</v>
      </c>
      <c r="F2104" s="1" t="s">
        <v>512</v>
      </c>
      <c r="G2104" s="1" t="s">
        <v>512</v>
      </c>
      <c r="H2104" s="1" t="s">
        <v>512</v>
      </c>
      <c r="I2104" s="1" t="s">
        <v>512</v>
      </c>
      <c r="J2104" s="1" t="s">
        <v>512</v>
      </c>
      <c r="K2104" s="1" t="s">
        <v>512</v>
      </c>
      <c r="L2104" s="1" t="s">
        <v>512</v>
      </c>
      <c r="M2104" s="1" t="s">
        <v>512</v>
      </c>
      <c r="N2104" s="1" t="s">
        <v>512</v>
      </c>
      <c r="O2104" s="1" t="s">
        <v>512</v>
      </c>
      <c r="Q2104" s="1" t="s">
        <v>512</v>
      </c>
    </row>
    <row r="2105" spans="4:17" x14ac:dyDescent="0.25">
      <c r="D2105" s="1" t="s">
        <v>512</v>
      </c>
      <c r="E2105" s="21" t="s">
        <v>512</v>
      </c>
      <c r="F2105" s="1" t="s">
        <v>512</v>
      </c>
      <c r="G2105" s="1" t="s">
        <v>512</v>
      </c>
      <c r="H2105" s="1" t="s">
        <v>512</v>
      </c>
      <c r="I2105" s="1" t="s">
        <v>512</v>
      </c>
      <c r="J2105" s="1" t="s">
        <v>512</v>
      </c>
      <c r="K2105" s="1" t="s">
        <v>512</v>
      </c>
      <c r="L2105" s="1" t="s">
        <v>512</v>
      </c>
      <c r="M2105" s="1" t="s">
        <v>512</v>
      </c>
      <c r="N2105" s="1" t="s">
        <v>512</v>
      </c>
      <c r="O2105" s="1" t="s">
        <v>512</v>
      </c>
      <c r="Q2105" s="1" t="s">
        <v>512</v>
      </c>
    </row>
    <row r="2106" spans="4:17" x14ac:dyDescent="0.25">
      <c r="D2106" s="1" t="s">
        <v>512</v>
      </c>
      <c r="E2106" s="21" t="s">
        <v>512</v>
      </c>
      <c r="F2106" s="1" t="s">
        <v>512</v>
      </c>
      <c r="G2106" s="1" t="s">
        <v>512</v>
      </c>
      <c r="H2106" s="1" t="s">
        <v>512</v>
      </c>
      <c r="I2106" s="1" t="s">
        <v>512</v>
      </c>
      <c r="J2106" s="1" t="s">
        <v>512</v>
      </c>
      <c r="K2106" s="1" t="s">
        <v>512</v>
      </c>
      <c r="L2106" s="1" t="s">
        <v>512</v>
      </c>
      <c r="M2106" s="1" t="s">
        <v>512</v>
      </c>
      <c r="N2106" s="1" t="s">
        <v>512</v>
      </c>
      <c r="O2106" s="1" t="s">
        <v>512</v>
      </c>
      <c r="Q2106" s="1" t="s">
        <v>512</v>
      </c>
    </row>
    <row r="2107" spans="4:17" x14ac:dyDescent="0.25">
      <c r="D2107" s="1" t="s">
        <v>512</v>
      </c>
      <c r="E2107" s="21" t="s">
        <v>512</v>
      </c>
      <c r="F2107" s="1" t="s">
        <v>512</v>
      </c>
      <c r="G2107" s="1" t="s">
        <v>512</v>
      </c>
      <c r="H2107" s="1" t="s">
        <v>512</v>
      </c>
      <c r="I2107" s="1" t="s">
        <v>512</v>
      </c>
      <c r="J2107" s="1" t="s">
        <v>512</v>
      </c>
      <c r="K2107" s="1" t="s">
        <v>512</v>
      </c>
      <c r="L2107" s="1" t="s">
        <v>512</v>
      </c>
      <c r="M2107" s="1" t="s">
        <v>512</v>
      </c>
      <c r="N2107" s="1" t="s">
        <v>512</v>
      </c>
      <c r="O2107" s="1" t="s">
        <v>512</v>
      </c>
      <c r="Q2107" s="1" t="s">
        <v>512</v>
      </c>
    </row>
    <row r="2108" spans="4:17" x14ac:dyDescent="0.25">
      <c r="D2108" s="1" t="s">
        <v>512</v>
      </c>
      <c r="E2108" s="21" t="s">
        <v>512</v>
      </c>
      <c r="F2108" s="1" t="s">
        <v>512</v>
      </c>
      <c r="G2108" s="1" t="s">
        <v>512</v>
      </c>
      <c r="H2108" s="1" t="s">
        <v>512</v>
      </c>
      <c r="I2108" s="1" t="s">
        <v>512</v>
      </c>
      <c r="J2108" s="1" t="s">
        <v>512</v>
      </c>
      <c r="K2108" s="1" t="s">
        <v>512</v>
      </c>
      <c r="L2108" s="1" t="s">
        <v>512</v>
      </c>
      <c r="M2108" s="1" t="s">
        <v>512</v>
      </c>
      <c r="N2108" s="1" t="s">
        <v>512</v>
      </c>
      <c r="O2108" s="1" t="s">
        <v>512</v>
      </c>
      <c r="Q2108" s="1" t="s">
        <v>512</v>
      </c>
    </row>
    <row r="2109" spans="4:17" x14ac:dyDescent="0.25">
      <c r="D2109" s="1" t="s">
        <v>512</v>
      </c>
      <c r="E2109" s="21" t="s">
        <v>512</v>
      </c>
      <c r="F2109" s="1" t="s">
        <v>512</v>
      </c>
      <c r="G2109" s="1" t="s">
        <v>512</v>
      </c>
      <c r="H2109" s="1" t="s">
        <v>512</v>
      </c>
      <c r="I2109" s="1" t="s">
        <v>512</v>
      </c>
      <c r="J2109" s="1" t="s">
        <v>512</v>
      </c>
      <c r="K2109" s="1" t="s">
        <v>512</v>
      </c>
      <c r="L2109" s="1" t="s">
        <v>512</v>
      </c>
      <c r="M2109" s="1" t="s">
        <v>512</v>
      </c>
      <c r="N2109" s="1" t="s">
        <v>512</v>
      </c>
      <c r="O2109" s="1" t="s">
        <v>512</v>
      </c>
      <c r="Q2109" s="1" t="s">
        <v>512</v>
      </c>
    </row>
    <row r="2110" spans="4:17" x14ac:dyDescent="0.25">
      <c r="D2110" s="1" t="s">
        <v>512</v>
      </c>
      <c r="E2110" s="21" t="s">
        <v>512</v>
      </c>
      <c r="F2110" s="1" t="s">
        <v>512</v>
      </c>
      <c r="G2110" s="1" t="s">
        <v>512</v>
      </c>
      <c r="H2110" s="1" t="s">
        <v>512</v>
      </c>
      <c r="I2110" s="1" t="s">
        <v>512</v>
      </c>
      <c r="J2110" s="1" t="s">
        <v>512</v>
      </c>
      <c r="K2110" s="1" t="s">
        <v>512</v>
      </c>
      <c r="L2110" s="1" t="s">
        <v>512</v>
      </c>
      <c r="M2110" s="1" t="s">
        <v>512</v>
      </c>
      <c r="N2110" s="1" t="s">
        <v>512</v>
      </c>
      <c r="O2110" s="1" t="s">
        <v>512</v>
      </c>
      <c r="Q2110" s="1" t="s">
        <v>512</v>
      </c>
    </row>
    <row r="2111" spans="4:17" x14ac:dyDescent="0.25">
      <c r="D2111" s="1" t="s">
        <v>512</v>
      </c>
      <c r="E2111" s="21" t="s">
        <v>512</v>
      </c>
      <c r="F2111" s="1" t="s">
        <v>512</v>
      </c>
      <c r="G2111" s="1" t="s">
        <v>512</v>
      </c>
      <c r="H2111" s="1" t="s">
        <v>512</v>
      </c>
      <c r="I2111" s="1" t="s">
        <v>512</v>
      </c>
      <c r="J2111" s="1" t="s">
        <v>512</v>
      </c>
      <c r="K2111" s="1" t="s">
        <v>512</v>
      </c>
      <c r="L2111" s="1" t="s">
        <v>512</v>
      </c>
      <c r="M2111" s="1" t="s">
        <v>512</v>
      </c>
      <c r="N2111" s="1" t="s">
        <v>512</v>
      </c>
      <c r="O2111" s="1" t="s">
        <v>512</v>
      </c>
      <c r="Q2111" s="1" t="s">
        <v>512</v>
      </c>
    </row>
    <row r="2112" spans="4:17" x14ac:dyDescent="0.25">
      <c r="D2112" s="1" t="s">
        <v>512</v>
      </c>
      <c r="E2112" s="21" t="s">
        <v>512</v>
      </c>
      <c r="F2112" s="1" t="s">
        <v>512</v>
      </c>
      <c r="G2112" s="1" t="s">
        <v>512</v>
      </c>
      <c r="H2112" s="1" t="s">
        <v>512</v>
      </c>
      <c r="I2112" s="1" t="s">
        <v>512</v>
      </c>
      <c r="J2112" s="1" t="s">
        <v>512</v>
      </c>
      <c r="K2112" s="1" t="s">
        <v>512</v>
      </c>
      <c r="L2112" s="1" t="s">
        <v>512</v>
      </c>
      <c r="M2112" s="1" t="s">
        <v>512</v>
      </c>
      <c r="N2112" s="1" t="s">
        <v>512</v>
      </c>
      <c r="O2112" s="1" t="s">
        <v>512</v>
      </c>
      <c r="Q2112" s="1" t="s">
        <v>512</v>
      </c>
    </row>
    <row r="2113" spans="4:17" x14ac:dyDescent="0.25">
      <c r="D2113" s="1" t="s">
        <v>512</v>
      </c>
      <c r="E2113" s="21" t="s">
        <v>512</v>
      </c>
      <c r="F2113" s="1" t="s">
        <v>512</v>
      </c>
      <c r="G2113" s="1" t="s">
        <v>512</v>
      </c>
      <c r="H2113" s="1" t="s">
        <v>512</v>
      </c>
      <c r="I2113" s="1" t="s">
        <v>512</v>
      </c>
      <c r="J2113" s="1" t="s">
        <v>512</v>
      </c>
      <c r="K2113" s="1" t="s">
        <v>512</v>
      </c>
      <c r="L2113" s="1" t="s">
        <v>512</v>
      </c>
      <c r="M2113" s="1" t="s">
        <v>512</v>
      </c>
      <c r="N2113" s="1" t="s">
        <v>512</v>
      </c>
      <c r="O2113" s="1" t="s">
        <v>512</v>
      </c>
      <c r="Q2113" s="1" t="s">
        <v>512</v>
      </c>
    </row>
    <row r="2114" spans="4:17" x14ac:dyDescent="0.25">
      <c r="D2114" s="1" t="s">
        <v>512</v>
      </c>
      <c r="E2114" s="21" t="s">
        <v>512</v>
      </c>
      <c r="F2114" s="1" t="s">
        <v>512</v>
      </c>
      <c r="G2114" s="1" t="s">
        <v>512</v>
      </c>
      <c r="H2114" s="1" t="s">
        <v>512</v>
      </c>
      <c r="I2114" s="1" t="s">
        <v>512</v>
      </c>
      <c r="J2114" s="1" t="s">
        <v>512</v>
      </c>
      <c r="K2114" s="1" t="s">
        <v>512</v>
      </c>
      <c r="L2114" s="1" t="s">
        <v>512</v>
      </c>
      <c r="M2114" s="1" t="s">
        <v>512</v>
      </c>
      <c r="N2114" s="1" t="s">
        <v>512</v>
      </c>
      <c r="O2114" s="1" t="s">
        <v>512</v>
      </c>
      <c r="Q2114" s="1" t="s">
        <v>512</v>
      </c>
    </row>
    <row r="2115" spans="4:17" x14ac:dyDescent="0.25">
      <c r="D2115" s="1" t="s">
        <v>512</v>
      </c>
      <c r="E2115" s="21" t="s">
        <v>512</v>
      </c>
      <c r="F2115" s="1" t="s">
        <v>512</v>
      </c>
      <c r="G2115" s="1" t="s">
        <v>512</v>
      </c>
      <c r="H2115" s="1" t="s">
        <v>512</v>
      </c>
      <c r="I2115" s="1" t="s">
        <v>512</v>
      </c>
      <c r="J2115" s="1" t="s">
        <v>512</v>
      </c>
      <c r="K2115" s="1" t="s">
        <v>512</v>
      </c>
      <c r="L2115" s="1" t="s">
        <v>512</v>
      </c>
      <c r="M2115" s="1" t="s">
        <v>512</v>
      </c>
      <c r="N2115" s="1" t="s">
        <v>512</v>
      </c>
      <c r="O2115" s="1" t="s">
        <v>512</v>
      </c>
      <c r="Q2115" s="1" t="s">
        <v>512</v>
      </c>
    </row>
    <row r="2116" spans="4:17" x14ac:dyDescent="0.25">
      <c r="D2116" s="1" t="s">
        <v>512</v>
      </c>
      <c r="E2116" s="21" t="s">
        <v>512</v>
      </c>
      <c r="F2116" s="1" t="s">
        <v>512</v>
      </c>
      <c r="G2116" s="1" t="s">
        <v>512</v>
      </c>
      <c r="H2116" s="1" t="s">
        <v>512</v>
      </c>
      <c r="I2116" s="1" t="s">
        <v>512</v>
      </c>
      <c r="J2116" s="1" t="s">
        <v>512</v>
      </c>
      <c r="K2116" s="1" t="s">
        <v>512</v>
      </c>
      <c r="L2116" s="1" t="s">
        <v>512</v>
      </c>
      <c r="M2116" s="1" t="s">
        <v>512</v>
      </c>
      <c r="N2116" s="1" t="s">
        <v>512</v>
      </c>
      <c r="O2116" s="1" t="s">
        <v>512</v>
      </c>
      <c r="Q2116" s="1" t="s">
        <v>512</v>
      </c>
    </row>
    <row r="2117" spans="4:17" x14ac:dyDescent="0.25">
      <c r="D2117" s="1" t="s">
        <v>512</v>
      </c>
      <c r="E2117" s="21" t="s">
        <v>512</v>
      </c>
      <c r="F2117" s="1" t="s">
        <v>512</v>
      </c>
      <c r="G2117" s="1" t="s">
        <v>512</v>
      </c>
      <c r="H2117" s="1" t="s">
        <v>512</v>
      </c>
      <c r="I2117" s="1" t="s">
        <v>512</v>
      </c>
      <c r="J2117" s="1" t="s">
        <v>512</v>
      </c>
      <c r="K2117" s="1" t="s">
        <v>512</v>
      </c>
      <c r="L2117" s="1" t="s">
        <v>512</v>
      </c>
      <c r="M2117" s="1" t="s">
        <v>512</v>
      </c>
      <c r="N2117" s="1" t="s">
        <v>512</v>
      </c>
      <c r="O2117" s="1" t="s">
        <v>512</v>
      </c>
      <c r="Q2117" s="1" t="s">
        <v>512</v>
      </c>
    </row>
    <row r="2118" spans="4:17" x14ac:dyDescent="0.25">
      <c r="D2118" s="1" t="s">
        <v>512</v>
      </c>
      <c r="E2118" s="21" t="s">
        <v>512</v>
      </c>
      <c r="F2118" s="1" t="s">
        <v>512</v>
      </c>
      <c r="G2118" s="1" t="s">
        <v>512</v>
      </c>
      <c r="H2118" s="1" t="s">
        <v>512</v>
      </c>
      <c r="I2118" s="1" t="s">
        <v>512</v>
      </c>
      <c r="J2118" s="1" t="s">
        <v>512</v>
      </c>
      <c r="K2118" s="1" t="s">
        <v>512</v>
      </c>
      <c r="L2118" s="1" t="s">
        <v>512</v>
      </c>
      <c r="M2118" s="1" t="s">
        <v>512</v>
      </c>
      <c r="N2118" s="1" t="s">
        <v>512</v>
      </c>
      <c r="O2118" s="1" t="s">
        <v>512</v>
      </c>
      <c r="Q2118" s="1" t="s">
        <v>512</v>
      </c>
    </row>
    <row r="2119" spans="4:17" x14ac:dyDescent="0.25">
      <c r="D2119" s="1" t="s">
        <v>512</v>
      </c>
      <c r="E2119" s="21" t="s">
        <v>512</v>
      </c>
      <c r="F2119" s="1" t="s">
        <v>512</v>
      </c>
      <c r="G2119" s="1" t="s">
        <v>512</v>
      </c>
      <c r="H2119" s="1" t="s">
        <v>512</v>
      </c>
      <c r="I2119" s="1" t="s">
        <v>512</v>
      </c>
      <c r="J2119" s="1" t="s">
        <v>512</v>
      </c>
      <c r="K2119" s="1" t="s">
        <v>512</v>
      </c>
      <c r="L2119" s="1" t="s">
        <v>512</v>
      </c>
      <c r="M2119" s="1" t="s">
        <v>512</v>
      </c>
      <c r="N2119" s="1" t="s">
        <v>512</v>
      </c>
      <c r="O2119" s="1" t="s">
        <v>512</v>
      </c>
      <c r="Q2119" s="1" t="s">
        <v>512</v>
      </c>
    </row>
    <row r="2120" spans="4:17" x14ac:dyDescent="0.25">
      <c r="D2120" s="1" t="s">
        <v>512</v>
      </c>
      <c r="E2120" s="21" t="s">
        <v>512</v>
      </c>
      <c r="F2120" s="1" t="s">
        <v>512</v>
      </c>
      <c r="G2120" s="1" t="s">
        <v>512</v>
      </c>
      <c r="H2120" s="1" t="s">
        <v>512</v>
      </c>
      <c r="I2120" s="1" t="s">
        <v>512</v>
      </c>
      <c r="J2120" s="1" t="s">
        <v>512</v>
      </c>
      <c r="K2120" s="1" t="s">
        <v>512</v>
      </c>
      <c r="L2120" s="1" t="s">
        <v>512</v>
      </c>
      <c r="M2120" s="1" t="s">
        <v>512</v>
      </c>
      <c r="N2120" s="1" t="s">
        <v>512</v>
      </c>
      <c r="O2120" s="1" t="s">
        <v>512</v>
      </c>
      <c r="Q2120" s="1" t="s">
        <v>512</v>
      </c>
    </row>
    <row r="2121" spans="4:17" x14ac:dyDescent="0.25">
      <c r="D2121" s="1" t="s">
        <v>512</v>
      </c>
      <c r="E2121" s="21" t="s">
        <v>512</v>
      </c>
      <c r="F2121" s="1" t="s">
        <v>512</v>
      </c>
      <c r="G2121" s="1" t="s">
        <v>512</v>
      </c>
      <c r="H2121" s="1" t="s">
        <v>512</v>
      </c>
      <c r="I2121" s="1" t="s">
        <v>512</v>
      </c>
      <c r="J2121" s="1" t="s">
        <v>512</v>
      </c>
      <c r="K2121" s="1" t="s">
        <v>512</v>
      </c>
      <c r="L2121" s="1" t="s">
        <v>512</v>
      </c>
      <c r="M2121" s="1" t="s">
        <v>512</v>
      </c>
      <c r="N2121" s="1" t="s">
        <v>512</v>
      </c>
      <c r="O2121" s="1" t="s">
        <v>512</v>
      </c>
      <c r="Q2121" s="1" t="s">
        <v>512</v>
      </c>
    </row>
    <row r="2122" spans="4:17" x14ac:dyDescent="0.25">
      <c r="D2122" s="1" t="s">
        <v>512</v>
      </c>
      <c r="E2122" s="21" t="s">
        <v>512</v>
      </c>
      <c r="F2122" s="1" t="s">
        <v>512</v>
      </c>
      <c r="G2122" s="1" t="s">
        <v>512</v>
      </c>
      <c r="H2122" s="1" t="s">
        <v>512</v>
      </c>
      <c r="I2122" s="1" t="s">
        <v>512</v>
      </c>
      <c r="J2122" s="1" t="s">
        <v>512</v>
      </c>
      <c r="K2122" s="1" t="s">
        <v>512</v>
      </c>
      <c r="L2122" s="1" t="s">
        <v>512</v>
      </c>
      <c r="M2122" s="1" t="s">
        <v>512</v>
      </c>
      <c r="N2122" s="1" t="s">
        <v>512</v>
      </c>
      <c r="O2122" s="1" t="s">
        <v>512</v>
      </c>
      <c r="Q2122" s="1" t="s">
        <v>512</v>
      </c>
    </row>
    <row r="2123" spans="4:17" x14ac:dyDescent="0.25">
      <c r="D2123" s="1" t="s">
        <v>512</v>
      </c>
      <c r="E2123" s="21" t="s">
        <v>512</v>
      </c>
      <c r="F2123" s="1" t="s">
        <v>512</v>
      </c>
      <c r="G2123" s="1" t="s">
        <v>512</v>
      </c>
      <c r="H2123" s="1" t="s">
        <v>512</v>
      </c>
      <c r="I2123" s="1" t="s">
        <v>512</v>
      </c>
      <c r="J2123" s="1" t="s">
        <v>512</v>
      </c>
      <c r="K2123" s="1" t="s">
        <v>512</v>
      </c>
      <c r="L2123" s="1" t="s">
        <v>512</v>
      </c>
      <c r="M2123" s="1" t="s">
        <v>512</v>
      </c>
      <c r="N2123" s="1" t="s">
        <v>512</v>
      </c>
      <c r="O2123" s="1" t="s">
        <v>512</v>
      </c>
      <c r="Q2123" s="1" t="s">
        <v>512</v>
      </c>
    </row>
    <row r="2124" spans="4:17" x14ac:dyDescent="0.25">
      <c r="D2124" s="1" t="s">
        <v>512</v>
      </c>
      <c r="E2124" s="21" t="s">
        <v>512</v>
      </c>
      <c r="F2124" s="1" t="s">
        <v>512</v>
      </c>
      <c r="G2124" s="1" t="s">
        <v>512</v>
      </c>
      <c r="H2124" s="1" t="s">
        <v>512</v>
      </c>
      <c r="I2124" s="1" t="s">
        <v>512</v>
      </c>
      <c r="J2124" s="1" t="s">
        <v>512</v>
      </c>
      <c r="K2124" s="1" t="s">
        <v>512</v>
      </c>
      <c r="L2124" s="1" t="s">
        <v>512</v>
      </c>
      <c r="M2124" s="1" t="s">
        <v>512</v>
      </c>
      <c r="N2124" s="1" t="s">
        <v>512</v>
      </c>
      <c r="O2124" s="1" t="s">
        <v>512</v>
      </c>
      <c r="Q2124" s="1" t="s">
        <v>512</v>
      </c>
    </row>
    <row r="2125" spans="4:17" x14ac:dyDescent="0.25">
      <c r="D2125" s="1" t="s">
        <v>512</v>
      </c>
      <c r="E2125" s="21" t="s">
        <v>512</v>
      </c>
      <c r="F2125" s="1" t="s">
        <v>512</v>
      </c>
      <c r="G2125" s="1" t="s">
        <v>512</v>
      </c>
      <c r="H2125" s="1" t="s">
        <v>512</v>
      </c>
      <c r="I2125" s="1" t="s">
        <v>512</v>
      </c>
      <c r="J2125" s="1" t="s">
        <v>512</v>
      </c>
      <c r="K2125" s="1" t="s">
        <v>512</v>
      </c>
      <c r="L2125" s="1" t="s">
        <v>512</v>
      </c>
      <c r="M2125" s="1" t="s">
        <v>512</v>
      </c>
      <c r="N2125" s="1" t="s">
        <v>512</v>
      </c>
      <c r="O2125" s="1" t="s">
        <v>512</v>
      </c>
      <c r="Q2125" s="1" t="s">
        <v>512</v>
      </c>
    </row>
    <row r="2126" spans="4:17" x14ac:dyDescent="0.25">
      <c r="D2126" s="1" t="s">
        <v>512</v>
      </c>
      <c r="E2126" s="21" t="s">
        <v>512</v>
      </c>
      <c r="F2126" s="1" t="s">
        <v>512</v>
      </c>
      <c r="G2126" s="1" t="s">
        <v>512</v>
      </c>
      <c r="H2126" s="1" t="s">
        <v>512</v>
      </c>
      <c r="I2126" s="1" t="s">
        <v>512</v>
      </c>
      <c r="J2126" s="1" t="s">
        <v>512</v>
      </c>
      <c r="K2126" s="1" t="s">
        <v>512</v>
      </c>
      <c r="L2126" s="1" t="s">
        <v>512</v>
      </c>
      <c r="M2126" s="1" t="s">
        <v>512</v>
      </c>
      <c r="N2126" s="1" t="s">
        <v>512</v>
      </c>
      <c r="O2126" s="1" t="s">
        <v>512</v>
      </c>
      <c r="Q2126" s="1" t="s">
        <v>512</v>
      </c>
    </row>
    <row r="2127" spans="4:17" x14ac:dyDescent="0.25">
      <c r="D2127" s="1" t="s">
        <v>512</v>
      </c>
      <c r="E2127" s="21" t="s">
        <v>512</v>
      </c>
      <c r="F2127" s="1" t="s">
        <v>512</v>
      </c>
      <c r="G2127" s="1" t="s">
        <v>512</v>
      </c>
      <c r="H2127" s="1" t="s">
        <v>512</v>
      </c>
      <c r="I2127" s="1" t="s">
        <v>512</v>
      </c>
      <c r="J2127" s="1" t="s">
        <v>512</v>
      </c>
      <c r="K2127" s="1" t="s">
        <v>512</v>
      </c>
      <c r="L2127" s="1" t="s">
        <v>512</v>
      </c>
      <c r="M2127" s="1" t="s">
        <v>512</v>
      </c>
      <c r="N2127" s="1" t="s">
        <v>512</v>
      </c>
      <c r="O2127" s="1" t="s">
        <v>512</v>
      </c>
      <c r="Q2127" s="1" t="s">
        <v>512</v>
      </c>
    </row>
    <row r="2128" spans="4:17" x14ac:dyDescent="0.25">
      <c r="D2128" s="1" t="s">
        <v>512</v>
      </c>
      <c r="E2128" s="21" t="s">
        <v>512</v>
      </c>
      <c r="F2128" s="1" t="s">
        <v>512</v>
      </c>
      <c r="G2128" s="1" t="s">
        <v>512</v>
      </c>
      <c r="H2128" s="1" t="s">
        <v>512</v>
      </c>
      <c r="I2128" s="1" t="s">
        <v>512</v>
      </c>
      <c r="J2128" s="1" t="s">
        <v>512</v>
      </c>
      <c r="K2128" s="1" t="s">
        <v>512</v>
      </c>
      <c r="L2128" s="1" t="s">
        <v>512</v>
      </c>
      <c r="M2128" s="1" t="s">
        <v>512</v>
      </c>
      <c r="N2128" s="1" t="s">
        <v>512</v>
      </c>
      <c r="O2128" s="1" t="s">
        <v>512</v>
      </c>
      <c r="Q2128" s="1" t="s">
        <v>512</v>
      </c>
    </row>
    <row r="2129" spans="4:17" x14ac:dyDescent="0.25">
      <c r="D2129" s="1" t="s">
        <v>512</v>
      </c>
      <c r="E2129" s="21" t="s">
        <v>512</v>
      </c>
      <c r="F2129" s="1" t="s">
        <v>512</v>
      </c>
      <c r="G2129" s="1" t="s">
        <v>512</v>
      </c>
      <c r="H2129" s="1" t="s">
        <v>512</v>
      </c>
      <c r="I2129" s="1" t="s">
        <v>512</v>
      </c>
      <c r="J2129" s="1" t="s">
        <v>512</v>
      </c>
      <c r="K2129" s="1" t="s">
        <v>512</v>
      </c>
      <c r="L2129" s="1" t="s">
        <v>512</v>
      </c>
      <c r="M2129" s="1" t="s">
        <v>512</v>
      </c>
      <c r="N2129" s="1" t="s">
        <v>512</v>
      </c>
      <c r="O2129" s="1" t="s">
        <v>512</v>
      </c>
      <c r="Q2129" s="1" t="s">
        <v>512</v>
      </c>
    </row>
    <row r="2130" spans="4:17" x14ac:dyDescent="0.25">
      <c r="D2130" s="1" t="s">
        <v>512</v>
      </c>
      <c r="E2130" s="21" t="s">
        <v>512</v>
      </c>
      <c r="F2130" s="1" t="s">
        <v>512</v>
      </c>
      <c r="G2130" s="1" t="s">
        <v>512</v>
      </c>
      <c r="H2130" s="1" t="s">
        <v>512</v>
      </c>
      <c r="I2130" s="1" t="s">
        <v>512</v>
      </c>
      <c r="J2130" s="1" t="s">
        <v>512</v>
      </c>
      <c r="K2130" s="1" t="s">
        <v>512</v>
      </c>
      <c r="L2130" s="1" t="s">
        <v>512</v>
      </c>
      <c r="M2130" s="1" t="s">
        <v>512</v>
      </c>
      <c r="N2130" s="1" t="s">
        <v>512</v>
      </c>
      <c r="O2130" s="1" t="s">
        <v>512</v>
      </c>
      <c r="Q2130" s="1" t="s">
        <v>512</v>
      </c>
    </row>
    <row r="2131" spans="4:17" x14ac:dyDescent="0.25">
      <c r="D2131" s="1" t="s">
        <v>512</v>
      </c>
      <c r="E2131" s="21" t="s">
        <v>512</v>
      </c>
      <c r="F2131" s="1" t="s">
        <v>512</v>
      </c>
      <c r="G2131" s="1" t="s">
        <v>512</v>
      </c>
      <c r="H2131" s="1" t="s">
        <v>512</v>
      </c>
      <c r="I2131" s="1" t="s">
        <v>512</v>
      </c>
      <c r="J2131" s="1" t="s">
        <v>512</v>
      </c>
      <c r="K2131" s="1" t="s">
        <v>512</v>
      </c>
      <c r="L2131" s="1" t="s">
        <v>512</v>
      </c>
      <c r="M2131" s="1" t="s">
        <v>512</v>
      </c>
      <c r="N2131" s="1" t="s">
        <v>512</v>
      </c>
      <c r="O2131" s="1" t="s">
        <v>512</v>
      </c>
      <c r="Q2131" s="1" t="s">
        <v>512</v>
      </c>
    </row>
    <row r="2132" spans="4:17" x14ac:dyDescent="0.25">
      <c r="D2132" s="1" t="s">
        <v>512</v>
      </c>
      <c r="E2132" s="21" t="s">
        <v>512</v>
      </c>
      <c r="F2132" s="1" t="s">
        <v>512</v>
      </c>
      <c r="G2132" s="1" t="s">
        <v>512</v>
      </c>
      <c r="H2132" s="1" t="s">
        <v>512</v>
      </c>
      <c r="I2132" s="1" t="s">
        <v>512</v>
      </c>
      <c r="J2132" s="1" t="s">
        <v>512</v>
      </c>
      <c r="K2132" s="1" t="s">
        <v>512</v>
      </c>
      <c r="L2132" s="1" t="s">
        <v>512</v>
      </c>
      <c r="M2132" s="1" t="s">
        <v>512</v>
      </c>
      <c r="N2132" s="1" t="s">
        <v>512</v>
      </c>
      <c r="O2132" s="1" t="s">
        <v>512</v>
      </c>
      <c r="Q2132" s="1" t="s">
        <v>512</v>
      </c>
    </row>
    <row r="2133" spans="4:17" x14ac:dyDescent="0.25">
      <c r="D2133" s="1" t="s">
        <v>512</v>
      </c>
      <c r="E2133" s="21" t="s">
        <v>512</v>
      </c>
      <c r="F2133" s="1" t="s">
        <v>512</v>
      </c>
      <c r="G2133" s="1" t="s">
        <v>512</v>
      </c>
      <c r="H2133" s="1" t="s">
        <v>512</v>
      </c>
      <c r="I2133" s="1" t="s">
        <v>512</v>
      </c>
      <c r="J2133" s="1" t="s">
        <v>512</v>
      </c>
      <c r="K2133" s="1" t="s">
        <v>512</v>
      </c>
      <c r="L2133" s="1" t="s">
        <v>512</v>
      </c>
      <c r="M2133" s="1" t="s">
        <v>512</v>
      </c>
      <c r="N2133" s="1" t="s">
        <v>512</v>
      </c>
      <c r="O2133" s="1" t="s">
        <v>512</v>
      </c>
      <c r="Q2133" s="1" t="s">
        <v>512</v>
      </c>
    </row>
    <row r="2134" spans="4:17" x14ac:dyDescent="0.25">
      <c r="D2134" s="1" t="s">
        <v>512</v>
      </c>
      <c r="E2134" s="21" t="s">
        <v>512</v>
      </c>
      <c r="F2134" s="1" t="s">
        <v>512</v>
      </c>
      <c r="G2134" s="1" t="s">
        <v>512</v>
      </c>
      <c r="H2134" s="1" t="s">
        <v>512</v>
      </c>
      <c r="I2134" s="1" t="s">
        <v>512</v>
      </c>
      <c r="J2134" s="1" t="s">
        <v>512</v>
      </c>
      <c r="K2134" s="1" t="s">
        <v>512</v>
      </c>
      <c r="L2134" s="1" t="s">
        <v>512</v>
      </c>
      <c r="M2134" s="1" t="s">
        <v>512</v>
      </c>
      <c r="N2134" s="1" t="s">
        <v>512</v>
      </c>
      <c r="O2134" s="1" t="s">
        <v>512</v>
      </c>
      <c r="Q2134" s="1" t="s">
        <v>512</v>
      </c>
    </row>
    <row r="2135" spans="4:17" x14ac:dyDescent="0.25">
      <c r="D2135" s="1" t="s">
        <v>512</v>
      </c>
      <c r="E2135" s="21" t="s">
        <v>512</v>
      </c>
      <c r="F2135" s="1" t="s">
        <v>512</v>
      </c>
      <c r="G2135" s="1" t="s">
        <v>512</v>
      </c>
      <c r="H2135" s="1" t="s">
        <v>512</v>
      </c>
      <c r="I2135" s="1" t="s">
        <v>512</v>
      </c>
      <c r="J2135" s="1" t="s">
        <v>512</v>
      </c>
      <c r="K2135" s="1" t="s">
        <v>512</v>
      </c>
      <c r="L2135" s="1" t="s">
        <v>512</v>
      </c>
      <c r="M2135" s="1" t="s">
        <v>512</v>
      </c>
      <c r="N2135" s="1" t="s">
        <v>512</v>
      </c>
      <c r="O2135" s="1" t="s">
        <v>512</v>
      </c>
      <c r="Q2135" s="1" t="s">
        <v>512</v>
      </c>
    </row>
    <row r="2136" spans="4:17" x14ac:dyDescent="0.25">
      <c r="D2136" s="1" t="s">
        <v>512</v>
      </c>
      <c r="E2136" s="21" t="s">
        <v>512</v>
      </c>
      <c r="F2136" s="1" t="s">
        <v>512</v>
      </c>
      <c r="G2136" s="1" t="s">
        <v>512</v>
      </c>
      <c r="H2136" s="1" t="s">
        <v>512</v>
      </c>
      <c r="I2136" s="1" t="s">
        <v>512</v>
      </c>
      <c r="J2136" s="1" t="s">
        <v>512</v>
      </c>
      <c r="K2136" s="1" t="s">
        <v>512</v>
      </c>
      <c r="L2136" s="1" t="s">
        <v>512</v>
      </c>
      <c r="M2136" s="1" t="s">
        <v>512</v>
      </c>
      <c r="N2136" s="1" t="s">
        <v>512</v>
      </c>
      <c r="O2136" s="1" t="s">
        <v>512</v>
      </c>
      <c r="Q2136" s="1" t="s">
        <v>512</v>
      </c>
    </row>
    <row r="2137" spans="4:17" x14ac:dyDescent="0.25">
      <c r="D2137" s="1" t="s">
        <v>512</v>
      </c>
      <c r="E2137" s="21" t="s">
        <v>512</v>
      </c>
      <c r="F2137" s="1" t="s">
        <v>512</v>
      </c>
      <c r="G2137" s="1" t="s">
        <v>512</v>
      </c>
      <c r="H2137" s="1" t="s">
        <v>512</v>
      </c>
      <c r="I2137" s="1" t="s">
        <v>512</v>
      </c>
      <c r="J2137" s="1" t="s">
        <v>512</v>
      </c>
      <c r="K2137" s="1" t="s">
        <v>512</v>
      </c>
      <c r="L2137" s="1" t="s">
        <v>512</v>
      </c>
      <c r="M2137" s="1" t="s">
        <v>512</v>
      </c>
      <c r="N2137" s="1" t="s">
        <v>512</v>
      </c>
      <c r="O2137" s="1" t="s">
        <v>512</v>
      </c>
      <c r="Q2137" s="1" t="s">
        <v>512</v>
      </c>
    </row>
    <row r="2138" spans="4:17" x14ac:dyDescent="0.25">
      <c r="D2138" s="1" t="s">
        <v>512</v>
      </c>
      <c r="E2138" s="21" t="s">
        <v>512</v>
      </c>
      <c r="F2138" s="1" t="s">
        <v>512</v>
      </c>
      <c r="G2138" s="1" t="s">
        <v>512</v>
      </c>
      <c r="H2138" s="1" t="s">
        <v>512</v>
      </c>
      <c r="I2138" s="1" t="s">
        <v>512</v>
      </c>
      <c r="J2138" s="1" t="s">
        <v>512</v>
      </c>
      <c r="K2138" s="1" t="s">
        <v>512</v>
      </c>
      <c r="L2138" s="1" t="s">
        <v>512</v>
      </c>
      <c r="M2138" s="1" t="s">
        <v>512</v>
      </c>
      <c r="N2138" s="1" t="s">
        <v>512</v>
      </c>
      <c r="O2138" s="1" t="s">
        <v>512</v>
      </c>
      <c r="Q2138" s="1" t="s">
        <v>512</v>
      </c>
    </row>
    <row r="2139" spans="4:17" x14ac:dyDescent="0.25">
      <c r="D2139" s="1" t="s">
        <v>512</v>
      </c>
      <c r="E2139" s="21" t="s">
        <v>512</v>
      </c>
      <c r="F2139" s="1" t="s">
        <v>512</v>
      </c>
      <c r="G2139" s="1" t="s">
        <v>512</v>
      </c>
      <c r="H2139" s="1" t="s">
        <v>512</v>
      </c>
      <c r="I2139" s="1" t="s">
        <v>512</v>
      </c>
      <c r="J2139" s="1" t="s">
        <v>512</v>
      </c>
      <c r="K2139" s="1" t="s">
        <v>512</v>
      </c>
      <c r="L2139" s="1" t="s">
        <v>512</v>
      </c>
      <c r="M2139" s="1" t="s">
        <v>512</v>
      </c>
      <c r="N2139" s="1" t="s">
        <v>512</v>
      </c>
      <c r="O2139" s="1" t="s">
        <v>512</v>
      </c>
      <c r="Q2139" s="1" t="s">
        <v>512</v>
      </c>
    </row>
    <row r="2140" spans="4:17" x14ac:dyDescent="0.25">
      <c r="D2140" s="1" t="s">
        <v>512</v>
      </c>
      <c r="E2140" s="21" t="s">
        <v>512</v>
      </c>
      <c r="F2140" s="1" t="s">
        <v>512</v>
      </c>
      <c r="G2140" s="1" t="s">
        <v>512</v>
      </c>
      <c r="H2140" s="1" t="s">
        <v>512</v>
      </c>
      <c r="I2140" s="1" t="s">
        <v>512</v>
      </c>
      <c r="J2140" s="1" t="s">
        <v>512</v>
      </c>
      <c r="K2140" s="1" t="s">
        <v>512</v>
      </c>
      <c r="L2140" s="1" t="s">
        <v>512</v>
      </c>
      <c r="M2140" s="1" t="s">
        <v>512</v>
      </c>
      <c r="N2140" s="1" t="s">
        <v>512</v>
      </c>
      <c r="O2140" s="1" t="s">
        <v>512</v>
      </c>
      <c r="Q2140" s="1" t="s">
        <v>512</v>
      </c>
    </row>
    <row r="2141" spans="4:17" x14ac:dyDescent="0.25">
      <c r="D2141" s="1" t="s">
        <v>512</v>
      </c>
      <c r="E2141" s="21" t="s">
        <v>512</v>
      </c>
      <c r="F2141" s="1" t="s">
        <v>512</v>
      </c>
      <c r="G2141" s="1" t="s">
        <v>512</v>
      </c>
      <c r="H2141" s="1" t="s">
        <v>512</v>
      </c>
      <c r="I2141" s="1" t="s">
        <v>512</v>
      </c>
      <c r="J2141" s="1" t="s">
        <v>512</v>
      </c>
      <c r="K2141" s="1" t="s">
        <v>512</v>
      </c>
      <c r="L2141" s="1" t="s">
        <v>512</v>
      </c>
      <c r="M2141" s="1" t="s">
        <v>512</v>
      </c>
      <c r="N2141" s="1" t="s">
        <v>512</v>
      </c>
      <c r="O2141" s="1" t="s">
        <v>512</v>
      </c>
      <c r="Q2141" s="1" t="s">
        <v>512</v>
      </c>
    </row>
    <row r="2142" spans="4:17" x14ac:dyDescent="0.25">
      <c r="D2142" s="1" t="s">
        <v>512</v>
      </c>
      <c r="E2142" s="21" t="s">
        <v>512</v>
      </c>
      <c r="F2142" s="1" t="s">
        <v>512</v>
      </c>
      <c r="G2142" s="1" t="s">
        <v>512</v>
      </c>
      <c r="H2142" s="1" t="s">
        <v>512</v>
      </c>
      <c r="I2142" s="1" t="s">
        <v>512</v>
      </c>
      <c r="J2142" s="1" t="s">
        <v>512</v>
      </c>
      <c r="K2142" s="1" t="s">
        <v>512</v>
      </c>
      <c r="L2142" s="1" t="s">
        <v>512</v>
      </c>
      <c r="M2142" s="1" t="s">
        <v>512</v>
      </c>
      <c r="N2142" s="1" t="s">
        <v>512</v>
      </c>
      <c r="O2142" s="1" t="s">
        <v>512</v>
      </c>
      <c r="Q2142" s="1" t="s">
        <v>512</v>
      </c>
    </row>
    <row r="2143" spans="4:17" x14ac:dyDescent="0.25">
      <c r="D2143" s="1" t="s">
        <v>512</v>
      </c>
      <c r="E2143" s="21" t="s">
        <v>512</v>
      </c>
      <c r="F2143" s="1" t="s">
        <v>512</v>
      </c>
      <c r="G2143" s="1" t="s">
        <v>512</v>
      </c>
      <c r="H2143" s="1" t="s">
        <v>512</v>
      </c>
      <c r="I2143" s="1" t="s">
        <v>512</v>
      </c>
      <c r="J2143" s="1" t="s">
        <v>512</v>
      </c>
      <c r="K2143" s="1" t="s">
        <v>512</v>
      </c>
      <c r="L2143" s="1" t="s">
        <v>512</v>
      </c>
      <c r="M2143" s="1" t="s">
        <v>512</v>
      </c>
      <c r="N2143" s="1" t="s">
        <v>512</v>
      </c>
      <c r="O2143" s="1" t="s">
        <v>512</v>
      </c>
      <c r="Q2143" s="1" t="s">
        <v>512</v>
      </c>
    </row>
    <row r="2144" spans="4:17" x14ac:dyDescent="0.25">
      <c r="D2144" s="1" t="s">
        <v>512</v>
      </c>
      <c r="E2144" s="21" t="s">
        <v>512</v>
      </c>
      <c r="F2144" s="1" t="s">
        <v>512</v>
      </c>
      <c r="G2144" s="1" t="s">
        <v>512</v>
      </c>
      <c r="H2144" s="1" t="s">
        <v>512</v>
      </c>
      <c r="I2144" s="1" t="s">
        <v>512</v>
      </c>
      <c r="J2144" s="1" t="s">
        <v>512</v>
      </c>
      <c r="K2144" s="1" t="s">
        <v>512</v>
      </c>
      <c r="L2144" s="1" t="s">
        <v>512</v>
      </c>
      <c r="M2144" s="1" t="s">
        <v>512</v>
      </c>
      <c r="N2144" s="1" t="s">
        <v>512</v>
      </c>
      <c r="O2144" s="1" t="s">
        <v>512</v>
      </c>
      <c r="Q2144" s="1" t="s">
        <v>512</v>
      </c>
    </row>
    <row r="2145" spans="4:17" x14ac:dyDescent="0.25">
      <c r="D2145" s="1" t="s">
        <v>512</v>
      </c>
      <c r="E2145" s="21" t="s">
        <v>512</v>
      </c>
      <c r="F2145" s="1" t="s">
        <v>512</v>
      </c>
      <c r="G2145" s="1" t="s">
        <v>512</v>
      </c>
      <c r="H2145" s="1" t="s">
        <v>512</v>
      </c>
      <c r="I2145" s="1" t="s">
        <v>512</v>
      </c>
      <c r="J2145" s="1" t="s">
        <v>512</v>
      </c>
      <c r="K2145" s="1" t="s">
        <v>512</v>
      </c>
      <c r="L2145" s="1" t="s">
        <v>512</v>
      </c>
      <c r="M2145" s="1" t="s">
        <v>512</v>
      </c>
      <c r="N2145" s="1" t="s">
        <v>512</v>
      </c>
      <c r="O2145" s="1" t="s">
        <v>512</v>
      </c>
      <c r="Q2145" s="1" t="s">
        <v>512</v>
      </c>
    </row>
    <row r="2146" spans="4:17" x14ac:dyDescent="0.25">
      <c r="D2146" s="1" t="s">
        <v>512</v>
      </c>
      <c r="E2146" s="21" t="s">
        <v>512</v>
      </c>
      <c r="F2146" s="1" t="s">
        <v>512</v>
      </c>
      <c r="G2146" s="1" t="s">
        <v>512</v>
      </c>
      <c r="H2146" s="1" t="s">
        <v>512</v>
      </c>
      <c r="I2146" s="1" t="s">
        <v>512</v>
      </c>
      <c r="J2146" s="1" t="s">
        <v>512</v>
      </c>
      <c r="K2146" s="1" t="s">
        <v>512</v>
      </c>
      <c r="L2146" s="1" t="s">
        <v>512</v>
      </c>
      <c r="M2146" s="1" t="s">
        <v>512</v>
      </c>
      <c r="N2146" s="1" t="s">
        <v>512</v>
      </c>
      <c r="O2146" s="1" t="s">
        <v>512</v>
      </c>
      <c r="Q2146" s="1" t="s">
        <v>512</v>
      </c>
    </row>
    <row r="2147" spans="4:17" x14ac:dyDescent="0.25">
      <c r="D2147" s="1" t="s">
        <v>512</v>
      </c>
      <c r="E2147" s="21" t="s">
        <v>512</v>
      </c>
      <c r="F2147" s="1" t="s">
        <v>512</v>
      </c>
      <c r="G2147" s="1" t="s">
        <v>512</v>
      </c>
      <c r="H2147" s="1" t="s">
        <v>512</v>
      </c>
      <c r="I2147" s="1" t="s">
        <v>512</v>
      </c>
      <c r="J2147" s="1" t="s">
        <v>512</v>
      </c>
      <c r="K2147" s="1" t="s">
        <v>512</v>
      </c>
      <c r="L2147" s="1" t="s">
        <v>512</v>
      </c>
      <c r="M2147" s="1" t="s">
        <v>512</v>
      </c>
      <c r="N2147" s="1" t="s">
        <v>512</v>
      </c>
      <c r="O2147" s="1" t="s">
        <v>512</v>
      </c>
      <c r="Q2147" s="1" t="s">
        <v>512</v>
      </c>
    </row>
    <row r="2148" spans="4:17" x14ac:dyDescent="0.25">
      <c r="D2148" s="1" t="s">
        <v>512</v>
      </c>
      <c r="E2148" s="21" t="s">
        <v>512</v>
      </c>
      <c r="F2148" s="1" t="s">
        <v>512</v>
      </c>
      <c r="G2148" s="1" t="s">
        <v>512</v>
      </c>
      <c r="H2148" s="1" t="s">
        <v>512</v>
      </c>
      <c r="I2148" s="1" t="s">
        <v>512</v>
      </c>
      <c r="J2148" s="1" t="s">
        <v>512</v>
      </c>
      <c r="K2148" s="1" t="s">
        <v>512</v>
      </c>
      <c r="L2148" s="1" t="s">
        <v>512</v>
      </c>
      <c r="M2148" s="1" t="s">
        <v>512</v>
      </c>
      <c r="N2148" s="1" t="s">
        <v>512</v>
      </c>
      <c r="O2148" s="1" t="s">
        <v>512</v>
      </c>
      <c r="Q2148" s="1" t="s">
        <v>512</v>
      </c>
    </row>
    <row r="2149" spans="4:17" x14ac:dyDescent="0.25">
      <c r="D2149" s="1" t="s">
        <v>512</v>
      </c>
      <c r="E2149" s="21" t="s">
        <v>512</v>
      </c>
      <c r="F2149" s="1" t="s">
        <v>512</v>
      </c>
      <c r="G2149" s="1" t="s">
        <v>512</v>
      </c>
      <c r="H2149" s="1" t="s">
        <v>512</v>
      </c>
      <c r="I2149" s="1" t="s">
        <v>512</v>
      </c>
      <c r="J2149" s="1" t="s">
        <v>512</v>
      </c>
      <c r="K2149" s="1" t="s">
        <v>512</v>
      </c>
      <c r="L2149" s="1" t="s">
        <v>512</v>
      </c>
      <c r="M2149" s="1" t="s">
        <v>512</v>
      </c>
      <c r="N2149" s="1" t="s">
        <v>512</v>
      </c>
      <c r="O2149" s="1" t="s">
        <v>512</v>
      </c>
      <c r="Q2149" s="1" t="s">
        <v>512</v>
      </c>
    </row>
    <row r="2150" spans="4:17" x14ac:dyDescent="0.25">
      <c r="D2150" s="1" t="s">
        <v>512</v>
      </c>
      <c r="E2150" s="21" t="s">
        <v>512</v>
      </c>
      <c r="F2150" s="1" t="s">
        <v>512</v>
      </c>
      <c r="G2150" s="1" t="s">
        <v>512</v>
      </c>
      <c r="H2150" s="1" t="s">
        <v>512</v>
      </c>
      <c r="I2150" s="1" t="s">
        <v>512</v>
      </c>
      <c r="J2150" s="1" t="s">
        <v>512</v>
      </c>
      <c r="K2150" s="1" t="s">
        <v>512</v>
      </c>
      <c r="L2150" s="1" t="s">
        <v>512</v>
      </c>
      <c r="M2150" s="1" t="s">
        <v>512</v>
      </c>
      <c r="N2150" s="1" t="s">
        <v>512</v>
      </c>
      <c r="O2150" s="1" t="s">
        <v>512</v>
      </c>
      <c r="Q2150" s="1" t="s">
        <v>512</v>
      </c>
    </row>
    <row r="2151" spans="4:17" x14ac:dyDescent="0.25">
      <c r="D2151" s="1" t="s">
        <v>512</v>
      </c>
      <c r="E2151" s="21" t="s">
        <v>512</v>
      </c>
      <c r="F2151" s="1" t="s">
        <v>512</v>
      </c>
      <c r="G2151" s="1" t="s">
        <v>512</v>
      </c>
      <c r="H2151" s="1" t="s">
        <v>512</v>
      </c>
      <c r="I2151" s="1" t="s">
        <v>512</v>
      </c>
      <c r="J2151" s="1" t="s">
        <v>512</v>
      </c>
      <c r="K2151" s="1" t="s">
        <v>512</v>
      </c>
      <c r="L2151" s="1" t="s">
        <v>512</v>
      </c>
      <c r="M2151" s="1" t="s">
        <v>512</v>
      </c>
      <c r="N2151" s="1" t="s">
        <v>512</v>
      </c>
      <c r="O2151" s="1" t="s">
        <v>512</v>
      </c>
      <c r="Q2151" s="1" t="s">
        <v>512</v>
      </c>
    </row>
    <row r="2152" spans="4:17" x14ac:dyDescent="0.25">
      <c r="D2152" s="1" t="s">
        <v>512</v>
      </c>
      <c r="E2152" s="21" t="s">
        <v>512</v>
      </c>
      <c r="F2152" s="1" t="s">
        <v>512</v>
      </c>
      <c r="G2152" s="1" t="s">
        <v>512</v>
      </c>
      <c r="H2152" s="1" t="s">
        <v>512</v>
      </c>
      <c r="I2152" s="1" t="s">
        <v>512</v>
      </c>
      <c r="J2152" s="1" t="s">
        <v>512</v>
      </c>
      <c r="K2152" s="1" t="s">
        <v>512</v>
      </c>
      <c r="L2152" s="1" t="s">
        <v>512</v>
      </c>
      <c r="M2152" s="1" t="s">
        <v>512</v>
      </c>
      <c r="N2152" s="1" t="s">
        <v>512</v>
      </c>
      <c r="O2152" s="1" t="s">
        <v>512</v>
      </c>
      <c r="Q2152" s="1" t="s">
        <v>512</v>
      </c>
    </row>
    <row r="2153" spans="4:17" x14ac:dyDescent="0.25">
      <c r="D2153" s="1" t="s">
        <v>512</v>
      </c>
      <c r="E2153" s="21" t="s">
        <v>512</v>
      </c>
      <c r="F2153" s="1" t="s">
        <v>512</v>
      </c>
      <c r="G2153" s="1" t="s">
        <v>512</v>
      </c>
      <c r="H2153" s="1" t="s">
        <v>512</v>
      </c>
      <c r="I2153" s="1" t="s">
        <v>512</v>
      </c>
      <c r="J2153" s="1" t="s">
        <v>512</v>
      </c>
      <c r="K2153" s="1" t="s">
        <v>512</v>
      </c>
      <c r="L2153" s="1" t="s">
        <v>512</v>
      </c>
      <c r="M2153" s="1" t="s">
        <v>512</v>
      </c>
      <c r="N2153" s="1" t="s">
        <v>512</v>
      </c>
      <c r="O2153" s="1" t="s">
        <v>512</v>
      </c>
      <c r="Q2153" s="1" t="s">
        <v>512</v>
      </c>
    </row>
    <row r="2154" spans="4:17" x14ac:dyDescent="0.25">
      <c r="D2154" s="1" t="s">
        <v>512</v>
      </c>
      <c r="E2154" s="21" t="s">
        <v>512</v>
      </c>
      <c r="F2154" s="1" t="s">
        <v>512</v>
      </c>
      <c r="G2154" s="1" t="s">
        <v>512</v>
      </c>
      <c r="H2154" s="1" t="s">
        <v>512</v>
      </c>
      <c r="I2154" s="1" t="s">
        <v>512</v>
      </c>
      <c r="J2154" s="1" t="s">
        <v>512</v>
      </c>
      <c r="K2154" s="1" t="s">
        <v>512</v>
      </c>
      <c r="L2154" s="1" t="s">
        <v>512</v>
      </c>
      <c r="M2154" s="1" t="s">
        <v>512</v>
      </c>
      <c r="N2154" s="1" t="s">
        <v>512</v>
      </c>
      <c r="O2154" s="1" t="s">
        <v>512</v>
      </c>
      <c r="Q2154" s="1" t="s">
        <v>512</v>
      </c>
    </row>
    <row r="2155" spans="4:17" x14ac:dyDescent="0.25">
      <c r="D2155" s="1" t="s">
        <v>512</v>
      </c>
      <c r="E2155" s="21" t="s">
        <v>512</v>
      </c>
      <c r="F2155" s="1" t="s">
        <v>512</v>
      </c>
      <c r="G2155" s="1" t="s">
        <v>512</v>
      </c>
      <c r="H2155" s="1" t="s">
        <v>512</v>
      </c>
      <c r="I2155" s="1" t="s">
        <v>512</v>
      </c>
      <c r="J2155" s="1" t="s">
        <v>512</v>
      </c>
      <c r="K2155" s="1" t="s">
        <v>512</v>
      </c>
      <c r="L2155" s="1" t="s">
        <v>512</v>
      </c>
      <c r="M2155" s="1" t="s">
        <v>512</v>
      </c>
      <c r="N2155" s="1" t="s">
        <v>512</v>
      </c>
      <c r="O2155" s="1" t="s">
        <v>512</v>
      </c>
      <c r="Q2155" s="1" t="s">
        <v>512</v>
      </c>
    </row>
    <row r="2156" spans="4:17" x14ac:dyDescent="0.25">
      <c r="D2156" s="1" t="s">
        <v>512</v>
      </c>
      <c r="E2156" s="21" t="s">
        <v>512</v>
      </c>
      <c r="F2156" s="1" t="s">
        <v>512</v>
      </c>
      <c r="G2156" s="1" t="s">
        <v>512</v>
      </c>
      <c r="H2156" s="1" t="s">
        <v>512</v>
      </c>
      <c r="I2156" s="1" t="s">
        <v>512</v>
      </c>
      <c r="J2156" s="1" t="s">
        <v>512</v>
      </c>
      <c r="K2156" s="1" t="s">
        <v>512</v>
      </c>
      <c r="L2156" s="1" t="s">
        <v>512</v>
      </c>
      <c r="M2156" s="1" t="s">
        <v>512</v>
      </c>
      <c r="N2156" s="1" t="s">
        <v>512</v>
      </c>
      <c r="O2156" s="1" t="s">
        <v>512</v>
      </c>
      <c r="Q2156" s="1" t="s">
        <v>512</v>
      </c>
    </row>
    <row r="2157" spans="4:17" x14ac:dyDescent="0.25">
      <c r="D2157" s="1" t="s">
        <v>512</v>
      </c>
      <c r="E2157" s="21" t="s">
        <v>512</v>
      </c>
      <c r="F2157" s="1" t="s">
        <v>512</v>
      </c>
      <c r="G2157" s="1" t="s">
        <v>512</v>
      </c>
      <c r="H2157" s="1" t="s">
        <v>512</v>
      </c>
      <c r="I2157" s="1" t="s">
        <v>512</v>
      </c>
      <c r="J2157" s="1" t="s">
        <v>512</v>
      </c>
      <c r="K2157" s="1" t="s">
        <v>512</v>
      </c>
      <c r="L2157" s="1" t="s">
        <v>512</v>
      </c>
      <c r="M2157" s="1" t="s">
        <v>512</v>
      </c>
      <c r="N2157" s="1" t="s">
        <v>512</v>
      </c>
      <c r="O2157" s="1" t="s">
        <v>512</v>
      </c>
      <c r="Q2157" s="1" t="s">
        <v>512</v>
      </c>
    </row>
    <row r="2158" spans="4:17" x14ac:dyDescent="0.25">
      <c r="D2158" s="1" t="s">
        <v>512</v>
      </c>
      <c r="E2158" s="21" t="s">
        <v>512</v>
      </c>
      <c r="F2158" s="1" t="s">
        <v>512</v>
      </c>
      <c r="G2158" s="1" t="s">
        <v>512</v>
      </c>
      <c r="H2158" s="1" t="s">
        <v>512</v>
      </c>
      <c r="I2158" s="1" t="s">
        <v>512</v>
      </c>
      <c r="J2158" s="1" t="s">
        <v>512</v>
      </c>
      <c r="K2158" s="1" t="s">
        <v>512</v>
      </c>
      <c r="L2158" s="1" t="s">
        <v>512</v>
      </c>
      <c r="M2158" s="1" t="s">
        <v>512</v>
      </c>
      <c r="N2158" s="1" t="s">
        <v>512</v>
      </c>
      <c r="O2158" s="1" t="s">
        <v>512</v>
      </c>
      <c r="Q2158" s="1" t="s">
        <v>512</v>
      </c>
    </row>
    <row r="2159" spans="4:17" x14ac:dyDescent="0.25">
      <c r="D2159" s="1" t="s">
        <v>512</v>
      </c>
      <c r="E2159" s="21" t="s">
        <v>512</v>
      </c>
      <c r="F2159" s="1" t="s">
        <v>512</v>
      </c>
      <c r="G2159" s="1" t="s">
        <v>512</v>
      </c>
      <c r="H2159" s="1" t="s">
        <v>512</v>
      </c>
      <c r="I2159" s="1" t="s">
        <v>512</v>
      </c>
      <c r="J2159" s="1" t="s">
        <v>512</v>
      </c>
      <c r="K2159" s="1" t="s">
        <v>512</v>
      </c>
      <c r="L2159" s="1" t="s">
        <v>512</v>
      </c>
      <c r="M2159" s="1" t="s">
        <v>512</v>
      </c>
      <c r="N2159" s="1" t="s">
        <v>512</v>
      </c>
      <c r="O2159" s="1" t="s">
        <v>512</v>
      </c>
      <c r="Q2159" s="1" t="s">
        <v>512</v>
      </c>
    </row>
    <row r="2160" spans="4:17" x14ac:dyDescent="0.25">
      <c r="D2160" s="1" t="s">
        <v>512</v>
      </c>
      <c r="E2160" s="21" t="s">
        <v>512</v>
      </c>
      <c r="F2160" s="1" t="s">
        <v>512</v>
      </c>
      <c r="G2160" s="1" t="s">
        <v>512</v>
      </c>
      <c r="H2160" s="1" t="s">
        <v>512</v>
      </c>
      <c r="I2160" s="1" t="s">
        <v>512</v>
      </c>
      <c r="J2160" s="1" t="s">
        <v>512</v>
      </c>
      <c r="K2160" s="1" t="s">
        <v>512</v>
      </c>
      <c r="L2160" s="1" t="s">
        <v>512</v>
      </c>
      <c r="M2160" s="1" t="s">
        <v>512</v>
      </c>
      <c r="N2160" s="1" t="s">
        <v>512</v>
      </c>
      <c r="O2160" s="1" t="s">
        <v>512</v>
      </c>
      <c r="Q2160" s="1" t="s">
        <v>512</v>
      </c>
    </row>
    <row r="2161" spans="4:17" x14ac:dyDescent="0.25">
      <c r="D2161" s="1" t="s">
        <v>512</v>
      </c>
      <c r="E2161" s="21" t="s">
        <v>512</v>
      </c>
      <c r="F2161" s="1" t="s">
        <v>512</v>
      </c>
      <c r="G2161" s="1" t="s">
        <v>512</v>
      </c>
      <c r="H2161" s="1" t="s">
        <v>512</v>
      </c>
      <c r="I2161" s="1" t="s">
        <v>512</v>
      </c>
      <c r="J2161" s="1" t="s">
        <v>512</v>
      </c>
      <c r="K2161" s="1" t="s">
        <v>512</v>
      </c>
      <c r="L2161" s="1" t="s">
        <v>512</v>
      </c>
      <c r="M2161" s="1" t="s">
        <v>512</v>
      </c>
      <c r="N2161" s="1" t="s">
        <v>512</v>
      </c>
      <c r="O2161" s="1" t="s">
        <v>512</v>
      </c>
      <c r="Q2161" s="1" t="s">
        <v>512</v>
      </c>
    </row>
    <row r="2162" spans="4:17" x14ac:dyDescent="0.25">
      <c r="D2162" s="1" t="s">
        <v>512</v>
      </c>
      <c r="E2162" s="21" t="s">
        <v>512</v>
      </c>
      <c r="F2162" s="1" t="s">
        <v>512</v>
      </c>
      <c r="G2162" s="1" t="s">
        <v>512</v>
      </c>
      <c r="H2162" s="1" t="s">
        <v>512</v>
      </c>
      <c r="I2162" s="1" t="s">
        <v>512</v>
      </c>
      <c r="J2162" s="1" t="s">
        <v>512</v>
      </c>
      <c r="K2162" s="1" t="s">
        <v>512</v>
      </c>
      <c r="L2162" s="1" t="s">
        <v>512</v>
      </c>
      <c r="M2162" s="1" t="s">
        <v>512</v>
      </c>
      <c r="N2162" s="1" t="s">
        <v>512</v>
      </c>
      <c r="O2162" s="1" t="s">
        <v>512</v>
      </c>
      <c r="Q2162" s="1" t="s">
        <v>512</v>
      </c>
    </row>
    <row r="2163" spans="4:17" x14ac:dyDescent="0.25">
      <c r="D2163" s="1" t="s">
        <v>512</v>
      </c>
      <c r="E2163" s="21" t="s">
        <v>512</v>
      </c>
      <c r="F2163" s="1" t="s">
        <v>512</v>
      </c>
      <c r="G2163" s="1" t="s">
        <v>512</v>
      </c>
      <c r="H2163" s="1" t="s">
        <v>512</v>
      </c>
      <c r="I2163" s="1" t="s">
        <v>512</v>
      </c>
      <c r="J2163" s="1" t="s">
        <v>512</v>
      </c>
      <c r="K2163" s="1" t="s">
        <v>512</v>
      </c>
      <c r="L2163" s="1" t="s">
        <v>512</v>
      </c>
      <c r="M2163" s="1" t="s">
        <v>512</v>
      </c>
      <c r="N2163" s="1" t="s">
        <v>512</v>
      </c>
      <c r="O2163" s="1" t="s">
        <v>512</v>
      </c>
      <c r="Q2163" s="1" t="s">
        <v>512</v>
      </c>
    </row>
    <row r="2164" spans="4:17" x14ac:dyDescent="0.25">
      <c r="D2164" s="1" t="s">
        <v>512</v>
      </c>
      <c r="E2164" s="21" t="s">
        <v>512</v>
      </c>
      <c r="F2164" s="1" t="s">
        <v>512</v>
      </c>
      <c r="G2164" s="1" t="s">
        <v>512</v>
      </c>
      <c r="H2164" s="1" t="s">
        <v>512</v>
      </c>
      <c r="I2164" s="1" t="s">
        <v>512</v>
      </c>
      <c r="J2164" s="1" t="s">
        <v>512</v>
      </c>
      <c r="K2164" s="1" t="s">
        <v>512</v>
      </c>
      <c r="L2164" s="1" t="s">
        <v>512</v>
      </c>
      <c r="M2164" s="1" t="s">
        <v>512</v>
      </c>
      <c r="N2164" s="1" t="s">
        <v>512</v>
      </c>
      <c r="O2164" s="1" t="s">
        <v>512</v>
      </c>
      <c r="Q2164" s="1" t="s">
        <v>512</v>
      </c>
    </row>
    <row r="2165" spans="4:17" x14ac:dyDescent="0.25">
      <c r="D2165" s="1" t="s">
        <v>512</v>
      </c>
      <c r="E2165" s="21" t="s">
        <v>512</v>
      </c>
      <c r="F2165" s="1" t="s">
        <v>512</v>
      </c>
      <c r="G2165" s="1" t="s">
        <v>512</v>
      </c>
      <c r="H2165" s="1" t="s">
        <v>512</v>
      </c>
      <c r="I2165" s="1" t="s">
        <v>512</v>
      </c>
      <c r="J2165" s="1" t="s">
        <v>512</v>
      </c>
      <c r="K2165" s="1" t="s">
        <v>512</v>
      </c>
      <c r="L2165" s="1" t="s">
        <v>512</v>
      </c>
      <c r="M2165" s="1" t="s">
        <v>512</v>
      </c>
      <c r="N2165" s="1" t="s">
        <v>512</v>
      </c>
      <c r="O2165" s="1" t="s">
        <v>512</v>
      </c>
      <c r="Q2165" s="1" t="s">
        <v>512</v>
      </c>
    </row>
    <row r="2166" spans="4:17" x14ac:dyDescent="0.25">
      <c r="D2166" s="1" t="s">
        <v>512</v>
      </c>
      <c r="E2166" s="21" t="s">
        <v>512</v>
      </c>
      <c r="F2166" s="1" t="s">
        <v>512</v>
      </c>
      <c r="G2166" s="1" t="s">
        <v>512</v>
      </c>
      <c r="H2166" s="1" t="s">
        <v>512</v>
      </c>
      <c r="I2166" s="1" t="s">
        <v>512</v>
      </c>
      <c r="J2166" s="1" t="s">
        <v>512</v>
      </c>
      <c r="K2166" s="1" t="s">
        <v>512</v>
      </c>
      <c r="L2166" s="1" t="s">
        <v>512</v>
      </c>
      <c r="M2166" s="1" t="s">
        <v>512</v>
      </c>
      <c r="N2166" s="1" t="s">
        <v>512</v>
      </c>
      <c r="O2166" s="1" t="s">
        <v>512</v>
      </c>
      <c r="Q2166" s="1" t="s">
        <v>512</v>
      </c>
    </row>
    <row r="2167" spans="4:17" x14ac:dyDescent="0.25">
      <c r="D2167" s="1" t="s">
        <v>512</v>
      </c>
      <c r="E2167" s="21" t="s">
        <v>512</v>
      </c>
      <c r="F2167" s="1" t="s">
        <v>512</v>
      </c>
      <c r="G2167" s="1" t="s">
        <v>512</v>
      </c>
      <c r="H2167" s="1" t="s">
        <v>512</v>
      </c>
      <c r="I2167" s="1" t="s">
        <v>512</v>
      </c>
      <c r="J2167" s="1" t="s">
        <v>512</v>
      </c>
      <c r="K2167" s="1" t="s">
        <v>512</v>
      </c>
      <c r="L2167" s="1" t="s">
        <v>512</v>
      </c>
      <c r="M2167" s="1" t="s">
        <v>512</v>
      </c>
      <c r="N2167" s="1" t="s">
        <v>512</v>
      </c>
      <c r="O2167" s="1" t="s">
        <v>512</v>
      </c>
      <c r="Q2167" s="1" t="s">
        <v>512</v>
      </c>
    </row>
    <row r="2168" spans="4:17" x14ac:dyDescent="0.25">
      <c r="D2168" s="1" t="s">
        <v>512</v>
      </c>
      <c r="E2168" s="21" t="s">
        <v>512</v>
      </c>
      <c r="F2168" s="1" t="s">
        <v>512</v>
      </c>
      <c r="G2168" s="1" t="s">
        <v>512</v>
      </c>
      <c r="H2168" s="1" t="s">
        <v>512</v>
      </c>
      <c r="I2168" s="1" t="s">
        <v>512</v>
      </c>
      <c r="J2168" s="1" t="s">
        <v>512</v>
      </c>
      <c r="K2168" s="1" t="s">
        <v>512</v>
      </c>
      <c r="L2168" s="1" t="s">
        <v>512</v>
      </c>
      <c r="M2168" s="1" t="s">
        <v>512</v>
      </c>
      <c r="N2168" s="1" t="s">
        <v>512</v>
      </c>
      <c r="O2168" s="1" t="s">
        <v>512</v>
      </c>
      <c r="Q2168" s="1" t="s">
        <v>512</v>
      </c>
    </row>
    <row r="2169" spans="4:17" x14ac:dyDescent="0.25">
      <c r="D2169" s="1" t="s">
        <v>512</v>
      </c>
      <c r="E2169" s="21" t="s">
        <v>512</v>
      </c>
      <c r="F2169" s="1" t="s">
        <v>512</v>
      </c>
      <c r="G2169" s="1" t="s">
        <v>512</v>
      </c>
      <c r="H2169" s="1" t="s">
        <v>512</v>
      </c>
      <c r="I2169" s="1" t="s">
        <v>512</v>
      </c>
      <c r="J2169" s="1" t="s">
        <v>512</v>
      </c>
      <c r="K2169" s="1" t="s">
        <v>512</v>
      </c>
      <c r="L2169" s="1" t="s">
        <v>512</v>
      </c>
      <c r="M2169" s="1" t="s">
        <v>512</v>
      </c>
      <c r="N2169" s="1" t="s">
        <v>512</v>
      </c>
      <c r="O2169" s="1" t="s">
        <v>512</v>
      </c>
      <c r="Q2169" s="1" t="s">
        <v>512</v>
      </c>
    </row>
    <row r="2170" spans="4:17" x14ac:dyDescent="0.25">
      <c r="D2170" s="1" t="s">
        <v>512</v>
      </c>
      <c r="E2170" s="21" t="s">
        <v>512</v>
      </c>
      <c r="F2170" s="1" t="s">
        <v>512</v>
      </c>
      <c r="G2170" s="1" t="s">
        <v>512</v>
      </c>
      <c r="H2170" s="1" t="s">
        <v>512</v>
      </c>
      <c r="I2170" s="1" t="s">
        <v>512</v>
      </c>
      <c r="J2170" s="1" t="s">
        <v>512</v>
      </c>
      <c r="K2170" s="1" t="s">
        <v>512</v>
      </c>
      <c r="L2170" s="1" t="s">
        <v>512</v>
      </c>
      <c r="M2170" s="1" t="s">
        <v>512</v>
      </c>
      <c r="N2170" s="1" t="s">
        <v>512</v>
      </c>
      <c r="O2170" s="1" t="s">
        <v>512</v>
      </c>
      <c r="Q2170" s="1" t="s">
        <v>512</v>
      </c>
    </row>
    <row r="2171" spans="4:17" x14ac:dyDescent="0.25">
      <c r="D2171" s="1" t="s">
        <v>512</v>
      </c>
      <c r="E2171" s="21" t="s">
        <v>512</v>
      </c>
      <c r="F2171" s="1" t="s">
        <v>512</v>
      </c>
      <c r="G2171" s="1" t="s">
        <v>512</v>
      </c>
      <c r="H2171" s="1" t="s">
        <v>512</v>
      </c>
      <c r="I2171" s="1" t="s">
        <v>512</v>
      </c>
      <c r="J2171" s="1" t="s">
        <v>512</v>
      </c>
      <c r="K2171" s="1" t="s">
        <v>512</v>
      </c>
      <c r="L2171" s="1" t="s">
        <v>512</v>
      </c>
      <c r="M2171" s="1" t="s">
        <v>512</v>
      </c>
      <c r="N2171" s="1" t="s">
        <v>512</v>
      </c>
      <c r="O2171" s="1" t="s">
        <v>512</v>
      </c>
      <c r="Q2171" s="1" t="s">
        <v>512</v>
      </c>
    </row>
    <row r="2172" spans="4:17" x14ac:dyDescent="0.25">
      <c r="D2172" s="1" t="s">
        <v>512</v>
      </c>
      <c r="E2172" s="21" t="s">
        <v>512</v>
      </c>
      <c r="F2172" s="1" t="s">
        <v>512</v>
      </c>
      <c r="G2172" s="1" t="s">
        <v>512</v>
      </c>
      <c r="H2172" s="1" t="s">
        <v>512</v>
      </c>
      <c r="I2172" s="1" t="s">
        <v>512</v>
      </c>
      <c r="J2172" s="1" t="s">
        <v>512</v>
      </c>
      <c r="K2172" s="1" t="s">
        <v>512</v>
      </c>
      <c r="L2172" s="1" t="s">
        <v>512</v>
      </c>
      <c r="M2172" s="1" t="s">
        <v>512</v>
      </c>
      <c r="N2172" s="1" t="s">
        <v>512</v>
      </c>
      <c r="O2172" s="1" t="s">
        <v>512</v>
      </c>
      <c r="Q2172" s="1" t="s">
        <v>512</v>
      </c>
    </row>
    <row r="2173" spans="4:17" x14ac:dyDescent="0.25">
      <c r="D2173" s="1" t="s">
        <v>512</v>
      </c>
      <c r="E2173" s="21" t="s">
        <v>512</v>
      </c>
      <c r="F2173" s="1" t="s">
        <v>512</v>
      </c>
      <c r="G2173" s="1" t="s">
        <v>512</v>
      </c>
      <c r="H2173" s="1" t="s">
        <v>512</v>
      </c>
      <c r="I2173" s="1" t="s">
        <v>512</v>
      </c>
      <c r="J2173" s="1" t="s">
        <v>512</v>
      </c>
      <c r="K2173" s="1" t="s">
        <v>512</v>
      </c>
      <c r="L2173" s="1" t="s">
        <v>512</v>
      </c>
      <c r="M2173" s="1" t="s">
        <v>512</v>
      </c>
      <c r="N2173" s="1" t="s">
        <v>512</v>
      </c>
      <c r="O2173" s="1" t="s">
        <v>512</v>
      </c>
      <c r="Q2173" s="1" t="s">
        <v>512</v>
      </c>
    </row>
    <row r="2174" spans="4:17" x14ac:dyDescent="0.25">
      <c r="D2174" s="1" t="s">
        <v>512</v>
      </c>
      <c r="E2174" s="21" t="s">
        <v>512</v>
      </c>
      <c r="F2174" s="1" t="s">
        <v>512</v>
      </c>
      <c r="G2174" s="1" t="s">
        <v>512</v>
      </c>
      <c r="H2174" s="1" t="s">
        <v>512</v>
      </c>
      <c r="I2174" s="1" t="s">
        <v>512</v>
      </c>
      <c r="J2174" s="1" t="s">
        <v>512</v>
      </c>
      <c r="K2174" s="1" t="s">
        <v>512</v>
      </c>
      <c r="L2174" s="1" t="s">
        <v>512</v>
      </c>
      <c r="M2174" s="1" t="s">
        <v>512</v>
      </c>
      <c r="N2174" s="1" t="s">
        <v>512</v>
      </c>
      <c r="O2174" s="1" t="s">
        <v>512</v>
      </c>
      <c r="Q2174" s="1" t="s">
        <v>512</v>
      </c>
    </row>
    <row r="2175" spans="4:17" x14ac:dyDescent="0.25">
      <c r="D2175" s="1" t="s">
        <v>512</v>
      </c>
      <c r="E2175" s="21" t="s">
        <v>512</v>
      </c>
      <c r="F2175" s="1" t="s">
        <v>512</v>
      </c>
      <c r="G2175" s="1" t="s">
        <v>512</v>
      </c>
      <c r="H2175" s="1" t="s">
        <v>512</v>
      </c>
      <c r="I2175" s="1" t="s">
        <v>512</v>
      </c>
      <c r="J2175" s="1" t="s">
        <v>512</v>
      </c>
      <c r="K2175" s="1" t="s">
        <v>512</v>
      </c>
      <c r="L2175" s="1" t="s">
        <v>512</v>
      </c>
      <c r="M2175" s="1" t="s">
        <v>512</v>
      </c>
      <c r="N2175" s="1" t="s">
        <v>512</v>
      </c>
      <c r="O2175" s="1" t="s">
        <v>512</v>
      </c>
      <c r="Q2175" s="1" t="s">
        <v>512</v>
      </c>
    </row>
    <row r="2176" spans="4:17" x14ac:dyDescent="0.25">
      <c r="D2176" s="1" t="s">
        <v>512</v>
      </c>
      <c r="E2176" s="21" t="s">
        <v>512</v>
      </c>
      <c r="F2176" s="1" t="s">
        <v>512</v>
      </c>
      <c r="G2176" s="1" t="s">
        <v>512</v>
      </c>
      <c r="H2176" s="1" t="s">
        <v>512</v>
      </c>
      <c r="I2176" s="1" t="s">
        <v>512</v>
      </c>
      <c r="J2176" s="1" t="s">
        <v>512</v>
      </c>
      <c r="K2176" s="1" t="s">
        <v>512</v>
      </c>
      <c r="L2176" s="1" t="s">
        <v>512</v>
      </c>
      <c r="M2176" s="1" t="s">
        <v>512</v>
      </c>
      <c r="N2176" s="1" t="s">
        <v>512</v>
      </c>
      <c r="O2176" s="1" t="s">
        <v>512</v>
      </c>
      <c r="Q2176" s="1" t="s">
        <v>512</v>
      </c>
    </row>
    <row r="2177" spans="4:17" x14ac:dyDescent="0.25">
      <c r="D2177" s="1" t="s">
        <v>512</v>
      </c>
      <c r="E2177" s="21" t="s">
        <v>512</v>
      </c>
      <c r="F2177" s="1" t="s">
        <v>512</v>
      </c>
      <c r="G2177" s="1" t="s">
        <v>512</v>
      </c>
      <c r="H2177" s="1" t="s">
        <v>512</v>
      </c>
      <c r="I2177" s="1" t="s">
        <v>512</v>
      </c>
      <c r="J2177" s="1" t="s">
        <v>512</v>
      </c>
      <c r="K2177" s="1" t="s">
        <v>512</v>
      </c>
      <c r="L2177" s="1" t="s">
        <v>512</v>
      </c>
      <c r="M2177" s="1" t="s">
        <v>512</v>
      </c>
      <c r="N2177" s="1" t="s">
        <v>512</v>
      </c>
      <c r="O2177" s="1" t="s">
        <v>512</v>
      </c>
      <c r="Q2177" s="1" t="s">
        <v>512</v>
      </c>
    </row>
    <row r="2178" spans="4:17" x14ac:dyDescent="0.25">
      <c r="D2178" s="1" t="s">
        <v>512</v>
      </c>
      <c r="E2178" s="21" t="s">
        <v>512</v>
      </c>
      <c r="F2178" s="1" t="s">
        <v>512</v>
      </c>
      <c r="G2178" s="1" t="s">
        <v>512</v>
      </c>
      <c r="H2178" s="1" t="s">
        <v>512</v>
      </c>
      <c r="I2178" s="1" t="s">
        <v>512</v>
      </c>
      <c r="J2178" s="1" t="s">
        <v>512</v>
      </c>
      <c r="K2178" s="1" t="s">
        <v>512</v>
      </c>
      <c r="L2178" s="1" t="s">
        <v>512</v>
      </c>
      <c r="M2178" s="1" t="s">
        <v>512</v>
      </c>
      <c r="N2178" s="1" t="s">
        <v>512</v>
      </c>
      <c r="O2178" s="1" t="s">
        <v>512</v>
      </c>
      <c r="Q2178" s="1" t="s">
        <v>512</v>
      </c>
    </row>
    <row r="2179" spans="4:17" x14ac:dyDescent="0.25">
      <c r="D2179" s="1" t="s">
        <v>512</v>
      </c>
      <c r="E2179" s="21" t="s">
        <v>512</v>
      </c>
      <c r="F2179" s="1" t="s">
        <v>512</v>
      </c>
      <c r="G2179" s="1" t="s">
        <v>512</v>
      </c>
      <c r="H2179" s="1" t="s">
        <v>512</v>
      </c>
      <c r="I2179" s="1" t="s">
        <v>512</v>
      </c>
      <c r="J2179" s="1" t="s">
        <v>512</v>
      </c>
      <c r="K2179" s="1" t="s">
        <v>512</v>
      </c>
      <c r="L2179" s="1" t="s">
        <v>512</v>
      </c>
      <c r="M2179" s="1" t="s">
        <v>512</v>
      </c>
      <c r="N2179" s="1" t="s">
        <v>512</v>
      </c>
      <c r="O2179" s="1" t="s">
        <v>512</v>
      </c>
      <c r="Q2179" s="1" t="s">
        <v>512</v>
      </c>
    </row>
    <row r="2180" spans="4:17" x14ac:dyDescent="0.25">
      <c r="D2180" s="1" t="s">
        <v>512</v>
      </c>
      <c r="E2180" s="21" t="s">
        <v>512</v>
      </c>
      <c r="F2180" s="1" t="s">
        <v>512</v>
      </c>
      <c r="G2180" s="1" t="s">
        <v>512</v>
      </c>
      <c r="H2180" s="1" t="s">
        <v>512</v>
      </c>
      <c r="I2180" s="1" t="s">
        <v>512</v>
      </c>
      <c r="J2180" s="1" t="s">
        <v>512</v>
      </c>
      <c r="K2180" s="1" t="s">
        <v>512</v>
      </c>
      <c r="L2180" s="1" t="s">
        <v>512</v>
      </c>
      <c r="M2180" s="1" t="s">
        <v>512</v>
      </c>
      <c r="N2180" s="1" t="s">
        <v>512</v>
      </c>
      <c r="O2180" s="1" t="s">
        <v>512</v>
      </c>
      <c r="Q2180" s="1" t="s">
        <v>512</v>
      </c>
    </row>
    <row r="2181" spans="4:17" x14ac:dyDescent="0.25">
      <c r="D2181" s="1" t="s">
        <v>512</v>
      </c>
      <c r="E2181" s="21" t="s">
        <v>512</v>
      </c>
      <c r="F2181" s="1" t="s">
        <v>512</v>
      </c>
      <c r="G2181" s="1" t="s">
        <v>512</v>
      </c>
      <c r="H2181" s="1" t="s">
        <v>512</v>
      </c>
      <c r="I2181" s="1" t="s">
        <v>512</v>
      </c>
      <c r="J2181" s="1" t="s">
        <v>512</v>
      </c>
      <c r="K2181" s="1" t="s">
        <v>512</v>
      </c>
      <c r="L2181" s="1" t="s">
        <v>512</v>
      </c>
      <c r="M2181" s="1" t="s">
        <v>512</v>
      </c>
      <c r="N2181" s="1" t="s">
        <v>512</v>
      </c>
      <c r="O2181" s="1" t="s">
        <v>512</v>
      </c>
      <c r="Q2181" s="1" t="s">
        <v>512</v>
      </c>
    </row>
    <row r="2182" spans="4:17" x14ac:dyDescent="0.25">
      <c r="D2182" s="1" t="s">
        <v>512</v>
      </c>
      <c r="E2182" s="21" t="s">
        <v>512</v>
      </c>
      <c r="F2182" s="1" t="s">
        <v>512</v>
      </c>
      <c r="G2182" s="1" t="s">
        <v>512</v>
      </c>
      <c r="H2182" s="1" t="s">
        <v>512</v>
      </c>
      <c r="I2182" s="1" t="s">
        <v>512</v>
      </c>
      <c r="J2182" s="1" t="s">
        <v>512</v>
      </c>
      <c r="K2182" s="1" t="s">
        <v>512</v>
      </c>
      <c r="L2182" s="1" t="s">
        <v>512</v>
      </c>
      <c r="M2182" s="1" t="s">
        <v>512</v>
      </c>
      <c r="N2182" s="1" t="s">
        <v>512</v>
      </c>
      <c r="O2182" s="1" t="s">
        <v>512</v>
      </c>
      <c r="Q2182" s="1" t="s">
        <v>512</v>
      </c>
    </row>
    <row r="2183" spans="4:17" x14ac:dyDescent="0.25">
      <c r="D2183" s="1" t="s">
        <v>512</v>
      </c>
      <c r="E2183" s="21" t="s">
        <v>512</v>
      </c>
      <c r="F2183" s="1" t="s">
        <v>512</v>
      </c>
      <c r="G2183" s="1" t="s">
        <v>512</v>
      </c>
      <c r="H2183" s="1" t="s">
        <v>512</v>
      </c>
      <c r="I2183" s="1" t="s">
        <v>512</v>
      </c>
      <c r="J2183" s="1" t="s">
        <v>512</v>
      </c>
      <c r="K2183" s="1" t="s">
        <v>512</v>
      </c>
      <c r="L2183" s="1" t="s">
        <v>512</v>
      </c>
      <c r="M2183" s="1" t="s">
        <v>512</v>
      </c>
      <c r="N2183" s="1" t="s">
        <v>512</v>
      </c>
      <c r="O2183" s="1" t="s">
        <v>512</v>
      </c>
      <c r="Q2183" s="1" t="s">
        <v>512</v>
      </c>
    </row>
    <row r="2184" spans="4:17" x14ac:dyDescent="0.25">
      <c r="D2184" s="1" t="s">
        <v>512</v>
      </c>
      <c r="E2184" s="21" t="s">
        <v>512</v>
      </c>
      <c r="F2184" s="1" t="s">
        <v>512</v>
      </c>
      <c r="G2184" s="1" t="s">
        <v>512</v>
      </c>
      <c r="H2184" s="1" t="s">
        <v>512</v>
      </c>
      <c r="I2184" s="1" t="s">
        <v>512</v>
      </c>
      <c r="J2184" s="1" t="s">
        <v>512</v>
      </c>
      <c r="K2184" s="1" t="s">
        <v>512</v>
      </c>
      <c r="L2184" s="1" t="s">
        <v>512</v>
      </c>
      <c r="M2184" s="1" t="s">
        <v>512</v>
      </c>
      <c r="N2184" s="1" t="s">
        <v>512</v>
      </c>
      <c r="O2184" s="1" t="s">
        <v>512</v>
      </c>
      <c r="Q2184" s="1" t="s">
        <v>512</v>
      </c>
    </row>
    <row r="2185" spans="4:17" x14ac:dyDescent="0.25">
      <c r="D2185" s="1" t="s">
        <v>512</v>
      </c>
      <c r="E2185" s="21" t="s">
        <v>512</v>
      </c>
      <c r="F2185" s="1" t="s">
        <v>512</v>
      </c>
      <c r="G2185" s="1" t="s">
        <v>512</v>
      </c>
      <c r="H2185" s="1" t="s">
        <v>512</v>
      </c>
      <c r="I2185" s="1" t="s">
        <v>512</v>
      </c>
      <c r="J2185" s="1" t="s">
        <v>512</v>
      </c>
      <c r="K2185" s="1" t="s">
        <v>512</v>
      </c>
      <c r="L2185" s="1" t="s">
        <v>512</v>
      </c>
      <c r="M2185" s="1" t="s">
        <v>512</v>
      </c>
      <c r="N2185" s="1" t="s">
        <v>512</v>
      </c>
      <c r="O2185" s="1" t="s">
        <v>512</v>
      </c>
      <c r="Q2185" s="1" t="s">
        <v>512</v>
      </c>
    </row>
    <row r="2186" spans="4:17" x14ac:dyDescent="0.25">
      <c r="D2186" s="1" t="s">
        <v>512</v>
      </c>
      <c r="E2186" s="21" t="s">
        <v>512</v>
      </c>
      <c r="F2186" s="1" t="s">
        <v>512</v>
      </c>
      <c r="G2186" s="1" t="s">
        <v>512</v>
      </c>
      <c r="H2186" s="1" t="s">
        <v>512</v>
      </c>
      <c r="I2186" s="1" t="s">
        <v>512</v>
      </c>
      <c r="J2186" s="1" t="s">
        <v>512</v>
      </c>
      <c r="K2186" s="1" t="s">
        <v>512</v>
      </c>
      <c r="L2186" s="1" t="s">
        <v>512</v>
      </c>
      <c r="M2186" s="1" t="s">
        <v>512</v>
      </c>
      <c r="N2186" s="1" t="s">
        <v>512</v>
      </c>
      <c r="O2186" s="1" t="s">
        <v>512</v>
      </c>
      <c r="Q2186" s="1" t="s">
        <v>512</v>
      </c>
    </row>
    <row r="2187" spans="4:17" x14ac:dyDescent="0.25">
      <c r="D2187" s="1" t="s">
        <v>512</v>
      </c>
      <c r="E2187" s="21" t="s">
        <v>512</v>
      </c>
      <c r="F2187" s="1" t="s">
        <v>512</v>
      </c>
      <c r="G2187" s="1" t="s">
        <v>512</v>
      </c>
      <c r="H2187" s="1" t="s">
        <v>512</v>
      </c>
      <c r="I2187" s="1" t="s">
        <v>512</v>
      </c>
      <c r="J2187" s="1" t="s">
        <v>512</v>
      </c>
      <c r="K2187" s="1" t="s">
        <v>512</v>
      </c>
      <c r="L2187" s="1" t="s">
        <v>512</v>
      </c>
      <c r="M2187" s="1" t="s">
        <v>512</v>
      </c>
      <c r="N2187" s="1" t="s">
        <v>512</v>
      </c>
      <c r="O2187" s="1" t="s">
        <v>512</v>
      </c>
      <c r="Q2187" s="1" t="s">
        <v>512</v>
      </c>
    </row>
    <row r="2188" spans="4:17" x14ac:dyDescent="0.25">
      <c r="D2188" s="1" t="s">
        <v>512</v>
      </c>
      <c r="E2188" s="21" t="s">
        <v>512</v>
      </c>
      <c r="F2188" s="1" t="s">
        <v>512</v>
      </c>
      <c r="G2188" s="1" t="s">
        <v>512</v>
      </c>
      <c r="H2188" s="1" t="s">
        <v>512</v>
      </c>
      <c r="I2188" s="1" t="s">
        <v>512</v>
      </c>
      <c r="J2188" s="1" t="s">
        <v>512</v>
      </c>
      <c r="K2188" s="1" t="s">
        <v>512</v>
      </c>
      <c r="L2188" s="1" t="s">
        <v>512</v>
      </c>
      <c r="M2188" s="1" t="s">
        <v>512</v>
      </c>
      <c r="N2188" s="1" t="s">
        <v>512</v>
      </c>
      <c r="O2188" s="1" t="s">
        <v>512</v>
      </c>
      <c r="Q2188" s="1" t="s">
        <v>512</v>
      </c>
    </row>
    <row r="2189" spans="4:17" x14ac:dyDescent="0.25">
      <c r="D2189" s="1" t="s">
        <v>512</v>
      </c>
      <c r="E2189" s="21" t="s">
        <v>512</v>
      </c>
      <c r="F2189" s="1" t="s">
        <v>512</v>
      </c>
      <c r="G2189" s="1" t="s">
        <v>512</v>
      </c>
      <c r="H2189" s="1" t="s">
        <v>512</v>
      </c>
      <c r="I2189" s="1" t="s">
        <v>512</v>
      </c>
      <c r="J2189" s="1" t="s">
        <v>512</v>
      </c>
      <c r="K2189" s="1" t="s">
        <v>512</v>
      </c>
      <c r="L2189" s="1" t="s">
        <v>512</v>
      </c>
      <c r="M2189" s="1" t="s">
        <v>512</v>
      </c>
      <c r="N2189" s="1" t="s">
        <v>512</v>
      </c>
      <c r="O2189" s="1" t="s">
        <v>512</v>
      </c>
      <c r="Q2189" s="1" t="s">
        <v>512</v>
      </c>
    </row>
    <row r="2190" spans="4:17" x14ac:dyDescent="0.25">
      <c r="D2190" s="1" t="s">
        <v>512</v>
      </c>
      <c r="E2190" s="21" t="s">
        <v>512</v>
      </c>
      <c r="F2190" s="1" t="s">
        <v>512</v>
      </c>
      <c r="G2190" s="1" t="s">
        <v>512</v>
      </c>
      <c r="H2190" s="1" t="s">
        <v>512</v>
      </c>
      <c r="I2190" s="1" t="s">
        <v>512</v>
      </c>
      <c r="J2190" s="1" t="s">
        <v>512</v>
      </c>
      <c r="K2190" s="1" t="s">
        <v>512</v>
      </c>
      <c r="L2190" s="1" t="s">
        <v>512</v>
      </c>
      <c r="M2190" s="1" t="s">
        <v>512</v>
      </c>
      <c r="N2190" s="1" t="s">
        <v>512</v>
      </c>
      <c r="O2190" s="1" t="s">
        <v>512</v>
      </c>
      <c r="Q2190" s="1" t="s">
        <v>512</v>
      </c>
    </row>
    <row r="2191" spans="4:17" x14ac:dyDescent="0.25">
      <c r="D2191" s="1" t="s">
        <v>512</v>
      </c>
      <c r="E2191" s="21" t="s">
        <v>512</v>
      </c>
      <c r="F2191" s="1" t="s">
        <v>512</v>
      </c>
      <c r="G2191" s="1" t="s">
        <v>512</v>
      </c>
      <c r="H2191" s="1" t="s">
        <v>512</v>
      </c>
      <c r="I2191" s="1" t="s">
        <v>512</v>
      </c>
      <c r="J2191" s="1" t="s">
        <v>512</v>
      </c>
      <c r="K2191" s="1" t="s">
        <v>512</v>
      </c>
      <c r="L2191" s="1" t="s">
        <v>512</v>
      </c>
      <c r="M2191" s="1" t="s">
        <v>512</v>
      </c>
      <c r="N2191" s="1" t="s">
        <v>512</v>
      </c>
      <c r="O2191" s="1" t="s">
        <v>512</v>
      </c>
      <c r="Q2191" s="1" t="s">
        <v>512</v>
      </c>
    </row>
    <row r="2192" spans="4:17" x14ac:dyDescent="0.25">
      <c r="D2192" s="1" t="s">
        <v>512</v>
      </c>
      <c r="E2192" s="21" t="s">
        <v>512</v>
      </c>
      <c r="F2192" s="1" t="s">
        <v>512</v>
      </c>
      <c r="G2192" s="1" t="s">
        <v>512</v>
      </c>
      <c r="H2192" s="1" t="s">
        <v>512</v>
      </c>
      <c r="I2192" s="1" t="s">
        <v>512</v>
      </c>
      <c r="J2192" s="1" t="s">
        <v>512</v>
      </c>
      <c r="K2192" s="1" t="s">
        <v>512</v>
      </c>
      <c r="L2192" s="1" t="s">
        <v>512</v>
      </c>
      <c r="M2192" s="1" t="s">
        <v>512</v>
      </c>
      <c r="N2192" s="1" t="s">
        <v>512</v>
      </c>
      <c r="O2192" s="1" t="s">
        <v>512</v>
      </c>
      <c r="Q2192" s="1" t="s">
        <v>512</v>
      </c>
    </row>
    <row r="2193" spans="4:17" x14ac:dyDescent="0.25">
      <c r="D2193" s="1" t="s">
        <v>512</v>
      </c>
      <c r="E2193" s="21" t="s">
        <v>512</v>
      </c>
      <c r="F2193" s="1" t="s">
        <v>512</v>
      </c>
      <c r="G2193" s="1" t="s">
        <v>512</v>
      </c>
      <c r="H2193" s="1" t="s">
        <v>512</v>
      </c>
      <c r="I2193" s="1" t="s">
        <v>512</v>
      </c>
      <c r="J2193" s="1" t="s">
        <v>512</v>
      </c>
      <c r="K2193" s="1" t="s">
        <v>512</v>
      </c>
      <c r="L2193" s="1" t="s">
        <v>512</v>
      </c>
      <c r="M2193" s="1" t="s">
        <v>512</v>
      </c>
      <c r="N2193" s="1" t="s">
        <v>512</v>
      </c>
      <c r="O2193" s="1" t="s">
        <v>512</v>
      </c>
      <c r="Q2193" s="1" t="s">
        <v>512</v>
      </c>
    </row>
    <row r="2194" spans="4:17" x14ac:dyDescent="0.25">
      <c r="D2194" s="1" t="s">
        <v>512</v>
      </c>
      <c r="E2194" s="21" t="s">
        <v>512</v>
      </c>
      <c r="F2194" s="1" t="s">
        <v>512</v>
      </c>
      <c r="G2194" s="1" t="s">
        <v>512</v>
      </c>
      <c r="H2194" s="1" t="s">
        <v>512</v>
      </c>
      <c r="I2194" s="1" t="s">
        <v>512</v>
      </c>
      <c r="J2194" s="1" t="s">
        <v>512</v>
      </c>
      <c r="K2194" s="1" t="s">
        <v>512</v>
      </c>
      <c r="L2194" s="1" t="s">
        <v>512</v>
      </c>
      <c r="M2194" s="1" t="s">
        <v>512</v>
      </c>
      <c r="N2194" s="1" t="s">
        <v>512</v>
      </c>
      <c r="O2194" s="1" t="s">
        <v>512</v>
      </c>
      <c r="Q2194" s="1" t="s">
        <v>512</v>
      </c>
    </row>
    <row r="2195" spans="4:17" x14ac:dyDescent="0.25">
      <c r="D2195" s="1" t="s">
        <v>512</v>
      </c>
      <c r="E2195" s="21" t="s">
        <v>512</v>
      </c>
      <c r="F2195" s="1" t="s">
        <v>512</v>
      </c>
      <c r="G2195" s="1" t="s">
        <v>512</v>
      </c>
      <c r="H2195" s="1" t="s">
        <v>512</v>
      </c>
      <c r="I2195" s="1" t="s">
        <v>512</v>
      </c>
      <c r="J2195" s="1" t="s">
        <v>512</v>
      </c>
      <c r="K2195" s="1" t="s">
        <v>512</v>
      </c>
      <c r="L2195" s="1" t="s">
        <v>512</v>
      </c>
      <c r="M2195" s="1" t="s">
        <v>512</v>
      </c>
      <c r="N2195" s="1" t="s">
        <v>512</v>
      </c>
      <c r="O2195" s="1" t="s">
        <v>512</v>
      </c>
      <c r="Q2195" s="1" t="s">
        <v>512</v>
      </c>
    </row>
    <row r="2196" spans="4:17" x14ac:dyDescent="0.25">
      <c r="D2196" s="1" t="s">
        <v>512</v>
      </c>
      <c r="E2196" s="21" t="s">
        <v>512</v>
      </c>
      <c r="F2196" s="1" t="s">
        <v>512</v>
      </c>
      <c r="G2196" s="1" t="s">
        <v>512</v>
      </c>
      <c r="H2196" s="1" t="s">
        <v>512</v>
      </c>
      <c r="I2196" s="1" t="s">
        <v>512</v>
      </c>
      <c r="J2196" s="1" t="s">
        <v>512</v>
      </c>
      <c r="K2196" s="1" t="s">
        <v>512</v>
      </c>
      <c r="L2196" s="1" t="s">
        <v>512</v>
      </c>
      <c r="M2196" s="1" t="s">
        <v>512</v>
      </c>
      <c r="N2196" s="1" t="s">
        <v>512</v>
      </c>
      <c r="O2196" s="1" t="s">
        <v>512</v>
      </c>
      <c r="Q2196" s="1" t="s">
        <v>512</v>
      </c>
    </row>
    <row r="2197" spans="4:17" x14ac:dyDescent="0.25">
      <c r="D2197" s="1" t="s">
        <v>512</v>
      </c>
      <c r="E2197" s="21" t="s">
        <v>512</v>
      </c>
      <c r="F2197" s="1" t="s">
        <v>512</v>
      </c>
      <c r="G2197" s="1" t="s">
        <v>512</v>
      </c>
      <c r="H2197" s="1" t="s">
        <v>512</v>
      </c>
      <c r="I2197" s="1" t="s">
        <v>512</v>
      </c>
      <c r="J2197" s="1" t="s">
        <v>512</v>
      </c>
      <c r="K2197" s="1" t="s">
        <v>512</v>
      </c>
      <c r="L2197" s="1" t="s">
        <v>512</v>
      </c>
      <c r="M2197" s="1" t="s">
        <v>512</v>
      </c>
      <c r="N2197" s="1" t="s">
        <v>512</v>
      </c>
      <c r="O2197" s="1" t="s">
        <v>512</v>
      </c>
      <c r="Q2197" s="1" t="s">
        <v>512</v>
      </c>
    </row>
    <row r="2198" spans="4:17" x14ac:dyDescent="0.25">
      <c r="D2198" s="1" t="s">
        <v>512</v>
      </c>
      <c r="E2198" s="21" t="s">
        <v>512</v>
      </c>
      <c r="F2198" s="1" t="s">
        <v>512</v>
      </c>
      <c r="G2198" s="1" t="s">
        <v>512</v>
      </c>
      <c r="H2198" s="1" t="s">
        <v>512</v>
      </c>
      <c r="I2198" s="1" t="s">
        <v>512</v>
      </c>
      <c r="J2198" s="1" t="s">
        <v>512</v>
      </c>
      <c r="K2198" s="1" t="s">
        <v>512</v>
      </c>
      <c r="L2198" s="1" t="s">
        <v>512</v>
      </c>
      <c r="M2198" s="1" t="s">
        <v>512</v>
      </c>
      <c r="N2198" s="1" t="s">
        <v>512</v>
      </c>
      <c r="O2198" s="1" t="s">
        <v>512</v>
      </c>
      <c r="Q2198" s="1" t="s">
        <v>512</v>
      </c>
    </row>
    <row r="2199" spans="4:17" x14ac:dyDescent="0.25">
      <c r="D2199" s="1" t="s">
        <v>512</v>
      </c>
      <c r="E2199" s="21" t="s">
        <v>512</v>
      </c>
      <c r="F2199" s="1" t="s">
        <v>512</v>
      </c>
      <c r="G2199" s="1" t="s">
        <v>512</v>
      </c>
      <c r="H2199" s="1" t="s">
        <v>512</v>
      </c>
      <c r="I2199" s="1" t="s">
        <v>512</v>
      </c>
      <c r="J2199" s="1" t="s">
        <v>512</v>
      </c>
      <c r="K2199" s="1" t="s">
        <v>512</v>
      </c>
      <c r="L2199" s="1" t="s">
        <v>512</v>
      </c>
      <c r="M2199" s="1" t="s">
        <v>512</v>
      </c>
      <c r="N2199" s="1" t="s">
        <v>512</v>
      </c>
      <c r="O2199" s="1" t="s">
        <v>512</v>
      </c>
      <c r="Q2199" s="1" t="s">
        <v>512</v>
      </c>
    </row>
    <row r="2200" spans="4:17" x14ac:dyDescent="0.25">
      <c r="D2200" s="1" t="s">
        <v>512</v>
      </c>
      <c r="E2200" s="21" t="s">
        <v>512</v>
      </c>
      <c r="F2200" s="1" t="s">
        <v>512</v>
      </c>
      <c r="G2200" s="1" t="s">
        <v>512</v>
      </c>
      <c r="H2200" s="1" t="s">
        <v>512</v>
      </c>
      <c r="I2200" s="1" t="s">
        <v>512</v>
      </c>
      <c r="J2200" s="1" t="s">
        <v>512</v>
      </c>
      <c r="K2200" s="1" t="s">
        <v>512</v>
      </c>
      <c r="L2200" s="1" t="s">
        <v>512</v>
      </c>
      <c r="M2200" s="1" t="s">
        <v>512</v>
      </c>
      <c r="N2200" s="1" t="s">
        <v>512</v>
      </c>
      <c r="O2200" s="1" t="s">
        <v>512</v>
      </c>
      <c r="Q2200" s="1" t="s">
        <v>512</v>
      </c>
    </row>
    <row r="2201" spans="4:17" x14ac:dyDescent="0.25">
      <c r="D2201" s="1" t="s">
        <v>512</v>
      </c>
      <c r="E2201" s="21" t="s">
        <v>512</v>
      </c>
      <c r="F2201" s="1" t="s">
        <v>512</v>
      </c>
      <c r="G2201" s="1" t="s">
        <v>512</v>
      </c>
      <c r="H2201" s="1" t="s">
        <v>512</v>
      </c>
      <c r="I2201" s="1" t="s">
        <v>512</v>
      </c>
      <c r="J2201" s="1" t="s">
        <v>512</v>
      </c>
      <c r="K2201" s="1" t="s">
        <v>512</v>
      </c>
      <c r="L2201" s="1" t="s">
        <v>512</v>
      </c>
      <c r="M2201" s="1" t="s">
        <v>512</v>
      </c>
      <c r="N2201" s="1" t="s">
        <v>512</v>
      </c>
      <c r="O2201" s="1" t="s">
        <v>512</v>
      </c>
      <c r="Q2201" s="1" t="s">
        <v>512</v>
      </c>
    </row>
    <row r="2202" spans="4:17" x14ac:dyDescent="0.25">
      <c r="D2202" s="1" t="s">
        <v>512</v>
      </c>
      <c r="E2202" s="21" t="s">
        <v>512</v>
      </c>
      <c r="F2202" s="1" t="s">
        <v>512</v>
      </c>
      <c r="G2202" s="1" t="s">
        <v>512</v>
      </c>
      <c r="H2202" s="1" t="s">
        <v>512</v>
      </c>
      <c r="I2202" s="1" t="s">
        <v>512</v>
      </c>
      <c r="J2202" s="1" t="s">
        <v>512</v>
      </c>
      <c r="K2202" s="1" t="s">
        <v>512</v>
      </c>
      <c r="L2202" s="1" t="s">
        <v>512</v>
      </c>
      <c r="M2202" s="1" t="s">
        <v>512</v>
      </c>
      <c r="N2202" s="1" t="s">
        <v>512</v>
      </c>
      <c r="O2202" s="1" t="s">
        <v>512</v>
      </c>
      <c r="Q2202" s="1" t="s">
        <v>512</v>
      </c>
    </row>
    <row r="2203" spans="4:17" x14ac:dyDescent="0.25">
      <c r="D2203" s="1" t="s">
        <v>512</v>
      </c>
      <c r="E2203" s="21" t="s">
        <v>512</v>
      </c>
      <c r="F2203" s="1" t="s">
        <v>512</v>
      </c>
      <c r="G2203" s="1" t="s">
        <v>512</v>
      </c>
      <c r="H2203" s="1" t="s">
        <v>512</v>
      </c>
      <c r="I2203" s="1" t="s">
        <v>512</v>
      </c>
      <c r="J2203" s="1" t="s">
        <v>512</v>
      </c>
      <c r="K2203" s="1" t="s">
        <v>512</v>
      </c>
      <c r="L2203" s="1" t="s">
        <v>512</v>
      </c>
      <c r="M2203" s="1" t="s">
        <v>512</v>
      </c>
      <c r="N2203" s="1" t="s">
        <v>512</v>
      </c>
      <c r="O2203" s="1" t="s">
        <v>512</v>
      </c>
      <c r="Q2203" s="1" t="s">
        <v>512</v>
      </c>
    </row>
    <row r="2204" spans="4:17" x14ac:dyDescent="0.25">
      <c r="D2204" s="1" t="s">
        <v>512</v>
      </c>
      <c r="E2204" s="21" t="s">
        <v>512</v>
      </c>
      <c r="F2204" s="1" t="s">
        <v>512</v>
      </c>
      <c r="G2204" s="1" t="s">
        <v>512</v>
      </c>
      <c r="H2204" s="1" t="s">
        <v>512</v>
      </c>
      <c r="I2204" s="1" t="s">
        <v>512</v>
      </c>
      <c r="J2204" s="1" t="s">
        <v>512</v>
      </c>
      <c r="K2204" s="1" t="s">
        <v>512</v>
      </c>
      <c r="L2204" s="1" t="s">
        <v>512</v>
      </c>
      <c r="M2204" s="1" t="s">
        <v>512</v>
      </c>
      <c r="N2204" s="1" t="s">
        <v>512</v>
      </c>
      <c r="O2204" s="1" t="s">
        <v>512</v>
      </c>
      <c r="Q2204" s="1" t="s">
        <v>512</v>
      </c>
    </row>
    <row r="2205" spans="4:17" x14ac:dyDescent="0.25">
      <c r="D2205" s="1" t="s">
        <v>512</v>
      </c>
      <c r="E2205" s="21" t="s">
        <v>512</v>
      </c>
      <c r="F2205" s="1" t="s">
        <v>512</v>
      </c>
      <c r="G2205" s="1" t="s">
        <v>512</v>
      </c>
      <c r="H2205" s="1" t="s">
        <v>512</v>
      </c>
      <c r="I2205" s="1" t="s">
        <v>512</v>
      </c>
      <c r="J2205" s="1" t="s">
        <v>512</v>
      </c>
      <c r="K2205" s="1" t="s">
        <v>512</v>
      </c>
      <c r="L2205" s="1" t="s">
        <v>512</v>
      </c>
      <c r="M2205" s="1" t="s">
        <v>512</v>
      </c>
      <c r="N2205" s="1" t="s">
        <v>512</v>
      </c>
      <c r="O2205" s="1" t="s">
        <v>512</v>
      </c>
      <c r="Q2205" s="1" t="s">
        <v>512</v>
      </c>
    </row>
    <row r="2206" spans="4:17" x14ac:dyDescent="0.25">
      <c r="D2206" s="1" t="s">
        <v>512</v>
      </c>
      <c r="E2206" s="21" t="s">
        <v>512</v>
      </c>
      <c r="F2206" s="1" t="s">
        <v>512</v>
      </c>
      <c r="G2206" s="1" t="s">
        <v>512</v>
      </c>
      <c r="H2206" s="1" t="s">
        <v>512</v>
      </c>
      <c r="I2206" s="1" t="s">
        <v>512</v>
      </c>
      <c r="J2206" s="1" t="s">
        <v>512</v>
      </c>
      <c r="K2206" s="1" t="s">
        <v>512</v>
      </c>
      <c r="L2206" s="1" t="s">
        <v>512</v>
      </c>
      <c r="M2206" s="1" t="s">
        <v>512</v>
      </c>
      <c r="N2206" s="1" t="s">
        <v>512</v>
      </c>
      <c r="O2206" s="1" t="s">
        <v>512</v>
      </c>
      <c r="Q2206" s="1" t="s">
        <v>512</v>
      </c>
    </row>
    <row r="2207" spans="4:17" x14ac:dyDescent="0.25">
      <c r="D2207" s="1" t="s">
        <v>512</v>
      </c>
      <c r="E2207" s="21" t="s">
        <v>512</v>
      </c>
      <c r="F2207" s="1" t="s">
        <v>512</v>
      </c>
      <c r="G2207" s="1" t="s">
        <v>512</v>
      </c>
      <c r="H2207" s="1" t="s">
        <v>512</v>
      </c>
      <c r="I2207" s="1" t="s">
        <v>512</v>
      </c>
      <c r="J2207" s="1" t="s">
        <v>512</v>
      </c>
      <c r="K2207" s="1" t="s">
        <v>512</v>
      </c>
      <c r="L2207" s="1" t="s">
        <v>512</v>
      </c>
      <c r="M2207" s="1" t="s">
        <v>512</v>
      </c>
      <c r="N2207" s="1" t="s">
        <v>512</v>
      </c>
      <c r="O2207" s="1" t="s">
        <v>512</v>
      </c>
      <c r="Q2207" s="1" t="s">
        <v>512</v>
      </c>
    </row>
    <row r="2208" spans="4:17" x14ac:dyDescent="0.25">
      <c r="D2208" s="1" t="s">
        <v>512</v>
      </c>
      <c r="E2208" s="21" t="s">
        <v>512</v>
      </c>
      <c r="F2208" s="1" t="s">
        <v>512</v>
      </c>
      <c r="G2208" s="1" t="s">
        <v>512</v>
      </c>
      <c r="H2208" s="1" t="s">
        <v>512</v>
      </c>
      <c r="I2208" s="1" t="s">
        <v>512</v>
      </c>
      <c r="J2208" s="1" t="s">
        <v>512</v>
      </c>
      <c r="K2208" s="1" t="s">
        <v>512</v>
      </c>
      <c r="L2208" s="1" t="s">
        <v>512</v>
      </c>
      <c r="M2208" s="1" t="s">
        <v>512</v>
      </c>
      <c r="N2208" s="1" t="s">
        <v>512</v>
      </c>
      <c r="O2208" s="1" t="s">
        <v>512</v>
      </c>
      <c r="Q2208" s="1" t="s">
        <v>512</v>
      </c>
    </row>
    <row r="2209" spans="4:17" x14ac:dyDescent="0.25">
      <c r="D2209" s="1" t="s">
        <v>512</v>
      </c>
      <c r="E2209" s="21" t="s">
        <v>512</v>
      </c>
      <c r="F2209" s="1" t="s">
        <v>512</v>
      </c>
      <c r="G2209" s="1" t="s">
        <v>512</v>
      </c>
      <c r="H2209" s="1" t="s">
        <v>512</v>
      </c>
      <c r="I2209" s="1" t="s">
        <v>512</v>
      </c>
      <c r="J2209" s="1" t="s">
        <v>512</v>
      </c>
      <c r="K2209" s="1" t="s">
        <v>512</v>
      </c>
      <c r="L2209" s="1" t="s">
        <v>512</v>
      </c>
      <c r="M2209" s="1" t="s">
        <v>512</v>
      </c>
      <c r="N2209" s="1" t="s">
        <v>512</v>
      </c>
      <c r="O2209" s="1" t="s">
        <v>512</v>
      </c>
      <c r="Q2209" s="1" t="s">
        <v>512</v>
      </c>
    </row>
    <row r="2210" spans="4:17" x14ac:dyDescent="0.25">
      <c r="D2210" s="1" t="s">
        <v>512</v>
      </c>
      <c r="E2210" s="21" t="s">
        <v>512</v>
      </c>
      <c r="F2210" s="1" t="s">
        <v>512</v>
      </c>
      <c r="G2210" s="1" t="s">
        <v>512</v>
      </c>
      <c r="H2210" s="1" t="s">
        <v>512</v>
      </c>
      <c r="I2210" s="1" t="s">
        <v>512</v>
      </c>
      <c r="J2210" s="1" t="s">
        <v>512</v>
      </c>
      <c r="K2210" s="1" t="s">
        <v>512</v>
      </c>
      <c r="L2210" s="1" t="s">
        <v>512</v>
      </c>
      <c r="M2210" s="1" t="s">
        <v>512</v>
      </c>
      <c r="N2210" s="1" t="s">
        <v>512</v>
      </c>
      <c r="O2210" s="1" t="s">
        <v>512</v>
      </c>
      <c r="Q2210" s="1" t="s">
        <v>512</v>
      </c>
    </row>
    <row r="2211" spans="4:17" x14ac:dyDescent="0.25">
      <c r="D2211" s="1" t="s">
        <v>512</v>
      </c>
      <c r="E2211" s="21" t="s">
        <v>512</v>
      </c>
      <c r="F2211" s="1" t="s">
        <v>512</v>
      </c>
      <c r="G2211" s="1" t="s">
        <v>512</v>
      </c>
      <c r="H2211" s="1" t="s">
        <v>512</v>
      </c>
      <c r="I2211" s="1" t="s">
        <v>512</v>
      </c>
      <c r="J2211" s="1" t="s">
        <v>512</v>
      </c>
      <c r="K2211" s="1" t="s">
        <v>512</v>
      </c>
      <c r="L2211" s="1" t="s">
        <v>512</v>
      </c>
      <c r="M2211" s="1" t="s">
        <v>512</v>
      </c>
      <c r="N2211" s="1" t="s">
        <v>512</v>
      </c>
      <c r="O2211" s="1" t="s">
        <v>512</v>
      </c>
      <c r="Q2211" s="1" t="s">
        <v>512</v>
      </c>
    </row>
    <row r="2212" spans="4:17" x14ac:dyDescent="0.25">
      <c r="D2212" s="1" t="s">
        <v>512</v>
      </c>
      <c r="E2212" s="21" t="s">
        <v>512</v>
      </c>
      <c r="F2212" s="1" t="s">
        <v>512</v>
      </c>
      <c r="G2212" s="1" t="s">
        <v>512</v>
      </c>
      <c r="H2212" s="1" t="s">
        <v>512</v>
      </c>
      <c r="I2212" s="1" t="s">
        <v>512</v>
      </c>
      <c r="J2212" s="1" t="s">
        <v>512</v>
      </c>
      <c r="K2212" s="1" t="s">
        <v>512</v>
      </c>
      <c r="L2212" s="1" t="s">
        <v>512</v>
      </c>
      <c r="M2212" s="1" t="s">
        <v>512</v>
      </c>
      <c r="N2212" s="1" t="s">
        <v>512</v>
      </c>
      <c r="O2212" s="1" t="s">
        <v>512</v>
      </c>
      <c r="Q2212" s="1" t="s">
        <v>512</v>
      </c>
    </row>
    <row r="2213" spans="4:17" x14ac:dyDescent="0.25">
      <c r="D2213" s="1" t="s">
        <v>512</v>
      </c>
      <c r="E2213" s="21" t="s">
        <v>512</v>
      </c>
      <c r="F2213" s="1" t="s">
        <v>512</v>
      </c>
      <c r="G2213" s="1" t="s">
        <v>512</v>
      </c>
      <c r="H2213" s="1" t="s">
        <v>512</v>
      </c>
      <c r="I2213" s="1" t="s">
        <v>512</v>
      </c>
      <c r="J2213" s="1" t="s">
        <v>512</v>
      </c>
      <c r="K2213" s="1" t="s">
        <v>512</v>
      </c>
      <c r="L2213" s="1" t="s">
        <v>512</v>
      </c>
      <c r="M2213" s="1" t="s">
        <v>512</v>
      </c>
      <c r="N2213" s="1" t="s">
        <v>512</v>
      </c>
      <c r="O2213" s="1" t="s">
        <v>512</v>
      </c>
      <c r="Q2213" s="1" t="s">
        <v>512</v>
      </c>
    </row>
    <row r="2214" spans="4:17" x14ac:dyDescent="0.25">
      <c r="D2214" s="1" t="s">
        <v>512</v>
      </c>
      <c r="E2214" s="21" t="s">
        <v>512</v>
      </c>
      <c r="F2214" s="1" t="s">
        <v>512</v>
      </c>
      <c r="G2214" s="1" t="s">
        <v>512</v>
      </c>
      <c r="H2214" s="1" t="s">
        <v>512</v>
      </c>
      <c r="I2214" s="1" t="s">
        <v>512</v>
      </c>
      <c r="J2214" s="1" t="s">
        <v>512</v>
      </c>
      <c r="K2214" s="1" t="s">
        <v>512</v>
      </c>
      <c r="L2214" s="1" t="s">
        <v>512</v>
      </c>
      <c r="M2214" s="1" t="s">
        <v>512</v>
      </c>
      <c r="N2214" s="1" t="s">
        <v>512</v>
      </c>
      <c r="O2214" s="1" t="s">
        <v>512</v>
      </c>
      <c r="Q2214" s="1" t="s">
        <v>512</v>
      </c>
    </row>
    <row r="2215" spans="4:17" x14ac:dyDescent="0.25">
      <c r="D2215" s="1" t="s">
        <v>512</v>
      </c>
      <c r="E2215" s="21" t="s">
        <v>512</v>
      </c>
      <c r="F2215" s="1" t="s">
        <v>512</v>
      </c>
      <c r="G2215" s="1" t="s">
        <v>512</v>
      </c>
      <c r="H2215" s="1" t="s">
        <v>512</v>
      </c>
      <c r="I2215" s="1" t="s">
        <v>512</v>
      </c>
      <c r="J2215" s="1" t="s">
        <v>512</v>
      </c>
      <c r="K2215" s="1" t="s">
        <v>512</v>
      </c>
      <c r="L2215" s="1" t="s">
        <v>512</v>
      </c>
      <c r="M2215" s="1" t="s">
        <v>512</v>
      </c>
      <c r="N2215" s="1" t="s">
        <v>512</v>
      </c>
      <c r="O2215" s="1" t="s">
        <v>512</v>
      </c>
      <c r="Q2215" s="1" t="s">
        <v>512</v>
      </c>
    </row>
    <row r="2216" spans="4:17" x14ac:dyDescent="0.25">
      <c r="D2216" s="1" t="s">
        <v>512</v>
      </c>
      <c r="E2216" s="21" t="s">
        <v>512</v>
      </c>
      <c r="F2216" s="1" t="s">
        <v>512</v>
      </c>
      <c r="G2216" s="1" t="s">
        <v>512</v>
      </c>
      <c r="H2216" s="1" t="s">
        <v>512</v>
      </c>
      <c r="I2216" s="1" t="s">
        <v>512</v>
      </c>
      <c r="J2216" s="1" t="s">
        <v>512</v>
      </c>
      <c r="K2216" s="1" t="s">
        <v>512</v>
      </c>
      <c r="L2216" s="1" t="s">
        <v>512</v>
      </c>
      <c r="M2216" s="1" t="s">
        <v>512</v>
      </c>
      <c r="N2216" s="1" t="s">
        <v>512</v>
      </c>
      <c r="O2216" s="1" t="s">
        <v>512</v>
      </c>
      <c r="Q2216" s="1" t="s">
        <v>512</v>
      </c>
    </row>
    <row r="2217" spans="4:17" x14ac:dyDescent="0.25">
      <c r="D2217" s="1" t="s">
        <v>512</v>
      </c>
      <c r="E2217" s="21" t="s">
        <v>512</v>
      </c>
      <c r="F2217" s="1" t="s">
        <v>512</v>
      </c>
      <c r="G2217" s="1" t="s">
        <v>512</v>
      </c>
      <c r="H2217" s="1" t="s">
        <v>512</v>
      </c>
      <c r="I2217" s="1" t="s">
        <v>512</v>
      </c>
      <c r="J2217" s="1" t="s">
        <v>512</v>
      </c>
      <c r="K2217" s="1" t="s">
        <v>512</v>
      </c>
      <c r="L2217" s="1" t="s">
        <v>512</v>
      </c>
      <c r="M2217" s="1" t="s">
        <v>512</v>
      </c>
      <c r="N2217" s="1" t="s">
        <v>512</v>
      </c>
      <c r="O2217" s="1" t="s">
        <v>512</v>
      </c>
      <c r="Q2217" s="1" t="s">
        <v>512</v>
      </c>
    </row>
    <row r="2218" spans="4:17" x14ac:dyDescent="0.25">
      <c r="D2218" s="1" t="s">
        <v>512</v>
      </c>
      <c r="E2218" s="21" t="s">
        <v>512</v>
      </c>
      <c r="F2218" s="1" t="s">
        <v>512</v>
      </c>
      <c r="G2218" s="1" t="s">
        <v>512</v>
      </c>
      <c r="H2218" s="1" t="s">
        <v>512</v>
      </c>
      <c r="I2218" s="1" t="s">
        <v>512</v>
      </c>
      <c r="J2218" s="1" t="s">
        <v>512</v>
      </c>
      <c r="K2218" s="1" t="s">
        <v>512</v>
      </c>
      <c r="L2218" s="1" t="s">
        <v>512</v>
      </c>
      <c r="M2218" s="1" t="s">
        <v>512</v>
      </c>
      <c r="N2218" s="1" t="s">
        <v>512</v>
      </c>
      <c r="O2218" s="1" t="s">
        <v>512</v>
      </c>
      <c r="Q2218" s="1" t="s">
        <v>512</v>
      </c>
    </row>
    <row r="2219" spans="4:17" x14ac:dyDescent="0.25">
      <c r="D2219" s="1" t="s">
        <v>512</v>
      </c>
      <c r="E2219" s="21" t="s">
        <v>512</v>
      </c>
      <c r="F2219" s="1" t="s">
        <v>512</v>
      </c>
      <c r="G2219" s="1" t="s">
        <v>512</v>
      </c>
      <c r="H2219" s="1" t="s">
        <v>512</v>
      </c>
      <c r="I2219" s="1" t="s">
        <v>512</v>
      </c>
      <c r="J2219" s="1" t="s">
        <v>512</v>
      </c>
      <c r="K2219" s="1" t="s">
        <v>512</v>
      </c>
      <c r="L2219" s="1" t="s">
        <v>512</v>
      </c>
      <c r="M2219" s="1" t="s">
        <v>512</v>
      </c>
      <c r="N2219" s="1" t="s">
        <v>512</v>
      </c>
      <c r="O2219" s="1" t="s">
        <v>512</v>
      </c>
      <c r="Q2219" s="1" t="s">
        <v>512</v>
      </c>
    </row>
    <row r="2220" spans="4:17" x14ac:dyDescent="0.25">
      <c r="D2220" s="1" t="s">
        <v>512</v>
      </c>
      <c r="E2220" s="21" t="s">
        <v>512</v>
      </c>
      <c r="F2220" s="1" t="s">
        <v>512</v>
      </c>
      <c r="G2220" s="1" t="s">
        <v>512</v>
      </c>
      <c r="H2220" s="1" t="s">
        <v>512</v>
      </c>
      <c r="I2220" s="1" t="s">
        <v>512</v>
      </c>
      <c r="J2220" s="1" t="s">
        <v>512</v>
      </c>
      <c r="K2220" s="1" t="s">
        <v>512</v>
      </c>
      <c r="L2220" s="1" t="s">
        <v>512</v>
      </c>
      <c r="M2220" s="1" t="s">
        <v>512</v>
      </c>
      <c r="N2220" s="1" t="s">
        <v>512</v>
      </c>
      <c r="O2220" s="1" t="s">
        <v>512</v>
      </c>
      <c r="Q2220" s="1" t="s">
        <v>512</v>
      </c>
    </row>
    <row r="2221" spans="4:17" x14ac:dyDescent="0.25">
      <c r="D2221" s="1" t="s">
        <v>512</v>
      </c>
      <c r="E2221" s="21" t="s">
        <v>512</v>
      </c>
      <c r="F2221" s="1" t="s">
        <v>512</v>
      </c>
      <c r="G2221" s="1" t="s">
        <v>512</v>
      </c>
      <c r="H2221" s="1" t="s">
        <v>512</v>
      </c>
      <c r="I2221" s="1" t="s">
        <v>512</v>
      </c>
      <c r="J2221" s="1" t="s">
        <v>512</v>
      </c>
      <c r="K2221" s="1" t="s">
        <v>512</v>
      </c>
      <c r="L2221" s="1" t="s">
        <v>512</v>
      </c>
      <c r="M2221" s="1" t="s">
        <v>512</v>
      </c>
      <c r="N2221" s="1" t="s">
        <v>512</v>
      </c>
      <c r="O2221" s="1" t="s">
        <v>512</v>
      </c>
      <c r="Q2221" s="1" t="s">
        <v>512</v>
      </c>
    </row>
    <row r="2222" spans="4:17" x14ac:dyDescent="0.25">
      <c r="D2222" s="1" t="s">
        <v>512</v>
      </c>
      <c r="E2222" s="21" t="s">
        <v>512</v>
      </c>
      <c r="F2222" s="1" t="s">
        <v>512</v>
      </c>
      <c r="G2222" s="1" t="s">
        <v>512</v>
      </c>
      <c r="H2222" s="1" t="s">
        <v>512</v>
      </c>
      <c r="I2222" s="1" t="s">
        <v>512</v>
      </c>
      <c r="J2222" s="1" t="s">
        <v>512</v>
      </c>
      <c r="K2222" s="1" t="s">
        <v>512</v>
      </c>
      <c r="L2222" s="1" t="s">
        <v>512</v>
      </c>
      <c r="M2222" s="1" t="s">
        <v>512</v>
      </c>
      <c r="N2222" s="1" t="s">
        <v>512</v>
      </c>
      <c r="O2222" s="1" t="s">
        <v>512</v>
      </c>
      <c r="Q2222" s="1" t="s">
        <v>512</v>
      </c>
    </row>
    <row r="2223" spans="4:17" x14ac:dyDescent="0.25">
      <c r="D2223" s="1" t="s">
        <v>512</v>
      </c>
      <c r="E2223" s="21" t="s">
        <v>512</v>
      </c>
      <c r="F2223" s="1" t="s">
        <v>512</v>
      </c>
      <c r="G2223" s="1" t="s">
        <v>512</v>
      </c>
      <c r="H2223" s="1" t="s">
        <v>512</v>
      </c>
      <c r="I2223" s="1" t="s">
        <v>512</v>
      </c>
      <c r="J2223" s="1" t="s">
        <v>512</v>
      </c>
      <c r="K2223" s="1" t="s">
        <v>512</v>
      </c>
      <c r="L2223" s="1" t="s">
        <v>512</v>
      </c>
      <c r="M2223" s="1" t="s">
        <v>512</v>
      </c>
      <c r="N2223" s="1" t="s">
        <v>512</v>
      </c>
      <c r="O2223" s="1" t="s">
        <v>512</v>
      </c>
      <c r="Q2223" s="1" t="s">
        <v>512</v>
      </c>
    </row>
    <row r="2224" spans="4:17" x14ac:dyDescent="0.25">
      <c r="D2224" s="1" t="s">
        <v>512</v>
      </c>
      <c r="E2224" s="21" t="s">
        <v>512</v>
      </c>
      <c r="F2224" s="1" t="s">
        <v>512</v>
      </c>
      <c r="G2224" s="1" t="s">
        <v>512</v>
      </c>
      <c r="H2224" s="1" t="s">
        <v>512</v>
      </c>
      <c r="I2224" s="1" t="s">
        <v>512</v>
      </c>
      <c r="J2224" s="1" t="s">
        <v>512</v>
      </c>
      <c r="K2224" s="1" t="s">
        <v>512</v>
      </c>
      <c r="L2224" s="1" t="s">
        <v>512</v>
      </c>
      <c r="M2224" s="1" t="s">
        <v>512</v>
      </c>
      <c r="N2224" s="1" t="s">
        <v>512</v>
      </c>
      <c r="O2224" s="1" t="s">
        <v>512</v>
      </c>
      <c r="Q2224" s="1" t="s">
        <v>512</v>
      </c>
    </row>
    <row r="2225" spans="4:17" x14ac:dyDescent="0.25">
      <c r="D2225" s="1" t="s">
        <v>512</v>
      </c>
      <c r="E2225" s="21" t="s">
        <v>512</v>
      </c>
      <c r="F2225" s="1" t="s">
        <v>512</v>
      </c>
      <c r="G2225" s="1" t="s">
        <v>512</v>
      </c>
      <c r="H2225" s="1" t="s">
        <v>512</v>
      </c>
      <c r="I2225" s="1" t="s">
        <v>512</v>
      </c>
      <c r="J2225" s="1" t="s">
        <v>512</v>
      </c>
      <c r="K2225" s="1" t="s">
        <v>512</v>
      </c>
      <c r="L2225" s="1" t="s">
        <v>512</v>
      </c>
      <c r="M2225" s="1" t="s">
        <v>512</v>
      </c>
      <c r="N2225" s="1" t="s">
        <v>512</v>
      </c>
      <c r="O2225" s="1" t="s">
        <v>512</v>
      </c>
      <c r="Q2225" s="1" t="s">
        <v>512</v>
      </c>
    </row>
    <row r="2226" spans="4:17" x14ac:dyDescent="0.25">
      <c r="D2226" s="1" t="s">
        <v>512</v>
      </c>
      <c r="E2226" s="21" t="s">
        <v>512</v>
      </c>
      <c r="F2226" s="1" t="s">
        <v>512</v>
      </c>
      <c r="G2226" s="1" t="s">
        <v>512</v>
      </c>
      <c r="H2226" s="1" t="s">
        <v>512</v>
      </c>
      <c r="I2226" s="1" t="s">
        <v>512</v>
      </c>
      <c r="J2226" s="1" t="s">
        <v>512</v>
      </c>
      <c r="K2226" s="1" t="s">
        <v>512</v>
      </c>
      <c r="L2226" s="1" t="s">
        <v>512</v>
      </c>
      <c r="M2226" s="1" t="s">
        <v>512</v>
      </c>
      <c r="N2226" s="1" t="s">
        <v>512</v>
      </c>
      <c r="O2226" s="1" t="s">
        <v>512</v>
      </c>
      <c r="Q2226" s="1" t="s">
        <v>512</v>
      </c>
    </row>
    <row r="2227" spans="4:17" x14ac:dyDescent="0.25">
      <c r="D2227" s="1" t="s">
        <v>512</v>
      </c>
      <c r="E2227" s="21" t="s">
        <v>512</v>
      </c>
      <c r="F2227" s="1" t="s">
        <v>512</v>
      </c>
      <c r="G2227" s="1" t="s">
        <v>512</v>
      </c>
      <c r="H2227" s="1" t="s">
        <v>512</v>
      </c>
      <c r="I2227" s="1" t="s">
        <v>512</v>
      </c>
      <c r="J2227" s="1" t="s">
        <v>512</v>
      </c>
      <c r="K2227" s="1" t="s">
        <v>512</v>
      </c>
      <c r="L2227" s="1" t="s">
        <v>512</v>
      </c>
      <c r="M2227" s="1" t="s">
        <v>512</v>
      </c>
      <c r="N2227" s="1" t="s">
        <v>512</v>
      </c>
      <c r="O2227" s="1" t="s">
        <v>512</v>
      </c>
      <c r="Q2227" s="1" t="s">
        <v>512</v>
      </c>
    </row>
    <row r="2228" spans="4:17" x14ac:dyDescent="0.25">
      <c r="D2228" s="1" t="s">
        <v>512</v>
      </c>
      <c r="E2228" s="21" t="s">
        <v>512</v>
      </c>
      <c r="F2228" s="1" t="s">
        <v>512</v>
      </c>
      <c r="G2228" s="1" t="s">
        <v>512</v>
      </c>
      <c r="H2228" s="1" t="s">
        <v>512</v>
      </c>
      <c r="I2228" s="1" t="s">
        <v>512</v>
      </c>
      <c r="J2228" s="1" t="s">
        <v>512</v>
      </c>
      <c r="K2228" s="1" t="s">
        <v>512</v>
      </c>
      <c r="L2228" s="1" t="s">
        <v>512</v>
      </c>
      <c r="M2228" s="1" t="s">
        <v>512</v>
      </c>
      <c r="N2228" s="1" t="s">
        <v>512</v>
      </c>
      <c r="O2228" s="1" t="s">
        <v>512</v>
      </c>
      <c r="Q2228" s="1" t="s">
        <v>512</v>
      </c>
    </row>
    <row r="2229" spans="4:17" x14ac:dyDescent="0.25">
      <c r="D2229" s="1" t="s">
        <v>512</v>
      </c>
      <c r="E2229" s="21" t="s">
        <v>512</v>
      </c>
      <c r="F2229" s="1" t="s">
        <v>512</v>
      </c>
      <c r="G2229" s="1" t="s">
        <v>512</v>
      </c>
      <c r="H2229" s="1" t="s">
        <v>512</v>
      </c>
      <c r="I2229" s="1" t="s">
        <v>512</v>
      </c>
      <c r="J2229" s="1" t="s">
        <v>512</v>
      </c>
      <c r="K2229" s="1" t="s">
        <v>512</v>
      </c>
      <c r="L2229" s="1" t="s">
        <v>512</v>
      </c>
      <c r="M2229" s="1" t="s">
        <v>512</v>
      </c>
      <c r="N2229" s="1" t="s">
        <v>512</v>
      </c>
      <c r="O2229" s="1" t="s">
        <v>512</v>
      </c>
      <c r="Q2229" s="1" t="s">
        <v>512</v>
      </c>
    </row>
    <row r="2230" spans="4:17" x14ac:dyDescent="0.25">
      <c r="D2230" s="1" t="s">
        <v>512</v>
      </c>
      <c r="E2230" s="21" t="s">
        <v>512</v>
      </c>
      <c r="F2230" s="1" t="s">
        <v>512</v>
      </c>
      <c r="G2230" s="1" t="s">
        <v>512</v>
      </c>
      <c r="H2230" s="1" t="s">
        <v>512</v>
      </c>
      <c r="I2230" s="1" t="s">
        <v>512</v>
      </c>
      <c r="J2230" s="1" t="s">
        <v>512</v>
      </c>
      <c r="K2230" s="1" t="s">
        <v>512</v>
      </c>
      <c r="L2230" s="1" t="s">
        <v>512</v>
      </c>
      <c r="M2230" s="1" t="s">
        <v>512</v>
      </c>
      <c r="N2230" s="1" t="s">
        <v>512</v>
      </c>
      <c r="O2230" s="1" t="s">
        <v>512</v>
      </c>
      <c r="Q2230" s="1" t="s">
        <v>512</v>
      </c>
    </row>
    <row r="2231" spans="4:17" x14ac:dyDescent="0.25">
      <c r="D2231" s="1" t="s">
        <v>512</v>
      </c>
      <c r="E2231" s="21" t="s">
        <v>512</v>
      </c>
      <c r="F2231" s="1" t="s">
        <v>512</v>
      </c>
      <c r="G2231" s="1" t="s">
        <v>512</v>
      </c>
      <c r="H2231" s="1" t="s">
        <v>512</v>
      </c>
      <c r="I2231" s="1" t="s">
        <v>512</v>
      </c>
      <c r="J2231" s="1" t="s">
        <v>512</v>
      </c>
      <c r="K2231" s="1" t="s">
        <v>512</v>
      </c>
      <c r="L2231" s="1" t="s">
        <v>512</v>
      </c>
      <c r="M2231" s="1" t="s">
        <v>512</v>
      </c>
      <c r="N2231" s="1" t="s">
        <v>512</v>
      </c>
      <c r="O2231" s="1" t="s">
        <v>512</v>
      </c>
      <c r="Q2231" s="1" t="s">
        <v>512</v>
      </c>
    </row>
    <row r="2232" spans="4:17" x14ac:dyDescent="0.25">
      <c r="D2232" s="1" t="s">
        <v>512</v>
      </c>
      <c r="E2232" s="21" t="s">
        <v>512</v>
      </c>
      <c r="F2232" s="1" t="s">
        <v>512</v>
      </c>
      <c r="G2232" s="1" t="s">
        <v>512</v>
      </c>
      <c r="H2232" s="1" t="s">
        <v>512</v>
      </c>
      <c r="I2232" s="1" t="s">
        <v>512</v>
      </c>
      <c r="J2232" s="1" t="s">
        <v>512</v>
      </c>
      <c r="K2232" s="1" t="s">
        <v>512</v>
      </c>
      <c r="L2232" s="1" t="s">
        <v>512</v>
      </c>
      <c r="M2232" s="1" t="s">
        <v>512</v>
      </c>
      <c r="N2232" s="1" t="s">
        <v>512</v>
      </c>
      <c r="O2232" s="1" t="s">
        <v>512</v>
      </c>
      <c r="Q2232" s="1" t="s">
        <v>512</v>
      </c>
    </row>
    <row r="2233" spans="4:17" x14ac:dyDescent="0.25">
      <c r="D2233" s="1" t="s">
        <v>512</v>
      </c>
      <c r="E2233" s="21" t="s">
        <v>512</v>
      </c>
      <c r="F2233" s="1" t="s">
        <v>512</v>
      </c>
      <c r="G2233" s="1" t="s">
        <v>512</v>
      </c>
      <c r="H2233" s="1" t="s">
        <v>512</v>
      </c>
      <c r="I2233" s="1" t="s">
        <v>512</v>
      </c>
      <c r="J2233" s="1" t="s">
        <v>512</v>
      </c>
      <c r="K2233" s="1" t="s">
        <v>512</v>
      </c>
      <c r="L2233" s="1" t="s">
        <v>512</v>
      </c>
      <c r="M2233" s="1" t="s">
        <v>512</v>
      </c>
      <c r="N2233" s="1" t="s">
        <v>512</v>
      </c>
      <c r="O2233" s="1" t="s">
        <v>512</v>
      </c>
      <c r="Q2233" s="1" t="s">
        <v>512</v>
      </c>
    </row>
    <row r="2234" spans="4:17" x14ac:dyDescent="0.25">
      <c r="D2234" s="1" t="s">
        <v>512</v>
      </c>
      <c r="E2234" s="21" t="s">
        <v>512</v>
      </c>
      <c r="F2234" s="1" t="s">
        <v>512</v>
      </c>
      <c r="G2234" s="1" t="s">
        <v>512</v>
      </c>
      <c r="H2234" s="1" t="s">
        <v>512</v>
      </c>
      <c r="I2234" s="1" t="s">
        <v>512</v>
      </c>
      <c r="J2234" s="1" t="s">
        <v>512</v>
      </c>
      <c r="K2234" s="1" t="s">
        <v>512</v>
      </c>
      <c r="L2234" s="1" t="s">
        <v>512</v>
      </c>
      <c r="M2234" s="1" t="s">
        <v>512</v>
      </c>
      <c r="N2234" s="1" t="s">
        <v>512</v>
      </c>
      <c r="O2234" s="1" t="s">
        <v>512</v>
      </c>
      <c r="Q2234" s="1" t="s">
        <v>512</v>
      </c>
    </row>
    <row r="2235" spans="4:17" x14ac:dyDescent="0.25">
      <c r="D2235" s="1" t="s">
        <v>512</v>
      </c>
      <c r="E2235" s="21" t="s">
        <v>512</v>
      </c>
      <c r="F2235" s="1" t="s">
        <v>512</v>
      </c>
      <c r="G2235" s="1" t="s">
        <v>512</v>
      </c>
      <c r="H2235" s="1" t="s">
        <v>512</v>
      </c>
      <c r="I2235" s="1" t="s">
        <v>512</v>
      </c>
      <c r="J2235" s="1" t="s">
        <v>512</v>
      </c>
      <c r="K2235" s="1" t="s">
        <v>512</v>
      </c>
      <c r="L2235" s="1" t="s">
        <v>512</v>
      </c>
      <c r="M2235" s="1" t="s">
        <v>512</v>
      </c>
      <c r="N2235" s="1" t="s">
        <v>512</v>
      </c>
      <c r="O2235" s="1" t="s">
        <v>512</v>
      </c>
      <c r="Q2235" s="1" t="s">
        <v>512</v>
      </c>
    </row>
    <row r="2236" spans="4:17" x14ac:dyDescent="0.25">
      <c r="D2236" s="1" t="s">
        <v>512</v>
      </c>
      <c r="E2236" s="21" t="s">
        <v>512</v>
      </c>
      <c r="F2236" s="1" t="s">
        <v>512</v>
      </c>
      <c r="G2236" s="1" t="s">
        <v>512</v>
      </c>
      <c r="H2236" s="1" t="s">
        <v>512</v>
      </c>
      <c r="I2236" s="1" t="s">
        <v>512</v>
      </c>
      <c r="J2236" s="1" t="s">
        <v>512</v>
      </c>
      <c r="K2236" s="1" t="s">
        <v>512</v>
      </c>
      <c r="L2236" s="1" t="s">
        <v>512</v>
      </c>
      <c r="M2236" s="1" t="s">
        <v>512</v>
      </c>
      <c r="N2236" s="1" t="s">
        <v>512</v>
      </c>
      <c r="O2236" s="1" t="s">
        <v>512</v>
      </c>
      <c r="Q2236" s="1" t="s">
        <v>512</v>
      </c>
    </row>
    <row r="2237" spans="4:17" x14ac:dyDescent="0.25">
      <c r="D2237" s="1" t="s">
        <v>512</v>
      </c>
      <c r="E2237" s="21" t="s">
        <v>512</v>
      </c>
      <c r="F2237" s="1" t="s">
        <v>512</v>
      </c>
      <c r="G2237" s="1" t="s">
        <v>512</v>
      </c>
      <c r="H2237" s="1" t="s">
        <v>512</v>
      </c>
      <c r="I2237" s="1" t="s">
        <v>512</v>
      </c>
      <c r="J2237" s="1" t="s">
        <v>512</v>
      </c>
      <c r="K2237" s="1" t="s">
        <v>512</v>
      </c>
      <c r="L2237" s="1" t="s">
        <v>512</v>
      </c>
      <c r="M2237" s="1" t="s">
        <v>512</v>
      </c>
      <c r="N2237" s="1" t="s">
        <v>512</v>
      </c>
      <c r="O2237" s="1" t="s">
        <v>512</v>
      </c>
      <c r="Q2237" s="1" t="s">
        <v>512</v>
      </c>
    </row>
    <row r="2238" spans="4:17" x14ac:dyDescent="0.25">
      <c r="D2238" s="1" t="s">
        <v>512</v>
      </c>
      <c r="E2238" s="21" t="s">
        <v>512</v>
      </c>
      <c r="F2238" s="1" t="s">
        <v>512</v>
      </c>
      <c r="G2238" s="1" t="s">
        <v>512</v>
      </c>
      <c r="H2238" s="1" t="s">
        <v>512</v>
      </c>
      <c r="I2238" s="1" t="s">
        <v>512</v>
      </c>
      <c r="J2238" s="1" t="s">
        <v>512</v>
      </c>
      <c r="K2238" s="1" t="s">
        <v>512</v>
      </c>
      <c r="L2238" s="1" t="s">
        <v>512</v>
      </c>
      <c r="M2238" s="1" t="s">
        <v>512</v>
      </c>
      <c r="N2238" s="1" t="s">
        <v>512</v>
      </c>
      <c r="O2238" s="1" t="s">
        <v>512</v>
      </c>
      <c r="Q2238" s="1" t="s">
        <v>512</v>
      </c>
    </row>
    <row r="2239" spans="4:17" x14ac:dyDescent="0.25">
      <c r="D2239" s="1" t="s">
        <v>512</v>
      </c>
      <c r="E2239" s="21" t="s">
        <v>512</v>
      </c>
      <c r="F2239" s="1" t="s">
        <v>512</v>
      </c>
      <c r="G2239" s="1" t="s">
        <v>512</v>
      </c>
      <c r="H2239" s="1" t="s">
        <v>512</v>
      </c>
      <c r="I2239" s="1" t="s">
        <v>512</v>
      </c>
      <c r="J2239" s="1" t="s">
        <v>512</v>
      </c>
      <c r="K2239" s="1" t="s">
        <v>512</v>
      </c>
      <c r="L2239" s="1" t="s">
        <v>512</v>
      </c>
      <c r="M2239" s="1" t="s">
        <v>512</v>
      </c>
      <c r="N2239" s="1" t="s">
        <v>512</v>
      </c>
      <c r="O2239" s="1" t="s">
        <v>512</v>
      </c>
      <c r="Q2239" s="1" t="s">
        <v>512</v>
      </c>
    </row>
    <row r="2240" spans="4:17" x14ac:dyDescent="0.25">
      <c r="D2240" s="1" t="s">
        <v>512</v>
      </c>
      <c r="E2240" s="21" t="s">
        <v>512</v>
      </c>
      <c r="F2240" s="1" t="s">
        <v>512</v>
      </c>
      <c r="G2240" s="1" t="s">
        <v>512</v>
      </c>
      <c r="H2240" s="1" t="s">
        <v>512</v>
      </c>
      <c r="I2240" s="1" t="s">
        <v>512</v>
      </c>
      <c r="J2240" s="1" t="s">
        <v>512</v>
      </c>
      <c r="K2240" s="1" t="s">
        <v>512</v>
      </c>
      <c r="L2240" s="1" t="s">
        <v>512</v>
      </c>
      <c r="M2240" s="1" t="s">
        <v>512</v>
      </c>
      <c r="N2240" s="1" t="s">
        <v>512</v>
      </c>
      <c r="O2240" s="1" t="s">
        <v>512</v>
      </c>
      <c r="Q2240" s="1" t="s">
        <v>512</v>
      </c>
    </row>
    <row r="2241" spans="4:17" x14ac:dyDescent="0.25">
      <c r="D2241" s="1" t="s">
        <v>512</v>
      </c>
      <c r="E2241" s="21" t="s">
        <v>512</v>
      </c>
      <c r="F2241" s="1" t="s">
        <v>512</v>
      </c>
      <c r="G2241" s="1" t="s">
        <v>512</v>
      </c>
      <c r="H2241" s="1" t="s">
        <v>512</v>
      </c>
      <c r="I2241" s="1" t="s">
        <v>512</v>
      </c>
      <c r="J2241" s="1" t="s">
        <v>512</v>
      </c>
      <c r="K2241" s="1" t="s">
        <v>512</v>
      </c>
      <c r="L2241" s="1" t="s">
        <v>512</v>
      </c>
      <c r="M2241" s="1" t="s">
        <v>512</v>
      </c>
      <c r="N2241" s="1" t="s">
        <v>512</v>
      </c>
      <c r="O2241" s="1" t="s">
        <v>512</v>
      </c>
      <c r="Q2241" s="1" t="s">
        <v>512</v>
      </c>
    </row>
    <row r="2242" spans="4:17" x14ac:dyDescent="0.25">
      <c r="D2242" s="1" t="s">
        <v>512</v>
      </c>
      <c r="E2242" s="21" t="s">
        <v>512</v>
      </c>
      <c r="F2242" s="1" t="s">
        <v>512</v>
      </c>
      <c r="G2242" s="1" t="s">
        <v>512</v>
      </c>
      <c r="H2242" s="1" t="s">
        <v>512</v>
      </c>
      <c r="I2242" s="1" t="s">
        <v>512</v>
      </c>
      <c r="J2242" s="1" t="s">
        <v>512</v>
      </c>
      <c r="K2242" s="1" t="s">
        <v>512</v>
      </c>
      <c r="L2242" s="1" t="s">
        <v>512</v>
      </c>
      <c r="M2242" s="1" t="s">
        <v>512</v>
      </c>
      <c r="N2242" s="1" t="s">
        <v>512</v>
      </c>
      <c r="O2242" s="1" t="s">
        <v>512</v>
      </c>
      <c r="Q2242" s="1" t="s">
        <v>512</v>
      </c>
    </row>
    <row r="2243" spans="4:17" x14ac:dyDescent="0.25">
      <c r="D2243" s="1" t="s">
        <v>512</v>
      </c>
      <c r="E2243" s="21" t="s">
        <v>512</v>
      </c>
      <c r="F2243" s="1" t="s">
        <v>512</v>
      </c>
      <c r="G2243" s="1" t="s">
        <v>512</v>
      </c>
      <c r="H2243" s="1" t="s">
        <v>512</v>
      </c>
      <c r="I2243" s="1" t="s">
        <v>512</v>
      </c>
      <c r="J2243" s="1" t="s">
        <v>512</v>
      </c>
      <c r="K2243" s="1" t="s">
        <v>512</v>
      </c>
      <c r="L2243" s="1" t="s">
        <v>512</v>
      </c>
      <c r="M2243" s="1" t="s">
        <v>512</v>
      </c>
      <c r="N2243" s="1" t="s">
        <v>512</v>
      </c>
      <c r="O2243" s="1" t="s">
        <v>512</v>
      </c>
      <c r="Q2243" s="1" t="s">
        <v>512</v>
      </c>
    </row>
    <row r="2244" spans="4:17" x14ac:dyDescent="0.25">
      <c r="D2244" s="1" t="s">
        <v>512</v>
      </c>
      <c r="E2244" s="21" t="s">
        <v>512</v>
      </c>
      <c r="F2244" s="1" t="s">
        <v>512</v>
      </c>
      <c r="G2244" s="1" t="s">
        <v>512</v>
      </c>
      <c r="H2244" s="1" t="s">
        <v>512</v>
      </c>
      <c r="I2244" s="1" t="s">
        <v>512</v>
      </c>
      <c r="J2244" s="1" t="s">
        <v>512</v>
      </c>
      <c r="K2244" s="1" t="s">
        <v>512</v>
      </c>
      <c r="L2244" s="1" t="s">
        <v>512</v>
      </c>
      <c r="M2244" s="1" t="s">
        <v>512</v>
      </c>
      <c r="N2244" s="1" t="s">
        <v>512</v>
      </c>
      <c r="O2244" s="1" t="s">
        <v>512</v>
      </c>
      <c r="Q2244" s="1" t="s">
        <v>512</v>
      </c>
    </row>
    <row r="2245" spans="4:17" x14ac:dyDescent="0.25">
      <c r="D2245" s="1" t="s">
        <v>512</v>
      </c>
      <c r="E2245" s="21" t="s">
        <v>512</v>
      </c>
      <c r="F2245" s="1" t="s">
        <v>512</v>
      </c>
      <c r="G2245" s="1" t="s">
        <v>512</v>
      </c>
      <c r="H2245" s="1" t="s">
        <v>512</v>
      </c>
      <c r="I2245" s="1" t="s">
        <v>512</v>
      </c>
      <c r="J2245" s="1" t="s">
        <v>512</v>
      </c>
      <c r="K2245" s="1" t="s">
        <v>512</v>
      </c>
      <c r="L2245" s="1" t="s">
        <v>512</v>
      </c>
      <c r="M2245" s="1" t="s">
        <v>512</v>
      </c>
      <c r="N2245" s="1" t="s">
        <v>512</v>
      </c>
      <c r="O2245" s="1" t="s">
        <v>512</v>
      </c>
      <c r="Q2245" s="1" t="s">
        <v>512</v>
      </c>
    </row>
    <row r="2246" spans="4:17" x14ac:dyDescent="0.25">
      <c r="D2246" s="1" t="s">
        <v>512</v>
      </c>
      <c r="E2246" s="21" t="s">
        <v>512</v>
      </c>
      <c r="F2246" s="1" t="s">
        <v>512</v>
      </c>
      <c r="G2246" s="1" t="s">
        <v>512</v>
      </c>
      <c r="H2246" s="1" t="s">
        <v>512</v>
      </c>
      <c r="I2246" s="1" t="s">
        <v>512</v>
      </c>
      <c r="J2246" s="1" t="s">
        <v>512</v>
      </c>
      <c r="K2246" s="1" t="s">
        <v>512</v>
      </c>
      <c r="L2246" s="1" t="s">
        <v>512</v>
      </c>
      <c r="M2246" s="1" t="s">
        <v>512</v>
      </c>
      <c r="N2246" s="1" t="s">
        <v>512</v>
      </c>
      <c r="O2246" s="1" t="s">
        <v>512</v>
      </c>
      <c r="Q2246" s="1" t="s">
        <v>512</v>
      </c>
    </row>
    <row r="2247" spans="4:17" x14ac:dyDescent="0.25">
      <c r="D2247" s="1" t="s">
        <v>512</v>
      </c>
      <c r="E2247" s="21" t="s">
        <v>512</v>
      </c>
      <c r="F2247" s="1" t="s">
        <v>512</v>
      </c>
      <c r="G2247" s="1" t="s">
        <v>512</v>
      </c>
      <c r="H2247" s="1" t="s">
        <v>512</v>
      </c>
      <c r="I2247" s="1" t="s">
        <v>512</v>
      </c>
      <c r="J2247" s="1" t="s">
        <v>512</v>
      </c>
      <c r="K2247" s="1" t="s">
        <v>512</v>
      </c>
      <c r="L2247" s="1" t="s">
        <v>512</v>
      </c>
      <c r="M2247" s="1" t="s">
        <v>512</v>
      </c>
      <c r="N2247" s="1" t="s">
        <v>512</v>
      </c>
      <c r="O2247" s="1" t="s">
        <v>512</v>
      </c>
      <c r="Q2247" s="1" t="s">
        <v>512</v>
      </c>
    </row>
    <row r="2248" spans="4:17" x14ac:dyDescent="0.25">
      <c r="D2248" s="1" t="s">
        <v>512</v>
      </c>
      <c r="E2248" s="21" t="s">
        <v>512</v>
      </c>
      <c r="F2248" s="1" t="s">
        <v>512</v>
      </c>
      <c r="G2248" s="1" t="s">
        <v>512</v>
      </c>
      <c r="H2248" s="1" t="s">
        <v>512</v>
      </c>
      <c r="I2248" s="1" t="s">
        <v>512</v>
      </c>
      <c r="J2248" s="1" t="s">
        <v>512</v>
      </c>
      <c r="K2248" s="1" t="s">
        <v>512</v>
      </c>
      <c r="L2248" s="1" t="s">
        <v>512</v>
      </c>
      <c r="M2248" s="1" t="s">
        <v>512</v>
      </c>
      <c r="N2248" s="1" t="s">
        <v>512</v>
      </c>
      <c r="O2248" s="1" t="s">
        <v>512</v>
      </c>
      <c r="Q2248" s="1" t="s">
        <v>512</v>
      </c>
    </row>
    <row r="2249" spans="4:17" x14ac:dyDescent="0.25">
      <c r="D2249" s="1" t="s">
        <v>512</v>
      </c>
      <c r="E2249" s="21" t="s">
        <v>512</v>
      </c>
      <c r="F2249" s="1" t="s">
        <v>512</v>
      </c>
      <c r="G2249" s="1" t="s">
        <v>512</v>
      </c>
      <c r="H2249" s="1" t="s">
        <v>512</v>
      </c>
      <c r="I2249" s="1" t="s">
        <v>512</v>
      </c>
      <c r="J2249" s="1" t="s">
        <v>512</v>
      </c>
      <c r="K2249" s="1" t="s">
        <v>512</v>
      </c>
      <c r="L2249" s="1" t="s">
        <v>512</v>
      </c>
      <c r="M2249" s="1" t="s">
        <v>512</v>
      </c>
      <c r="N2249" s="1" t="s">
        <v>512</v>
      </c>
      <c r="O2249" s="1" t="s">
        <v>512</v>
      </c>
      <c r="Q2249" s="1" t="s">
        <v>512</v>
      </c>
    </row>
    <row r="2250" spans="4:17" x14ac:dyDescent="0.25">
      <c r="D2250" s="1" t="s">
        <v>512</v>
      </c>
      <c r="E2250" s="21" t="s">
        <v>512</v>
      </c>
      <c r="F2250" s="1" t="s">
        <v>512</v>
      </c>
      <c r="G2250" s="1" t="s">
        <v>512</v>
      </c>
      <c r="H2250" s="1" t="s">
        <v>512</v>
      </c>
      <c r="I2250" s="1" t="s">
        <v>512</v>
      </c>
      <c r="J2250" s="1" t="s">
        <v>512</v>
      </c>
      <c r="K2250" s="1" t="s">
        <v>512</v>
      </c>
      <c r="L2250" s="1" t="s">
        <v>512</v>
      </c>
      <c r="M2250" s="1" t="s">
        <v>512</v>
      </c>
      <c r="N2250" s="1" t="s">
        <v>512</v>
      </c>
      <c r="O2250" s="1" t="s">
        <v>512</v>
      </c>
      <c r="Q2250" s="1" t="s">
        <v>512</v>
      </c>
    </row>
    <row r="2251" spans="4:17" x14ac:dyDescent="0.25">
      <c r="D2251" s="1" t="s">
        <v>512</v>
      </c>
      <c r="E2251" s="21" t="s">
        <v>512</v>
      </c>
      <c r="F2251" s="1" t="s">
        <v>512</v>
      </c>
      <c r="G2251" s="1" t="s">
        <v>512</v>
      </c>
      <c r="H2251" s="1" t="s">
        <v>512</v>
      </c>
      <c r="I2251" s="1" t="s">
        <v>512</v>
      </c>
      <c r="J2251" s="1" t="s">
        <v>512</v>
      </c>
      <c r="K2251" s="1" t="s">
        <v>512</v>
      </c>
      <c r="L2251" s="1" t="s">
        <v>512</v>
      </c>
      <c r="M2251" s="1" t="s">
        <v>512</v>
      </c>
      <c r="N2251" s="1" t="s">
        <v>512</v>
      </c>
      <c r="O2251" s="1" t="s">
        <v>512</v>
      </c>
      <c r="Q2251" s="1" t="s">
        <v>512</v>
      </c>
    </row>
    <row r="2252" spans="4:17" x14ac:dyDescent="0.25">
      <c r="D2252" s="1" t="s">
        <v>512</v>
      </c>
      <c r="E2252" s="21" t="s">
        <v>512</v>
      </c>
      <c r="F2252" s="1" t="s">
        <v>512</v>
      </c>
      <c r="G2252" s="1" t="s">
        <v>512</v>
      </c>
      <c r="H2252" s="1" t="s">
        <v>512</v>
      </c>
      <c r="I2252" s="1" t="s">
        <v>512</v>
      </c>
      <c r="J2252" s="1" t="s">
        <v>512</v>
      </c>
      <c r="K2252" s="1" t="s">
        <v>512</v>
      </c>
      <c r="L2252" s="1" t="s">
        <v>512</v>
      </c>
      <c r="M2252" s="1" t="s">
        <v>512</v>
      </c>
      <c r="N2252" s="1" t="s">
        <v>512</v>
      </c>
      <c r="O2252" s="1" t="s">
        <v>512</v>
      </c>
      <c r="Q2252" s="1" t="s">
        <v>512</v>
      </c>
    </row>
    <row r="2253" spans="4:17" x14ac:dyDescent="0.25">
      <c r="D2253" s="1" t="s">
        <v>512</v>
      </c>
      <c r="E2253" s="21" t="s">
        <v>512</v>
      </c>
      <c r="F2253" s="1" t="s">
        <v>512</v>
      </c>
      <c r="G2253" s="1" t="s">
        <v>512</v>
      </c>
      <c r="H2253" s="1" t="s">
        <v>512</v>
      </c>
      <c r="I2253" s="1" t="s">
        <v>512</v>
      </c>
      <c r="J2253" s="1" t="s">
        <v>512</v>
      </c>
      <c r="K2253" s="1" t="s">
        <v>512</v>
      </c>
      <c r="L2253" s="1" t="s">
        <v>512</v>
      </c>
      <c r="M2253" s="1" t="s">
        <v>512</v>
      </c>
      <c r="N2253" s="1" t="s">
        <v>512</v>
      </c>
      <c r="O2253" s="1" t="s">
        <v>512</v>
      </c>
      <c r="Q2253" s="1" t="s">
        <v>512</v>
      </c>
    </row>
    <row r="2254" spans="4:17" x14ac:dyDescent="0.25">
      <c r="D2254" s="1" t="s">
        <v>512</v>
      </c>
      <c r="E2254" s="21" t="s">
        <v>512</v>
      </c>
      <c r="F2254" s="1" t="s">
        <v>512</v>
      </c>
      <c r="G2254" s="1" t="s">
        <v>512</v>
      </c>
      <c r="H2254" s="1" t="s">
        <v>512</v>
      </c>
      <c r="I2254" s="1" t="s">
        <v>512</v>
      </c>
      <c r="J2254" s="1" t="s">
        <v>512</v>
      </c>
      <c r="K2254" s="1" t="s">
        <v>512</v>
      </c>
      <c r="L2254" s="1" t="s">
        <v>512</v>
      </c>
      <c r="M2254" s="1" t="s">
        <v>512</v>
      </c>
      <c r="N2254" s="1" t="s">
        <v>512</v>
      </c>
      <c r="O2254" s="1" t="s">
        <v>512</v>
      </c>
      <c r="Q2254" s="1" t="s">
        <v>512</v>
      </c>
    </row>
    <row r="2255" spans="4:17" x14ac:dyDescent="0.25">
      <c r="D2255" s="1" t="s">
        <v>512</v>
      </c>
      <c r="E2255" s="21" t="s">
        <v>512</v>
      </c>
      <c r="F2255" s="1" t="s">
        <v>512</v>
      </c>
      <c r="G2255" s="1" t="s">
        <v>512</v>
      </c>
      <c r="H2255" s="1" t="s">
        <v>512</v>
      </c>
      <c r="I2255" s="1" t="s">
        <v>512</v>
      </c>
      <c r="J2255" s="1" t="s">
        <v>512</v>
      </c>
      <c r="K2255" s="1" t="s">
        <v>512</v>
      </c>
      <c r="L2255" s="1" t="s">
        <v>512</v>
      </c>
      <c r="M2255" s="1" t="s">
        <v>512</v>
      </c>
      <c r="N2255" s="1" t="s">
        <v>512</v>
      </c>
      <c r="O2255" s="1" t="s">
        <v>512</v>
      </c>
      <c r="Q2255" s="1" t="s">
        <v>512</v>
      </c>
    </row>
    <row r="2256" spans="4:17" x14ac:dyDescent="0.25">
      <c r="D2256" s="1" t="s">
        <v>512</v>
      </c>
      <c r="E2256" s="21" t="s">
        <v>512</v>
      </c>
      <c r="F2256" s="1" t="s">
        <v>512</v>
      </c>
      <c r="G2256" s="1" t="s">
        <v>512</v>
      </c>
      <c r="H2256" s="1" t="s">
        <v>512</v>
      </c>
      <c r="I2256" s="1" t="s">
        <v>512</v>
      </c>
      <c r="J2256" s="1" t="s">
        <v>512</v>
      </c>
      <c r="K2256" s="1" t="s">
        <v>512</v>
      </c>
      <c r="L2256" s="1" t="s">
        <v>512</v>
      </c>
      <c r="M2256" s="1" t="s">
        <v>512</v>
      </c>
      <c r="N2256" s="1" t="s">
        <v>512</v>
      </c>
      <c r="O2256" s="1" t="s">
        <v>512</v>
      </c>
      <c r="Q2256" s="1" t="s">
        <v>512</v>
      </c>
    </row>
    <row r="2257" spans="4:17" x14ac:dyDescent="0.25">
      <c r="D2257" s="1" t="s">
        <v>512</v>
      </c>
      <c r="E2257" s="21" t="s">
        <v>512</v>
      </c>
      <c r="F2257" s="1" t="s">
        <v>512</v>
      </c>
      <c r="G2257" s="1" t="s">
        <v>512</v>
      </c>
      <c r="H2257" s="1" t="s">
        <v>512</v>
      </c>
      <c r="I2257" s="1" t="s">
        <v>512</v>
      </c>
      <c r="J2257" s="1" t="s">
        <v>512</v>
      </c>
      <c r="K2257" s="1" t="s">
        <v>512</v>
      </c>
      <c r="L2257" s="1" t="s">
        <v>512</v>
      </c>
      <c r="M2257" s="1" t="s">
        <v>512</v>
      </c>
      <c r="N2257" s="1" t="s">
        <v>512</v>
      </c>
      <c r="O2257" s="1" t="s">
        <v>512</v>
      </c>
      <c r="Q2257" s="1" t="s">
        <v>512</v>
      </c>
    </row>
    <row r="2258" spans="4:17" x14ac:dyDescent="0.25">
      <c r="D2258" s="1" t="s">
        <v>512</v>
      </c>
      <c r="E2258" s="21" t="s">
        <v>512</v>
      </c>
      <c r="F2258" s="1" t="s">
        <v>512</v>
      </c>
      <c r="G2258" s="1" t="s">
        <v>512</v>
      </c>
      <c r="H2258" s="1" t="s">
        <v>512</v>
      </c>
      <c r="I2258" s="1" t="s">
        <v>512</v>
      </c>
      <c r="J2258" s="1" t="s">
        <v>512</v>
      </c>
      <c r="K2258" s="1" t="s">
        <v>512</v>
      </c>
      <c r="L2258" s="1" t="s">
        <v>512</v>
      </c>
      <c r="M2258" s="1" t="s">
        <v>512</v>
      </c>
      <c r="N2258" s="1" t="s">
        <v>512</v>
      </c>
      <c r="O2258" s="1" t="s">
        <v>512</v>
      </c>
      <c r="Q2258" s="1" t="s">
        <v>512</v>
      </c>
    </row>
    <row r="2259" spans="4:17" x14ac:dyDescent="0.25">
      <c r="D2259" s="1" t="s">
        <v>512</v>
      </c>
      <c r="E2259" s="21" t="s">
        <v>512</v>
      </c>
      <c r="F2259" s="1" t="s">
        <v>512</v>
      </c>
      <c r="G2259" s="1" t="s">
        <v>512</v>
      </c>
      <c r="H2259" s="1" t="s">
        <v>512</v>
      </c>
      <c r="I2259" s="1" t="s">
        <v>512</v>
      </c>
      <c r="J2259" s="1" t="s">
        <v>512</v>
      </c>
      <c r="K2259" s="1" t="s">
        <v>512</v>
      </c>
      <c r="L2259" s="1" t="s">
        <v>512</v>
      </c>
      <c r="M2259" s="1" t="s">
        <v>512</v>
      </c>
      <c r="N2259" s="1" t="s">
        <v>512</v>
      </c>
      <c r="O2259" s="1" t="s">
        <v>512</v>
      </c>
      <c r="Q2259" s="1" t="s">
        <v>512</v>
      </c>
    </row>
    <row r="2260" spans="4:17" x14ac:dyDescent="0.25">
      <c r="D2260" s="1" t="s">
        <v>512</v>
      </c>
      <c r="E2260" s="21" t="s">
        <v>512</v>
      </c>
      <c r="F2260" s="1" t="s">
        <v>512</v>
      </c>
      <c r="G2260" s="1" t="s">
        <v>512</v>
      </c>
      <c r="H2260" s="1" t="s">
        <v>512</v>
      </c>
      <c r="I2260" s="1" t="s">
        <v>512</v>
      </c>
      <c r="J2260" s="1" t="s">
        <v>512</v>
      </c>
      <c r="K2260" s="1" t="s">
        <v>512</v>
      </c>
      <c r="L2260" s="1" t="s">
        <v>512</v>
      </c>
      <c r="M2260" s="1" t="s">
        <v>512</v>
      </c>
      <c r="N2260" s="1" t="s">
        <v>512</v>
      </c>
      <c r="O2260" s="1" t="s">
        <v>512</v>
      </c>
      <c r="Q2260" s="1" t="s">
        <v>512</v>
      </c>
    </row>
    <row r="2261" spans="4:17" x14ac:dyDescent="0.25">
      <c r="D2261" s="1" t="s">
        <v>512</v>
      </c>
      <c r="E2261" s="21" t="s">
        <v>512</v>
      </c>
      <c r="F2261" s="1" t="s">
        <v>512</v>
      </c>
      <c r="G2261" s="1" t="s">
        <v>512</v>
      </c>
      <c r="H2261" s="1" t="s">
        <v>512</v>
      </c>
      <c r="I2261" s="1" t="s">
        <v>512</v>
      </c>
      <c r="J2261" s="1" t="s">
        <v>512</v>
      </c>
      <c r="K2261" s="1" t="s">
        <v>512</v>
      </c>
      <c r="L2261" s="1" t="s">
        <v>512</v>
      </c>
      <c r="M2261" s="1" t="s">
        <v>512</v>
      </c>
      <c r="N2261" s="1" t="s">
        <v>512</v>
      </c>
      <c r="O2261" s="1" t="s">
        <v>512</v>
      </c>
      <c r="Q2261" s="1" t="s">
        <v>512</v>
      </c>
    </row>
    <row r="2262" spans="4:17" x14ac:dyDescent="0.25">
      <c r="D2262" s="1" t="s">
        <v>512</v>
      </c>
      <c r="E2262" s="21" t="s">
        <v>512</v>
      </c>
      <c r="F2262" s="1" t="s">
        <v>512</v>
      </c>
      <c r="G2262" s="1" t="s">
        <v>512</v>
      </c>
      <c r="H2262" s="1" t="s">
        <v>512</v>
      </c>
      <c r="I2262" s="1" t="s">
        <v>512</v>
      </c>
      <c r="J2262" s="1" t="s">
        <v>512</v>
      </c>
      <c r="K2262" s="1" t="s">
        <v>512</v>
      </c>
      <c r="L2262" s="1" t="s">
        <v>512</v>
      </c>
      <c r="M2262" s="1" t="s">
        <v>512</v>
      </c>
      <c r="N2262" s="1" t="s">
        <v>512</v>
      </c>
      <c r="O2262" s="1" t="s">
        <v>512</v>
      </c>
      <c r="Q2262" s="1" t="s">
        <v>512</v>
      </c>
    </row>
    <row r="2263" spans="4:17" x14ac:dyDescent="0.25">
      <c r="D2263" s="1" t="s">
        <v>512</v>
      </c>
      <c r="E2263" s="21" t="s">
        <v>512</v>
      </c>
      <c r="F2263" s="1" t="s">
        <v>512</v>
      </c>
      <c r="G2263" s="1" t="s">
        <v>512</v>
      </c>
      <c r="H2263" s="1" t="s">
        <v>512</v>
      </c>
      <c r="I2263" s="1" t="s">
        <v>512</v>
      </c>
      <c r="J2263" s="1" t="s">
        <v>512</v>
      </c>
      <c r="K2263" s="1" t="s">
        <v>512</v>
      </c>
      <c r="L2263" s="1" t="s">
        <v>512</v>
      </c>
      <c r="M2263" s="1" t="s">
        <v>512</v>
      </c>
      <c r="N2263" s="1" t="s">
        <v>512</v>
      </c>
      <c r="O2263" s="1" t="s">
        <v>512</v>
      </c>
      <c r="Q2263" s="1" t="s">
        <v>512</v>
      </c>
    </row>
    <row r="2264" spans="4:17" x14ac:dyDescent="0.25">
      <c r="D2264" s="1" t="s">
        <v>512</v>
      </c>
      <c r="E2264" s="21" t="s">
        <v>512</v>
      </c>
      <c r="F2264" s="1" t="s">
        <v>512</v>
      </c>
      <c r="G2264" s="1" t="s">
        <v>512</v>
      </c>
      <c r="H2264" s="1" t="s">
        <v>512</v>
      </c>
      <c r="I2264" s="1" t="s">
        <v>512</v>
      </c>
      <c r="J2264" s="1" t="s">
        <v>512</v>
      </c>
      <c r="K2264" s="1" t="s">
        <v>512</v>
      </c>
      <c r="L2264" s="1" t="s">
        <v>512</v>
      </c>
      <c r="M2264" s="1" t="s">
        <v>512</v>
      </c>
      <c r="N2264" s="1" t="s">
        <v>512</v>
      </c>
      <c r="O2264" s="1" t="s">
        <v>512</v>
      </c>
      <c r="Q2264" s="1" t="s">
        <v>512</v>
      </c>
    </row>
    <row r="2265" spans="4:17" x14ac:dyDescent="0.25">
      <c r="D2265" s="1" t="s">
        <v>512</v>
      </c>
      <c r="E2265" s="21" t="s">
        <v>512</v>
      </c>
      <c r="F2265" s="1" t="s">
        <v>512</v>
      </c>
      <c r="G2265" s="1" t="s">
        <v>512</v>
      </c>
      <c r="H2265" s="1" t="s">
        <v>512</v>
      </c>
      <c r="I2265" s="1" t="s">
        <v>512</v>
      </c>
      <c r="J2265" s="1" t="s">
        <v>512</v>
      </c>
      <c r="K2265" s="1" t="s">
        <v>512</v>
      </c>
      <c r="L2265" s="1" t="s">
        <v>512</v>
      </c>
      <c r="M2265" s="1" t="s">
        <v>512</v>
      </c>
      <c r="N2265" s="1" t="s">
        <v>512</v>
      </c>
      <c r="O2265" s="1" t="s">
        <v>512</v>
      </c>
      <c r="Q2265" s="1" t="s">
        <v>512</v>
      </c>
    </row>
    <row r="2266" spans="4:17" x14ac:dyDescent="0.25">
      <c r="D2266" s="1" t="s">
        <v>512</v>
      </c>
      <c r="E2266" s="21" t="s">
        <v>512</v>
      </c>
      <c r="F2266" s="1" t="s">
        <v>512</v>
      </c>
      <c r="G2266" s="1" t="s">
        <v>512</v>
      </c>
      <c r="H2266" s="1" t="s">
        <v>512</v>
      </c>
      <c r="I2266" s="1" t="s">
        <v>512</v>
      </c>
      <c r="J2266" s="1" t="s">
        <v>512</v>
      </c>
      <c r="K2266" s="1" t="s">
        <v>512</v>
      </c>
      <c r="L2266" s="1" t="s">
        <v>512</v>
      </c>
      <c r="M2266" s="1" t="s">
        <v>512</v>
      </c>
      <c r="N2266" s="1" t="s">
        <v>512</v>
      </c>
      <c r="O2266" s="1" t="s">
        <v>512</v>
      </c>
      <c r="Q2266" s="1" t="s">
        <v>512</v>
      </c>
    </row>
    <row r="2267" spans="4:17" x14ac:dyDescent="0.25">
      <c r="D2267" s="1" t="s">
        <v>512</v>
      </c>
      <c r="E2267" s="21" t="s">
        <v>512</v>
      </c>
      <c r="F2267" s="1" t="s">
        <v>512</v>
      </c>
      <c r="G2267" s="1" t="s">
        <v>512</v>
      </c>
      <c r="H2267" s="1" t="s">
        <v>512</v>
      </c>
      <c r="I2267" s="1" t="s">
        <v>512</v>
      </c>
      <c r="J2267" s="1" t="s">
        <v>512</v>
      </c>
      <c r="K2267" s="1" t="s">
        <v>512</v>
      </c>
      <c r="L2267" s="1" t="s">
        <v>512</v>
      </c>
      <c r="M2267" s="1" t="s">
        <v>512</v>
      </c>
      <c r="N2267" s="1" t="s">
        <v>512</v>
      </c>
      <c r="O2267" s="1" t="s">
        <v>512</v>
      </c>
      <c r="Q2267" s="1" t="s">
        <v>512</v>
      </c>
    </row>
    <row r="2268" spans="4:17" x14ac:dyDescent="0.25">
      <c r="D2268" s="1" t="s">
        <v>512</v>
      </c>
      <c r="E2268" s="21" t="s">
        <v>512</v>
      </c>
      <c r="F2268" s="1" t="s">
        <v>512</v>
      </c>
      <c r="G2268" s="1" t="s">
        <v>512</v>
      </c>
      <c r="H2268" s="1" t="s">
        <v>512</v>
      </c>
      <c r="I2268" s="1" t="s">
        <v>512</v>
      </c>
      <c r="J2268" s="1" t="s">
        <v>512</v>
      </c>
      <c r="K2268" s="1" t="s">
        <v>512</v>
      </c>
      <c r="L2268" s="1" t="s">
        <v>512</v>
      </c>
      <c r="M2268" s="1" t="s">
        <v>512</v>
      </c>
      <c r="N2268" s="1" t="s">
        <v>512</v>
      </c>
      <c r="O2268" s="1" t="s">
        <v>512</v>
      </c>
      <c r="Q2268" s="1" t="s">
        <v>512</v>
      </c>
    </row>
    <row r="2269" spans="4:17" x14ac:dyDescent="0.25">
      <c r="D2269" s="1" t="s">
        <v>512</v>
      </c>
      <c r="E2269" s="21" t="s">
        <v>512</v>
      </c>
      <c r="F2269" s="1" t="s">
        <v>512</v>
      </c>
      <c r="G2269" s="1" t="s">
        <v>512</v>
      </c>
      <c r="H2269" s="1" t="s">
        <v>512</v>
      </c>
      <c r="I2269" s="1" t="s">
        <v>512</v>
      </c>
      <c r="J2269" s="1" t="s">
        <v>512</v>
      </c>
      <c r="K2269" s="1" t="s">
        <v>512</v>
      </c>
      <c r="L2269" s="1" t="s">
        <v>512</v>
      </c>
      <c r="M2269" s="1" t="s">
        <v>512</v>
      </c>
      <c r="N2269" s="1" t="s">
        <v>512</v>
      </c>
      <c r="O2269" s="1" t="s">
        <v>512</v>
      </c>
      <c r="Q2269" s="1" t="s">
        <v>512</v>
      </c>
    </row>
    <row r="2270" spans="4:17" x14ac:dyDescent="0.25">
      <c r="D2270" s="1" t="s">
        <v>512</v>
      </c>
      <c r="E2270" s="21" t="s">
        <v>512</v>
      </c>
      <c r="F2270" s="1" t="s">
        <v>512</v>
      </c>
      <c r="G2270" s="1" t="s">
        <v>512</v>
      </c>
      <c r="H2270" s="1" t="s">
        <v>512</v>
      </c>
      <c r="I2270" s="1" t="s">
        <v>512</v>
      </c>
      <c r="J2270" s="1" t="s">
        <v>512</v>
      </c>
      <c r="K2270" s="1" t="s">
        <v>512</v>
      </c>
      <c r="L2270" s="1" t="s">
        <v>512</v>
      </c>
      <c r="M2270" s="1" t="s">
        <v>512</v>
      </c>
      <c r="N2270" s="1" t="s">
        <v>512</v>
      </c>
      <c r="O2270" s="1" t="s">
        <v>512</v>
      </c>
      <c r="Q2270" s="1" t="s">
        <v>512</v>
      </c>
    </row>
    <row r="2271" spans="4:17" x14ac:dyDescent="0.25">
      <c r="D2271" s="1" t="s">
        <v>512</v>
      </c>
      <c r="E2271" s="21" t="s">
        <v>512</v>
      </c>
      <c r="F2271" s="1" t="s">
        <v>512</v>
      </c>
      <c r="G2271" s="1" t="s">
        <v>512</v>
      </c>
      <c r="H2271" s="1" t="s">
        <v>512</v>
      </c>
      <c r="I2271" s="1" t="s">
        <v>512</v>
      </c>
      <c r="J2271" s="1" t="s">
        <v>512</v>
      </c>
      <c r="K2271" s="1" t="s">
        <v>512</v>
      </c>
      <c r="L2271" s="1" t="s">
        <v>512</v>
      </c>
      <c r="M2271" s="1" t="s">
        <v>512</v>
      </c>
      <c r="N2271" s="1" t="s">
        <v>512</v>
      </c>
      <c r="O2271" s="1" t="s">
        <v>512</v>
      </c>
      <c r="Q2271" s="1" t="s">
        <v>512</v>
      </c>
    </row>
    <row r="2272" spans="4:17" x14ac:dyDescent="0.25">
      <c r="D2272" s="1" t="s">
        <v>512</v>
      </c>
      <c r="E2272" s="21" t="s">
        <v>512</v>
      </c>
      <c r="F2272" s="1" t="s">
        <v>512</v>
      </c>
      <c r="G2272" s="1" t="s">
        <v>512</v>
      </c>
      <c r="H2272" s="1" t="s">
        <v>512</v>
      </c>
      <c r="I2272" s="1" t="s">
        <v>512</v>
      </c>
      <c r="J2272" s="1" t="s">
        <v>512</v>
      </c>
      <c r="K2272" s="1" t="s">
        <v>512</v>
      </c>
      <c r="L2272" s="1" t="s">
        <v>512</v>
      </c>
      <c r="M2272" s="1" t="s">
        <v>512</v>
      </c>
      <c r="N2272" s="1" t="s">
        <v>512</v>
      </c>
      <c r="O2272" s="1" t="s">
        <v>512</v>
      </c>
      <c r="Q2272" s="1" t="s">
        <v>512</v>
      </c>
    </row>
    <row r="2273" spans="4:17" x14ac:dyDescent="0.25">
      <c r="D2273" s="1" t="s">
        <v>512</v>
      </c>
      <c r="E2273" s="21" t="s">
        <v>512</v>
      </c>
      <c r="F2273" s="1" t="s">
        <v>512</v>
      </c>
      <c r="G2273" s="1" t="s">
        <v>512</v>
      </c>
      <c r="H2273" s="1" t="s">
        <v>512</v>
      </c>
      <c r="I2273" s="1" t="s">
        <v>512</v>
      </c>
      <c r="J2273" s="1" t="s">
        <v>512</v>
      </c>
      <c r="K2273" s="1" t="s">
        <v>512</v>
      </c>
      <c r="L2273" s="1" t="s">
        <v>512</v>
      </c>
      <c r="M2273" s="1" t="s">
        <v>512</v>
      </c>
      <c r="N2273" s="1" t="s">
        <v>512</v>
      </c>
      <c r="O2273" s="1" t="s">
        <v>512</v>
      </c>
      <c r="Q2273" s="1" t="s">
        <v>512</v>
      </c>
    </row>
    <row r="2274" spans="4:17" x14ac:dyDescent="0.25">
      <c r="D2274" s="1" t="s">
        <v>512</v>
      </c>
      <c r="E2274" s="21" t="s">
        <v>512</v>
      </c>
      <c r="F2274" s="1" t="s">
        <v>512</v>
      </c>
      <c r="G2274" s="1" t="s">
        <v>512</v>
      </c>
      <c r="H2274" s="1" t="s">
        <v>512</v>
      </c>
      <c r="I2274" s="1" t="s">
        <v>512</v>
      </c>
      <c r="J2274" s="1" t="s">
        <v>512</v>
      </c>
      <c r="K2274" s="1" t="s">
        <v>512</v>
      </c>
      <c r="L2274" s="1" t="s">
        <v>512</v>
      </c>
      <c r="M2274" s="1" t="s">
        <v>512</v>
      </c>
      <c r="N2274" s="1" t="s">
        <v>512</v>
      </c>
      <c r="O2274" s="1" t="s">
        <v>512</v>
      </c>
      <c r="Q2274" s="1" t="s">
        <v>512</v>
      </c>
    </row>
    <row r="2275" spans="4:17" x14ac:dyDescent="0.25">
      <c r="D2275" s="1" t="s">
        <v>512</v>
      </c>
      <c r="E2275" s="21" t="s">
        <v>512</v>
      </c>
      <c r="F2275" s="1" t="s">
        <v>512</v>
      </c>
      <c r="G2275" s="1" t="s">
        <v>512</v>
      </c>
      <c r="H2275" s="1" t="s">
        <v>512</v>
      </c>
      <c r="I2275" s="1" t="s">
        <v>512</v>
      </c>
      <c r="J2275" s="1" t="s">
        <v>512</v>
      </c>
      <c r="K2275" s="1" t="s">
        <v>512</v>
      </c>
      <c r="L2275" s="1" t="s">
        <v>512</v>
      </c>
      <c r="M2275" s="1" t="s">
        <v>512</v>
      </c>
      <c r="N2275" s="1" t="s">
        <v>512</v>
      </c>
      <c r="O2275" s="1" t="s">
        <v>512</v>
      </c>
      <c r="Q2275" s="1" t="s">
        <v>512</v>
      </c>
    </row>
    <row r="2276" spans="4:17" x14ac:dyDescent="0.25">
      <c r="D2276" s="1" t="s">
        <v>512</v>
      </c>
      <c r="E2276" s="21" t="s">
        <v>512</v>
      </c>
      <c r="F2276" s="1" t="s">
        <v>512</v>
      </c>
      <c r="G2276" s="1" t="s">
        <v>512</v>
      </c>
      <c r="H2276" s="1" t="s">
        <v>512</v>
      </c>
      <c r="I2276" s="1" t="s">
        <v>512</v>
      </c>
      <c r="J2276" s="1" t="s">
        <v>512</v>
      </c>
      <c r="K2276" s="1" t="s">
        <v>512</v>
      </c>
      <c r="L2276" s="1" t="s">
        <v>512</v>
      </c>
      <c r="M2276" s="1" t="s">
        <v>512</v>
      </c>
      <c r="N2276" s="1" t="s">
        <v>512</v>
      </c>
      <c r="O2276" s="1" t="s">
        <v>512</v>
      </c>
      <c r="Q2276" s="1" t="s">
        <v>512</v>
      </c>
    </row>
    <row r="2277" spans="4:17" x14ac:dyDescent="0.25">
      <c r="D2277" s="1" t="s">
        <v>512</v>
      </c>
      <c r="E2277" s="21" t="s">
        <v>512</v>
      </c>
      <c r="F2277" s="1" t="s">
        <v>512</v>
      </c>
      <c r="G2277" s="1" t="s">
        <v>512</v>
      </c>
      <c r="H2277" s="1" t="s">
        <v>512</v>
      </c>
      <c r="I2277" s="1" t="s">
        <v>512</v>
      </c>
      <c r="J2277" s="1" t="s">
        <v>512</v>
      </c>
      <c r="K2277" s="1" t="s">
        <v>512</v>
      </c>
      <c r="L2277" s="1" t="s">
        <v>512</v>
      </c>
      <c r="M2277" s="1" t="s">
        <v>512</v>
      </c>
      <c r="N2277" s="1" t="s">
        <v>512</v>
      </c>
      <c r="O2277" s="1" t="s">
        <v>512</v>
      </c>
      <c r="Q2277" s="1" t="s">
        <v>512</v>
      </c>
    </row>
    <row r="2278" spans="4:17" x14ac:dyDescent="0.25">
      <c r="D2278" s="1" t="s">
        <v>512</v>
      </c>
      <c r="E2278" s="21" t="s">
        <v>512</v>
      </c>
      <c r="F2278" s="1" t="s">
        <v>512</v>
      </c>
      <c r="G2278" s="1" t="s">
        <v>512</v>
      </c>
      <c r="H2278" s="1" t="s">
        <v>512</v>
      </c>
      <c r="I2278" s="1" t="s">
        <v>512</v>
      </c>
      <c r="J2278" s="1" t="s">
        <v>512</v>
      </c>
      <c r="K2278" s="1" t="s">
        <v>512</v>
      </c>
      <c r="L2278" s="1" t="s">
        <v>512</v>
      </c>
      <c r="M2278" s="1" t="s">
        <v>512</v>
      </c>
      <c r="N2278" s="1" t="s">
        <v>512</v>
      </c>
      <c r="O2278" s="1" t="s">
        <v>512</v>
      </c>
      <c r="Q2278" s="1" t="s">
        <v>512</v>
      </c>
    </row>
    <row r="2279" spans="4:17" x14ac:dyDescent="0.25">
      <c r="D2279" s="1" t="s">
        <v>512</v>
      </c>
      <c r="E2279" s="21" t="s">
        <v>512</v>
      </c>
      <c r="F2279" s="1" t="s">
        <v>512</v>
      </c>
      <c r="G2279" s="1" t="s">
        <v>512</v>
      </c>
      <c r="H2279" s="1" t="s">
        <v>512</v>
      </c>
      <c r="I2279" s="1" t="s">
        <v>512</v>
      </c>
      <c r="J2279" s="1" t="s">
        <v>512</v>
      </c>
      <c r="K2279" s="1" t="s">
        <v>512</v>
      </c>
      <c r="L2279" s="1" t="s">
        <v>512</v>
      </c>
      <c r="M2279" s="1" t="s">
        <v>512</v>
      </c>
      <c r="N2279" s="1" t="s">
        <v>512</v>
      </c>
      <c r="O2279" s="1" t="s">
        <v>512</v>
      </c>
      <c r="Q2279" s="1" t="s">
        <v>512</v>
      </c>
    </row>
    <row r="2280" spans="4:17" x14ac:dyDescent="0.25">
      <c r="D2280" s="1" t="s">
        <v>512</v>
      </c>
      <c r="E2280" s="21" t="s">
        <v>512</v>
      </c>
      <c r="F2280" s="1" t="s">
        <v>512</v>
      </c>
      <c r="G2280" s="1" t="s">
        <v>512</v>
      </c>
      <c r="H2280" s="1" t="s">
        <v>512</v>
      </c>
      <c r="I2280" s="1" t="s">
        <v>512</v>
      </c>
      <c r="J2280" s="1" t="s">
        <v>512</v>
      </c>
      <c r="K2280" s="1" t="s">
        <v>512</v>
      </c>
      <c r="L2280" s="1" t="s">
        <v>512</v>
      </c>
      <c r="M2280" s="1" t="s">
        <v>512</v>
      </c>
      <c r="N2280" s="1" t="s">
        <v>512</v>
      </c>
      <c r="O2280" s="1" t="s">
        <v>512</v>
      </c>
      <c r="Q2280" s="1" t="s">
        <v>512</v>
      </c>
    </row>
    <row r="2281" spans="4:17" x14ac:dyDescent="0.25">
      <c r="D2281" s="1" t="s">
        <v>512</v>
      </c>
      <c r="E2281" s="21" t="s">
        <v>512</v>
      </c>
      <c r="F2281" s="1" t="s">
        <v>512</v>
      </c>
      <c r="G2281" s="1" t="s">
        <v>512</v>
      </c>
      <c r="H2281" s="1" t="s">
        <v>512</v>
      </c>
      <c r="I2281" s="1" t="s">
        <v>512</v>
      </c>
      <c r="J2281" s="1" t="s">
        <v>512</v>
      </c>
      <c r="K2281" s="1" t="s">
        <v>512</v>
      </c>
      <c r="L2281" s="1" t="s">
        <v>512</v>
      </c>
      <c r="M2281" s="1" t="s">
        <v>512</v>
      </c>
      <c r="N2281" s="1" t="s">
        <v>512</v>
      </c>
      <c r="O2281" s="1" t="s">
        <v>512</v>
      </c>
      <c r="Q2281" s="1" t="s">
        <v>512</v>
      </c>
    </row>
    <row r="2282" spans="4:17" x14ac:dyDescent="0.25">
      <c r="D2282" s="1" t="s">
        <v>512</v>
      </c>
      <c r="E2282" s="21" t="s">
        <v>512</v>
      </c>
      <c r="F2282" s="1" t="s">
        <v>512</v>
      </c>
      <c r="G2282" s="1" t="s">
        <v>512</v>
      </c>
      <c r="H2282" s="1" t="s">
        <v>512</v>
      </c>
      <c r="I2282" s="1" t="s">
        <v>512</v>
      </c>
      <c r="J2282" s="1" t="s">
        <v>512</v>
      </c>
      <c r="K2282" s="1" t="s">
        <v>512</v>
      </c>
      <c r="L2282" s="1" t="s">
        <v>512</v>
      </c>
      <c r="M2282" s="1" t="s">
        <v>512</v>
      </c>
      <c r="N2282" s="1" t="s">
        <v>512</v>
      </c>
      <c r="O2282" s="1" t="s">
        <v>512</v>
      </c>
      <c r="Q2282" s="1" t="s">
        <v>512</v>
      </c>
    </row>
    <row r="2283" spans="4:17" x14ac:dyDescent="0.25">
      <c r="D2283" s="1" t="s">
        <v>512</v>
      </c>
      <c r="E2283" s="21" t="s">
        <v>512</v>
      </c>
      <c r="F2283" s="1" t="s">
        <v>512</v>
      </c>
      <c r="G2283" s="1" t="s">
        <v>512</v>
      </c>
      <c r="H2283" s="1" t="s">
        <v>512</v>
      </c>
      <c r="I2283" s="1" t="s">
        <v>512</v>
      </c>
      <c r="J2283" s="1" t="s">
        <v>512</v>
      </c>
      <c r="K2283" s="1" t="s">
        <v>512</v>
      </c>
      <c r="L2283" s="1" t="s">
        <v>512</v>
      </c>
      <c r="M2283" s="1" t="s">
        <v>512</v>
      </c>
      <c r="N2283" s="1" t="s">
        <v>512</v>
      </c>
      <c r="O2283" s="1" t="s">
        <v>512</v>
      </c>
      <c r="Q2283" s="1" t="s">
        <v>512</v>
      </c>
    </row>
    <row r="2284" spans="4:17" x14ac:dyDescent="0.25">
      <c r="D2284" s="1" t="s">
        <v>512</v>
      </c>
      <c r="E2284" s="21" t="s">
        <v>512</v>
      </c>
      <c r="F2284" s="1" t="s">
        <v>512</v>
      </c>
      <c r="G2284" s="1" t="s">
        <v>512</v>
      </c>
      <c r="H2284" s="1" t="s">
        <v>512</v>
      </c>
      <c r="I2284" s="1" t="s">
        <v>512</v>
      </c>
      <c r="J2284" s="1" t="s">
        <v>512</v>
      </c>
      <c r="K2284" s="1" t="s">
        <v>512</v>
      </c>
      <c r="L2284" s="1" t="s">
        <v>512</v>
      </c>
      <c r="M2284" s="1" t="s">
        <v>512</v>
      </c>
      <c r="N2284" s="1" t="s">
        <v>512</v>
      </c>
      <c r="O2284" s="1" t="s">
        <v>512</v>
      </c>
      <c r="Q2284" s="1" t="s">
        <v>512</v>
      </c>
    </row>
    <row r="2285" spans="4:17" x14ac:dyDescent="0.25">
      <c r="D2285" s="1" t="s">
        <v>512</v>
      </c>
      <c r="E2285" s="21" t="s">
        <v>512</v>
      </c>
      <c r="F2285" s="1" t="s">
        <v>512</v>
      </c>
      <c r="G2285" s="1" t="s">
        <v>512</v>
      </c>
      <c r="H2285" s="1" t="s">
        <v>512</v>
      </c>
      <c r="I2285" s="1" t="s">
        <v>512</v>
      </c>
      <c r="J2285" s="1" t="s">
        <v>512</v>
      </c>
      <c r="K2285" s="1" t="s">
        <v>512</v>
      </c>
      <c r="L2285" s="1" t="s">
        <v>512</v>
      </c>
      <c r="M2285" s="1" t="s">
        <v>512</v>
      </c>
      <c r="N2285" s="1" t="s">
        <v>512</v>
      </c>
      <c r="O2285" s="1" t="s">
        <v>512</v>
      </c>
      <c r="Q2285" s="1" t="s">
        <v>512</v>
      </c>
    </row>
    <row r="2286" spans="4:17" x14ac:dyDescent="0.25">
      <c r="D2286" s="1" t="s">
        <v>512</v>
      </c>
      <c r="E2286" s="21" t="s">
        <v>512</v>
      </c>
      <c r="F2286" s="1" t="s">
        <v>512</v>
      </c>
      <c r="G2286" s="1" t="s">
        <v>512</v>
      </c>
      <c r="H2286" s="1" t="s">
        <v>512</v>
      </c>
      <c r="I2286" s="1" t="s">
        <v>512</v>
      </c>
      <c r="J2286" s="1" t="s">
        <v>512</v>
      </c>
      <c r="K2286" s="1" t="s">
        <v>512</v>
      </c>
      <c r="L2286" s="1" t="s">
        <v>512</v>
      </c>
      <c r="M2286" s="1" t="s">
        <v>512</v>
      </c>
      <c r="N2286" s="1" t="s">
        <v>512</v>
      </c>
      <c r="O2286" s="1" t="s">
        <v>512</v>
      </c>
      <c r="Q2286" s="1" t="s">
        <v>512</v>
      </c>
    </row>
    <row r="2287" spans="4:17" x14ac:dyDescent="0.25">
      <c r="D2287" s="1" t="s">
        <v>512</v>
      </c>
      <c r="E2287" s="21" t="s">
        <v>512</v>
      </c>
      <c r="F2287" s="1" t="s">
        <v>512</v>
      </c>
      <c r="G2287" s="1" t="s">
        <v>512</v>
      </c>
      <c r="H2287" s="1" t="s">
        <v>512</v>
      </c>
      <c r="I2287" s="1" t="s">
        <v>512</v>
      </c>
      <c r="J2287" s="1" t="s">
        <v>512</v>
      </c>
      <c r="K2287" s="1" t="s">
        <v>512</v>
      </c>
      <c r="L2287" s="1" t="s">
        <v>512</v>
      </c>
      <c r="M2287" s="1" t="s">
        <v>512</v>
      </c>
      <c r="N2287" s="1" t="s">
        <v>512</v>
      </c>
      <c r="O2287" s="1" t="s">
        <v>512</v>
      </c>
      <c r="Q2287" s="1" t="s">
        <v>512</v>
      </c>
    </row>
    <row r="2288" spans="4:17" x14ac:dyDescent="0.25">
      <c r="D2288" s="1" t="s">
        <v>512</v>
      </c>
      <c r="E2288" s="21" t="s">
        <v>512</v>
      </c>
      <c r="F2288" s="1" t="s">
        <v>512</v>
      </c>
      <c r="G2288" s="1" t="s">
        <v>512</v>
      </c>
      <c r="H2288" s="1" t="s">
        <v>512</v>
      </c>
      <c r="I2288" s="1" t="s">
        <v>512</v>
      </c>
      <c r="J2288" s="1" t="s">
        <v>512</v>
      </c>
      <c r="K2288" s="1" t="s">
        <v>512</v>
      </c>
      <c r="L2288" s="1" t="s">
        <v>512</v>
      </c>
      <c r="M2288" s="1" t="s">
        <v>512</v>
      </c>
      <c r="N2288" s="1" t="s">
        <v>512</v>
      </c>
      <c r="O2288" s="1" t="s">
        <v>512</v>
      </c>
      <c r="Q2288" s="1" t="s">
        <v>512</v>
      </c>
    </row>
    <row r="2289" spans="4:17" x14ac:dyDescent="0.25">
      <c r="D2289" s="1" t="s">
        <v>512</v>
      </c>
      <c r="E2289" s="21" t="s">
        <v>512</v>
      </c>
      <c r="F2289" s="1" t="s">
        <v>512</v>
      </c>
      <c r="G2289" s="1" t="s">
        <v>512</v>
      </c>
      <c r="H2289" s="1" t="s">
        <v>512</v>
      </c>
      <c r="I2289" s="1" t="s">
        <v>512</v>
      </c>
      <c r="J2289" s="1" t="s">
        <v>512</v>
      </c>
      <c r="K2289" s="1" t="s">
        <v>512</v>
      </c>
      <c r="L2289" s="1" t="s">
        <v>512</v>
      </c>
      <c r="M2289" s="1" t="s">
        <v>512</v>
      </c>
      <c r="N2289" s="1" t="s">
        <v>512</v>
      </c>
      <c r="O2289" s="1" t="s">
        <v>512</v>
      </c>
      <c r="Q2289" s="1" t="s">
        <v>512</v>
      </c>
    </row>
    <row r="2290" spans="4:17" x14ac:dyDescent="0.25">
      <c r="D2290" s="1" t="s">
        <v>512</v>
      </c>
      <c r="E2290" s="21" t="s">
        <v>512</v>
      </c>
      <c r="F2290" s="1" t="s">
        <v>512</v>
      </c>
      <c r="G2290" s="1" t="s">
        <v>512</v>
      </c>
      <c r="H2290" s="1" t="s">
        <v>512</v>
      </c>
      <c r="I2290" s="1" t="s">
        <v>512</v>
      </c>
      <c r="J2290" s="1" t="s">
        <v>512</v>
      </c>
      <c r="K2290" s="1" t="s">
        <v>512</v>
      </c>
      <c r="L2290" s="1" t="s">
        <v>512</v>
      </c>
      <c r="M2290" s="1" t="s">
        <v>512</v>
      </c>
      <c r="N2290" s="1" t="s">
        <v>512</v>
      </c>
      <c r="O2290" s="1" t="s">
        <v>512</v>
      </c>
      <c r="Q2290" s="1" t="s">
        <v>512</v>
      </c>
    </row>
    <row r="2291" spans="4:17" x14ac:dyDescent="0.25">
      <c r="D2291" s="1" t="s">
        <v>512</v>
      </c>
      <c r="E2291" s="21" t="s">
        <v>512</v>
      </c>
      <c r="F2291" s="1" t="s">
        <v>512</v>
      </c>
      <c r="G2291" s="1" t="s">
        <v>512</v>
      </c>
      <c r="H2291" s="1" t="s">
        <v>512</v>
      </c>
      <c r="I2291" s="1" t="s">
        <v>512</v>
      </c>
      <c r="J2291" s="1" t="s">
        <v>512</v>
      </c>
      <c r="K2291" s="1" t="s">
        <v>512</v>
      </c>
      <c r="L2291" s="1" t="s">
        <v>512</v>
      </c>
      <c r="M2291" s="1" t="s">
        <v>512</v>
      </c>
      <c r="N2291" s="1" t="s">
        <v>512</v>
      </c>
      <c r="O2291" s="1" t="s">
        <v>512</v>
      </c>
      <c r="Q2291" s="1" t="s">
        <v>512</v>
      </c>
    </row>
    <row r="2292" spans="4:17" x14ac:dyDescent="0.25">
      <c r="D2292" s="1" t="s">
        <v>512</v>
      </c>
      <c r="E2292" s="21" t="s">
        <v>512</v>
      </c>
      <c r="F2292" s="1" t="s">
        <v>512</v>
      </c>
      <c r="G2292" s="1" t="s">
        <v>512</v>
      </c>
      <c r="H2292" s="1" t="s">
        <v>512</v>
      </c>
      <c r="I2292" s="1" t="s">
        <v>512</v>
      </c>
      <c r="J2292" s="1" t="s">
        <v>512</v>
      </c>
      <c r="K2292" s="1" t="s">
        <v>512</v>
      </c>
      <c r="L2292" s="1" t="s">
        <v>512</v>
      </c>
      <c r="M2292" s="1" t="s">
        <v>512</v>
      </c>
      <c r="N2292" s="1" t="s">
        <v>512</v>
      </c>
      <c r="O2292" s="1" t="s">
        <v>512</v>
      </c>
      <c r="Q2292" s="1" t="s">
        <v>512</v>
      </c>
    </row>
    <row r="2293" spans="4:17" x14ac:dyDescent="0.25">
      <c r="D2293" s="1" t="s">
        <v>512</v>
      </c>
      <c r="E2293" s="21" t="s">
        <v>512</v>
      </c>
      <c r="F2293" s="1" t="s">
        <v>512</v>
      </c>
      <c r="G2293" s="1" t="s">
        <v>512</v>
      </c>
      <c r="H2293" s="1" t="s">
        <v>512</v>
      </c>
      <c r="I2293" s="1" t="s">
        <v>512</v>
      </c>
      <c r="J2293" s="1" t="s">
        <v>512</v>
      </c>
      <c r="K2293" s="1" t="s">
        <v>512</v>
      </c>
      <c r="L2293" s="1" t="s">
        <v>512</v>
      </c>
      <c r="M2293" s="1" t="s">
        <v>512</v>
      </c>
      <c r="N2293" s="1" t="s">
        <v>512</v>
      </c>
      <c r="O2293" s="1" t="s">
        <v>512</v>
      </c>
      <c r="Q2293" s="1" t="s">
        <v>512</v>
      </c>
    </row>
    <row r="2294" spans="4:17" x14ac:dyDescent="0.25">
      <c r="D2294" s="1" t="s">
        <v>512</v>
      </c>
      <c r="E2294" s="21" t="s">
        <v>512</v>
      </c>
      <c r="F2294" s="1" t="s">
        <v>512</v>
      </c>
      <c r="G2294" s="1" t="s">
        <v>512</v>
      </c>
      <c r="H2294" s="1" t="s">
        <v>512</v>
      </c>
      <c r="I2294" s="1" t="s">
        <v>512</v>
      </c>
      <c r="J2294" s="1" t="s">
        <v>512</v>
      </c>
      <c r="K2294" s="1" t="s">
        <v>512</v>
      </c>
      <c r="L2294" s="1" t="s">
        <v>512</v>
      </c>
      <c r="M2294" s="1" t="s">
        <v>512</v>
      </c>
      <c r="N2294" s="1" t="s">
        <v>512</v>
      </c>
      <c r="O2294" s="1" t="s">
        <v>512</v>
      </c>
      <c r="Q2294" s="1" t="s">
        <v>512</v>
      </c>
    </row>
    <row r="2295" spans="4:17" x14ac:dyDescent="0.25">
      <c r="D2295" s="1" t="s">
        <v>512</v>
      </c>
      <c r="E2295" s="21" t="s">
        <v>512</v>
      </c>
      <c r="F2295" s="1" t="s">
        <v>512</v>
      </c>
      <c r="G2295" s="1" t="s">
        <v>512</v>
      </c>
      <c r="H2295" s="1" t="s">
        <v>512</v>
      </c>
      <c r="I2295" s="1" t="s">
        <v>512</v>
      </c>
      <c r="J2295" s="1" t="s">
        <v>512</v>
      </c>
      <c r="K2295" s="1" t="s">
        <v>512</v>
      </c>
      <c r="L2295" s="1" t="s">
        <v>512</v>
      </c>
      <c r="M2295" s="1" t="s">
        <v>512</v>
      </c>
      <c r="N2295" s="1" t="s">
        <v>512</v>
      </c>
      <c r="O2295" s="1" t="s">
        <v>512</v>
      </c>
      <c r="Q2295" s="1" t="s">
        <v>512</v>
      </c>
    </row>
    <row r="2296" spans="4:17" x14ac:dyDescent="0.25">
      <c r="D2296" s="1" t="s">
        <v>512</v>
      </c>
      <c r="E2296" s="21" t="s">
        <v>512</v>
      </c>
      <c r="F2296" s="1" t="s">
        <v>512</v>
      </c>
      <c r="G2296" s="1" t="s">
        <v>512</v>
      </c>
      <c r="H2296" s="1" t="s">
        <v>512</v>
      </c>
      <c r="I2296" s="1" t="s">
        <v>512</v>
      </c>
      <c r="J2296" s="1" t="s">
        <v>512</v>
      </c>
      <c r="K2296" s="1" t="s">
        <v>512</v>
      </c>
      <c r="L2296" s="1" t="s">
        <v>512</v>
      </c>
      <c r="M2296" s="1" t="s">
        <v>512</v>
      </c>
      <c r="N2296" s="1" t="s">
        <v>512</v>
      </c>
      <c r="O2296" s="1" t="s">
        <v>512</v>
      </c>
      <c r="Q2296" s="1" t="s">
        <v>512</v>
      </c>
    </row>
    <row r="2297" spans="4:17" x14ac:dyDescent="0.25">
      <c r="D2297" s="1" t="s">
        <v>512</v>
      </c>
      <c r="E2297" s="21" t="s">
        <v>512</v>
      </c>
      <c r="F2297" s="1" t="s">
        <v>512</v>
      </c>
      <c r="G2297" s="1" t="s">
        <v>512</v>
      </c>
      <c r="H2297" s="1" t="s">
        <v>512</v>
      </c>
      <c r="I2297" s="1" t="s">
        <v>512</v>
      </c>
      <c r="J2297" s="1" t="s">
        <v>512</v>
      </c>
      <c r="K2297" s="1" t="s">
        <v>512</v>
      </c>
      <c r="L2297" s="1" t="s">
        <v>512</v>
      </c>
      <c r="M2297" s="1" t="s">
        <v>512</v>
      </c>
      <c r="N2297" s="1" t="s">
        <v>512</v>
      </c>
      <c r="O2297" s="1" t="s">
        <v>512</v>
      </c>
      <c r="Q2297" s="1" t="s">
        <v>512</v>
      </c>
    </row>
    <row r="2298" spans="4:17" x14ac:dyDescent="0.25">
      <c r="D2298" s="1" t="s">
        <v>512</v>
      </c>
      <c r="E2298" s="21" t="s">
        <v>512</v>
      </c>
      <c r="F2298" s="1" t="s">
        <v>512</v>
      </c>
      <c r="G2298" s="1" t="s">
        <v>512</v>
      </c>
      <c r="H2298" s="1" t="s">
        <v>512</v>
      </c>
      <c r="I2298" s="1" t="s">
        <v>512</v>
      </c>
      <c r="J2298" s="1" t="s">
        <v>512</v>
      </c>
      <c r="K2298" s="1" t="s">
        <v>512</v>
      </c>
      <c r="L2298" s="1" t="s">
        <v>512</v>
      </c>
      <c r="M2298" s="1" t="s">
        <v>512</v>
      </c>
      <c r="N2298" s="1" t="s">
        <v>512</v>
      </c>
      <c r="O2298" s="1" t="s">
        <v>512</v>
      </c>
      <c r="Q2298" s="1" t="s">
        <v>512</v>
      </c>
    </row>
    <row r="2299" spans="4:17" x14ac:dyDescent="0.25">
      <c r="D2299" s="1" t="s">
        <v>512</v>
      </c>
      <c r="E2299" s="21" t="s">
        <v>512</v>
      </c>
      <c r="F2299" s="1" t="s">
        <v>512</v>
      </c>
      <c r="G2299" s="1" t="s">
        <v>512</v>
      </c>
      <c r="H2299" s="1" t="s">
        <v>512</v>
      </c>
      <c r="I2299" s="1" t="s">
        <v>512</v>
      </c>
      <c r="J2299" s="1" t="s">
        <v>512</v>
      </c>
      <c r="K2299" s="1" t="s">
        <v>512</v>
      </c>
      <c r="L2299" s="1" t="s">
        <v>512</v>
      </c>
      <c r="M2299" s="1" t="s">
        <v>512</v>
      </c>
      <c r="N2299" s="1" t="s">
        <v>512</v>
      </c>
      <c r="O2299" s="1" t="s">
        <v>512</v>
      </c>
      <c r="Q2299" s="1" t="s">
        <v>512</v>
      </c>
    </row>
    <row r="2300" spans="4:17" x14ac:dyDescent="0.25">
      <c r="D2300" s="1" t="s">
        <v>512</v>
      </c>
      <c r="E2300" s="21" t="s">
        <v>512</v>
      </c>
      <c r="F2300" s="1" t="s">
        <v>512</v>
      </c>
      <c r="G2300" s="1" t="s">
        <v>512</v>
      </c>
      <c r="H2300" s="1" t="s">
        <v>512</v>
      </c>
      <c r="I2300" s="1" t="s">
        <v>512</v>
      </c>
      <c r="J2300" s="1" t="s">
        <v>512</v>
      </c>
      <c r="K2300" s="1" t="s">
        <v>512</v>
      </c>
      <c r="L2300" s="1" t="s">
        <v>512</v>
      </c>
      <c r="M2300" s="1" t="s">
        <v>512</v>
      </c>
      <c r="N2300" s="1" t="s">
        <v>512</v>
      </c>
      <c r="O2300" s="1" t="s">
        <v>512</v>
      </c>
      <c r="Q2300" s="1" t="s">
        <v>512</v>
      </c>
    </row>
    <row r="2301" spans="4:17" x14ac:dyDescent="0.25">
      <c r="D2301" s="1" t="s">
        <v>512</v>
      </c>
      <c r="E2301" s="21" t="s">
        <v>512</v>
      </c>
      <c r="F2301" s="1" t="s">
        <v>512</v>
      </c>
      <c r="G2301" s="1" t="s">
        <v>512</v>
      </c>
      <c r="H2301" s="1" t="s">
        <v>512</v>
      </c>
      <c r="I2301" s="1" t="s">
        <v>512</v>
      </c>
      <c r="J2301" s="1" t="s">
        <v>512</v>
      </c>
      <c r="K2301" s="1" t="s">
        <v>512</v>
      </c>
      <c r="L2301" s="1" t="s">
        <v>512</v>
      </c>
      <c r="M2301" s="1" t="s">
        <v>512</v>
      </c>
      <c r="N2301" s="1" t="s">
        <v>512</v>
      </c>
      <c r="O2301" s="1" t="s">
        <v>512</v>
      </c>
      <c r="Q2301" s="1" t="s">
        <v>512</v>
      </c>
    </row>
    <row r="2302" spans="4:17" x14ac:dyDescent="0.25">
      <c r="D2302" s="1" t="s">
        <v>512</v>
      </c>
      <c r="E2302" s="21" t="s">
        <v>512</v>
      </c>
      <c r="F2302" s="1" t="s">
        <v>512</v>
      </c>
      <c r="G2302" s="1" t="s">
        <v>512</v>
      </c>
      <c r="H2302" s="1" t="s">
        <v>512</v>
      </c>
      <c r="I2302" s="1" t="s">
        <v>512</v>
      </c>
      <c r="J2302" s="1" t="s">
        <v>512</v>
      </c>
      <c r="K2302" s="1" t="s">
        <v>512</v>
      </c>
      <c r="L2302" s="1" t="s">
        <v>512</v>
      </c>
      <c r="M2302" s="1" t="s">
        <v>512</v>
      </c>
      <c r="N2302" s="1" t="s">
        <v>512</v>
      </c>
      <c r="O2302" s="1" t="s">
        <v>512</v>
      </c>
      <c r="Q2302" s="1" t="s">
        <v>512</v>
      </c>
    </row>
    <row r="2303" spans="4:17" x14ac:dyDescent="0.25">
      <c r="D2303" s="1" t="s">
        <v>512</v>
      </c>
      <c r="E2303" s="21" t="s">
        <v>512</v>
      </c>
      <c r="F2303" s="1" t="s">
        <v>512</v>
      </c>
      <c r="G2303" s="1" t="s">
        <v>512</v>
      </c>
      <c r="H2303" s="1" t="s">
        <v>512</v>
      </c>
      <c r="I2303" s="1" t="s">
        <v>512</v>
      </c>
      <c r="J2303" s="1" t="s">
        <v>512</v>
      </c>
      <c r="K2303" s="1" t="s">
        <v>512</v>
      </c>
      <c r="L2303" s="1" t="s">
        <v>512</v>
      </c>
      <c r="M2303" s="1" t="s">
        <v>512</v>
      </c>
      <c r="N2303" s="1" t="s">
        <v>512</v>
      </c>
      <c r="O2303" s="1" t="s">
        <v>512</v>
      </c>
      <c r="Q2303" s="1" t="s">
        <v>512</v>
      </c>
    </row>
    <row r="2304" spans="4:17" x14ac:dyDescent="0.25">
      <c r="D2304" s="1" t="s">
        <v>512</v>
      </c>
      <c r="E2304" s="21" t="s">
        <v>512</v>
      </c>
      <c r="F2304" s="1" t="s">
        <v>512</v>
      </c>
      <c r="G2304" s="1" t="s">
        <v>512</v>
      </c>
      <c r="H2304" s="1" t="s">
        <v>512</v>
      </c>
      <c r="I2304" s="1" t="s">
        <v>512</v>
      </c>
      <c r="J2304" s="1" t="s">
        <v>512</v>
      </c>
      <c r="K2304" s="1" t="s">
        <v>512</v>
      </c>
      <c r="L2304" s="1" t="s">
        <v>512</v>
      </c>
      <c r="M2304" s="1" t="s">
        <v>512</v>
      </c>
      <c r="N2304" s="1" t="s">
        <v>512</v>
      </c>
      <c r="O2304" s="1" t="s">
        <v>512</v>
      </c>
      <c r="Q2304" s="1" t="s">
        <v>512</v>
      </c>
    </row>
    <row r="2305" spans="4:17" x14ac:dyDescent="0.25">
      <c r="D2305" s="1" t="s">
        <v>512</v>
      </c>
      <c r="E2305" s="21" t="s">
        <v>512</v>
      </c>
      <c r="F2305" s="1" t="s">
        <v>512</v>
      </c>
      <c r="G2305" s="1" t="s">
        <v>512</v>
      </c>
      <c r="H2305" s="1" t="s">
        <v>512</v>
      </c>
      <c r="I2305" s="1" t="s">
        <v>512</v>
      </c>
      <c r="J2305" s="1" t="s">
        <v>512</v>
      </c>
      <c r="K2305" s="1" t="s">
        <v>512</v>
      </c>
      <c r="L2305" s="1" t="s">
        <v>512</v>
      </c>
      <c r="M2305" s="1" t="s">
        <v>512</v>
      </c>
      <c r="N2305" s="1" t="s">
        <v>512</v>
      </c>
      <c r="O2305" s="1" t="s">
        <v>512</v>
      </c>
      <c r="Q2305" s="1" t="s">
        <v>512</v>
      </c>
    </row>
    <row r="2306" spans="4:17" x14ac:dyDescent="0.25">
      <c r="D2306" s="1" t="s">
        <v>512</v>
      </c>
      <c r="E2306" s="21" t="s">
        <v>512</v>
      </c>
      <c r="F2306" s="1" t="s">
        <v>512</v>
      </c>
      <c r="G2306" s="1" t="s">
        <v>512</v>
      </c>
      <c r="H2306" s="1" t="s">
        <v>512</v>
      </c>
      <c r="I2306" s="1" t="s">
        <v>512</v>
      </c>
      <c r="J2306" s="1" t="s">
        <v>512</v>
      </c>
      <c r="K2306" s="1" t="s">
        <v>512</v>
      </c>
      <c r="L2306" s="1" t="s">
        <v>512</v>
      </c>
      <c r="M2306" s="1" t="s">
        <v>512</v>
      </c>
      <c r="N2306" s="1" t="s">
        <v>512</v>
      </c>
      <c r="O2306" s="1" t="s">
        <v>512</v>
      </c>
      <c r="Q2306" s="1" t="s">
        <v>512</v>
      </c>
    </row>
    <row r="2307" spans="4:17" x14ac:dyDescent="0.25">
      <c r="D2307" s="1" t="s">
        <v>512</v>
      </c>
      <c r="E2307" s="21" t="s">
        <v>512</v>
      </c>
      <c r="F2307" s="1" t="s">
        <v>512</v>
      </c>
      <c r="G2307" s="1" t="s">
        <v>512</v>
      </c>
      <c r="H2307" s="1" t="s">
        <v>512</v>
      </c>
      <c r="I2307" s="1" t="s">
        <v>512</v>
      </c>
      <c r="J2307" s="1" t="s">
        <v>512</v>
      </c>
      <c r="K2307" s="1" t="s">
        <v>512</v>
      </c>
      <c r="L2307" s="1" t="s">
        <v>512</v>
      </c>
      <c r="M2307" s="1" t="s">
        <v>512</v>
      </c>
      <c r="N2307" s="1" t="s">
        <v>512</v>
      </c>
      <c r="O2307" s="1" t="s">
        <v>512</v>
      </c>
      <c r="Q2307" s="1" t="s">
        <v>512</v>
      </c>
    </row>
    <row r="2308" spans="4:17" x14ac:dyDescent="0.25">
      <c r="D2308" s="1" t="s">
        <v>512</v>
      </c>
      <c r="E2308" s="21" t="s">
        <v>512</v>
      </c>
      <c r="F2308" s="1" t="s">
        <v>512</v>
      </c>
      <c r="G2308" s="1" t="s">
        <v>512</v>
      </c>
      <c r="H2308" s="1" t="s">
        <v>512</v>
      </c>
      <c r="I2308" s="1" t="s">
        <v>512</v>
      </c>
      <c r="J2308" s="1" t="s">
        <v>512</v>
      </c>
      <c r="K2308" s="1" t="s">
        <v>512</v>
      </c>
      <c r="L2308" s="1" t="s">
        <v>512</v>
      </c>
      <c r="M2308" s="1" t="s">
        <v>512</v>
      </c>
      <c r="N2308" s="1" t="s">
        <v>512</v>
      </c>
      <c r="O2308" s="1" t="s">
        <v>512</v>
      </c>
      <c r="Q2308" s="1" t="s">
        <v>512</v>
      </c>
    </row>
    <row r="2309" spans="4:17" x14ac:dyDescent="0.25">
      <c r="D2309" s="1" t="s">
        <v>512</v>
      </c>
      <c r="E2309" s="21" t="s">
        <v>512</v>
      </c>
      <c r="F2309" s="1" t="s">
        <v>512</v>
      </c>
      <c r="G2309" s="1" t="s">
        <v>512</v>
      </c>
      <c r="H2309" s="1" t="s">
        <v>512</v>
      </c>
      <c r="I2309" s="1" t="s">
        <v>512</v>
      </c>
      <c r="J2309" s="1" t="s">
        <v>512</v>
      </c>
      <c r="K2309" s="1" t="s">
        <v>512</v>
      </c>
      <c r="L2309" s="1" t="s">
        <v>512</v>
      </c>
      <c r="M2309" s="1" t="s">
        <v>512</v>
      </c>
      <c r="N2309" s="1" t="s">
        <v>512</v>
      </c>
      <c r="O2309" s="1" t="s">
        <v>512</v>
      </c>
      <c r="Q2309" s="1" t="s">
        <v>512</v>
      </c>
    </row>
    <row r="2310" spans="4:17" x14ac:dyDescent="0.25">
      <c r="D2310" s="1" t="s">
        <v>512</v>
      </c>
      <c r="E2310" s="21" t="s">
        <v>512</v>
      </c>
      <c r="F2310" s="1" t="s">
        <v>512</v>
      </c>
      <c r="G2310" s="1" t="s">
        <v>512</v>
      </c>
      <c r="H2310" s="1" t="s">
        <v>512</v>
      </c>
      <c r="I2310" s="1" t="s">
        <v>512</v>
      </c>
      <c r="J2310" s="1" t="s">
        <v>512</v>
      </c>
      <c r="K2310" s="1" t="s">
        <v>512</v>
      </c>
      <c r="L2310" s="1" t="s">
        <v>512</v>
      </c>
      <c r="M2310" s="1" t="s">
        <v>512</v>
      </c>
      <c r="N2310" s="1" t="s">
        <v>512</v>
      </c>
      <c r="O2310" s="1" t="s">
        <v>512</v>
      </c>
      <c r="Q2310" s="1" t="s">
        <v>512</v>
      </c>
    </row>
    <row r="2311" spans="4:17" x14ac:dyDescent="0.25">
      <c r="D2311" s="1" t="s">
        <v>512</v>
      </c>
      <c r="E2311" s="21" t="s">
        <v>512</v>
      </c>
      <c r="F2311" s="1" t="s">
        <v>512</v>
      </c>
      <c r="G2311" s="1" t="s">
        <v>512</v>
      </c>
      <c r="H2311" s="1" t="s">
        <v>512</v>
      </c>
      <c r="I2311" s="1" t="s">
        <v>512</v>
      </c>
      <c r="J2311" s="1" t="s">
        <v>512</v>
      </c>
      <c r="K2311" s="1" t="s">
        <v>512</v>
      </c>
      <c r="L2311" s="1" t="s">
        <v>512</v>
      </c>
      <c r="M2311" s="1" t="s">
        <v>512</v>
      </c>
      <c r="N2311" s="1" t="s">
        <v>512</v>
      </c>
      <c r="O2311" s="1" t="s">
        <v>512</v>
      </c>
      <c r="Q2311" s="1" t="s">
        <v>512</v>
      </c>
    </row>
    <row r="2312" spans="4:17" x14ac:dyDescent="0.25">
      <c r="D2312" s="1" t="s">
        <v>512</v>
      </c>
      <c r="E2312" s="21" t="s">
        <v>512</v>
      </c>
      <c r="F2312" s="1" t="s">
        <v>512</v>
      </c>
      <c r="G2312" s="1" t="s">
        <v>512</v>
      </c>
      <c r="H2312" s="1" t="s">
        <v>512</v>
      </c>
      <c r="I2312" s="1" t="s">
        <v>512</v>
      </c>
      <c r="J2312" s="1" t="s">
        <v>512</v>
      </c>
      <c r="K2312" s="1" t="s">
        <v>512</v>
      </c>
      <c r="L2312" s="1" t="s">
        <v>512</v>
      </c>
      <c r="M2312" s="1" t="s">
        <v>512</v>
      </c>
      <c r="N2312" s="1" t="s">
        <v>512</v>
      </c>
      <c r="O2312" s="1" t="s">
        <v>512</v>
      </c>
      <c r="Q2312" s="1" t="s">
        <v>512</v>
      </c>
    </row>
    <row r="2313" spans="4:17" x14ac:dyDescent="0.25">
      <c r="D2313" s="1" t="s">
        <v>512</v>
      </c>
      <c r="E2313" s="21" t="s">
        <v>512</v>
      </c>
      <c r="F2313" s="1" t="s">
        <v>512</v>
      </c>
      <c r="G2313" s="1" t="s">
        <v>512</v>
      </c>
      <c r="H2313" s="1" t="s">
        <v>512</v>
      </c>
      <c r="I2313" s="1" t="s">
        <v>512</v>
      </c>
      <c r="J2313" s="1" t="s">
        <v>512</v>
      </c>
      <c r="K2313" s="1" t="s">
        <v>512</v>
      </c>
      <c r="L2313" s="1" t="s">
        <v>512</v>
      </c>
      <c r="M2313" s="1" t="s">
        <v>512</v>
      </c>
      <c r="N2313" s="1" t="s">
        <v>512</v>
      </c>
      <c r="O2313" s="1" t="s">
        <v>512</v>
      </c>
      <c r="Q2313" s="1" t="s">
        <v>512</v>
      </c>
    </row>
    <row r="2314" spans="4:17" x14ac:dyDescent="0.25">
      <c r="D2314" s="1" t="s">
        <v>512</v>
      </c>
      <c r="E2314" s="21" t="s">
        <v>512</v>
      </c>
      <c r="F2314" s="1" t="s">
        <v>512</v>
      </c>
      <c r="G2314" s="1" t="s">
        <v>512</v>
      </c>
      <c r="H2314" s="1" t="s">
        <v>512</v>
      </c>
      <c r="I2314" s="1" t="s">
        <v>512</v>
      </c>
      <c r="J2314" s="1" t="s">
        <v>512</v>
      </c>
      <c r="K2314" s="1" t="s">
        <v>512</v>
      </c>
      <c r="L2314" s="1" t="s">
        <v>512</v>
      </c>
      <c r="M2314" s="1" t="s">
        <v>512</v>
      </c>
      <c r="N2314" s="1" t="s">
        <v>512</v>
      </c>
      <c r="O2314" s="1" t="s">
        <v>512</v>
      </c>
      <c r="Q2314" s="1" t="s">
        <v>512</v>
      </c>
    </row>
    <row r="2315" spans="4:17" x14ac:dyDescent="0.25">
      <c r="D2315" s="1" t="s">
        <v>512</v>
      </c>
      <c r="E2315" s="21" t="s">
        <v>512</v>
      </c>
      <c r="F2315" s="1" t="s">
        <v>512</v>
      </c>
      <c r="G2315" s="1" t="s">
        <v>512</v>
      </c>
      <c r="H2315" s="1" t="s">
        <v>512</v>
      </c>
      <c r="I2315" s="1" t="s">
        <v>512</v>
      </c>
      <c r="J2315" s="1" t="s">
        <v>512</v>
      </c>
      <c r="K2315" s="1" t="s">
        <v>512</v>
      </c>
      <c r="L2315" s="1" t="s">
        <v>512</v>
      </c>
      <c r="M2315" s="1" t="s">
        <v>512</v>
      </c>
      <c r="N2315" s="1" t="s">
        <v>512</v>
      </c>
      <c r="O2315" s="1" t="s">
        <v>512</v>
      </c>
      <c r="Q2315" s="1" t="s">
        <v>512</v>
      </c>
    </row>
    <row r="2316" spans="4:17" x14ac:dyDescent="0.25">
      <c r="D2316" s="1" t="s">
        <v>512</v>
      </c>
      <c r="E2316" s="21" t="s">
        <v>512</v>
      </c>
      <c r="F2316" s="1" t="s">
        <v>512</v>
      </c>
      <c r="G2316" s="1" t="s">
        <v>512</v>
      </c>
      <c r="H2316" s="1" t="s">
        <v>512</v>
      </c>
      <c r="I2316" s="1" t="s">
        <v>512</v>
      </c>
      <c r="J2316" s="1" t="s">
        <v>512</v>
      </c>
      <c r="K2316" s="1" t="s">
        <v>512</v>
      </c>
      <c r="L2316" s="1" t="s">
        <v>512</v>
      </c>
      <c r="M2316" s="1" t="s">
        <v>512</v>
      </c>
      <c r="N2316" s="1" t="s">
        <v>512</v>
      </c>
      <c r="O2316" s="1" t="s">
        <v>512</v>
      </c>
      <c r="Q2316" s="1" t="s">
        <v>512</v>
      </c>
    </row>
    <row r="2317" spans="4:17" x14ac:dyDescent="0.25">
      <c r="D2317" s="1" t="s">
        <v>512</v>
      </c>
      <c r="E2317" s="21" t="s">
        <v>512</v>
      </c>
      <c r="F2317" s="1" t="s">
        <v>512</v>
      </c>
      <c r="G2317" s="1" t="s">
        <v>512</v>
      </c>
      <c r="H2317" s="1" t="s">
        <v>512</v>
      </c>
      <c r="I2317" s="1" t="s">
        <v>512</v>
      </c>
      <c r="J2317" s="1" t="s">
        <v>512</v>
      </c>
      <c r="K2317" s="1" t="s">
        <v>512</v>
      </c>
      <c r="L2317" s="1" t="s">
        <v>512</v>
      </c>
      <c r="M2317" s="1" t="s">
        <v>512</v>
      </c>
      <c r="N2317" s="1" t="s">
        <v>512</v>
      </c>
      <c r="O2317" s="1" t="s">
        <v>512</v>
      </c>
      <c r="Q2317" s="1" t="s">
        <v>512</v>
      </c>
    </row>
    <row r="2318" spans="4:17" x14ac:dyDescent="0.25">
      <c r="D2318" s="1" t="s">
        <v>512</v>
      </c>
      <c r="E2318" s="21" t="s">
        <v>512</v>
      </c>
      <c r="F2318" s="1" t="s">
        <v>512</v>
      </c>
      <c r="G2318" s="1" t="s">
        <v>512</v>
      </c>
      <c r="H2318" s="1" t="s">
        <v>512</v>
      </c>
      <c r="I2318" s="1" t="s">
        <v>512</v>
      </c>
      <c r="J2318" s="1" t="s">
        <v>512</v>
      </c>
      <c r="K2318" s="1" t="s">
        <v>512</v>
      </c>
      <c r="L2318" s="1" t="s">
        <v>512</v>
      </c>
      <c r="M2318" s="1" t="s">
        <v>512</v>
      </c>
      <c r="N2318" s="1" t="s">
        <v>512</v>
      </c>
      <c r="O2318" s="1" t="s">
        <v>512</v>
      </c>
      <c r="Q2318" s="1" t="s">
        <v>512</v>
      </c>
    </row>
    <row r="2319" spans="4:17" x14ac:dyDescent="0.25">
      <c r="D2319" s="1" t="s">
        <v>512</v>
      </c>
      <c r="E2319" s="21" t="s">
        <v>512</v>
      </c>
      <c r="F2319" s="1" t="s">
        <v>512</v>
      </c>
      <c r="G2319" s="1" t="s">
        <v>512</v>
      </c>
      <c r="H2319" s="1" t="s">
        <v>512</v>
      </c>
      <c r="I2319" s="1" t="s">
        <v>512</v>
      </c>
      <c r="J2319" s="1" t="s">
        <v>512</v>
      </c>
      <c r="K2319" s="1" t="s">
        <v>512</v>
      </c>
      <c r="L2319" s="1" t="s">
        <v>512</v>
      </c>
      <c r="M2319" s="1" t="s">
        <v>512</v>
      </c>
      <c r="N2319" s="1" t="s">
        <v>512</v>
      </c>
      <c r="O2319" s="1" t="s">
        <v>512</v>
      </c>
      <c r="Q2319" s="1" t="s">
        <v>512</v>
      </c>
    </row>
    <row r="2320" spans="4:17" x14ac:dyDescent="0.25">
      <c r="D2320" s="1" t="s">
        <v>512</v>
      </c>
      <c r="E2320" s="21" t="s">
        <v>512</v>
      </c>
      <c r="F2320" s="1" t="s">
        <v>512</v>
      </c>
      <c r="G2320" s="1" t="s">
        <v>512</v>
      </c>
      <c r="H2320" s="1" t="s">
        <v>512</v>
      </c>
      <c r="I2320" s="1" t="s">
        <v>512</v>
      </c>
      <c r="J2320" s="1" t="s">
        <v>512</v>
      </c>
      <c r="K2320" s="1" t="s">
        <v>512</v>
      </c>
      <c r="L2320" s="1" t="s">
        <v>512</v>
      </c>
      <c r="M2320" s="1" t="s">
        <v>512</v>
      </c>
      <c r="N2320" s="1" t="s">
        <v>512</v>
      </c>
      <c r="O2320" s="1" t="s">
        <v>512</v>
      </c>
      <c r="Q2320" s="1" t="s">
        <v>512</v>
      </c>
    </row>
    <row r="2321" spans="4:17" x14ac:dyDescent="0.25">
      <c r="D2321" s="1" t="s">
        <v>512</v>
      </c>
      <c r="E2321" s="21" t="s">
        <v>512</v>
      </c>
      <c r="F2321" s="1" t="s">
        <v>512</v>
      </c>
      <c r="G2321" s="1" t="s">
        <v>512</v>
      </c>
      <c r="H2321" s="1" t="s">
        <v>512</v>
      </c>
      <c r="I2321" s="1" t="s">
        <v>512</v>
      </c>
      <c r="J2321" s="1" t="s">
        <v>512</v>
      </c>
      <c r="K2321" s="1" t="s">
        <v>512</v>
      </c>
      <c r="L2321" s="1" t="s">
        <v>512</v>
      </c>
      <c r="M2321" s="1" t="s">
        <v>512</v>
      </c>
      <c r="N2321" s="1" t="s">
        <v>512</v>
      </c>
      <c r="O2321" s="1" t="s">
        <v>512</v>
      </c>
      <c r="Q2321" s="1" t="s">
        <v>512</v>
      </c>
    </row>
    <row r="2322" spans="4:17" x14ac:dyDescent="0.25">
      <c r="D2322" s="1" t="s">
        <v>512</v>
      </c>
      <c r="E2322" s="21" t="s">
        <v>512</v>
      </c>
      <c r="F2322" s="1" t="s">
        <v>512</v>
      </c>
      <c r="G2322" s="1" t="s">
        <v>512</v>
      </c>
      <c r="H2322" s="1" t="s">
        <v>512</v>
      </c>
      <c r="I2322" s="1" t="s">
        <v>512</v>
      </c>
      <c r="J2322" s="1" t="s">
        <v>512</v>
      </c>
      <c r="K2322" s="1" t="s">
        <v>512</v>
      </c>
      <c r="L2322" s="1" t="s">
        <v>512</v>
      </c>
      <c r="M2322" s="1" t="s">
        <v>512</v>
      </c>
      <c r="N2322" s="1" t="s">
        <v>512</v>
      </c>
      <c r="O2322" s="1" t="s">
        <v>512</v>
      </c>
      <c r="Q2322" s="1" t="s">
        <v>512</v>
      </c>
    </row>
    <row r="2323" spans="4:17" x14ac:dyDescent="0.25">
      <c r="D2323" s="1" t="s">
        <v>512</v>
      </c>
      <c r="E2323" s="21" t="s">
        <v>512</v>
      </c>
      <c r="F2323" s="1" t="s">
        <v>512</v>
      </c>
      <c r="G2323" s="1" t="s">
        <v>512</v>
      </c>
      <c r="H2323" s="1" t="s">
        <v>512</v>
      </c>
      <c r="I2323" s="1" t="s">
        <v>512</v>
      </c>
      <c r="J2323" s="1" t="s">
        <v>512</v>
      </c>
      <c r="K2323" s="1" t="s">
        <v>512</v>
      </c>
      <c r="L2323" s="1" t="s">
        <v>512</v>
      </c>
      <c r="M2323" s="1" t="s">
        <v>512</v>
      </c>
      <c r="N2323" s="1" t="s">
        <v>512</v>
      </c>
      <c r="O2323" s="1" t="s">
        <v>512</v>
      </c>
      <c r="Q2323" s="1" t="s">
        <v>512</v>
      </c>
    </row>
    <row r="2324" spans="4:17" x14ac:dyDescent="0.25">
      <c r="D2324" s="1" t="s">
        <v>512</v>
      </c>
      <c r="E2324" s="21" t="s">
        <v>512</v>
      </c>
      <c r="F2324" s="1" t="s">
        <v>512</v>
      </c>
      <c r="G2324" s="1" t="s">
        <v>512</v>
      </c>
      <c r="H2324" s="1" t="s">
        <v>512</v>
      </c>
      <c r="I2324" s="1" t="s">
        <v>512</v>
      </c>
      <c r="J2324" s="1" t="s">
        <v>512</v>
      </c>
      <c r="K2324" s="1" t="s">
        <v>512</v>
      </c>
      <c r="L2324" s="1" t="s">
        <v>512</v>
      </c>
      <c r="M2324" s="1" t="s">
        <v>512</v>
      </c>
      <c r="N2324" s="1" t="s">
        <v>512</v>
      </c>
      <c r="O2324" s="1" t="s">
        <v>512</v>
      </c>
      <c r="Q2324" s="1" t="s">
        <v>512</v>
      </c>
    </row>
    <row r="2325" spans="4:17" x14ac:dyDescent="0.25">
      <c r="D2325" s="1" t="s">
        <v>512</v>
      </c>
      <c r="E2325" s="21" t="s">
        <v>512</v>
      </c>
      <c r="F2325" s="1" t="s">
        <v>512</v>
      </c>
      <c r="G2325" s="1" t="s">
        <v>512</v>
      </c>
      <c r="H2325" s="1" t="s">
        <v>512</v>
      </c>
      <c r="I2325" s="1" t="s">
        <v>512</v>
      </c>
      <c r="J2325" s="1" t="s">
        <v>512</v>
      </c>
      <c r="K2325" s="1" t="s">
        <v>512</v>
      </c>
      <c r="L2325" s="1" t="s">
        <v>512</v>
      </c>
      <c r="M2325" s="1" t="s">
        <v>512</v>
      </c>
      <c r="N2325" s="1" t="s">
        <v>512</v>
      </c>
      <c r="O2325" s="1" t="s">
        <v>512</v>
      </c>
      <c r="Q2325" s="1" t="s">
        <v>512</v>
      </c>
    </row>
    <row r="2326" spans="4:17" x14ac:dyDescent="0.25">
      <c r="D2326" s="1" t="s">
        <v>512</v>
      </c>
      <c r="E2326" s="21" t="s">
        <v>512</v>
      </c>
      <c r="F2326" s="1" t="s">
        <v>512</v>
      </c>
      <c r="G2326" s="1" t="s">
        <v>512</v>
      </c>
      <c r="H2326" s="1" t="s">
        <v>512</v>
      </c>
      <c r="I2326" s="1" t="s">
        <v>512</v>
      </c>
      <c r="J2326" s="1" t="s">
        <v>512</v>
      </c>
      <c r="K2326" s="1" t="s">
        <v>512</v>
      </c>
      <c r="L2326" s="1" t="s">
        <v>512</v>
      </c>
      <c r="M2326" s="1" t="s">
        <v>512</v>
      </c>
      <c r="N2326" s="1" t="s">
        <v>512</v>
      </c>
      <c r="O2326" s="1" t="s">
        <v>512</v>
      </c>
      <c r="Q2326" s="1" t="s">
        <v>512</v>
      </c>
    </row>
    <row r="2327" spans="4:17" x14ac:dyDescent="0.25">
      <c r="D2327" s="1" t="s">
        <v>512</v>
      </c>
      <c r="E2327" s="21" t="s">
        <v>512</v>
      </c>
      <c r="F2327" s="1" t="s">
        <v>512</v>
      </c>
      <c r="G2327" s="1" t="s">
        <v>512</v>
      </c>
      <c r="H2327" s="1" t="s">
        <v>512</v>
      </c>
      <c r="I2327" s="1" t="s">
        <v>512</v>
      </c>
      <c r="J2327" s="1" t="s">
        <v>512</v>
      </c>
      <c r="K2327" s="1" t="s">
        <v>512</v>
      </c>
      <c r="L2327" s="1" t="s">
        <v>512</v>
      </c>
      <c r="M2327" s="1" t="s">
        <v>512</v>
      </c>
      <c r="N2327" s="1" t="s">
        <v>512</v>
      </c>
      <c r="O2327" s="1" t="s">
        <v>512</v>
      </c>
      <c r="Q2327" s="1" t="s">
        <v>512</v>
      </c>
    </row>
    <row r="2328" spans="4:17" x14ac:dyDescent="0.25">
      <c r="D2328" s="1" t="s">
        <v>512</v>
      </c>
      <c r="E2328" s="21" t="s">
        <v>512</v>
      </c>
      <c r="F2328" s="1" t="s">
        <v>512</v>
      </c>
      <c r="G2328" s="1" t="s">
        <v>512</v>
      </c>
      <c r="H2328" s="1" t="s">
        <v>512</v>
      </c>
      <c r="I2328" s="1" t="s">
        <v>512</v>
      </c>
      <c r="J2328" s="1" t="s">
        <v>512</v>
      </c>
      <c r="K2328" s="1" t="s">
        <v>512</v>
      </c>
      <c r="L2328" s="1" t="s">
        <v>512</v>
      </c>
      <c r="M2328" s="1" t="s">
        <v>512</v>
      </c>
      <c r="N2328" s="1" t="s">
        <v>512</v>
      </c>
      <c r="O2328" s="1" t="s">
        <v>512</v>
      </c>
      <c r="Q2328" s="1" t="s">
        <v>512</v>
      </c>
    </row>
    <row r="2329" spans="4:17" x14ac:dyDescent="0.25">
      <c r="D2329" s="1" t="s">
        <v>512</v>
      </c>
      <c r="E2329" s="21" t="s">
        <v>512</v>
      </c>
      <c r="F2329" s="1" t="s">
        <v>512</v>
      </c>
      <c r="G2329" s="1" t="s">
        <v>512</v>
      </c>
      <c r="H2329" s="1" t="s">
        <v>512</v>
      </c>
      <c r="I2329" s="1" t="s">
        <v>512</v>
      </c>
      <c r="J2329" s="1" t="s">
        <v>512</v>
      </c>
      <c r="K2329" s="1" t="s">
        <v>512</v>
      </c>
      <c r="L2329" s="1" t="s">
        <v>512</v>
      </c>
      <c r="M2329" s="1" t="s">
        <v>512</v>
      </c>
      <c r="N2329" s="1" t="s">
        <v>512</v>
      </c>
      <c r="O2329" s="1" t="s">
        <v>512</v>
      </c>
      <c r="Q2329" s="1" t="s">
        <v>512</v>
      </c>
    </row>
    <row r="2330" spans="4:17" x14ac:dyDescent="0.25">
      <c r="D2330" s="1" t="s">
        <v>512</v>
      </c>
      <c r="E2330" s="21" t="s">
        <v>512</v>
      </c>
      <c r="F2330" s="1" t="s">
        <v>512</v>
      </c>
      <c r="G2330" s="1" t="s">
        <v>512</v>
      </c>
      <c r="H2330" s="1" t="s">
        <v>512</v>
      </c>
      <c r="I2330" s="1" t="s">
        <v>512</v>
      </c>
      <c r="J2330" s="1" t="s">
        <v>512</v>
      </c>
      <c r="K2330" s="1" t="s">
        <v>512</v>
      </c>
      <c r="L2330" s="1" t="s">
        <v>512</v>
      </c>
      <c r="M2330" s="1" t="s">
        <v>512</v>
      </c>
      <c r="N2330" s="1" t="s">
        <v>512</v>
      </c>
      <c r="O2330" s="1" t="s">
        <v>512</v>
      </c>
      <c r="Q2330" s="1" t="s">
        <v>512</v>
      </c>
    </row>
    <row r="2331" spans="4:17" x14ac:dyDescent="0.25">
      <c r="D2331" s="1" t="s">
        <v>512</v>
      </c>
      <c r="E2331" s="21" t="s">
        <v>512</v>
      </c>
      <c r="F2331" s="1" t="s">
        <v>512</v>
      </c>
      <c r="G2331" s="1" t="s">
        <v>512</v>
      </c>
      <c r="H2331" s="1" t="s">
        <v>512</v>
      </c>
      <c r="I2331" s="1" t="s">
        <v>512</v>
      </c>
      <c r="J2331" s="1" t="s">
        <v>512</v>
      </c>
      <c r="K2331" s="1" t="s">
        <v>512</v>
      </c>
      <c r="L2331" s="1" t="s">
        <v>512</v>
      </c>
      <c r="M2331" s="1" t="s">
        <v>512</v>
      </c>
      <c r="N2331" s="1" t="s">
        <v>512</v>
      </c>
      <c r="O2331" s="1" t="s">
        <v>512</v>
      </c>
      <c r="Q2331" s="1" t="s">
        <v>512</v>
      </c>
    </row>
    <row r="2332" spans="4:17" x14ac:dyDescent="0.25">
      <c r="D2332" s="1" t="s">
        <v>512</v>
      </c>
      <c r="E2332" s="21" t="s">
        <v>512</v>
      </c>
      <c r="F2332" s="1" t="s">
        <v>512</v>
      </c>
      <c r="G2332" s="1" t="s">
        <v>512</v>
      </c>
      <c r="H2332" s="1" t="s">
        <v>512</v>
      </c>
      <c r="I2332" s="1" t="s">
        <v>512</v>
      </c>
      <c r="J2332" s="1" t="s">
        <v>512</v>
      </c>
      <c r="K2332" s="1" t="s">
        <v>512</v>
      </c>
      <c r="L2332" s="1" t="s">
        <v>512</v>
      </c>
      <c r="M2332" s="1" t="s">
        <v>512</v>
      </c>
      <c r="N2332" s="1" t="s">
        <v>512</v>
      </c>
      <c r="O2332" s="1" t="s">
        <v>512</v>
      </c>
      <c r="Q2332" s="1" t="s">
        <v>512</v>
      </c>
    </row>
    <row r="2333" spans="4:17" x14ac:dyDescent="0.25">
      <c r="D2333" s="1" t="s">
        <v>512</v>
      </c>
      <c r="E2333" s="21" t="s">
        <v>512</v>
      </c>
      <c r="F2333" s="1" t="s">
        <v>512</v>
      </c>
      <c r="G2333" s="1" t="s">
        <v>512</v>
      </c>
      <c r="H2333" s="1" t="s">
        <v>512</v>
      </c>
      <c r="I2333" s="1" t="s">
        <v>512</v>
      </c>
      <c r="J2333" s="1" t="s">
        <v>512</v>
      </c>
      <c r="K2333" s="1" t="s">
        <v>512</v>
      </c>
      <c r="L2333" s="1" t="s">
        <v>512</v>
      </c>
      <c r="M2333" s="1" t="s">
        <v>512</v>
      </c>
      <c r="N2333" s="1" t="s">
        <v>512</v>
      </c>
      <c r="O2333" s="1" t="s">
        <v>512</v>
      </c>
      <c r="Q2333" s="1" t="s">
        <v>512</v>
      </c>
    </row>
    <row r="2334" spans="4:17" x14ac:dyDescent="0.25">
      <c r="D2334" s="1" t="s">
        <v>512</v>
      </c>
      <c r="E2334" s="21" t="s">
        <v>512</v>
      </c>
      <c r="F2334" s="1" t="s">
        <v>512</v>
      </c>
      <c r="G2334" s="1" t="s">
        <v>512</v>
      </c>
      <c r="H2334" s="1" t="s">
        <v>512</v>
      </c>
      <c r="I2334" s="1" t="s">
        <v>512</v>
      </c>
      <c r="J2334" s="1" t="s">
        <v>512</v>
      </c>
      <c r="K2334" s="1" t="s">
        <v>512</v>
      </c>
      <c r="L2334" s="1" t="s">
        <v>512</v>
      </c>
      <c r="M2334" s="1" t="s">
        <v>512</v>
      </c>
      <c r="N2334" s="1" t="s">
        <v>512</v>
      </c>
      <c r="O2334" s="1" t="s">
        <v>512</v>
      </c>
      <c r="Q2334" s="1" t="s">
        <v>512</v>
      </c>
    </row>
    <row r="2335" spans="4:17" x14ac:dyDescent="0.25">
      <c r="D2335" s="1" t="s">
        <v>512</v>
      </c>
      <c r="E2335" s="21" t="s">
        <v>512</v>
      </c>
      <c r="F2335" s="1" t="s">
        <v>512</v>
      </c>
      <c r="G2335" s="1" t="s">
        <v>512</v>
      </c>
      <c r="H2335" s="1" t="s">
        <v>512</v>
      </c>
      <c r="I2335" s="1" t="s">
        <v>512</v>
      </c>
      <c r="J2335" s="1" t="s">
        <v>512</v>
      </c>
      <c r="K2335" s="1" t="s">
        <v>512</v>
      </c>
      <c r="L2335" s="1" t="s">
        <v>512</v>
      </c>
      <c r="M2335" s="1" t="s">
        <v>512</v>
      </c>
      <c r="N2335" s="1" t="s">
        <v>512</v>
      </c>
      <c r="O2335" s="1" t="s">
        <v>512</v>
      </c>
      <c r="Q2335" s="1" t="s">
        <v>512</v>
      </c>
    </row>
    <row r="2336" spans="4:17" x14ac:dyDescent="0.25">
      <c r="D2336" s="1" t="s">
        <v>512</v>
      </c>
      <c r="E2336" s="21" t="s">
        <v>512</v>
      </c>
      <c r="F2336" s="1" t="s">
        <v>512</v>
      </c>
      <c r="G2336" s="1" t="s">
        <v>512</v>
      </c>
      <c r="H2336" s="1" t="s">
        <v>512</v>
      </c>
      <c r="I2336" s="1" t="s">
        <v>512</v>
      </c>
      <c r="J2336" s="1" t="s">
        <v>512</v>
      </c>
      <c r="K2336" s="1" t="s">
        <v>512</v>
      </c>
      <c r="L2336" s="1" t="s">
        <v>512</v>
      </c>
      <c r="M2336" s="1" t="s">
        <v>512</v>
      </c>
      <c r="N2336" s="1" t="s">
        <v>512</v>
      </c>
      <c r="O2336" s="1" t="s">
        <v>512</v>
      </c>
      <c r="Q2336" s="1" t="s">
        <v>512</v>
      </c>
    </row>
    <row r="2337" spans="4:17" x14ac:dyDescent="0.25">
      <c r="D2337" s="1" t="s">
        <v>512</v>
      </c>
      <c r="E2337" s="21" t="s">
        <v>512</v>
      </c>
      <c r="F2337" s="1" t="s">
        <v>512</v>
      </c>
      <c r="G2337" s="1" t="s">
        <v>512</v>
      </c>
      <c r="H2337" s="1" t="s">
        <v>512</v>
      </c>
      <c r="I2337" s="1" t="s">
        <v>512</v>
      </c>
      <c r="J2337" s="1" t="s">
        <v>512</v>
      </c>
      <c r="K2337" s="1" t="s">
        <v>512</v>
      </c>
      <c r="L2337" s="1" t="s">
        <v>512</v>
      </c>
      <c r="M2337" s="1" t="s">
        <v>512</v>
      </c>
      <c r="N2337" s="1" t="s">
        <v>512</v>
      </c>
      <c r="O2337" s="1" t="s">
        <v>512</v>
      </c>
      <c r="Q2337" s="1" t="s">
        <v>512</v>
      </c>
    </row>
    <row r="2338" spans="4:17" x14ac:dyDescent="0.25">
      <c r="D2338" s="1" t="s">
        <v>512</v>
      </c>
      <c r="E2338" s="21" t="s">
        <v>512</v>
      </c>
      <c r="F2338" s="1" t="s">
        <v>512</v>
      </c>
      <c r="G2338" s="1" t="s">
        <v>512</v>
      </c>
      <c r="H2338" s="1" t="s">
        <v>512</v>
      </c>
      <c r="I2338" s="1" t="s">
        <v>512</v>
      </c>
      <c r="J2338" s="1" t="s">
        <v>512</v>
      </c>
      <c r="K2338" s="1" t="s">
        <v>512</v>
      </c>
      <c r="L2338" s="1" t="s">
        <v>512</v>
      </c>
      <c r="M2338" s="1" t="s">
        <v>512</v>
      </c>
      <c r="N2338" s="1" t="s">
        <v>512</v>
      </c>
      <c r="O2338" s="1" t="s">
        <v>512</v>
      </c>
      <c r="Q2338" s="1" t="s">
        <v>512</v>
      </c>
    </row>
    <row r="2339" spans="4:17" x14ac:dyDescent="0.25">
      <c r="D2339" s="1" t="s">
        <v>512</v>
      </c>
      <c r="E2339" s="21" t="s">
        <v>512</v>
      </c>
      <c r="F2339" s="1" t="s">
        <v>512</v>
      </c>
      <c r="G2339" s="1" t="s">
        <v>512</v>
      </c>
      <c r="H2339" s="1" t="s">
        <v>512</v>
      </c>
      <c r="I2339" s="1" t="s">
        <v>512</v>
      </c>
      <c r="J2339" s="1" t="s">
        <v>512</v>
      </c>
      <c r="K2339" s="1" t="s">
        <v>512</v>
      </c>
      <c r="L2339" s="1" t="s">
        <v>512</v>
      </c>
      <c r="M2339" s="1" t="s">
        <v>512</v>
      </c>
      <c r="N2339" s="1" t="s">
        <v>512</v>
      </c>
      <c r="O2339" s="1" t="s">
        <v>512</v>
      </c>
      <c r="Q2339" s="1" t="s">
        <v>512</v>
      </c>
    </row>
    <row r="2340" spans="4:17" x14ac:dyDescent="0.25">
      <c r="D2340" s="1" t="s">
        <v>512</v>
      </c>
      <c r="E2340" s="21" t="s">
        <v>512</v>
      </c>
      <c r="F2340" s="1" t="s">
        <v>512</v>
      </c>
      <c r="G2340" s="1" t="s">
        <v>512</v>
      </c>
      <c r="H2340" s="1" t="s">
        <v>512</v>
      </c>
      <c r="I2340" s="1" t="s">
        <v>512</v>
      </c>
      <c r="J2340" s="1" t="s">
        <v>512</v>
      </c>
      <c r="K2340" s="1" t="s">
        <v>512</v>
      </c>
      <c r="L2340" s="1" t="s">
        <v>512</v>
      </c>
      <c r="M2340" s="1" t="s">
        <v>512</v>
      </c>
      <c r="N2340" s="1" t="s">
        <v>512</v>
      </c>
      <c r="O2340" s="1" t="s">
        <v>512</v>
      </c>
      <c r="Q2340" s="1" t="s">
        <v>512</v>
      </c>
    </row>
    <row r="2341" spans="4:17" x14ac:dyDescent="0.25">
      <c r="D2341" s="1" t="s">
        <v>512</v>
      </c>
      <c r="E2341" s="21" t="s">
        <v>512</v>
      </c>
      <c r="F2341" s="1" t="s">
        <v>512</v>
      </c>
      <c r="G2341" s="1" t="s">
        <v>512</v>
      </c>
      <c r="H2341" s="1" t="s">
        <v>512</v>
      </c>
      <c r="I2341" s="1" t="s">
        <v>512</v>
      </c>
      <c r="J2341" s="1" t="s">
        <v>512</v>
      </c>
      <c r="K2341" s="1" t="s">
        <v>512</v>
      </c>
      <c r="L2341" s="1" t="s">
        <v>512</v>
      </c>
      <c r="M2341" s="1" t="s">
        <v>512</v>
      </c>
      <c r="N2341" s="1" t="s">
        <v>512</v>
      </c>
      <c r="O2341" s="1" t="s">
        <v>512</v>
      </c>
      <c r="Q2341" s="1" t="s">
        <v>512</v>
      </c>
    </row>
    <row r="2342" spans="4:17" x14ac:dyDescent="0.25">
      <c r="D2342" s="1" t="s">
        <v>512</v>
      </c>
      <c r="E2342" s="21" t="s">
        <v>512</v>
      </c>
      <c r="F2342" s="1" t="s">
        <v>512</v>
      </c>
      <c r="G2342" s="1" t="s">
        <v>512</v>
      </c>
      <c r="H2342" s="1" t="s">
        <v>512</v>
      </c>
      <c r="I2342" s="1" t="s">
        <v>512</v>
      </c>
      <c r="J2342" s="1" t="s">
        <v>512</v>
      </c>
      <c r="K2342" s="1" t="s">
        <v>512</v>
      </c>
      <c r="L2342" s="1" t="s">
        <v>512</v>
      </c>
      <c r="M2342" s="1" t="s">
        <v>512</v>
      </c>
      <c r="N2342" s="1" t="s">
        <v>512</v>
      </c>
      <c r="O2342" s="1" t="s">
        <v>512</v>
      </c>
      <c r="Q2342" s="1" t="s">
        <v>512</v>
      </c>
    </row>
    <row r="2343" spans="4:17" x14ac:dyDescent="0.25">
      <c r="D2343" s="1" t="s">
        <v>512</v>
      </c>
      <c r="E2343" s="21" t="s">
        <v>512</v>
      </c>
      <c r="F2343" s="1" t="s">
        <v>512</v>
      </c>
      <c r="G2343" s="1" t="s">
        <v>512</v>
      </c>
      <c r="H2343" s="1" t="s">
        <v>512</v>
      </c>
      <c r="I2343" s="1" t="s">
        <v>512</v>
      </c>
      <c r="J2343" s="1" t="s">
        <v>512</v>
      </c>
      <c r="K2343" s="1" t="s">
        <v>512</v>
      </c>
      <c r="L2343" s="1" t="s">
        <v>512</v>
      </c>
      <c r="M2343" s="1" t="s">
        <v>512</v>
      </c>
      <c r="N2343" s="1" t="s">
        <v>512</v>
      </c>
      <c r="O2343" s="1" t="s">
        <v>512</v>
      </c>
      <c r="Q2343" s="1" t="s">
        <v>512</v>
      </c>
    </row>
    <row r="2344" spans="4:17" x14ac:dyDescent="0.25">
      <c r="D2344" s="1" t="s">
        <v>512</v>
      </c>
      <c r="E2344" s="21" t="s">
        <v>512</v>
      </c>
      <c r="F2344" s="1" t="s">
        <v>512</v>
      </c>
      <c r="G2344" s="1" t="s">
        <v>512</v>
      </c>
      <c r="H2344" s="1" t="s">
        <v>512</v>
      </c>
      <c r="I2344" s="1" t="s">
        <v>512</v>
      </c>
      <c r="J2344" s="1" t="s">
        <v>512</v>
      </c>
      <c r="K2344" s="1" t="s">
        <v>512</v>
      </c>
      <c r="L2344" s="1" t="s">
        <v>512</v>
      </c>
      <c r="M2344" s="1" t="s">
        <v>512</v>
      </c>
      <c r="N2344" s="1" t="s">
        <v>512</v>
      </c>
      <c r="O2344" s="1" t="s">
        <v>512</v>
      </c>
      <c r="Q2344" s="1" t="s">
        <v>512</v>
      </c>
    </row>
    <row r="2345" spans="4:17" x14ac:dyDescent="0.25">
      <c r="D2345" s="1" t="s">
        <v>512</v>
      </c>
      <c r="E2345" s="21" t="s">
        <v>512</v>
      </c>
      <c r="F2345" s="1" t="s">
        <v>512</v>
      </c>
      <c r="G2345" s="1" t="s">
        <v>512</v>
      </c>
      <c r="H2345" s="1" t="s">
        <v>512</v>
      </c>
      <c r="I2345" s="1" t="s">
        <v>512</v>
      </c>
      <c r="J2345" s="1" t="s">
        <v>512</v>
      </c>
      <c r="K2345" s="1" t="s">
        <v>512</v>
      </c>
      <c r="L2345" s="1" t="s">
        <v>512</v>
      </c>
      <c r="M2345" s="1" t="s">
        <v>512</v>
      </c>
      <c r="N2345" s="1" t="s">
        <v>512</v>
      </c>
      <c r="O2345" s="1" t="s">
        <v>512</v>
      </c>
      <c r="Q2345" s="1" t="s">
        <v>512</v>
      </c>
    </row>
    <row r="2346" spans="4:17" x14ac:dyDescent="0.25">
      <c r="D2346" s="1" t="s">
        <v>512</v>
      </c>
      <c r="E2346" s="21" t="s">
        <v>512</v>
      </c>
      <c r="F2346" s="1" t="s">
        <v>512</v>
      </c>
      <c r="G2346" s="1" t="s">
        <v>512</v>
      </c>
      <c r="H2346" s="1" t="s">
        <v>512</v>
      </c>
      <c r="I2346" s="1" t="s">
        <v>512</v>
      </c>
      <c r="J2346" s="1" t="s">
        <v>512</v>
      </c>
      <c r="K2346" s="1" t="s">
        <v>512</v>
      </c>
      <c r="L2346" s="1" t="s">
        <v>512</v>
      </c>
      <c r="M2346" s="1" t="s">
        <v>512</v>
      </c>
      <c r="N2346" s="1" t="s">
        <v>512</v>
      </c>
      <c r="O2346" s="1" t="s">
        <v>512</v>
      </c>
      <c r="Q2346" s="1" t="s">
        <v>512</v>
      </c>
    </row>
    <row r="2347" spans="4:17" x14ac:dyDescent="0.25">
      <c r="D2347" s="1" t="s">
        <v>512</v>
      </c>
      <c r="E2347" s="21" t="s">
        <v>512</v>
      </c>
      <c r="F2347" s="1" t="s">
        <v>512</v>
      </c>
      <c r="G2347" s="1" t="s">
        <v>512</v>
      </c>
      <c r="H2347" s="1" t="s">
        <v>512</v>
      </c>
      <c r="I2347" s="1" t="s">
        <v>512</v>
      </c>
      <c r="J2347" s="1" t="s">
        <v>512</v>
      </c>
      <c r="K2347" s="1" t="s">
        <v>512</v>
      </c>
      <c r="L2347" s="1" t="s">
        <v>512</v>
      </c>
      <c r="M2347" s="1" t="s">
        <v>512</v>
      </c>
      <c r="N2347" s="1" t="s">
        <v>512</v>
      </c>
      <c r="O2347" s="1" t="s">
        <v>512</v>
      </c>
      <c r="Q2347" s="1" t="s">
        <v>512</v>
      </c>
    </row>
    <row r="2348" spans="4:17" x14ac:dyDescent="0.25">
      <c r="D2348" s="1" t="s">
        <v>512</v>
      </c>
      <c r="E2348" s="21" t="s">
        <v>512</v>
      </c>
      <c r="F2348" s="1" t="s">
        <v>512</v>
      </c>
      <c r="G2348" s="1" t="s">
        <v>512</v>
      </c>
      <c r="H2348" s="1" t="s">
        <v>512</v>
      </c>
      <c r="I2348" s="1" t="s">
        <v>512</v>
      </c>
      <c r="J2348" s="1" t="s">
        <v>512</v>
      </c>
      <c r="K2348" s="1" t="s">
        <v>512</v>
      </c>
      <c r="L2348" s="1" t="s">
        <v>512</v>
      </c>
      <c r="M2348" s="1" t="s">
        <v>512</v>
      </c>
      <c r="N2348" s="1" t="s">
        <v>512</v>
      </c>
      <c r="O2348" s="1" t="s">
        <v>512</v>
      </c>
      <c r="Q2348" s="1" t="s">
        <v>512</v>
      </c>
    </row>
    <row r="2349" spans="4:17" x14ac:dyDescent="0.25">
      <c r="D2349" s="1" t="s">
        <v>512</v>
      </c>
      <c r="E2349" s="21" t="s">
        <v>512</v>
      </c>
      <c r="F2349" s="1" t="s">
        <v>512</v>
      </c>
      <c r="G2349" s="1" t="s">
        <v>512</v>
      </c>
      <c r="H2349" s="1" t="s">
        <v>512</v>
      </c>
      <c r="I2349" s="1" t="s">
        <v>512</v>
      </c>
      <c r="J2349" s="1" t="s">
        <v>512</v>
      </c>
      <c r="K2349" s="1" t="s">
        <v>512</v>
      </c>
      <c r="L2349" s="1" t="s">
        <v>512</v>
      </c>
      <c r="M2349" s="1" t="s">
        <v>512</v>
      </c>
      <c r="N2349" s="1" t="s">
        <v>512</v>
      </c>
      <c r="O2349" s="1" t="s">
        <v>512</v>
      </c>
      <c r="Q2349" s="1" t="s">
        <v>512</v>
      </c>
    </row>
    <row r="2350" spans="4:17" x14ac:dyDescent="0.25">
      <c r="D2350" s="1" t="s">
        <v>512</v>
      </c>
      <c r="E2350" s="21" t="s">
        <v>512</v>
      </c>
      <c r="F2350" s="1" t="s">
        <v>512</v>
      </c>
      <c r="G2350" s="1" t="s">
        <v>512</v>
      </c>
      <c r="H2350" s="1" t="s">
        <v>512</v>
      </c>
      <c r="I2350" s="1" t="s">
        <v>512</v>
      </c>
      <c r="J2350" s="1" t="s">
        <v>512</v>
      </c>
      <c r="K2350" s="1" t="s">
        <v>512</v>
      </c>
      <c r="L2350" s="1" t="s">
        <v>512</v>
      </c>
      <c r="M2350" s="1" t="s">
        <v>512</v>
      </c>
      <c r="N2350" s="1" t="s">
        <v>512</v>
      </c>
      <c r="O2350" s="1" t="s">
        <v>512</v>
      </c>
      <c r="Q2350" s="1" t="s">
        <v>512</v>
      </c>
    </row>
    <row r="2351" spans="4:17" x14ac:dyDescent="0.25">
      <c r="D2351" s="1" t="s">
        <v>512</v>
      </c>
      <c r="E2351" s="21" t="s">
        <v>512</v>
      </c>
      <c r="F2351" s="1" t="s">
        <v>512</v>
      </c>
      <c r="G2351" s="1" t="s">
        <v>512</v>
      </c>
      <c r="H2351" s="1" t="s">
        <v>512</v>
      </c>
      <c r="I2351" s="1" t="s">
        <v>512</v>
      </c>
      <c r="J2351" s="1" t="s">
        <v>512</v>
      </c>
      <c r="K2351" s="1" t="s">
        <v>512</v>
      </c>
      <c r="L2351" s="1" t="s">
        <v>512</v>
      </c>
      <c r="M2351" s="1" t="s">
        <v>512</v>
      </c>
      <c r="N2351" s="1" t="s">
        <v>512</v>
      </c>
      <c r="O2351" s="1" t="s">
        <v>512</v>
      </c>
      <c r="Q2351" s="1" t="s">
        <v>512</v>
      </c>
    </row>
    <row r="2352" spans="4:17" x14ac:dyDescent="0.25">
      <c r="D2352" s="1" t="s">
        <v>512</v>
      </c>
      <c r="E2352" s="21" t="s">
        <v>512</v>
      </c>
      <c r="F2352" s="1" t="s">
        <v>512</v>
      </c>
      <c r="G2352" s="1" t="s">
        <v>512</v>
      </c>
      <c r="H2352" s="1" t="s">
        <v>512</v>
      </c>
      <c r="I2352" s="1" t="s">
        <v>512</v>
      </c>
      <c r="J2352" s="1" t="s">
        <v>512</v>
      </c>
      <c r="K2352" s="1" t="s">
        <v>512</v>
      </c>
      <c r="L2352" s="1" t="s">
        <v>512</v>
      </c>
      <c r="M2352" s="1" t="s">
        <v>512</v>
      </c>
      <c r="N2352" s="1" t="s">
        <v>512</v>
      </c>
      <c r="O2352" s="1" t="s">
        <v>512</v>
      </c>
      <c r="Q2352" s="1" t="s">
        <v>512</v>
      </c>
    </row>
    <row r="2353" spans="4:17" x14ac:dyDescent="0.25">
      <c r="D2353" s="1" t="s">
        <v>512</v>
      </c>
      <c r="E2353" s="21" t="s">
        <v>512</v>
      </c>
      <c r="F2353" s="1" t="s">
        <v>512</v>
      </c>
      <c r="G2353" s="1" t="s">
        <v>512</v>
      </c>
      <c r="H2353" s="1" t="s">
        <v>512</v>
      </c>
      <c r="I2353" s="1" t="s">
        <v>512</v>
      </c>
      <c r="J2353" s="1" t="s">
        <v>512</v>
      </c>
      <c r="K2353" s="1" t="s">
        <v>512</v>
      </c>
      <c r="L2353" s="1" t="s">
        <v>512</v>
      </c>
      <c r="M2353" s="1" t="s">
        <v>512</v>
      </c>
      <c r="N2353" s="1" t="s">
        <v>512</v>
      </c>
      <c r="O2353" s="1" t="s">
        <v>512</v>
      </c>
      <c r="Q2353" s="1" t="s">
        <v>512</v>
      </c>
    </row>
    <row r="2354" spans="4:17" x14ac:dyDescent="0.25">
      <c r="D2354" s="1" t="s">
        <v>512</v>
      </c>
      <c r="E2354" s="21" t="s">
        <v>512</v>
      </c>
      <c r="F2354" s="1" t="s">
        <v>512</v>
      </c>
      <c r="G2354" s="1" t="s">
        <v>512</v>
      </c>
      <c r="H2354" s="1" t="s">
        <v>512</v>
      </c>
      <c r="I2354" s="1" t="s">
        <v>512</v>
      </c>
      <c r="J2354" s="1" t="s">
        <v>512</v>
      </c>
      <c r="K2354" s="1" t="s">
        <v>512</v>
      </c>
      <c r="L2354" s="1" t="s">
        <v>512</v>
      </c>
      <c r="M2354" s="1" t="s">
        <v>512</v>
      </c>
      <c r="N2354" s="1" t="s">
        <v>512</v>
      </c>
      <c r="O2354" s="1" t="s">
        <v>512</v>
      </c>
      <c r="Q2354" s="1" t="s">
        <v>512</v>
      </c>
    </row>
    <row r="2355" spans="4:17" x14ac:dyDescent="0.25">
      <c r="D2355" s="1" t="s">
        <v>512</v>
      </c>
      <c r="E2355" s="21" t="s">
        <v>512</v>
      </c>
      <c r="F2355" s="1" t="s">
        <v>512</v>
      </c>
      <c r="G2355" s="1" t="s">
        <v>512</v>
      </c>
      <c r="H2355" s="1" t="s">
        <v>512</v>
      </c>
      <c r="I2355" s="1" t="s">
        <v>512</v>
      </c>
      <c r="J2355" s="1" t="s">
        <v>512</v>
      </c>
      <c r="K2355" s="1" t="s">
        <v>512</v>
      </c>
      <c r="L2355" s="1" t="s">
        <v>512</v>
      </c>
      <c r="M2355" s="1" t="s">
        <v>512</v>
      </c>
      <c r="N2355" s="1" t="s">
        <v>512</v>
      </c>
      <c r="O2355" s="1" t="s">
        <v>512</v>
      </c>
      <c r="Q2355" s="1" t="s">
        <v>512</v>
      </c>
    </row>
    <row r="2356" spans="4:17" x14ac:dyDescent="0.25">
      <c r="D2356" s="1" t="s">
        <v>512</v>
      </c>
      <c r="E2356" s="21" t="s">
        <v>512</v>
      </c>
      <c r="F2356" s="1" t="s">
        <v>512</v>
      </c>
      <c r="G2356" s="1" t="s">
        <v>512</v>
      </c>
      <c r="H2356" s="1" t="s">
        <v>512</v>
      </c>
      <c r="I2356" s="1" t="s">
        <v>512</v>
      </c>
      <c r="J2356" s="1" t="s">
        <v>512</v>
      </c>
      <c r="K2356" s="1" t="s">
        <v>512</v>
      </c>
      <c r="L2356" s="1" t="s">
        <v>512</v>
      </c>
      <c r="M2356" s="1" t="s">
        <v>512</v>
      </c>
      <c r="N2356" s="1" t="s">
        <v>512</v>
      </c>
      <c r="O2356" s="1" t="s">
        <v>512</v>
      </c>
      <c r="Q2356" s="1" t="s">
        <v>512</v>
      </c>
    </row>
    <row r="2357" spans="4:17" x14ac:dyDescent="0.25">
      <c r="D2357" s="1" t="s">
        <v>512</v>
      </c>
      <c r="E2357" s="21" t="s">
        <v>512</v>
      </c>
      <c r="F2357" s="1" t="s">
        <v>512</v>
      </c>
      <c r="G2357" s="1" t="s">
        <v>512</v>
      </c>
      <c r="H2357" s="1" t="s">
        <v>512</v>
      </c>
      <c r="I2357" s="1" t="s">
        <v>512</v>
      </c>
      <c r="J2357" s="1" t="s">
        <v>512</v>
      </c>
      <c r="K2357" s="1" t="s">
        <v>512</v>
      </c>
      <c r="L2357" s="1" t="s">
        <v>512</v>
      </c>
      <c r="M2357" s="1" t="s">
        <v>512</v>
      </c>
      <c r="N2357" s="1" t="s">
        <v>512</v>
      </c>
      <c r="O2357" s="1" t="s">
        <v>512</v>
      </c>
      <c r="Q2357" s="1" t="s">
        <v>512</v>
      </c>
    </row>
    <row r="2358" spans="4:17" x14ac:dyDescent="0.25">
      <c r="D2358" s="1" t="s">
        <v>512</v>
      </c>
      <c r="E2358" s="21" t="s">
        <v>512</v>
      </c>
      <c r="F2358" s="1" t="s">
        <v>512</v>
      </c>
      <c r="G2358" s="1" t="s">
        <v>512</v>
      </c>
      <c r="H2358" s="1" t="s">
        <v>512</v>
      </c>
      <c r="I2358" s="1" t="s">
        <v>512</v>
      </c>
      <c r="J2358" s="1" t="s">
        <v>512</v>
      </c>
      <c r="K2358" s="1" t="s">
        <v>512</v>
      </c>
      <c r="L2358" s="1" t="s">
        <v>512</v>
      </c>
      <c r="M2358" s="1" t="s">
        <v>512</v>
      </c>
      <c r="N2358" s="1" t="s">
        <v>512</v>
      </c>
      <c r="O2358" s="1" t="s">
        <v>512</v>
      </c>
      <c r="Q2358" s="1" t="s">
        <v>512</v>
      </c>
    </row>
    <row r="2359" spans="4:17" x14ac:dyDescent="0.25">
      <c r="D2359" s="1" t="s">
        <v>512</v>
      </c>
      <c r="E2359" s="21" t="s">
        <v>512</v>
      </c>
      <c r="F2359" s="1" t="s">
        <v>512</v>
      </c>
      <c r="G2359" s="1" t="s">
        <v>512</v>
      </c>
      <c r="H2359" s="1" t="s">
        <v>512</v>
      </c>
      <c r="I2359" s="1" t="s">
        <v>512</v>
      </c>
      <c r="J2359" s="1" t="s">
        <v>512</v>
      </c>
      <c r="K2359" s="1" t="s">
        <v>512</v>
      </c>
      <c r="L2359" s="1" t="s">
        <v>512</v>
      </c>
      <c r="M2359" s="1" t="s">
        <v>512</v>
      </c>
      <c r="N2359" s="1" t="s">
        <v>512</v>
      </c>
      <c r="O2359" s="1" t="s">
        <v>512</v>
      </c>
      <c r="Q2359" s="1" t="s">
        <v>512</v>
      </c>
    </row>
    <row r="2360" spans="4:17" x14ac:dyDescent="0.25">
      <c r="D2360" s="1" t="s">
        <v>512</v>
      </c>
      <c r="E2360" s="21" t="s">
        <v>512</v>
      </c>
      <c r="F2360" s="1" t="s">
        <v>512</v>
      </c>
      <c r="G2360" s="1" t="s">
        <v>512</v>
      </c>
      <c r="H2360" s="1" t="s">
        <v>512</v>
      </c>
      <c r="I2360" s="1" t="s">
        <v>512</v>
      </c>
      <c r="J2360" s="1" t="s">
        <v>512</v>
      </c>
      <c r="K2360" s="1" t="s">
        <v>512</v>
      </c>
      <c r="L2360" s="1" t="s">
        <v>512</v>
      </c>
      <c r="M2360" s="1" t="s">
        <v>512</v>
      </c>
      <c r="N2360" s="1" t="s">
        <v>512</v>
      </c>
      <c r="O2360" s="1" t="s">
        <v>512</v>
      </c>
      <c r="Q2360" s="1" t="s">
        <v>512</v>
      </c>
    </row>
    <row r="2361" spans="4:17" x14ac:dyDescent="0.25">
      <c r="D2361" s="1" t="s">
        <v>512</v>
      </c>
      <c r="E2361" s="21" t="s">
        <v>512</v>
      </c>
      <c r="F2361" s="1" t="s">
        <v>512</v>
      </c>
      <c r="G2361" s="1" t="s">
        <v>512</v>
      </c>
      <c r="H2361" s="1" t="s">
        <v>512</v>
      </c>
      <c r="I2361" s="1" t="s">
        <v>512</v>
      </c>
      <c r="J2361" s="1" t="s">
        <v>512</v>
      </c>
      <c r="K2361" s="1" t="s">
        <v>512</v>
      </c>
      <c r="L2361" s="1" t="s">
        <v>512</v>
      </c>
      <c r="M2361" s="1" t="s">
        <v>512</v>
      </c>
      <c r="N2361" s="1" t="s">
        <v>512</v>
      </c>
      <c r="O2361" s="1" t="s">
        <v>512</v>
      </c>
      <c r="Q2361" s="1" t="s">
        <v>512</v>
      </c>
    </row>
    <row r="2362" spans="4:17" x14ac:dyDescent="0.25">
      <c r="D2362" s="1" t="s">
        <v>512</v>
      </c>
      <c r="E2362" s="21" t="s">
        <v>512</v>
      </c>
      <c r="F2362" s="1" t="s">
        <v>512</v>
      </c>
      <c r="G2362" s="1" t="s">
        <v>512</v>
      </c>
      <c r="H2362" s="1" t="s">
        <v>512</v>
      </c>
      <c r="I2362" s="1" t="s">
        <v>512</v>
      </c>
      <c r="J2362" s="1" t="s">
        <v>512</v>
      </c>
      <c r="K2362" s="1" t="s">
        <v>512</v>
      </c>
      <c r="L2362" s="1" t="s">
        <v>512</v>
      </c>
      <c r="M2362" s="1" t="s">
        <v>512</v>
      </c>
      <c r="N2362" s="1" t="s">
        <v>512</v>
      </c>
      <c r="O2362" s="1" t="s">
        <v>512</v>
      </c>
      <c r="Q2362" s="1" t="s">
        <v>512</v>
      </c>
    </row>
    <row r="2363" spans="4:17" x14ac:dyDescent="0.25">
      <c r="D2363" s="1" t="s">
        <v>512</v>
      </c>
      <c r="E2363" s="21" t="s">
        <v>512</v>
      </c>
      <c r="F2363" s="1" t="s">
        <v>512</v>
      </c>
      <c r="G2363" s="1" t="s">
        <v>512</v>
      </c>
      <c r="H2363" s="1" t="s">
        <v>512</v>
      </c>
      <c r="I2363" s="1" t="s">
        <v>512</v>
      </c>
      <c r="J2363" s="1" t="s">
        <v>512</v>
      </c>
      <c r="K2363" s="1" t="s">
        <v>512</v>
      </c>
      <c r="L2363" s="1" t="s">
        <v>512</v>
      </c>
      <c r="M2363" s="1" t="s">
        <v>512</v>
      </c>
      <c r="N2363" s="1" t="s">
        <v>512</v>
      </c>
      <c r="O2363" s="1" t="s">
        <v>512</v>
      </c>
      <c r="Q2363" s="1" t="s">
        <v>512</v>
      </c>
    </row>
    <row r="2364" spans="4:17" x14ac:dyDescent="0.25">
      <c r="D2364" s="1" t="s">
        <v>512</v>
      </c>
      <c r="E2364" s="21" t="s">
        <v>512</v>
      </c>
      <c r="F2364" s="1" t="s">
        <v>512</v>
      </c>
      <c r="G2364" s="1" t="s">
        <v>512</v>
      </c>
      <c r="H2364" s="1" t="s">
        <v>512</v>
      </c>
      <c r="I2364" s="1" t="s">
        <v>512</v>
      </c>
      <c r="J2364" s="1" t="s">
        <v>512</v>
      </c>
      <c r="K2364" s="1" t="s">
        <v>512</v>
      </c>
      <c r="L2364" s="1" t="s">
        <v>512</v>
      </c>
      <c r="M2364" s="1" t="s">
        <v>512</v>
      </c>
      <c r="N2364" s="1" t="s">
        <v>512</v>
      </c>
      <c r="O2364" s="1" t="s">
        <v>512</v>
      </c>
      <c r="Q2364" s="1" t="s">
        <v>512</v>
      </c>
    </row>
    <row r="2365" spans="4:17" x14ac:dyDescent="0.25">
      <c r="D2365" s="1" t="s">
        <v>512</v>
      </c>
      <c r="E2365" s="21" t="s">
        <v>512</v>
      </c>
      <c r="F2365" s="1" t="s">
        <v>512</v>
      </c>
      <c r="G2365" s="1" t="s">
        <v>512</v>
      </c>
      <c r="H2365" s="1" t="s">
        <v>512</v>
      </c>
      <c r="I2365" s="1" t="s">
        <v>512</v>
      </c>
      <c r="J2365" s="1" t="s">
        <v>512</v>
      </c>
      <c r="K2365" s="1" t="s">
        <v>512</v>
      </c>
      <c r="L2365" s="1" t="s">
        <v>512</v>
      </c>
      <c r="M2365" s="1" t="s">
        <v>512</v>
      </c>
      <c r="N2365" s="1" t="s">
        <v>512</v>
      </c>
      <c r="O2365" s="1" t="s">
        <v>512</v>
      </c>
      <c r="Q2365" s="1" t="s">
        <v>512</v>
      </c>
    </row>
    <row r="2366" spans="4:17" x14ac:dyDescent="0.25">
      <c r="D2366" s="1" t="s">
        <v>512</v>
      </c>
      <c r="E2366" s="21" t="s">
        <v>512</v>
      </c>
      <c r="F2366" s="1" t="s">
        <v>512</v>
      </c>
      <c r="G2366" s="1" t="s">
        <v>512</v>
      </c>
      <c r="H2366" s="1" t="s">
        <v>512</v>
      </c>
      <c r="I2366" s="1" t="s">
        <v>512</v>
      </c>
      <c r="J2366" s="1" t="s">
        <v>512</v>
      </c>
      <c r="K2366" s="1" t="s">
        <v>512</v>
      </c>
      <c r="L2366" s="1" t="s">
        <v>512</v>
      </c>
      <c r="M2366" s="1" t="s">
        <v>512</v>
      </c>
      <c r="N2366" s="1" t="s">
        <v>512</v>
      </c>
      <c r="O2366" s="1" t="s">
        <v>512</v>
      </c>
      <c r="Q2366" s="1" t="s">
        <v>512</v>
      </c>
    </row>
    <row r="2367" spans="4:17" x14ac:dyDescent="0.25">
      <c r="D2367" s="1" t="s">
        <v>512</v>
      </c>
      <c r="E2367" s="21" t="s">
        <v>512</v>
      </c>
      <c r="F2367" s="1" t="s">
        <v>512</v>
      </c>
      <c r="G2367" s="1" t="s">
        <v>512</v>
      </c>
      <c r="H2367" s="1" t="s">
        <v>512</v>
      </c>
      <c r="I2367" s="1" t="s">
        <v>512</v>
      </c>
      <c r="J2367" s="1" t="s">
        <v>512</v>
      </c>
      <c r="K2367" s="1" t="s">
        <v>512</v>
      </c>
      <c r="L2367" s="1" t="s">
        <v>512</v>
      </c>
      <c r="M2367" s="1" t="s">
        <v>512</v>
      </c>
      <c r="N2367" s="1" t="s">
        <v>512</v>
      </c>
      <c r="O2367" s="1" t="s">
        <v>512</v>
      </c>
      <c r="Q2367" s="1" t="s">
        <v>512</v>
      </c>
    </row>
    <row r="2368" spans="4:17" x14ac:dyDescent="0.25">
      <c r="D2368" s="1" t="s">
        <v>512</v>
      </c>
      <c r="E2368" s="21" t="s">
        <v>512</v>
      </c>
      <c r="F2368" s="1" t="s">
        <v>512</v>
      </c>
      <c r="G2368" s="1" t="s">
        <v>512</v>
      </c>
      <c r="H2368" s="1" t="s">
        <v>512</v>
      </c>
      <c r="I2368" s="1" t="s">
        <v>512</v>
      </c>
      <c r="J2368" s="1" t="s">
        <v>512</v>
      </c>
      <c r="K2368" s="1" t="s">
        <v>512</v>
      </c>
      <c r="L2368" s="1" t="s">
        <v>512</v>
      </c>
      <c r="M2368" s="1" t="s">
        <v>512</v>
      </c>
      <c r="N2368" s="1" t="s">
        <v>512</v>
      </c>
      <c r="O2368" s="1" t="s">
        <v>512</v>
      </c>
      <c r="Q2368" s="1" t="s">
        <v>512</v>
      </c>
    </row>
    <row r="2369" spans="4:17" x14ac:dyDescent="0.25">
      <c r="D2369" s="1" t="s">
        <v>512</v>
      </c>
      <c r="E2369" s="21" t="s">
        <v>512</v>
      </c>
      <c r="F2369" s="1" t="s">
        <v>512</v>
      </c>
      <c r="G2369" s="1" t="s">
        <v>512</v>
      </c>
      <c r="H2369" s="1" t="s">
        <v>512</v>
      </c>
      <c r="I2369" s="1" t="s">
        <v>512</v>
      </c>
      <c r="J2369" s="1" t="s">
        <v>512</v>
      </c>
      <c r="K2369" s="1" t="s">
        <v>512</v>
      </c>
      <c r="L2369" s="1" t="s">
        <v>512</v>
      </c>
      <c r="M2369" s="1" t="s">
        <v>512</v>
      </c>
      <c r="N2369" s="1" t="s">
        <v>512</v>
      </c>
      <c r="O2369" s="1" t="s">
        <v>512</v>
      </c>
      <c r="Q2369" s="1" t="s">
        <v>512</v>
      </c>
    </row>
    <row r="2370" spans="4:17" x14ac:dyDescent="0.25">
      <c r="D2370" s="1" t="s">
        <v>512</v>
      </c>
      <c r="E2370" s="21" t="s">
        <v>512</v>
      </c>
      <c r="F2370" s="1" t="s">
        <v>512</v>
      </c>
      <c r="G2370" s="1" t="s">
        <v>512</v>
      </c>
      <c r="H2370" s="1" t="s">
        <v>512</v>
      </c>
      <c r="I2370" s="1" t="s">
        <v>512</v>
      </c>
      <c r="J2370" s="1" t="s">
        <v>512</v>
      </c>
      <c r="K2370" s="1" t="s">
        <v>512</v>
      </c>
      <c r="L2370" s="1" t="s">
        <v>512</v>
      </c>
      <c r="M2370" s="1" t="s">
        <v>512</v>
      </c>
      <c r="N2370" s="1" t="s">
        <v>512</v>
      </c>
      <c r="O2370" s="1" t="s">
        <v>512</v>
      </c>
      <c r="Q2370" s="1" t="s">
        <v>512</v>
      </c>
    </row>
    <row r="2371" spans="4:17" x14ac:dyDescent="0.25">
      <c r="D2371" s="1" t="s">
        <v>512</v>
      </c>
      <c r="E2371" s="21" t="s">
        <v>512</v>
      </c>
      <c r="F2371" s="1" t="s">
        <v>512</v>
      </c>
      <c r="G2371" s="1" t="s">
        <v>512</v>
      </c>
      <c r="H2371" s="1" t="s">
        <v>512</v>
      </c>
      <c r="I2371" s="1" t="s">
        <v>512</v>
      </c>
      <c r="J2371" s="1" t="s">
        <v>512</v>
      </c>
      <c r="K2371" s="1" t="s">
        <v>512</v>
      </c>
      <c r="L2371" s="1" t="s">
        <v>512</v>
      </c>
      <c r="M2371" s="1" t="s">
        <v>512</v>
      </c>
      <c r="N2371" s="1" t="s">
        <v>512</v>
      </c>
      <c r="O2371" s="1" t="s">
        <v>512</v>
      </c>
      <c r="Q2371" s="1" t="s">
        <v>512</v>
      </c>
    </row>
    <row r="2372" spans="4:17" x14ac:dyDescent="0.25">
      <c r="D2372" s="1" t="s">
        <v>512</v>
      </c>
      <c r="E2372" s="21" t="s">
        <v>512</v>
      </c>
      <c r="F2372" s="1" t="s">
        <v>512</v>
      </c>
      <c r="G2372" s="1" t="s">
        <v>512</v>
      </c>
      <c r="H2372" s="1" t="s">
        <v>512</v>
      </c>
      <c r="I2372" s="1" t="s">
        <v>512</v>
      </c>
      <c r="J2372" s="1" t="s">
        <v>512</v>
      </c>
      <c r="K2372" s="1" t="s">
        <v>512</v>
      </c>
      <c r="L2372" s="1" t="s">
        <v>512</v>
      </c>
      <c r="M2372" s="1" t="s">
        <v>512</v>
      </c>
      <c r="N2372" s="1" t="s">
        <v>512</v>
      </c>
      <c r="O2372" s="1" t="s">
        <v>512</v>
      </c>
      <c r="Q2372" s="1" t="s">
        <v>512</v>
      </c>
    </row>
    <row r="2373" spans="4:17" x14ac:dyDescent="0.25">
      <c r="D2373" s="1" t="s">
        <v>512</v>
      </c>
      <c r="E2373" s="21" t="s">
        <v>512</v>
      </c>
      <c r="F2373" s="1" t="s">
        <v>512</v>
      </c>
      <c r="G2373" s="1" t="s">
        <v>512</v>
      </c>
      <c r="H2373" s="1" t="s">
        <v>512</v>
      </c>
      <c r="I2373" s="1" t="s">
        <v>512</v>
      </c>
      <c r="J2373" s="1" t="s">
        <v>512</v>
      </c>
      <c r="K2373" s="1" t="s">
        <v>512</v>
      </c>
      <c r="L2373" s="1" t="s">
        <v>512</v>
      </c>
      <c r="M2373" s="1" t="s">
        <v>512</v>
      </c>
      <c r="N2373" s="1" t="s">
        <v>512</v>
      </c>
      <c r="O2373" s="1" t="s">
        <v>512</v>
      </c>
      <c r="Q2373" s="1" t="s">
        <v>512</v>
      </c>
    </row>
    <row r="2374" spans="4:17" x14ac:dyDescent="0.25">
      <c r="D2374" s="1" t="s">
        <v>512</v>
      </c>
      <c r="E2374" s="21" t="s">
        <v>512</v>
      </c>
      <c r="F2374" s="1" t="s">
        <v>512</v>
      </c>
      <c r="G2374" s="1" t="s">
        <v>512</v>
      </c>
      <c r="H2374" s="1" t="s">
        <v>512</v>
      </c>
      <c r="I2374" s="1" t="s">
        <v>512</v>
      </c>
      <c r="J2374" s="1" t="s">
        <v>512</v>
      </c>
      <c r="K2374" s="1" t="s">
        <v>512</v>
      </c>
      <c r="L2374" s="1" t="s">
        <v>512</v>
      </c>
      <c r="M2374" s="1" t="s">
        <v>512</v>
      </c>
      <c r="N2374" s="1" t="s">
        <v>512</v>
      </c>
      <c r="O2374" s="1" t="s">
        <v>512</v>
      </c>
      <c r="Q2374" s="1" t="s">
        <v>512</v>
      </c>
    </row>
    <row r="2375" spans="4:17" x14ac:dyDescent="0.25">
      <c r="D2375" s="1" t="s">
        <v>512</v>
      </c>
      <c r="E2375" s="21" t="s">
        <v>512</v>
      </c>
      <c r="F2375" s="1" t="s">
        <v>512</v>
      </c>
      <c r="G2375" s="1" t="s">
        <v>512</v>
      </c>
      <c r="H2375" s="1" t="s">
        <v>512</v>
      </c>
      <c r="I2375" s="1" t="s">
        <v>512</v>
      </c>
      <c r="J2375" s="1" t="s">
        <v>512</v>
      </c>
      <c r="K2375" s="1" t="s">
        <v>512</v>
      </c>
      <c r="L2375" s="1" t="s">
        <v>512</v>
      </c>
      <c r="M2375" s="1" t="s">
        <v>512</v>
      </c>
      <c r="N2375" s="1" t="s">
        <v>512</v>
      </c>
      <c r="O2375" s="1" t="s">
        <v>512</v>
      </c>
      <c r="Q2375" s="1" t="s">
        <v>512</v>
      </c>
    </row>
    <row r="2376" spans="4:17" x14ac:dyDescent="0.25">
      <c r="D2376" s="1" t="s">
        <v>512</v>
      </c>
      <c r="E2376" s="21" t="s">
        <v>512</v>
      </c>
      <c r="F2376" s="1" t="s">
        <v>512</v>
      </c>
      <c r="G2376" s="1" t="s">
        <v>512</v>
      </c>
      <c r="H2376" s="1" t="s">
        <v>512</v>
      </c>
      <c r="I2376" s="1" t="s">
        <v>512</v>
      </c>
      <c r="J2376" s="1" t="s">
        <v>512</v>
      </c>
      <c r="K2376" s="1" t="s">
        <v>512</v>
      </c>
      <c r="L2376" s="1" t="s">
        <v>512</v>
      </c>
      <c r="M2376" s="1" t="s">
        <v>512</v>
      </c>
      <c r="N2376" s="1" t="s">
        <v>512</v>
      </c>
      <c r="O2376" s="1" t="s">
        <v>512</v>
      </c>
      <c r="Q2376" s="1" t="s">
        <v>512</v>
      </c>
    </row>
    <row r="2377" spans="4:17" x14ac:dyDescent="0.25">
      <c r="D2377" s="1" t="s">
        <v>512</v>
      </c>
      <c r="E2377" s="21" t="s">
        <v>512</v>
      </c>
      <c r="F2377" s="1" t="s">
        <v>512</v>
      </c>
      <c r="G2377" s="1" t="s">
        <v>512</v>
      </c>
      <c r="H2377" s="1" t="s">
        <v>512</v>
      </c>
      <c r="I2377" s="1" t="s">
        <v>512</v>
      </c>
      <c r="J2377" s="1" t="s">
        <v>512</v>
      </c>
      <c r="K2377" s="1" t="s">
        <v>512</v>
      </c>
      <c r="L2377" s="1" t="s">
        <v>512</v>
      </c>
      <c r="M2377" s="1" t="s">
        <v>512</v>
      </c>
      <c r="N2377" s="1" t="s">
        <v>512</v>
      </c>
      <c r="O2377" s="1" t="s">
        <v>512</v>
      </c>
      <c r="Q2377" s="1" t="s">
        <v>512</v>
      </c>
    </row>
    <row r="2378" spans="4:17" x14ac:dyDescent="0.25">
      <c r="D2378" s="1" t="s">
        <v>512</v>
      </c>
      <c r="E2378" s="21" t="s">
        <v>512</v>
      </c>
      <c r="F2378" s="1" t="s">
        <v>512</v>
      </c>
      <c r="G2378" s="1" t="s">
        <v>512</v>
      </c>
      <c r="H2378" s="1" t="s">
        <v>512</v>
      </c>
      <c r="I2378" s="1" t="s">
        <v>512</v>
      </c>
      <c r="J2378" s="1" t="s">
        <v>512</v>
      </c>
      <c r="K2378" s="1" t="s">
        <v>512</v>
      </c>
      <c r="L2378" s="1" t="s">
        <v>512</v>
      </c>
      <c r="M2378" s="1" t="s">
        <v>512</v>
      </c>
      <c r="N2378" s="1" t="s">
        <v>512</v>
      </c>
      <c r="O2378" s="1" t="s">
        <v>512</v>
      </c>
      <c r="Q2378" s="1" t="s">
        <v>512</v>
      </c>
    </row>
    <row r="2379" spans="4:17" x14ac:dyDescent="0.25">
      <c r="D2379" s="1" t="s">
        <v>512</v>
      </c>
      <c r="E2379" s="21" t="s">
        <v>512</v>
      </c>
      <c r="F2379" s="1" t="s">
        <v>512</v>
      </c>
      <c r="G2379" s="1" t="s">
        <v>512</v>
      </c>
      <c r="H2379" s="1" t="s">
        <v>512</v>
      </c>
      <c r="I2379" s="1" t="s">
        <v>512</v>
      </c>
      <c r="J2379" s="1" t="s">
        <v>512</v>
      </c>
      <c r="K2379" s="1" t="s">
        <v>512</v>
      </c>
      <c r="L2379" s="1" t="s">
        <v>512</v>
      </c>
      <c r="M2379" s="1" t="s">
        <v>512</v>
      </c>
      <c r="N2379" s="1" t="s">
        <v>512</v>
      </c>
      <c r="O2379" s="1" t="s">
        <v>512</v>
      </c>
      <c r="Q2379" s="1" t="s">
        <v>512</v>
      </c>
    </row>
    <row r="2380" spans="4:17" x14ac:dyDescent="0.25">
      <c r="D2380" s="1" t="s">
        <v>512</v>
      </c>
      <c r="E2380" s="21" t="s">
        <v>512</v>
      </c>
      <c r="F2380" s="1" t="s">
        <v>512</v>
      </c>
      <c r="G2380" s="1" t="s">
        <v>512</v>
      </c>
      <c r="H2380" s="1" t="s">
        <v>512</v>
      </c>
      <c r="I2380" s="1" t="s">
        <v>512</v>
      </c>
      <c r="J2380" s="1" t="s">
        <v>512</v>
      </c>
      <c r="K2380" s="1" t="s">
        <v>512</v>
      </c>
      <c r="L2380" s="1" t="s">
        <v>512</v>
      </c>
      <c r="M2380" s="1" t="s">
        <v>512</v>
      </c>
      <c r="N2380" s="1" t="s">
        <v>512</v>
      </c>
      <c r="O2380" s="1" t="s">
        <v>512</v>
      </c>
      <c r="Q2380" s="1" t="s">
        <v>512</v>
      </c>
    </row>
    <row r="2381" spans="4:17" x14ac:dyDescent="0.25">
      <c r="D2381" s="1" t="s">
        <v>512</v>
      </c>
      <c r="E2381" s="21" t="s">
        <v>512</v>
      </c>
      <c r="F2381" s="1" t="s">
        <v>512</v>
      </c>
      <c r="G2381" s="1" t="s">
        <v>512</v>
      </c>
      <c r="H2381" s="1" t="s">
        <v>512</v>
      </c>
      <c r="I2381" s="1" t="s">
        <v>512</v>
      </c>
      <c r="J2381" s="1" t="s">
        <v>512</v>
      </c>
      <c r="K2381" s="1" t="s">
        <v>512</v>
      </c>
      <c r="L2381" s="1" t="s">
        <v>512</v>
      </c>
      <c r="M2381" s="1" t="s">
        <v>512</v>
      </c>
      <c r="N2381" s="1" t="s">
        <v>512</v>
      </c>
      <c r="O2381" s="1" t="s">
        <v>512</v>
      </c>
      <c r="Q2381" s="1" t="s">
        <v>512</v>
      </c>
    </row>
    <row r="2382" spans="4:17" x14ac:dyDescent="0.25">
      <c r="D2382" s="1" t="s">
        <v>512</v>
      </c>
      <c r="E2382" s="21" t="s">
        <v>512</v>
      </c>
      <c r="F2382" s="1" t="s">
        <v>512</v>
      </c>
      <c r="G2382" s="1" t="s">
        <v>512</v>
      </c>
      <c r="H2382" s="1" t="s">
        <v>512</v>
      </c>
      <c r="I2382" s="1" t="s">
        <v>512</v>
      </c>
      <c r="J2382" s="1" t="s">
        <v>512</v>
      </c>
      <c r="K2382" s="1" t="s">
        <v>512</v>
      </c>
      <c r="L2382" s="1" t="s">
        <v>512</v>
      </c>
      <c r="M2382" s="1" t="s">
        <v>512</v>
      </c>
      <c r="N2382" s="1" t="s">
        <v>512</v>
      </c>
      <c r="O2382" s="1" t="s">
        <v>512</v>
      </c>
      <c r="Q2382" s="1" t="s">
        <v>512</v>
      </c>
    </row>
    <row r="2383" spans="4:17" x14ac:dyDescent="0.25">
      <c r="D2383" s="1" t="s">
        <v>512</v>
      </c>
      <c r="E2383" s="21" t="s">
        <v>512</v>
      </c>
      <c r="F2383" s="1" t="s">
        <v>512</v>
      </c>
      <c r="G2383" s="1" t="s">
        <v>512</v>
      </c>
      <c r="H2383" s="1" t="s">
        <v>512</v>
      </c>
      <c r="I2383" s="1" t="s">
        <v>512</v>
      </c>
      <c r="J2383" s="1" t="s">
        <v>512</v>
      </c>
      <c r="K2383" s="1" t="s">
        <v>512</v>
      </c>
      <c r="L2383" s="1" t="s">
        <v>512</v>
      </c>
      <c r="M2383" s="1" t="s">
        <v>512</v>
      </c>
      <c r="N2383" s="1" t="s">
        <v>512</v>
      </c>
      <c r="O2383" s="1" t="s">
        <v>512</v>
      </c>
      <c r="Q2383" s="1" t="s">
        <v>512</v>
      </c>
    </row>
    <row r="2384" spans="4:17" x14ac:dyDescent="0.25">
      <c r="D2384" s="1" t="s">
        <v>512</v>
      </c>
      <c r="E2384" s="21" t="s">
        <v>512</v>
      </c>
      <c r="F2384" s="1" t="s">
        <v>512</v>
      </c>
      <c r="G2384" s="1" t="s">
        <v>512</v>
      </c>
      <c r="H2384" s="1" t="s">
        <v>512</v>
      </c>
      <c r="I2384" s="1" t="s">
        <v>512</v>
      </c>
      <c r="J2384" s="1" t="s">
        <v>512</v>
      </c>
      <c r="K2384" s="1" t="s">
        <v>512</v>
      </c>
      <c r="L2384" s="1" t="s">
        <v>512</v>
      </c>
      <c r="M2384" s="1" t="s">
        <v>512</v>
      </c>
      <c r="N2384" s="1" t="s">
        <v>512</v>
      </c>
      <c r="O2384" s="1" t="s">
        <v>512</v>
      </c>
      <c r="Q2384" s="1" t="s">
        <v>512</v>
      </c>
    </row>
    <row r="2385" spans="4:15" x14ac:dyDescent="0.25">
      <c r="D2385" s="1" t="s">
        <v>512</v>
      </c>
      <c r="E2385" s="21" t="s">
        <v>512</v>
      </c>
      <c r="F2385" s="1" t="s">
        <v>512</v>
      </c>
      <c r="G2385" s="1" t="s">
        <v>512</v>
      </c>
      <c r="H2385" s="1" t="s">
        <v>512</v>
      </c>
      <c r="I2385" s="1" t="s">
        <v>512</v>
      </c>
      <c r="J2385" s="1" t="s">
        <v>512</v>
      </c>
      <c r="K2385" s="1" t="s">
        <v>512</v>
      </c>
      <c r="L2385" s="1" t="s">
        <v>512</v>
      </c>
      <c r="M2385" s="1" t="s">
        <v>512</v>
      </c>
      <c r="N2385" s="1" t="s">
        <v>512</v>
      </c>
      <c r="O2385" s="1" t="s">
        <v>512</v>
      </c>
    </row>
    <row r="2386" spans="4:15" x14ac:dyDescent="0.25">
      <c r="D2386" s="1" t="s">
        <v>512</v>
      </c>
      <c r="E2386" s="21" t="s">
        <v>512</v>
      </c>
      <c r="F2386" s="1" t="s">
        <v>512</v>
      </c>
      <c r="G2386" s="1" t="s">
        <v>512</v>
      </c>
      <c r="H2386" s="1" t="s">
        <v>512</v>
      </c>
      <c r="I2386" s="1" t="s">
        <v>512</v>
      </c>
      <c r="J2386" s="1" t="s">
        <v>512</v>
      </c>
      <c r="K2386" s="1" t="s">
        <v>512</v>
      </c>
      <c r="L2386" s="1" t="s">
        <v>512</v>
      </c>
      <c r="M2386" s="1" t="s">
        <v>512</v>
      </c>
      <c r="N2386" s="1" t="s">
        <v>512</v>
      </c>
      <c r="O2386" s="1" t="s">
        <v>512</v>
      </c>
    </row>
    <row r="2387" spans="4:15" x14ac:dyDescent="0.25">
      <c r="D2387" s="1" t="s">
        <v>512</v>
      </c>
      <c r="E2387" s="21" t="s">
        <v>512</v>
      </c>
      <c r="F2387" s="1" t="s">
        <v>512</v>
      </c>
      <c r="G2387" s="1" t="s">
        <v>512</v>
      </c>
      <c r="H2387" s="1" t="s">
        <v>512</v>
      </c>
      <c r="I2387" s="1" t="s">
        <v>512</v>
      </c>
      <c r="J2387" s="1" t="s">
        <v>512</v>
      </c>
      <c r="K2387" s="1" t="s">
        <v>512</v>
      </c>
      <c r="L2387" s="1" t="s">
        <v>512</v>
      </c>
      <c r="M2387" s="1" t="s">
        <v>512</v>
      </c>
      <c r="N2387" s="1" t="s">
        <v>512</v>
      </c>
      <c r="O2387" s="1" t="s">
        <v>512</v>
      </c>
    </row>
    <row r="2388" spans="4:15" x14ac:dyDescent="0.25">
      <c r="D2388" s="1" t="s">
        <v>512</v>
      </c>
      <c r="E2388" s="21" t="s">
        <v>512</v>
      </c>
      <c r="F2388" s="1" t="s">
        <v>512</v>
      </c>
      <c r="G2388" s="1" t="s">
        <v>512</v>
      </c>
      <c r="H2388" s="1" t="s">
        <v>512</v>
      </c>
      <c r="I2388" s="1" t="s">
        <v>512</v>
      </c>
      <c r="J2388" s="1" t="s">
        <v>512</v>
      </c>
      <c r="K2388" s="1" t="s">
        <v>512</v>
      </c>
      <c r="L2388" s="1" t="s">
        <v>512</v>
      </c>
      <c r="M2388" s="1" t="s">
        <v>512</v>
      </c>
      <c r="N2388" s="1" t="s">
        <v>512</v>
      </c>
      <c r="O2388" s="1" t="s">
        <v>512</v>
      </c>
    </row>
    <row r="2389" spans="4:15" x14ac:dyDescent="0.25">
      <c r="D2389" s="1" t="s">
        <v>512</v>
      </c>
      <c r="E2389" s="21" t="s">
        <v>512</v>
      </c>
      <c r="F2389" s="1" t="s">
        <v>512</v>
      </c>
      <c r="G2389" s="1" t="s">
        <v>512</v>
      </c>
      <c r="H2389" s="1" t="s">
        <v>512</v>
      </c>
      <c r="I2389" s="1" t="s">
        <v>512</v>
      </c>
      <c r="J2389" s="1" t="s">
        <v>512</v>
      </c>
      <c r="K2389" s="1" t="s">
        <v>512</v>
      </c>
      <c r="L2389" s="1" t="s">
        <v>512</v>
      </c>
      <c r="M2389" s="1" t="s">
        <v>512</v>
      </c>
      <c r="N2389" s="1" t="s">
        <v>512</v>
      </c>
      <c r="O2389" s="1" t="s">
        <v>512</v>
      </c>
    </row>
    <row r="2390" spans="4:15" x14ac:dyDescent="0.25">
      <c r="D2390" s="1" t="s">
        <v>512</v>
      </c>
      <c r="E2390" s="21" t="s">
        <v>512</v>
      </c>
      <c r="F2390" s="1" t="s">
        <v>512</v>
      </c>
      <c r="G2390" s="1" t="s">
        <v>512</v>
      </c>
      <c r="H2390" s="1" t="s">
        <v>512</v>
      </c>
      <c r="I2390" s="1" t="s">
        <v>512</v>
      </c>
      <c r="J2390" s="1" t="s">
        <v>512</v>
      </c>
      <c r="K2390" s="1" t="s">
        <v>512</v>
      </c>
      <c r="L2390" s="1" t="s">
        <v>512</v>
      </c>
      <c r="M2390" s="1" t="s">
        <v>512</v>
      </c>
      <c r="N2390" s="1" t="s">
        <v>512</v>
      </c>
      <c r="O2390" s="1" t="s">
        <v>512</v>
      </c>
    </row>
    <row r="2391" spans="4:15" x14ac:dyDescent="0.25">
      <c r="D2391" s="1" t="s">
        <v>512</v>
      </c>
      <c r="E2391" s="21" t="s">
        <v>512</v>
      </c>
      <c r="F2391" s="1" t="s">
        <v>512</v>
      </c>
      <c r="G2391" s="1" t="s">
        <v>512</v>
      </c>
      <c r="H2391" s="1" t="s">
        <v>512</v>
      </c>
      <c r="I2391" s="1" t="s">
        <v>512</v>
      </c>
      <c r="J2391" s="1" t="s">
        <v>512</v>
      </c>
      <c r="K2391" s="1" t="s">
        <v>512</v>
      </c>
      <c r="L2391" s="1" t="s">
        <v>512</v>
      </c>
      <c r="M2391" s="1" t="s">
        <v>512</v>
      </c>
      <c r="N2391" s="1" t="s">
        <v>512</v>
      </c>
      <c r="O2391" s="1" t="s">
        <v>512</v>
      </c>
    </row>
    <row r="2392" spans="4:15" x14ac:dyDescent="0.25">
      <c r="D2392" s="1" t="s">
        <v>512</v>
      </c>
      <c r="E2392" s="21" t="s">
        <v>512</v>
      </c>
      <c r="F2392" s="1" t="s">
        <v>512</v>
      </c>
      <c r="G2392" s="1" t="s">
        <v>512</v>
      </c>
      <c r="H2392" s="1" t="s">
        <v>512</v>
      </c>
      <c r="I2392" s="1" t="s">
        <v>512</v>
      </c>
      <c r="J2392" s="1" t="s">
        <v>512</v>
      </c>
      <c r="K2392" s="1" t="s">
        <v>512</v>
      </c>
      <c r="L2392" s="1" t="s">
        <v>512</v>
      </c>
      <c r="M2392" s="1" t="s">
        <v>512</v>
      </c>
      <c r="N2392" s="1" t="s">
        <v>512</v>
      </c>
      <c r="O2392" s="1" t="s">
        <v>512</v>
      </c>
    </row>
    <row r="2393" spans="4:15" x14ac:dyDescent="0.25">
      <c r="D2393" s="1" t="s">
        <v>512</v>
      </c>
      <c r="E2393" s="21" t="s">
        <v>512</v>
      </c>
      <c r="F2393" s="1" t="s">
        <v>512</v>
      </c>
      <c r="G2393" s="1" t="s">
        <v>512</v>
      </c>
      <c r="H2393" s="1" t="s">
        <v>512</v>
      </c>
      <c r="I2393" s="1" t="s">
        <v>512</v>
      </c>
      <c r="J2393" s="1" t="s">
        <v>512</v>
      </c>
      <c r="K2393" s="1" t="s">
        <v>512</v>
      </c>
      <c r="L2393" s="1" t="s">
        <v>512</v>
      </c>
      <c r="M2393" s="1" t="s">
        <v>512</v>
      </c>
      <c r="N2393" s="1" t="s">
        <v>512</v>
      </c>
      <c r="O2393" s="1" t="s">
        <v>512</v>
      </c>
    </row>
    <row r="2394" spans="4:15" x14ac:dyDescent="0.25">
      <c r="D2394" s="1" t="s">
        <v>512</v>
      </c>
      <c r="E2394" s="21" t="s">
        <v>512</v>
      </c>
      <c r="F2394" s="1" t="s">
        <v>512</v>
      </c>
      <c r="G2394" s="1" t="s">
        <v>512</v>
      </c>
      <c r="H2394" s="1" t="s">
        <v>512</v>
      </c>
      <c r="I2394" s="1" t="s">
        <v>512</v>
      </c>
      <c r="J2394" s="1" t="s">
        <v>512</v>
      </c>
      <c r="K2394" s="1" t="s">
        <v>512</v>
      </c>
      <c r="L2394" s="1" t="s">
        <v>512</v>
      </c>
      <c r="M2394" s="1" t="s">
        <v>512</v>
      </c>
      <c r="N2394" s="1" t="s">
        <v>512</v>
      </c>
      <c r="O2394" s="1" t="s">
        <v>512</v>
      </c>
    </row>
    <row r="2395" spans="4:15" x14ac:dyDescent="0.25">
      <c r="D2395" s="1" t="s">
        <v>512</v>
      </c>
      <c r="E2395" s="21" t="s">
        <v>512</v>
      </c>
      <c r="F2395" s="1" t="s">
        <v>512</v>
      </c>
      <c r="G2395" s="1" t="s">
        <v>512</v>
      </c>
      <c r="H2395" s="1" t="s">
        <v>512</v>
      </c>
      <c r="I2395" s="1" t="s">
        <v>512</v>
      </c>
      <c r="J2395" s="1" t="s">
        <v>512</v>
      </c>
      <c r="K2395" s="1" t="s">
        <v>512</v>
      </c>
      <c r="L2395" s="1" t="s">
        <v>512</v>
      </c>
      <c r="M2395" s="1" t="s">
        <v>512</v>
      </c>
      <c r="N2395" s="1" t="s">
        <v>512</v>
      </c>
      <c r="O2395" s="1" t="s">
        <v>512</v>
      </c>
    </row>
    <row r="2396" spans="4:15" x14ac:dyDescent="0.25">
      <c r="D2396" s="1" t="s">
        <v>512</v>
      </c>
      <c r="E2396" s="21" t="s">
        <v>512</v>
      </c>
      <c r="F2396" s="1" t="s">
        <v>512</v>
      </c>
      <c r="G2396" s="1" t="s">
        <v>512</v>
      </c>
      <c r="H2396" s="1" t="s">
        <v>512</v>
      </c>
      <c r="I2396" s="1" t="s">
        <v>512</v>
      </c>
      <c r="J2396" s="1" t="s">
        <v>512</v>
      </c>
      <c r="K2396" s="1" t="s">
        <v>512</v>
      </c>
      <c r="L2396" s="1" t="s">
        <v>512</v>
      </c>
      <c r="M2396" s="1" t="s">
        <v>512</v>
      </c>
      <c r="N2396" s="1" t="s">
        <v>512</v>
      </c>
      <c r="O2396" s="1" t="s">
        <v>512</v>
      </c>
    </row>
    <row r="2397" spans="4:15" x14ac:dyDescent="0.25">
      <c r="D2397" s="1" t="s">
        <v>512</v>
      </c>
      <c r="E2397" s="21" t="s">
        <v>512</v>
      </c>
      <c r="F2397" s="1" t="s">
        <v>512</v>
      </c>
      <c r="G2397" s="1" t="s">
        <v>512</v>
      </c>
      <c r="H2397" s="1" t="s">
        <v>512</v>
      </c>
      <c r="I2397" s="1" t="s">
        <v>512</v>
      </c>
      <c r="J2397" s="1" t="s">
        <v>512</v>
      </c>
      <c r="K2397" s="1" t="s">
        <v>512</v>
      </c>
      <c r="L2397" s="1" t="s">
        <v>512</v>
      </c>
      <c r="M2397" s="1" t="s">
        <v>512</v>
      </c>
      <c r="N2397" s="1" t="s">
        <v>512</v>
      </c>
      <c r="O2397" s="1" t="s">
        <v>512</v>
      </c>
    </row>
    <row r="2398" spans="4:15" x14ac:dyDescent="0.25">
      <c r="D2398" s="1" t="s">
        <v>512</v>
      </c>
      <c r="E2398" s="21" t="s">
        <v>512</v>
      </c>
      <c r="F2398" s="1" t="s">
        <v>512</v>
      </c>
      <c r="G2398" s="1" t="s">
        <v>512</v>
      </c>
      <c r="H2398" s="1" t="s">
        <v>512</v>
      </c>
      <c r="I2398" s="1" t="s">
        <v>512</v>
      </c>
      <c r="J2398" s="1" t="s">
        <v>512</v>
      </c>
      <c r="K2398" s="1" t="s">
        <v>512</v>
      </c>
      <c r="L2398" s="1" t="s">
        <v>512</v>
      </c>
      <c r="M2398" s="1" t="s">
        <v>512</v>
      </c>
      <c r="N2398" s="1" t="s">
        <v>512</v>
      </c>
      <c r="O2398" s="1" t="s">
        <v>512</v>
      </c>
    </row>
    <row r="2399" spans="4:15" x14ac:dyDescent="0.25">
      <c r="D2399" s="1" t="s">
        <v>512</v>
      </c>
      <c r="E2399" s="21" t="s">
        <v>512</v>
      </c>
      <c r="F2399" s="1" t="s">
        <v>512</v>
      </c>
      <c r="G2399" s="1" t="s">
        <v>512</v>
      </c>
      <c r="H2399" s="1" t="s">
        <v>512</v>
      </c>
      <c r="I2399" s="1" t="s">
        <v>512</v>
      </c>
      <c r="J2399" s="1" t="s">
        <v>512</v>
      </c>
      <c r="K2399" s="1" t="s">
        <v>512</v>
      </c>
      <c r="L2399" s="1" t="s">
        <v>512</v>
      </c>
      <c r="M2399" s="1" t="s">
        <v>512</v>
      </c>
      <c r="N2399" s="1" t="s">
        <v>512</v>
      </c>
      <c r="O2399" s="1" t="s">
        <v>512</v>
      </c>
    </row>
    <row r="2400" spans="4:15" x14ac:dyDescent="0.25">
      <c r="D2400" s="1" t="s">
        <v>512</v>
      </c>
      <c r="E2400" s="21" t="s">
        <v>512</v>
      </c>
      <c r="F2400" s="1" t="s">
        <v>512</v>
      </c>
      <c r="G2400" s="1" t="s">
        <v>512</v>
      </c>
      <c r="H2400" s="1" t="s">
        <v>512</v>
      </c>
      <c r="I2400" s="1" t="s">
        <v>512</v>
      </c>
      <c r="J2400" s="1" t="s">
        <v>512</v>
      </c>
      <c r="K2400" s="1" t="s">
        <v>512</v>
      </c>
      <c r="L2400" s="1" t="s">
        <v>512</v>
      </c>
      <c r="M2400" s="1" t="s">
        <v>512</v>
      </c>
      <c r="N2400" s="1" t="s">
        <v>512</v>
      </c>
      <c r="O2400" s="1" t="s">
        <v>512</v>
      </c>
    </row>
    <row r="2401" spans="4:15" x14ac:dyDescent="0.25">
      <c r="D2401" s="1" t="s">
        <v>512</v>
      </c>
      <c r="E2401" s="21" t="s">
        <v>512</v>
      </c>
      <c r="F2401" s="1" t="s">
        <v>512</v>
      </c>
      <c r="G2401" s="1" t="s">
        <v>512</v>
      </c>
      <c r="H2401" s="1" t="s">
        <v>512</v>
      </c>
      <c r="I2401" s="1" t="s">
        <v>512</v>
      </c>
      <c r="J2401" s="1" t="s">
        <v>512</v>
      </c>
      <c r="K2401" s="1" t="s">
        <v>512</v>
      </c>
      <c r="L2401" s="1" t="s">
        <v>512</v>
      </c>
      <c r="M2401" s="1" t="s">
        <v>512</v>
      </c>
      <c r="N2401" s="1" t="s">
        <v>512</v>
      </c>
      <c r="O2401" s="1" t="s">
        <v>512</v>
      </c>
    </row>
    <row r="2402" spans="4:15" x14ac:dyDescent="0.25">
      <c r="D2402" s="1" t="s">
        <v>512</v>
      </c>
      <c r="E2402" s="21" t="s">
        <v>512</v>
      </c>
      <c r="F2402" s="1" t="s">
        <v>512</v>
      </c>
      <c r="G2402" s="1" t="s">
        <v>512</v>
      </c>
      <c r="H2402" s="1" t="s">
        <v>512</v>
      </c>
      <c r="I2402" s="1" t="s">
        <v>512</v>
      </c>
      <c r="J2402" s="1" t="s">
        <v>512</v>
      </c>
      <c r="K2402" s="1" t="s">
        <v>512</v>
      </c>
      <c r="L2402" s="1" t="s">
        <v>512</v>
      </c>
      <c r="M2402" s="1" t="s">
        <v>512</v>
      </c>
      <c r="N2402" s="1" t="s">
        <v>512</v>
      </c>
      <c r="O2402" s="1" t="s">
        <v>512</v>
      </c>
    </row>
    <row r="2403" spans="4:15" x14ac:dyDescent="0.25">
      <c r="D2403" s="1" t="s">
        <v>512</v>
      </c>
      <c r="E2403" s="21" t="s">
        <v>512</v>
      </c>
      <c r="F2403" s="1" t="s">
        <v>512</v>
      </c>
      <c r="G2403" s="1" t="s">
        <v>512</v>
      </c>
      <c r="H2403" s="1" t="s">
        <v>512</v>
      </c>
      <c r="I2403" s="1" t="s">
        <v>512</v>
      </c>
      <c r="J2403" s="1" t="s">
        <v>512</v>
      </c>
      <c r="K2403" s="1" t="s">
        <v>512</v>
      </c>
      <c r="L2403" s="1" t="s">
        <v>512</v>
      </c>
      <c r="M2403" s="1" t="s">
        <v>512</v>
      </c>
      <c r="N2403" s="1" t="s">
        <v>512</v>
      </c>
      <c r="O2403" s="1" t="s">
        <v>512</v>
      </c>
    </row>
    <row r="2404" spans="4:15" x14ac:dyDescent="0.25">
      <c r="D2404" s="1" t="s">
        <v>512</v>
      </c>
      <c r="E2404" s="21" t="s">
        <v>512</v>
      </c>
      <c r="F2404" s="1" t="s">
        <v>512</v>
      </c>
      <c r="G2404" s="1" t="s">
        <v>512</v>
      </c>
      <c r="H2404" s="1" t="s">
        <v>512</v>
      </c>
      <c r="I2404" s="1" t="s">
        <v>512</v>
      </c>
      <c r="J2404" s="1" t="s">
        <v>512</v>
      </c>
      <c r="K2404" s="1" t="s">
        <v>512</v>
      </c>
      <c r="L2404" s="1" t="s">
        <v>512</v>
      </c>
      <c r="M2404" s="1" t="s">
        <v>512</v>
      </c>
      <c r="N2404" s="1" t="s">
        <v>512</v>
      </c>
      <c r="O2404" s="1" t="s">
        <v>512</v>
      </c>
    </row>
    <row r="2405" spans="4:15" x14ac:dyDescent="0.25">
      <c r="D2405" s="1" t="s">
        <v>512</v>
      </c>
      <c r="E2405" s="21" t="s">
        <v>512</v>
      </c>
      <c r="F2405" s="1" t="s">
        <v>512</v>
      </c>
      <c r="G2405" s="1" t="s">
        <v>512</v>
      </c>
      <c r="H2405" s="1" t="s">
        <v>512</v>
      </c>
      <c r="I2405" s="1" t="s">
        <v>512</v>
      </c>
      <c r="J2405" s="1" t="s">
        <v>512</v>
      </c>
      <c r="K2405" s="1" t="s">
        <v>512</v>
      </c>
      <c r="L2405" s="1" t="s">
        <v>512</v>
      </c>
      <c r="M2405" s="1" t="s">
        <v>512</v>
      </c>
      <c r="N2405" s="1" t="s">
        <v>512</v>
      </c>
      <c r="O2405" s="1" t="s">
        <v>512</v>
      </c>
    </row>
    <row r="2406" spans="4:15" x14ac:dyDescent="0.25">
      <c r="D2406" s="1" t="s">
        <v>512</v>
      </c>
      <c r="E2406" s="21" t="s">
        <v>512</v>
      </c>
      <c r="F2406" s="1" t="s">
        <v>512</v>
      </c>
      <c r="G2406" s="1" t="s">
        <v>512</v>
      </c>
      <c r="H2406" s="1" t="s">
        <v>512</v>
      </c>
      <c r="I2406" s="1" t="s">
        <v>512</v>
      </c>
      <c r="J2406" s="1" t="s">
        <v>512</v>
      </c>
      <c r="K2406" s="1" t="s">
        <v>512</v>
      </c>
      <c r="L2406" s="1" t="s">
        <v>512</v>
      </c>
      <c r="M2406" s="1" t="s">
        <v>512</v>
      </c>
      <c r="N2406" s="1" t="s">
        <v>512</v>
      </c>
      <c r="O2406" s="1" t="s">
        <v>512</v>
      </c>
    </row>
    <row r="2407" spans="4:15" x14ac:dyDescent="0.25">
      <c r="D2407" s="1" t="s">
        <v>512</v>
      </c>
      <c r="E2407" s="21" t="s">
        <v>512</v>
      </c>
      <c r="F2407" s="1" t="s">
        <v>512</v>
      </c>
      <c r="G2407" s="1" t="s">
        <v>512</v>
      </c>
      <c r="H2407" s="1" t="s">
        <v>512</v>
      </c>
      <c r="I2407" s="1" t="s">
        <v>512</v>
      </c>
      <c r="J2407" s="1" t="s">
        <v>512</v>
      </c>
      <c r="K2407" s="1" t="s">
        <v>512</v>
      </c>
      <c r="L2407" s="1" t="s">
        <v>512</v>
      </c>
      <c r="M2407" s="1" t="s">
        <v>512</v>
      </c>
      <c r="N2407" s="1" t="s">
        <v>512</v>
      </c>
      <c r="O2407" s="1" t="s">
        <v>512</v>
      </c>
    </row>
    <row r="2408" spans="4:15" x14ac:dyDescent="0.25">
      <c r="D2408" s="1" t="s">
        <v>512</v>
      </c>
      <c r="E2408" s="21" t="s">
        <v>512</v>
      </c>
      <c r="F2408" s="1" t="s">
        <v>512</v>
      </c>
      <c r="G2408" s="1" t="s">
        <v>512</v>
      </c>
      <c r="H2408" s="1" t="s">
        <v>512</v>
      </c>
      <c r="I2408" s="1" t="s">
        <v>512</v>
      </c>
      <c r="J2408" s="1" t="s">
        <v>512</v>
      </c>
      <c r="K2408" s="1" t="s">
        <v>512</v>
      </c>
      <c r="L2408" s="1" t="s">
        <v>512</v>
      </c>
      <c r="M2408" s="1" t="s">
        <v>512</v>
      </c>
      <c r="N2408" s="1" t="s">
        <v>512</v>
      </c>
      <c r="O2408" s="1" t="s">
        <v>512</v>
      </c>
    </row>
    <row r="2409" spans="4:15" x14ac:dyDescent="0.25">
      <c r="D2409" s="1" t="s">
        <v>512</v>
      </c>
      <c r="E2409" s="21" t="s">
        <v>512</v>
      </c>
      <c r="F2409" s="1" t="s">
        <v>512</v>
      </c>
      <c r="G2409" s="1" t="s">
        <v>512</v>
      </c>
      <c r="H2409" s="1" t="s">
        <v>512</v>
      </c>
      <c r="I2409" s="1" t="s">
        <v>512</v>
      </c>
      <c r="J2409" s="1" t="s">
        <v>512</v>
      </c>
      <c r="K2409" s="1" t="s">
        <v>512</v>
      </c>
      <c r="L2409" s="1" t="s">
        <v>512</v>
      </c>
      <c r="M2409" s="1" t="s">
        <v>512</v>
      </c>
      <c r="N2409" s="1" t="s">
        <v>512</v>
      </c>
      <c r="O2409" s="1" t="s">
        <v>512</v>
      </c>
    </row>
    <row r="2410" spans="4:15" x14ac:dyDescent="0.25">
      <c r="D2410" s="1" t="s">
        <v>512</v>
      </c>
      <c r="E2410" s="21" t="s">
        <v>512</v>
      </c>
      <c r="F2410" s="1" t="s">
        <v>512</v>
      </c>
      <c r="G2410" s="1" t="s">
        <v>512</v>
      </c>
      <c r="H2410" s="1" t="s">
        <v>512</v>
      </c>
      <c r="I2410" s="1" t="s">
        <v>512</v>
      </c>
      <c r="J2410" s="1" t="s">
        <v>512</v>
      </c>
      <c r="K2410" s="1" t="s">
        <v>512</v>
      </c>
      <c r="L2410" s="1" t="s">
        <v>512</v>
      </c>
      <c r="M2410" s="1" t="s">
        <v>512</v>
      </c>
      <c r="N2410" s="1" t="s">
        <v>512</v>
      </c>
      <c r="O2410" s="1" t="s">
        <v>512</v>
      </c>
    </row>
    <row r="2411" spans="4:15" x14ac:dyDescent="0.25">
      <c r="D2411" s="1" t="s">
        <v>512</v>
      </c>
      <c r="E2411" s="21" t="s">
        <v>512</v>
      </c>
      <c r="F2411" s="1" t="s">
        <v>512</v>
      </c>
      <c r="G2411" s="1" t="s">
        <v>512</v>
      </c>
      <c r="H2411" s="1" t="s">
        <v>512</v>
      </c>
      <c r="I2411" s="1" t="s">
        <v>512</v>
      </c>
      <c r="J2411" s="1" t="s">
        <v>512</v>
      </c>
      <c r="K2411" s="1" t="s">
        <v>512</v>
      </c>
      <c r="L2411" s="1" t="s">
        <v>512</v>
      </c>
      <c r="M2411" s="1" t="s">
        <v>512</v>
      </c>
      <c r="N2411" s="1" t="s">
        <v>512</v>
      </c>
      <c r="O2411" s="1" t="s">
        <v>512</v>
      </c>
    </row>
    <row r="2412" spans="4:15" x14ac:dyDescent="0.25">
      <c r="D2412" s="1" t="s">
        <v>512</v>
      </c>
      <c r="E2412" s="21" t="s">
        <v>512</v>
      </c>
      <c r="F2412" s="1" t="s">
        <v>512</v>
      </c>
      <c r="G2412" s="1" t="s">
        <v>512</v>
      </c>
      <c r="H2412" s="1" t="s">
        <v>512</v>
      </c>
      <c r="I2412" s="1" t="s">
        <v>512</v>
      </c>
      <c r="J2412" s="1" t="s">
        <v>512</v>
      </c>
      <c r="K2412" s="1" t="s">
        <v>512</v>
      </c>
      <c r="L2412" s="1" t="s">
        <v>512</v>
      </c>
      <c r="M2412" s="1" t="s">
        <v>512</v>
      </c>
      <c r="N2412" s="1" t="s">
        <v>512</v>
      </c>
      <c r="O2412" s="1" t="s">
        <v>512</v>
      </c>
    </row>
    <row r="2413" spans="4:15" x14ac:dyDescent="0.25">
      <c r="D2413" s="1" t="s">
        <v>512</v>
      </c>
      <c r="E2413" s="21" t="s">
        <v>512</v>
      </c>
      <c r="F2413" s="1" t="s">
        <v>512</v>
      </c>
      <c r="G2413" s="1" t="s">
        <v>512</v>
      </c>
      <c r="H2413" s="1" t="s">
        <v>512</v>
      </c>
      <c r="I2413" s="1" t="s">
        <v>512</v>
      </c>
      <c r="J2413" s="1" t="s">
        <v>512</v>
      </c>
      <c r="K2413" s="1" t="s">
        <v>512</v>
      </c>
      <c r="L2413" s="1" t="s">
        <v>512</v>
      </c>
      <c r="M2413" s="1" t="s">
        <v>512</v>
      </c>
      <c r="N2413" s="1" t="s">
        <v>512</v>
      </c>
      <c r="O2413" s="1" t="s">
        <v>512</v>
      </c>
    </row>
    <row r="2414" spans="4:15" x14ac:dyDescent="0.25">
      <c r="D2414" s="1" t="s">
        <v>512</v>
      </c>
      <c r="E2414" s="21" t="s">
        <v>512</v>
      </c>
      <c r="F2414" s="1" t="s">
        <v>512</v>
      </c>
      <c r="G2414" s="1" t="s">
        <v>512</v>
      </c>
      <c r="H2414" s="1" t="s">
        <v>512</v>
      </c>
      <c r="I2414" s="1" t="s">
        <v>512</v>
      </c>
      <c r="J2414" s="1" t="s">
        <v>512</v>
      </c>
      <c r="K2414" s="1" t="s">
        <v>512</v>
      </c>
      <c r="L2414" s="1" t="s">
        <v>512</v>
      </c>
      <c r="M2414" s="1" t="s">
        <v>512</v>
      </c>
      <c r="N2414" s="1" t="s">
        <v>512</v>
      </c>
      <c r="O2414" s="1" t="s">
        <v>512</v>
      </c>
    </row>
    <row r="2415" spans="4:15" x14ac:dyDescent="0.25">
      <c r="D2415" s="1" t="s">
        <v>512</v>
      </c>
      <c r="E2415" s="21" t="s">
        <v>512</v>
      </c>
      <c r="F2415" s="1" t="s">
        <v>512</v>
      </c>
      <c r="G2415" s="1" t="s">
        <v>512</v>
      </c>
      <c r="H2415" s="1" t="s">
        <v>512</v>
      </c>
      <c r="I2415" s="1" t="s">
        <v>512</v>
      </c>
      <c r="J2415" s="1" t="s">
        <v>512</v>
      </c>
      <c r="K2415" s="1" t="s">
        <v>512</v>
      </c>
      <c r="L2415" s="1" t="s">
        <v>512</v>
      </c>
      <c r="M2415" s="1" t="s">
        <v>512</v>
      </c>
      <c r="N2415" s="1" t="s">
        <v>512</v>
      </c>
      <c r="O2415" s="1" t="s">
        <v>512</v>
      </c>
    </row>
    <row r="2416" spans="4:15" x14ac:dyDescent="0.25">
      <c r="D2416" s="1" t="s">
        <v>512</v>
      </c>
      <c r="E2416" s="21" t="s">
        <v>512</v>
      </c>
      <c r="F2416" s="1" t="s">
        <v>512</v>
      </c>
      <c r="G2416" s="1" t="s">
        <v>512</v>
      </c>
      <c r="H2416" s="1" t="s">
        <v>512</v>
      </c>
      <c r="I2416" s="1" t="s">
        <v>512</v>
      </c>
      <c r="J2416" s="1" t="s">
        <v>512</v>
      </c>
      <c r="K2416" s="1" t="s">
        <v>512</v>
      </c>
      <c r="L2416" s="1" t="s">
        <v>512</v>
      </c>
      <c r="M2416" s="1" t="s">
        <v>512</v>
      </c>
      <c r="N2416" s="1" t="s">
        <v>512</v>
      </c>
      <c r="O2416" s="1" t="s">
        <v>512</v>
      </c>
    </row>
    <row r="2417" spans="4:15" x14ac:dyDescent="0.25">
      <c r="D2417" s="1" t="s">
        <v>512</v>
      </c>
      <c r="E2417" s="21" t="s">
        <v>512</v>
      </c>
      <c r="F2417" s="1" t="s">
        <v>512</v>
      </c>
      <c r="G2417" s="1" t="s">
        <v>512</v>
      </c>
      <c r="H2417" s="1" t="s">
        <v>512</v>
      </c>
      <c r="I2417" s="1" t="s">
        <v>512</v>
      </c>
      <c r="J2417" s="1" t="s">
        <v>512</v>
      </c>
      <c r="K2417" s="1" t="s">
        <v>512</v>
      </c>
      <c r="L2417" s="1" t="s">
        <v>512</v>
      </c>
      <c r="M2417" s="1" t="s">
        <v>512</v>
      </c>
      <c r="N2417" s="1" t="s">
        <v>512</v>
      </c>
      <c r="O2417" s="1" t="s">
        <v>512</v>
      </c>
    </row>
    <row r="2418" spans="4:15" x14ac:dyDescent="0.25">
      <c r="D2418" s="1" t="s">
        <v>512</v>
      </c>
      <c r="E2418" s="21" t="s">
        <v>512</v>
      </c>
      <c r="F2418" s="1" t="s">
        <v>512</v>
      </c>
      <c r="G2418" s="1" t="s">
        <v>512</v>
      </c>
      <c r="H2418" s="1" t="s">
        <v>512</v>
      </c>
      <c r="I2418" s="1" t="s">
        <v>512</v>
      </c>
      <c r="J2418" s="1" t="s">
        <v>512</v>
      </c>
      <c r="K2418" s="1" t="s">
        <v>512</v>
      </c>
      <c r="L2418" s="1" t="s">
        <v>512</v>
      </c>
      <c r="M2418" s="1" t="s">
        <v>512</v>
      </c>
      <c r="N2418" s="1" t="s">
        <v>512</v>
      </c>
      <c r="O2418" s="1" t="s">
        <v>512</v>
      </c>
    </row>
    <row r="2419" spans="4:15" x14ac:dyDescent="0.25">
      <c r="D2419" s="1" t="s">
        <v>512</v>
      </c>
      <c r="E2419" s="21" t="s">
        <v>512</v>
      </c>
      <c r="F2419" s="1" t="s">
        <v>512</v>
      </c>
      <c r="G2419" s="1" t="s">
        <v>512</v>
      </c>
      <c r="H2419" s="1" t="s">
        <v>512</v>
      </c>
      <c r="I2419" s="1" t="s">
        <v>512</v>
      </c>
      <c r="J2419" s="1" t="s">
        <v>512</v>
      </c>
      <c r="K2419" s="1" t="s">
        <v>512</v>
      </c>
      <c r="L2419" s="1" t="s">
        <v>512</v>
      </c>
      <c r="M2419" s="1" t="s">
        <v>512</v>
      </c>
      <c r="N2419" s="1" t="s">
        <v>512</v>
      </c>
      <c r="O2419" s="1" t="s">
        <v>512</v>
      </c>
    </row>
    <row r="2420" spans="4:15" x14ac:dyDescent="0.25">
      <c r="D2420" s="1" t="s">
        <v>512</v>
      </c>
      <c r="E2420" s="21" t="s">
        <v>512</v>
      </c>
      <c r="F2420" s="1" t="s">
        <v>512</v>
      </c>
      <c r="G2420" s="1" t="s">
        <v>512</v>
      </c>
      <c r="H2420" s="1" t="s">
        <v>512</v>
      </c>
      <c r="I2420" s="1" t="s">
        <v>512</v>
      </c>
      <c r="J2420" s="1" t="s">
        <v>512</v>
      </c>
      <c r="K2420" s="1" t="s">
        <v>512</v>
      </c>
      <c r="L2420" s="1" t="s">
        <v>512</v>
      </c>
      <c r="M2420" s="1" t="s">
        <v>512</v>
      </c>
      <c r="N2420" s="1" t="s">
        <v>512</v>
      </c>
      <c r="O2420" s="1" t="s">
        <v>512</v>
      </c>
    </row>
    <row r="2421" spans="4:15" x14ac:dyDescent="0.25">
      <c r="D2421" s="1" t="s">
        <v>512</v>
      </c>
      <c r="E2421" s="21" t="s">
        <v>512</v>
      </c>
      <c r="F2421" s="1" t="s">
        <v>512</v>
      </c>
      <c r="G2421" s="1" t="s">
        <v>512</v>
      </c>
      <c r="H2421" s="1" t="s">
        <v>512</v>
      </c>
      <c r="I2421" s="1" t="s">
        <v>512</v>
      </c>
      <c r="J2421" s="1" t="s">
        <v>512</v>
      </c>
      <c r="K2421" s="1" t="s">
        <v>512</v>
      </c>
      <c r="L2421" s="1" t="s">
        <v>512</v>
      </c>
      <c r="M2421" s="1" t="s">
        <v>512</v>
      </c>
      <c r="N2421" s="1" t="s">
        <v>512</v>
      </c>
      <c r="O2421" s="1" t="s">
        <v>512</v>
      </c>
    </row>
    <row r="2422" spans="4:15" x14ac:dyDescent="0.25">
      <c r="D2422" s="1" t="s">
        <v>512</v>
      </c>
      <c r="E2422" s="21" t="s">
        <v>512</v>
      </c>
      <c r="F2422" s="1" t="s">
        <v>512</v>
      </c>
      <c r="G2422" s="1" t="s">
        <v>512</v>
      </c>
      <c r="H2422" s="1" t="s">
        <v>512</v>
      </c>
      <c r="I2422" s="1" t="s">
        <v>512</v>
      </c>
      <c r="J2422" s="1" t="s">
        <v>512</v>
      </c>
      <c r="K2422" s="1" t="s">
        <v>512</v>
      </c>
      <c r="L2422" s="1" t="s">
        <v>512</v>
      </c>
      <c r="M2422" s="1" t="s">
        <v>512</v>
      </c>
      <c r="N2422" s="1" t="s">
        <v>512</v>
      </c>
      <c r="O2422" s="1" t="s">
        <v>512</v>
      </c>
    </row>
    <row r="2423" spans="4:15" x14ac:dyDescent="0.25">
      <c r="D2423" s="1" t="s">
        <v>512</v>
      </c>
      <c r="E2423" s="21" t="s">
        <v>512</v>
      </c>
      <c r="F2423" s="1" t="s">
        <v>512</v>
      </c>
      <c r="G2423" s="1" t="s">
        <v>512</v>
      </c>
      <c r="H2423" s="1" t="s">
        <v>512</v>
      </c>
      <c r="I2423" s="1" t="s">
        <v>512</v>
      </c>
      <c r="J2423" s="1" t="s">
        <v>512</v>
      </c>
      <c r="K2423" s="1" t="s">
        <v>512</v>
      </c>
      <c r="L2423" s="1" t="s">
        <v>512</v>
      </c>
      <c r="M2423" s="1" t="s">
        <v>512</v>
      </c>
      <c r="N2423" s="1" t="s">
        <v>512</v>
      </c>
      <c r="O2423" s="1" t="s">
        <v>512</v>
      </c>
    </row>
    <row r="2424" spans="4:15" x14ac:dyDescent="0.25">
      <c r="D2424" s="1" t="s">
        <v>512</v>
      </c>
      <c r="E2424" s="21" t="s">
        <v>512</v>
      </c>
      <c r="F2424" s="1" t="s">
        <v>512</v>
      </c>
      <c r="G2424" s="1" t="s">
        <v>512</v>
      </c>
      <c r="H2424" s="1" t="s">
        <v>512</v>
      </c>
      <c r="I2424" s="1" t="s">
        <v>512</v>
      </c>
      <c r="J2424" s="1" t="s">
        <v>512</v>
      </c>
      <c r="K2424" s="1" t="s">
        <v>512</v>
      </c>
      <c r="L2424" s="1" t="s">
        <v>512</v>
      </c>
      <c r="M2424" s="1" t="s">
        <v>512</v>
      </c>
      <c r="N2424" s="1" t="s">
        <v>512</v>
      </c>
      <c r="O2424" s="1" t="s">
        <v>512</v>
      </c>
    </row>
    <row r="2425" spans="4:15" x14ac:dyDescent="0.25">
      <c r="D2425" s="1" t="s">
        <v>512</v>
      </c>
      <c r="E2425" s="21" t="s">
        <v>512</v>
      </c>
      <c r="F2425" s="1" t="s">
        <v>512</v>
      </c>
      <c r="G2425" s="1" t="s">
        <v>512</v>
      </c>
      <c r="H2425" s="1" t="s">
        <v>512</v>
      </c>
      <c r="I2425" s="1" t="s">
        <v>512</v>
      </c>
      <c r="J2425" s="1" t="s">
        <v>512</v>
      </c>
      <c r="K2425" s="1" t="s">
        <v>512</v>
      </c>
      <c r="L2425" s="1" t="s">
        <v>512</v>
      </c>
      <c r="M2425" s="1" t="s">
        <v>512</v>
      </c>
      <c r="N2425" s="1" t="s">
        <v>512</v>
      </c>
      <c r="O2425" s="1" t="s">
        <v>512</v>
      </c>
    </row>
    <row r="2426" spans="4:15" x14ac:dyDescent="0.25">
      <c r="D2426" s="1" t="s">
        <v>512</v>
      </c>
      <c r="E2426" s="21" t="s">
        <v>512</v>
      </c>
      <c r="F2426" s="1" t="s">
        <v>512</v>
      </c>
      <c r="G2426" s="1" t="s">
        <v>512</v>
      </c>
      <c r="H2426" s="1" t="s">
        <v>512</v>
      </c>
      <c r="I2426" s="1" t="s">
        <v>512</v>
      </c>
      <c r="J2426" s="1" t="s">
        <v>512</v>
      </c>
      <c r="K2426" s="1" t="s">
        <v>512</v>
      </c>
      <c r="L2426" s="1" t="s">
        <v>512</v>
      </c>
      <c r="M2426" s="1" t="s">
        <v>512</v>
      </c>
      <c r="N2426" s="1" t="s">
        <v>512</v>
      </c>
      <c r="O2426" s="1" t="s">
        <v>512</v>
      </c>
    </row>
    <row r="2427" spans="4:15" x14ac:dyDescent="0.25">
      <c r="D2427" s="1" t="s">
        <v>512</v>
      </c>
      <c r="E2427" s="21" t="s">
        <v>512</v>
      </c>
      <c r="F2427" s="1" t="s">
        <v>512</v>
      </c>
      <c r="G2427" s="1" t="s">
        <v>512</v>
      </c>
      <c r="H2427" s="1" t="s">
        <v>512</v>
      </c>
      <c r="I2427" s="1" t="s">
        <v>512</v>
      </c>
      <c r="J2427" s="1" t="s">
        <v>512</v>
      </c>
      <c r="K2427" s="1" t="s">
        <v>512</v>
      </c>
      <c r="L2427" s="1" t="s">
        <v>512</v>
      </c>
      <c r="M2427" s="1" t="s">
        <v>512</v>
      </c>
      <c r="N2427" s="1" t="s">
        <v>512</v>
      </c>
      <c r="O2427" s="1" t="s">
        <v>512</v>
      </c>
    </row>
    <row r="2428" spans="4:15" x14ac:dyDescent="0.25">
      <c r="D2428" s="1" t="s">
        <v>512</v>
      </c>
      <c r="E2428" s="21" t="s">
        <v>512</v>
      </c>
      <c r="F2428" s="1" t="s">
        <v>512</v>
      </c>
      <c r="G2428" s="1" t="s">
        <v>512</v>
      </c>
      <c r="H2428" s="1" t="s">
        <v>512</v>
      </c>
      <c r="I2428" s="1" t="s">
        <v>512</v>
      </c>
      <c r="J2428" s="1" t="s">
        <v>512</v>
      </c>
      <c r="K2428" s="1" t="s">
        <v>512</v>
      </c>
      <c r="L2428" s="1" t="s">
        <v>512</v>
      </c>
      <c r="M2428" s="1" t="s">
        <v>512</v>
      </c>
      <c r="N2428" s="1" t="s">
        <v>512</v>
      </c>
      <c r="O2428" s="1" t="s">
        <v>512</v>
      </c>
    </row>
    <row r="2429" spans="4:15" x14ac:dyDescent="0.25">
      <c r="D2429" s="1" t="s">
        <v>512</v>
      </c>
      <c r="E2429" s="21" t="s">
        <v>512</v>
      </c>
      <c r="F2429" s="1" t="s">
        <v>512</v>
      </c>
      <c r="G2429" s="1" t="s">
        <v>512</v>
      </c>
      <c r="H2429" s="1" t="s">
        <v>512</v>
      </c>
      <c r="I2429" s="1" t="s">
        <v>512</v>
      </c>
      <c r="J2429" s="1" t="s">
        <v>512</v>
      </c>
      <c r="K2429" s="1" t="s">
        <v>512</v>
      </c>
      <c r="L2429" s="1" t="s">
        <v>512</v>
      </c>
      <c r="M2429" s="1" t="s">
        <v>512</v>
      </c>
      <c r="N2429" s="1" t="s">
        <v>512</v>
      </c>
      <c r="O2429" s="1" t="s">
        <v>512</v>
      </c>
    </row>
    <row r="2430" spans="4:15" x14ac:dyDescent="0.25">
      <c r="D2430" s="1" t="s">
        <v>512</v>
      </c>
      <c r="E2430" s="21" t="s">
        <v>512</v>
      </c>
      <c r="F2430" s="1" t="s">
        <v>512</v>
      </c>
      <c r="G2430" s="1" t="s">
        <v>512</v>
      </c>
      <c r="H2430" s="1" t="s">
        <v>512</v>
      </c>
      <c r="I2430" s="1" t="s">
        <v>512</v>
      </c>
      <c r="J2430" s="1" t="s">
        <v>512</v>
      </c>
      <c r="K2430" s="1" t="s">
        <v>512</v>
      </c>
      <c r="L2430" s="1" t="s">
        <v>512</v>
      </c>
      <c r="M2430" s="1" t="s">
        <v>512</v>
      </c>
      <c r="N2430" s="1" t="s">
        <v>512</v>
      </c>
      <c r="O2430" s="1" t="s">
        <v>512</v>
      </c>
    </row>
    <row r="2431" spans="4:15" x14ac:dyDescent="0.25">
      <c r="D2431" s="1" t="s">
        <v>512</v>
      </c>
      <c r="E2431" s="21" t="s">
        <v>512</v>
      </c>
      <c r="F2431" s="1" t="s">
        <v>512</v>
      </c>
      <c r="G2431" s="1" t="s">
        <v>512</v>
      </c>
      <c r="H2431" s="1" t="s">
        <v>512</v>
      </c>
      <c r="I2431" s="1" t="s">
        <v>512</v>
      </c>
      <c r="J2431" s="1" t="s">
        <v>512</v>
      </c>
      <c r="K2431" s="1" t="s">
        <v>512</v>
      </c>
      <c r="L2431" s="1" t="s">
        <v>512</v>
      </c>
      <c r="M2431" s="1" t="s">
        <v>512</v>
      </c>
      <c r="N2431" s="1" t="s">
        <v>512</v>
      </c>
      <c r="O2431" s="1" t="s">
        <v>512</v>
      </c>
    </row>
    <row r="2432" spans="4:15" x14ac:dyDescent="0.25">
      <c r="D2432" s="1" t="s">
        <v>512</v>
      </c>
      <c r="E2432" s="21" t="s">
        <v>512</v>
      </c>
      <c r="F2432" s="1" t="s">
        <v>512</v>
      </c>
      <c r="G2432" s="1" t="s">
        <v>512</v>
      </c>
      <c r="H2432" s="1" t="s">
        <v>512</v>
      </c>
      <c r="I2432" s="1" t="s">
        <v>512</v>
      </c>
      <c r="J2432" s="1" t="s">
        <v>512</v>
      </c>
      <c r="K2432" s="1" t="s">
        <v>512</v>
      </c>
      <c r="L2432" s="1" t="s">
        <v>512</v>
      </c>
      <c r="M2432" s="1" t="s">
        <v>512</v>
      </c>
      <c r="N2432" s="1" t="s">
        <v>512</v>
      </c>
      <c r="O2432" s="1" t="s">
        <v>512</v>
      </c>
    </row>
    <row r="2433" spans="4:15" x14ac:dyDescent="0.25">
      <c r="D2433" s="1" t="s">
        <v>512</v>
      </c>
      <c r="E2433" s="21" t="s">
        <v>512</v>
      </c>
      <c r="F2433" s="1" t="s">
        <v>512</v>
      </c>
      <c r="G2433" s="1" t="s">
        <v>512</v>
      </c>
      <c r="H2433" s="1" t="s">
        <v>512</v>
      </c>
      <c r="I2433" s="1" t="s">
        <v>512</v>
      </c>
      <c r="J2433" s="1" t="s">
        <v>512</v>
      </c>
      <c r="K2433" s="1" t="s">
        <v>512</v>
      </c>
      <c r="L2433" s="1" t="s">
        <v>512</v>
      </c>
      <c r="M2433" s="1" t="s">
        <v>512</v>
      </c>
      <c r="N2433" s="1" t="s">
        <v>512</v>
      </c>
      <c r="O2433" s="1" t="s">
        <v>512</v>
      </c>
    </row>
    <row r="2434" spans="4:15" x14ac:dyDescent="0.25">
      <c r="D2434" s="1" t="s">
        <v>512</v>
      </c>
      <c r="E2434" s="21" t="s">
        <v>512</v>
      </c>
      <c r="F2434" s="1" t="s">
        <v>512</v>
      </c>
      <c r="G2434" s="1" t="s">
        <v>512</v>
      </c>
      <c r="H2434" s="1" t="s">
        <v>512</v>
      </c>
      <c r="I2434" s="1" t="s">
        <v>512</v>
      </c>
      <c r="J2434" s="1" t="s">
        <v>512</v>
      </c>
      <c r="K2434" s="1" t="s">
        <v>512</v>
      </c>
      <c r="L2434" s="1" t="s">
        <v>512</v>
      </c>
      <c r="M2434" s="1" t="s">
        <v>512</v>
      </c>
      <c r="N2434" s="1" t="s">
        <v>512</v>
      </c>
      <c r="O2434" s="1" t="s">
        <v>512</v>
      </c>
    </row>
    <row r="2435" spans="4:15" x14ac:dyDescent="0.25">
      <c r="D2435" s="1" t="s">
        <v>512</v>
      </c>
      <c r="E2435" s="21" t="s">
        <v>512</v>
      </c>
      <c r="F2435" s="1" t="s">
        <v>512</v>
      </c>
      <c r="G2435" s="1" t="s">
        <v>512</v>
      </c>
      <c r="H2435" s="1" t="s">
        <v>512</v>
      </c>
      <c r="I2435" s="1" t="s">
        <v>512</v>
      </c>
      <c r="J2435" s="1" t="s">
        <v>512</v>
      </c>
      <c r="K2435" s="1" t="s">
        <v>512</v>
      </c>
      <c r="L2435" s="1" t="s">
        <v>512</v>
      </c>
      <c r="M2435" s="1" t="s">
        <v>512</v>
      </c>
      <c r="N2435" s="1" t="s">
        <v>512</v>
      </c>
      <c r="O2435" s="1" t="s">
        <v>512</v>
      </c>
    </row>
    <row r="2436" spans="4:15" x14ac:dyDescent="0.25">
      <c r="D2436" s="1" t="s">
        <v>512</v>
      </c>
      <c r="E2436" s="21" t="s">
        <v>512</v>
      </c>
      <c r="F2436" s="1" t="s">
        <v>512</v>
      </c>
      <c r="G2436" s="1" t="s">
        <v>512</v>
      </c>
      <c r="H2436" s="1" t="s">
        <v>512</v>
      </c>
      <c r="I2436" s="1" t="s">
        <v>512</v>
      </c>
      <c r="J2436" s="1" t="s">
        <v>512</v>
      </c>
      <c r="K2436" s="1" t="s">
        <v>512</v>
      </c>
      <c r="L2436" s="1" t="s">
        <v>512</v>
      </c>
      <c r="M2436" s="1" t="s">
        <v>512</v>
      </c>
      <c r="N2436" s="1" t="s">
        <v>512</v>
      </c>
      <c r="O2436" s="1" t="s">
        <v>512</v>
      </c>
    </row>
    <row r="2437" spans="4:15" x14ac:dyDescent="0.25">
      <c r="D2437" s="1" t="s">
        <v>512</v>
      </c>
      <c r="E2437" s="21" t="s">
        <v>512</v>
      </c>
      <c r="F2437" s="1" t="s">
        <v>512</v>
      </c>
      <c r="G2437" s="1" t="s">
        <v>512</v>
      </c>
      <c r="H2437" s="1" t="s">
        <v>512</v>
      </c>
      <c r="I2437" s="1" t="s">
        <v>512</v>
      </c>
      <c r="J2437" s="1" t="s">
        <v>512</v>
      </c>
      <c r="K2437" s="1" t="s">
        <v>512</v>
      </c>
      <c r="L2437" s="1" t="s">
        <v>512</v>
      </c>
      <c r="M2437" s="1" t="s">
        <v>512</v>
      </c>
      <c r="N2437" s="1" t="s">
        <v>512</v>
      </c>
      <c r="O2437" s="1" t="s">
        <v>512</v>
      </c>
    </row>
    <row r="2438" spans="4:15" x14ac:dyDescent="0.25">
      <c r="D2438" s="1" t="s">
        <v>512</v>
      </c>
      <c r="E2438" s="21" t="s">
        <v>512</v>
      </c>
      <c r="F2438" s="1" t="s">
        <v>512</v>
      </c>
      <c r="G2438" s="1" t="s">
        <v>512</v>
      </c>
      <c r="H2438" s="1" t="s">
        <v>512</v>
      </c>
      <c r="I2438" s="1" t="s">
        <v>512</v>
      </c>
      <c r="J2438" s="1" t="s">
        <v>512</v>
      </c>
      <c r="K2438" s="1" t="s">
        <v>512</v>
      </c>
      <c r="L2438" s="1" t="s">
        <v>512</v>
      </c>
      <c r="M2438" s="1" t="s">
        <v>512</v>
      </c>
      <c r="N2438" s="1" t="s">
        <v>512</v>
      </c>
      <c r="O2438" s="1" t="s">
        <v>512</v>
      </c>
    </row>
    <row r="2439" spans="4:15" x14ac:dyDescent="0.25">
      <c r="D2439" s="1" t="s">
        <v>512</v>
      </c>
      <c r="E2439" s="21" t="s">
        <v>512</v>
      </c>
      <c r="F2439" s="1" t="s">
        <v>512</v>
      </c>
      <c r="G2439" s="1" t="s">
        <v>512</v>
      </c>
      <c r="H2439" s="1" t="s">
        <v>512</v>
      </c>
      <c r="I2439" s="1" t="s">
        <v>512</v>
      </c>
      <c r="J2439" s="1" t="s">
        <v>512</v>
      </c>
      <c r="K2439" s="1" t="s">
        <v>512</v>
      </c>
      <c r="L2439" s="1" t="s">
        <v>512</v>
      </c>
      <c r="M2439" s="1" t="s">
        <v>512</v>
      </c>
      <c r="N2439" s="1" t="s">
        <v>512</v>
      </c>
      <c r="O2439" s="1" t="s">
        <v>512</v>
      </c>
    </row>
    <row r="2440" spans="4:15" x14ac:dyDescent="0.25">
      <c r="D2440" s="1" t="s">
        <v>512</v>
      </c>
      <c r="E2440" s="21" t="s">
        <v>512</v>
      </c>
      <c r="F2440" s="1" t="s">
        <v>512</v>
      </c>
      <c r="G2440" s="1" t="s">
        <v>512</v>
      </c>
      <c r="H2440" s="1" t="s">
        <v>512</v>
      </c>
      <c r="I2440" s="1" t="s">
        <v>512</v>
      </c>
      <c r="J2440" s="1" t="s">
        <v>512</v>
      </c>
      <c r="K2440" s="1" t="s">
        <v>512</v>
      </c>
      <c r="L2440" s="1" t="s">
        <v>512</v>
      </c>
      <c r="M2440" s="1" t="s">
        <v>512</v>
      </c>
      <c r="N2440" s="1" t="s">
        <v>512</v>
      </c>
      <c r="O2440" s="1" t="s">
        <v>512</v>
      </c>
    </row>
    <row r="2441" spans="4:15" x14ac:dyDescent="0.25">
      <c r="D2441" s="1" t="s">
        <v>512</v>
      </c>
      <c r="E2441" s="21" t="s">
        <v>512</v>
      </c>
      <c r="F2441" s="1" t="s">
        <v>512</v>
      </c>
      <c r="G2441" s="1" t="s">
        <v>512</v>
      </c>
      <c r="H2441" s="1" t="s">
        <v>512</v>
      </c>
      <c r="I2441" s="1" t="s">
        <v>512</v>
      </c>
      <c r="J2441" s="1" t="s">
        <v>512</v>
      </c>
      <c r="K2441" s="1" t="s">
        <v>512</v>
      </c>
      <c r="L2441" s="1" t="s">
        <v>512</v>
      </c>
      <c r="M2441" s="1" t="s">
        <v>512</v>
      </c>
      <c r="N2441" s="1" t="s">
        <v>512</v>
      </c>
      <c r="O2441" s="1" t="s">
        <v>512</v>
      </c>
    </row>
    <row r="2442" spans="4:15" x14ac:dyDescent="0.25">
      <c r="D2442" s="1" t="s">
        <v>512</v>
      </c>
      <c r="E2442" s="21" t="s">
        <v>512</v>
      </c>
      <c r="F2442" s="1" t="s">
        <v>512</v>
      </c>
      <c r="G2442" s="1" t="s">
        <v>512</v>
      </c>
      <c r="H2442" s="1" t="s">
        <v>512</v>
      </c>
      <c r="I2442" s="1" t="s">
        <v>512</v>
      </c>
      <c r="J2442" s="1" t="s">
        <v>512</v>
      </c>
      <c r="K2442" s="1" t="s">
        <v>512</v>
      </c>
      <c r="L2442" s="1" t="s">
        <v>512</v>
      </c>
      <c r="M2442" s="1" t="s">
        <v>512</v>
      </c>
      <c r="N2442" s="1" t="s">
        <v>512</v>
      </c>
      <c r="O2442" s="1" t="s">
        <v>512</v>
      </c>
    </row>
    <row r="2443" spans="4:15" x14ac:dyDescent="0.25">
      <c r="D2443" s="1" t="s">
        <v>512</v>
      </c>
      <c r="E2443" s="21" t="s">
        <v>512</v>
      </c>
      <c r="F2443" s="1" t="s">
        <v>512</v>
      </c>
      <c r="G2443" s="1" t="s">
        <v>512</v>
      </c>
      <c r="H2443" s="1" t="s">
        <v>512</v>
      </c>
      <c r="I2443" s="1" t="s">
        <v>512</v>
      </c>
      <c r="J2443" s="1" t="s">
        <v>512</v>
      </c>
      <c r="K2443" s="1" t="s">
        <v>512</v>
      </c>
      <c r="L2443" s="1" t="s">
        <v>512</v>
      </c>
      <c r="M2443" s="1" t="s">
        <v>512</v>
      </c>
      <c r="N2443" s="1" t="s">
        <v>512</v>
      </c>
      <c r="O2443" s="1" t="s">
        <v>512</v>
      </c>
    </row>
    <row r="2444" spans="4:15" x14ac:dyDescent="0.25">
      <c r="D2444" s="1" t="s">
        <v>512</v>
      </c>
      <c r="E2444" s="21" t="s">
        <v>512</v>
      </c>
      <c r="F2444" s="1" t="s">
        <v>512</v>
      </c>
      <c r="G2444" s="1" t="s">
        <v>512</v>
      </c>
      <c r="H2444" s="1" t="s">
        <v>512</v>
      </c>
      <c r="I2444" s="1" t="s">
        <v>512</v>
      </c>
      <c r="J2444" s="1" t="s">
        <v>512</v>
      </c>
      <c r="K2444" s="1" t="s">
        <v>512</v>
      </c>
      <c r="L2444" s="1" t="s">
        <v>512</v>
      </c>
      <c r="M2444" s="1" t="s">
        <v>512</v>
      </c>
      <c r="N2444" s="1" t="s">
        <v>512</v>
      </c>
      <c r="O2444" s="1" t="s">
        <v>512</v>
      </c>
    </row>
    <row r="2445" spans="4:15" x14ac:dyDescent="0.25">
      <c r="D2445" s="1" t="s">
        <v>512</v>
      </c>
      <c r="E2445" s="21" t="s">
        <v>512</v>
      </c>
      <c r="F2445" s="1" t="s">
        <v>512</v>
      </c>
      <c r="G2445" s="1" t="s">
        <v>512</v>
      </c>
      <c r="H2445" s="1" t="s">
        <v>512</v>
      </c>
      <c r="I2445" s="1" t="s">
        <v>512</v>
      </c>
      <c r="J2445" s="1" t="s">
        <v>512</v>
      </c>
      <c r="K2445" s="1" t="s">
        <v>512</v>
      </c>
      <c r="L2445" s="1" t="s">
        <v>512</v>
      </c>
      <c r="M2445" s="1" t="s">
        <v>512</v>
      </c>
      <c r="N2445" s="1" t="s">
        <v>512</v>
      </c>
      <c r="O2445" s="1" t="s">
        <v>512</v>
      </c>
    </row>
    <row r="2446" spans="4:15" x14ac:dyDescent="0.25">
      <c r="D2446" s="1" t="s">
        <v>512</v>
      </c>
      <c r="E2446" s="21" t="s">
        <v>512</v>
      </c>
      <c r="F2446" s="1" t="s">
        <v>512</v>
      </c>
      <c r="G2446" s="1" t="s">
        <v>512</v>
      </c>
      <c r="H2446" s="1" t="s">
        <v>512</v>
      </c>
      <c r="I2446" s="1" t="s">
        <v>512</v>
      </c>
      <c r="J2446" s="1" t="s">
        <v>512</v>
      </c>
      <c r="K2446" s="1" t="s">
        <v>512</v>
      </c>
      <c r="L2446" s="1" t="s">
        <v>512</v>
      </c>
      <c r="M2446" s="1" t="s">
        <v>512</v>
      </c>
      <c r="N2446" s="1" t="s">
        <v>512</v>
      </c>
      <c r="O2446" s="1" t="s">
        <v>512</v>
      </c>
    </row>
    <row r="2447" spans="4:15" x14ac:dyDescent="0.25">
      <c r="D2447" s="1" t="s">
        <v>512</v>
      </c>
      <c r="E2447" s="21" t="s">
        <v>512</v>
      </c>
      <c r="F2447" s="1" t="s">
        <v>512</v>
      </c>
      <c r="G2447" s="1" t="s">
        <v>512</v>
      </c>
      <c r="H2447" s="1" t="s">
        <v>512</v>
      </c>
      <c r="I2447" s="1" t="s">
        <v>512</v>
      </c>
      <c r="J2447" s="1" t="s">
        <v>512</v>
      </c>
      <c r="K2447" s="1" t="s">
        <v>512</v>
      </c>
      <c r="L2447" s="1" t="s">
        <v>512</v>
      </c>
      <c r="M2447" s="1" t="s">
        <v>512</v>
      </c>
      <c r="N2447" s="1" t="s">
        <v>512</v>
      </c>
      <c r="O2447" s="1" t="s">
        <v>512</v>
      </c>
    </row>
    <row r="2448" spans="4:15" x14ac:dyDescent="0.25">
      <c r="D2448" s="1" t="s">
        <v>512</v>
      </c>
      <c r="E2448" s="21" t="s">
        <v>512</v>
      </c>
      <c r="F2448" s="1" t="s">
        <v>512</v>
      </c>
      <c r="G2448" s="1" t="s">
        <v>512</v>
      </c>
      <c r="H2448" s="1" t="s">
        <v>512</v>
      </c>
      <c r="I2448" s="1" t="s">
        <v>512</v>
      </c>
      <c r="J2448" s="1" t="s">
        <v>512</v>
      </c>
      <c r="K2448" s="1" t="s">
        <v>512</v>
      </c>
      <c r="L2448" s="1" t="s">
        <v>512</v>
      </c>
      <c r="M2448" s="1" t="s">
        <v>512</v>
      </c>
      <c r="N2448" s="1" t="s">
        <v>512</v>
      </c>
      <c r="O2448" s="1" t="s">
        <v>512</v>
      </c>
    </row>
    <row r="2449" spans="4:15" x14ac:dyDescent="0.25">
      <c r="D2449" s="1" t="s">
        <v>512</v>
      </c>
      <c r="E2449" s="21" t="s">
        <v>512</v>
      </c>
      <c r="F2449" s="1" t="s">
        <v>512</v>
      </c>
      <c r="G2449" s="1" t="s">
        <v>512</v>
      </c>
      <c r="H2449" s="1" t="s">
        <v>512</v>
      </c>
      <c r="I2449" s="1" t="s">
        <v>512</v>
      </c>
      <c r="J2449" s="1" t="s">
        <v>512</v>
      </c>
      <c r="K2449" s="1" t="s">
        <v>512</v>
      </c>
      <c r="L2449" s="1" t="s">
        <v>512</v>
      </c>
      <c r="M2449" s="1" t="s">
        <v>512</v>
      </c>
      <c r="N2449" s="1" t="s">
        <v>512</v>
      </c>
      <c r="O2449" s="1" t="s">
        <v>512</v>
      </c>
    </row>
    <row r="2450" spans="4:15" x14ac:dyDescent="0.25">
      <c r="D2450" s="1" t="s">
        <v>512</v>
      </c>
      <c r="E2450" s="21" t="s">
        <v>512</v>
      </c>
      <c r="F2450" s="1" t="s">
        <v>512</v>
      </c>
      <c r="G2450" s="1" t="s">
        <v>512</v>
      </c>
      <c r="H2450" s="1" t="s">
        <v>512</v>
      </c>
      <c r="I2450" s="1" t="s">
        <v>512</v>
      </c>
      <c r="J2450" s="1" t="s">
        <v>512</v>
      </c>
      <c r="K2450" s="1" t="s">
        <v>512</v>
      </c>
      <c r="L2450" s="1" t="s">
        <v>512</v>
      </c>
      <c r="M2450" s="1" t="s">
        <v>512</v>
      </c>
      <c r="N2450" s="1" t="s">
        <v>512</v>
      </c>
      <c r="O2450" s="1" t="s">
        <v>512</v>
      </c>
    </row>
    <row r="2451" spans="4:15" x14ac:dyDescent="0.25">
      <c r="D2451" s="1" t="s">
        <v>512</v>
      </c>
      <c r="E2451" s="21" t="s">
        <v>512</v>
      </c>
      <c r="F2451" s="1" t="s">
        <v>512</v>
      </c>
      <c r="G2451" s="1" t="s">
        <v>512</v>
      </c>
      <c r="H2451" s="1" t="s">
        <v>512</v>
      </c>
      <c r="I2451" s="1" t="s">
        <v>512</v>
      </c>
      <c r="J2451" s="1" t="s">
        <v>512</v>
      </c>
      <c r="K2451" s="1" t="s">
        <v>512</v>
      </c>
      <c r="L2451" s="1" t="s">
        <v>512</v>
      </c>
      <c r="M2451" s="1" t="s">
        <v>512</v>
      </c>
      <c r="N2451" s="1" t="s">
        <v>512</v>
      </c>
      <c r="O2451" s="1" t="s">
        <v>512</v>
      </c>
    </row>
    <row r="2452" spans="4:15" x14ac:dyDescent="0.25">
      <c r="D2452" s="1" t="s">
        <v>512</v>
      </c>
      <c r="E2452" s="21" t="s">
        <v>512</v>
      </c>
      <c r="F2452" s="1" t="s">
        <v>512</v>
      </c>
      <c r="G2452" s="1" t="s">
        <v>512</v>
      </c>
      <c r="H2452" s="1" t="s">
        <v>512</v>
      </c>
      <c r="I2452" s="1" t="s">
        <v>512</v>
      </c>
      <c r="J2452" s="1" t="s">
        <v>512</v>
      </c>
      <c r="K2452" s="1" t="s">
        <v>512</v>
      </c>
      <c r="L2452" s="1" t="s">
        <v>512</v>
      </c>
      <c r="M2452" s="1" t="s">
        <v>512</v>
      </c>
      <c r="N2452" s="1" t="s">
        <v>512</v>
      </c>
      <c r="O2452" s="1" t="s">
        <v>512</v>
      </c>
    </row>
    <row r="2453" spans="4:15" x14ac:dyDescent="0.25">
      <c r="D2453" s="1" t="s">
        <v>512</v>
      </c>
      <c r="E2453" s="21" t="s">
        <v>512</v>
      </c>
      <c r="F2453" s="1" t="s">
        <v>512</v>
      </c>
      <c r="G2453" s="1" t="s">
        <v>512</v>
      </c>
      <c r="H2453" s="1" t="s">
        <v>512</v>
      </c>
      <c r="I2453" s="1" t="s">
        <v>512</v>
      </c>
      <c r="J2453" s="1" t="s">
        <v>512</v>
      </c>
      <c r="K2453" s="1" t="s">
        <v>512</v>
      </c>
      <c r="L2453" s="1" t="s">
        <v>512</v>
      </c>
      <c r="M2453" s="1" t="s">
        <v>512</v>
      </c>
      <c r="N2453" s="1" t="s">
        <v>512</v>
      </c>
      <c r="O2453" s="1" t="s">
        <v>512</v>
      </c>
    </row>
    <row r="2454" spans="4:15" x14ac:dyDescent="0.25">
      <c r="D2454" s="1" t="s">
        <v>512</v>
      </c>
      <c r="E2454" s="21" t="s">
        <v>512</v>
      </c>
      <c r="F2454" s="1" t="s">
        <v>512</v>
      </c>
      <c r="G2454" s="1" t="s">
        <v>512</v>
      </c>
      <c r="H2454" s="1" t="s">
        <v>512</v>
      </c>
      <c r="I2454" s="1" t="s">
        <v>512</v>
      </c>
      <c r="J2454" s="1" t="s">
        <v>512</v>
      </c>
      <c r="K2454" s="1" t="s">
        <v>512</v>
      </c>
      <c r="L2454" s="1" t="s">
        <v>512</v>
      </c>
      <c r="M2454" s="1" t="s">
        <v>512</v>
      </c>
      <c r="N2454" s="1" t="s">
        <v>512</v>
      </c>
      <c r="O2454" s="1" t="s">
        <v>512</v>
      </c>
    </row>
    <row r="2455" spans="4:15" x14ac:dyDescent="0.25">
      <c r="D2455" s="1" t="s">
        <v>512</v>
      </c>
      <c r="E2455" s="21" t="s">
        <v>512</v>
      </c>
      <c r="F2455" s="1" t="s">
        <v>512</v>
      </c>
      <c r="G2455" s="1" t="s">
        <v>512</v>
      </c>
      <c r="H2455" s="1" t="s">
        <v>512</v>
      </c>
      <c r="I2455" s="1" t="s">
        <v>512</v>
      </c>
      <c r="J2455" s="1" t="s">
        <v>512</v>
      </c>
      <c r="K2455" s="1" t="s">
        <v>512</v>
      </c>
      <c r="L2455" s="1" t="s">
        <v>512</v>
      </c>
      <c r="M2455" s="1" t="s">
        <v>512</v>
      </c>
      <c r="N2455" s="1" t="s">
        <v>512</v>
      </c>
      <c r="O2455" s="1" t="s">
        <v>512</v>
      </c>
    </row>
    <row r="2456" spans="4:15" x14ac:dyDescent="0.25">
      <c r="D2456" s="1" t="s">
        <v>512</v>
      </c>
      <c r="E2456" s="21" t="s">
        <v>512</v>
      </c>
      <c r="F2456" s="1" t="s">
        <v>512</v>
      </c>
      <c r="G2456" s="1" t="s">
        <v>512</v>
      </c>
      <c r="H2456" s="1" t="s">
        <v>512</v>
      </c>
      <c r="I2456" s="1" t="s">
        <v>512</v>
      </c>
      <c r="J2456" s="1" t="s">
        <v>512</v>
      </c>
      <c r="K2456" s="1" t="s">
        <v>512</v>
      </c>
      <c r="L2456" s="1" t="s">
        <v>512</v>
      </c>
      <c r="M2456" s="1" t="s">
        <v>512</v>
      </c>
      <c r="N2456" s="1" t="s">
        <v>512</v>
      </c>
      <c r="O2456" s="1" t="s">
        <v>512</v>
      </c>
    </row>
    <row r="2457" spans="4:15" x14ac:dyDescent="0.25">
      <c r="D2457" s="1" t="s">
        <v>512</v>
      </c>
      <c r="E2457" s="21" t="s">
        <v>512</v>
      </c>
      <c r="F2457" s="1" t="s">
        <v>512</v>
      </c>
      <c r="G2457" s="1" t="s">
        <v>512</v>
      </c>
      <c r="H2457" s="1" t="s">
        <v>512</v>
      </c>
      <c r="I2457" s="1" t="s">
        <v>512</v>
      </c>
      <c r="J2457" s="1" t="s">
        <v>512</v>
      </c>
      <c r="K2457" s="1" t="s">
        <v>512</v>
      </c>
      <c r="L2457" s="1" t="s">
        <v>512</v>
      </c>
      <c r="M2457" s="1" t="s">
        <v>512</v>
      </c>
      <c r="N2457" s="1" t="s">
        <v>512</v>
      </c>
      <c r="O2457" s="1" t="s">
        <v>512</v>
      </c>
    </row>
    <row r="2458" spans="4:15" x14ac:dyDescent="0.25">
      <c r="D2458" s="1" t="s">
        <v>512</v>
      </c>
      <c r="E2458" s="21" t="s">
        <v>512</v>
      </c>
      <c r="F2458" s="1" t="s">
        <v>512</v>
      </c>
      <c r="G2458" s="1" t="s">
        <v>512</v>
      </c>
      <c r="H2458" s="1" t="s">
        <v>512</v>
      </c>
      <c r="I2458" s="1" t="s">
        <v>512</v>
      </c>
      <c r="J2458" s="1" t="s">
        <v>512</v>
      </c>
      <c r="K2458" s="1" t="s">
        <v>512</v>
      </c>
      <c r="L2458" s="1" t="s">
        <v>512</v>
      </c>
      <c r="M2458" s="1" t="s">
        <v>512</v>
      </c>
      <c r="N2458" s="1" t="s">
        <v>512</v>
      </c>
      <c r="O2458" s="1" t="s">
        <v>512</v>
      </c>
    </row>
    <row r="2459" spans="4:15" x14ac:dyDescent="0.25">
      <c r="D2459" s="1" t="s">
        <v>512</v>
      </c>
      <c r="E2459" s="21" t="s">
        <v>512</v>
      </c>
      <c r="F2459" s="1" t="s">
        <v>512</v>
      </c>
      <c r="G2459" s="1" t="s">
        <v>512</v>
      </c>
      <c r="H2459" s="1" t="s">
        <v>512</v>
      </c>
      <c r="I2459" s="1" t="s">
        <v>512</v>
      </c>
      <c r="J2459" s="1" t="s">
        <v>512</v>
      </c>
      <c r="K2459" s="1" t="s">
        <v>512</v>
      </c>
      <c r="L2459" s="1" t="s">
        <v>512</v>
      </c>
      <c r="M2459" s="1" t="s">
        <v>512</v>
      </c>
      <c r="N2459" s="1" t="s">
        <v>512</v>
      </c>
      <c r="O2459" s="1" t="s">
        <v>512</v>
      </c>
    </row>
    <row r="2460" spans="4:15" x14ac:dyDescent="0.25">
      <c r="D2460" s="1" t="s">
        <v>512</v>
      </c>
      <c r="E2460" s="21" t="s">
        <v>512</v>
      </c>
      <c r="F2460" s="1" t="s">
        <v>512</v>
      </c>
      <c r="G2460" s="1" t="s">
        <v>512</v>
      </c>
      <c r="H2460" s="1" t="s">
        <v>512</v>
      </c>
      <c r="I2460" s="1" t="s">
        <v>512</v>
      </c>
      <c r="J2460" s="1" t="s">
        <v>512</v>
      </c>
      <c r="K2460" s="1" t="s">
        <v>512</v>
      </c>
      <c r="L2460" s="1" t="s">
        <v>512</v>
      </c>
      <c r="M2460" s="1" t="s">
        <v>512</v>
      </c>
      <c r="N2460" s="1" t="s">
        <v>512</v>
      </c>
      <c r="O2460" s="1" t="s">
        <v>512</v>
      </c>
    </row>
    <row r="2461" spans="4:15" x14ac:dyDescent="0.25">
      <c r="D2461" s="1" t="s">
        <v>512</v>
      </c>
      <c r="E2461" s="21" t="s">
        <v>512</v>
      </c>
      <c r="F2461" s="1" t="s">
        <v>512</v>
      </c>
      <c r="G2461" s="1" t="s">
        <v>512</v>
      </c>
      <c r="H2461" s="1" t="s">
        <v>512</v>
      </c>
      <c r="I2461" s="1" t="s">
        <v>512</v>
      </c>
      <c r="J2461" s="1" t="s">
        <v>512</v>
      </c>
      <c r="K2461" s="1" t="s">
        <v>512</v>
      </c>
      <c r="L2461" s="1" t="s">
        <v>512</v>
      </c>
      <c r="M2461" s="1" t="s">
        <v>512</v>
      </c>
      <c r="N2461" s="1" t="s">
        <v>512</v>
      </c>
      <c r="O2461" s="1" t="s">
        <v>512</v>
      </c>
    </row>
    <row r="2462" spans="4:15" x14ac:dyDescent="0.25">
      <c r="D2462" s="1" t="s">
        <v>512</v>
      </c>
      <c r="E2462" s="21" t="s">
        <v>512</v>
      </c>
      <c r="F2462" s="1" t="s">
        <v>512</v>
      </c>
      <c r="G2462" s="1" t="s">
        <v>512</v>
      </c>
      <c r="H2462" s="1" t="s">
        <v>512</v>
      </c>
      <c r="I2462" s="1" t="s">
        <v>512</v>
      </c>
      <c r="J2462" s="1" t="s">
        <v>512</v>
      </c>
      <c r="K2462" s="1" t="s">
        <v>512</v>
      </c>
      <c r="L2462" s="1" t="s">
        <v>512</v>
      </c>
      <c r="M2462" s="1" t="s">
        <v>512</v>
      </c>
      <c r="N2462" s="1" t="s">
        <v>512</v>
      </c>
      <c r="O2462" s="1" t="s">
        <v>512</v>
      </c>
    </row>
    <row r="2463" spans="4:15" x14ac:dyDescent="0.25">
      <c r="D2463" s="1" t="s">
        <v>512</v>
      </c>
      <c r="E2463" s="21" t="s">
        <v>512</v>
      </c>
      <c r="F2463" s="1" t="s">
        <v>512</v>
      </c>
      <c r="G2463" s="1" t="s">
        <v>512</v>
      </c>
      <c r="H2463" s="1" t="s">
        <v>512</v>
      </c>
      <c r="I2463" s="1" t="s">
        <v>512</v>
      </c>
      <c r="J2463" s="1" t="s">
        <v>512</v>
      </c>
      <c r="K2463" s="1" t="s">
        <v>512</v>
      </c>
      <c r="L2463" s="1" t="s">
        <v>512</v>
      </c>
      <c r="M2463" s="1" t="s">
        <v>512</v>
      </c>
      <c r="N2463" s="1" t="s">
        <v>512</v>
      </c>
      <c r="O2463" s="1" t="s">
        <v>512</v>
      </c>
    </row>
    <row r="2464" spans="4:15" x14ac:dyDescent="0.25">
      <c r="D2464" s="1" t="s">
        <v>512</v>
      </c>
      <c r="E2464" s="21" t="s">
        <v>512</v>
      </c>
      <c r="F2464" s="1" t="s">
        <v>512</v>
      </c>
      <c r="G2464" s="1" t="s">
        <v>512</v>
      </c>
      <c r="H2464" s="1" t="s">
        <v>512</v>
      </c>
      <c r="I2464" s="1" t="s">
        <v>512</v>
      </c>
      <c r="J2464" s="1" t="s">
        <v>512</v>
      </c>
      <c r="K2464" s="1" t="s">
        <v>512</v>
      </c>
      <c r="L2464" s="1" t="s">
        <v>512</v>
      </c>
      <c r="M2464" s="1" t="s">
        <v>512</v>
      </c>
      <c r="N2464" s="1" t="s">
        <v>512</v>
      </c>
      <c r="O2464" s="1" t="s">
        <v>512</v>
      </c>
    </row>
    <row r="2465" spans="4:15" x14ac:dyDescent="0.25">
      <c r="D2465" s="1" t="s">
        <v>512</v>
      </c>
      <c r="E2465" s="21" t="s">
        <v>512</v>
      </c>
      <c r="F2465" s="1" t="s">
        <v>512</v>
      </c>
      <c r="G2465" s="1" t="s">
        <v>512</v>
      </c>
      <c r="H2465" s="1" t="s">
        <v>512</v>
      </c>
      <c r="I2465" s="1" t="s">
        <v>512</v>
      </c>
      <c r="J2465" s="1" t="s">
        <v>512</v>
      </c>
      <c r="K2465" s="1" t="s">
        <v>512</v>
      </c>
      <c r="L2465" s="1" t="s">
        <v>512</v>
      </c>
      <c r="M2465" s="1" t="s">
        <v>512</v>
      </c>
      <c r="N2465" s="1" t="s">
        <v>512</v>
      </c>
      <c r="O2465" s="1" t="s">
        <v>512</v>
      </c>
    </row>
    <row r="2466" spans="4:15" x14ac:dyDescent="0.25">
      <c r="D2466" s="1" t="s">
        <v>512</v>
      </c>
      <c r="E2466" s="21" t="s">
        <v>512</v>
      </c>
      <c r="F2466" s="1" t="s">
        <v>512</v>
      </c>
      <c r="G2466" s="1" t="s">
        <v>512</v>
      </c>
      <c r="H2466" s="1" t="s">
        <v>512</v>
      </c>
      <c r="I2466" s="1" t="s">
        <v>512</v>
      </c>
      <c r="J2466" s="1" t="s">
        <v>512</v>
      </c>
      <c r="K2466" s="1" t="s">
        <v>512</v>
      </c>
      <c r="L2466" s="1" t="s">
        <v>512</v>
      </c>
      <c r="M2466" s="1" t="s">
        <v>512</v>
      </c>
      <c r="N2466" s="1" t="s">
        <v>512</v>
      </c>
      <c r="O2466" s="1" t="s">
        <v>512</v>
      </c>
    </row>
    <row r="2467" spans="4:15" x14ac:dyDescent="0.25">
      <c r="D2467" s="1" t="s">
        <v>512</v>
      </c>
      <c r="E2467" s="21" t="s">
        <v>512</v>
      </c>
      <c r="F2467" s="1" t="s">
        <v>512</v>
      </c>
      <c r="G2467" s="1" t="s">
        <v>512</v>
      </c>
      <c r="H2467" s="1" t="s">
        <v>512</v>
      </c>
      <c r="I2467" s="1" t="s">
        <v>512</v>
      </c>
      <c r="J2467" s="1" t="s">
        <v>512</v>
      </c>
      <c r="K2467" s="1" t="s">
        <v>512</v>
      </c>
      <c r="L2467" s="1" t="s">
        <v>512</v>
      </c>
      <c r="M2467" s="1" t="s">
        <v>512</v>
      </c>
      <c r="N2467" s="1" t="s">
        <v>512</v>
      </c>
      <c r="O2467" s="1" t="s">
        <v>512</v>
      </c>
    </row>
    <row r="2468" spans="4:15" x14ac:dyDescent="0.25">
      <c r="D2468" s="1" t="s">
        <v>512</v>
      </c>
      <c r="E2468" s="21" t="s">
        <v>512</v>
      </c>
      <c r="F2468" s="1" t="s">
        <v>512</v>
      </c>
      <c r="G2468" s="1" t="s">
        <v>512</v>
      </c>
      <c r="H2468" s="1" t="s">
        <v>512</v>
      </c>
      <c r="I2468" s="1" t="s">
        <v>512</v>
      </c>
      <c r="J2468" s="1" t="s">
        <v>512</v>
      </c>
      <c r="K2468" s="1" t="s">
        <v>512</v>
      </c>
      <c r="L2468" s="1" t="s">
        <v>512</v>
      </c>
      <c r="M2468" s="1" t="s">
        <v>512</v>
      </c>
      <c r="N2468" s="1" t="s">
        <v>512</v>
      </c>
      <c r="O2468" s="1" t="s">
        <v>512</v>
      </c>
    </row>
    <row r="2469" spans="4:15" x14ac:dyDescent="0.25">
      <c r="D2469" s="1" t="s">
        <v>512</v>
      </c>
      <c r="E2469" s="21" t="s">
        <v>512</v>
      </c>
      <c r="F2469" s="1" t="s">
        <v>512</v>
      </c>
      <c r="G2469" s="1" t="s">
        <v>512</v>
      </c>
      <c r="H2469" s="1" t="s">
        <v>512</v>
      </c>
      <c r="I2469" s="1" t="s">
        <v>512</v>
      </c>
      <c r="J2469" s="1" t="s">
        <v>512</v>
      </c>
      <c r="K2469" s="1" t="s">
        <v>512</v>
      </c>
      <c r="L2469" s="1" t="s">
        <v>512</v>
      </c>
      <c r="M2469" s="1" t="s">
        <v>512</v>
      </c>
      <c r="N2469" s="1" t="s">
        <v>512</v>
      </c>
      <c r="O2469" s="1" t="s">
        <v>512</v>
      </c>
    </row>
    <row r="2470" spans="4:15" x14ac:dyDescent="0.25">
      <c r="D2470" s="1" t="s">
        <v>512</v>
      </c>
      <c r="E2470" s="21" t="s">
        <v>512</v>
      </c>
      <c r="F2470" s="1" t="s">
        <v>512</v>
      </c>
      <c r="G2470" s="1" t="s">
        <v>512</v>
      </c>
      <c r="H2470" s="1" t="s">
        <v>512</v>
      </c>
      <c r="I2470" s="1" t="s">
        <v>512</v>
      </c>
      <c r="J2470" s="1" t="s">
        <v>512</v>
      </c>
      <c r="K2470" s="1" t="s">
        <v>512</v>
      </c>
      <c r="L2470" s="1" t="s">
        <v>512</v>
      </c>
      <c r="M2470" s="1" t="s">
        <v>512</v>
      </c>
      <c r="N2470" s="1" t="s">
        <v>512</v>
      </c>
      <c r="O2470" s="1" t="s">
        <v>512</v>
      </c>
    </row>
    <row r="2471" spans="4:15" x14ac:dyDescent="0.25">
      <c r="D2471" s="1" t="s">
        <v>512</v>
      </c>
      <c r="E2471" s="21" t="s">
        <v>512</v>
      </c>
      <c r="F2471" s="1" t="s">
        <v>512</v>
      </c>
      <c r="G2471" s="1" t="s">
        <v>512</v>
      </c>
      <c r="H2471" s="1" t="s">
        <v>512</v>
      </c>
      <c r="I2471" s="1" t="s">
        <v>512</v>
      </c>
      <c r="J2471" s="1" t="s">
        <v>512</v>
      </c>
      <c r="K2471" s="1" t="s">
        <v>512</v>
      </c>
      <c r="L2471" s="1" t="s">
        <v>512</v>
      </c>
      <c r="M2471" s="1" t="s">
        <v>512</v>
      </c>
      <c r="N2471" s="1" t="s">
        <v>512</v>
      </c>
      <c r="O2471" s="1" t="s">
        <v>512</v>
      </c>
    </row>
    <row r="2472" spans="4:15" x14ac:dyDescent="0.25">
      <c r="D2472" s="1" t="s">
        <v>512</v>
      </c>
      <c r="E2472" s="21" t="s">
        <v>512</v>
      </c>
      <c r="F2472" s="1" t="s">
        <v>512</v>
      </c>
      <c r="G2472" s="1" t="s">
        <v>512</v>
      </c>
      <c r="H2472" s="1" t="s">
        <v>512</v>
      </c>
      <c r="I2472" s="1" t="s">
        <v>512</v>
      </c>
      <c r="J2472" s="1" t="s">
        <v>512</v>
      </c>
      <c r="K2472" s="1" t="s">
        <v>512</v>
      </c>
      <c r="L2472" s="1" t="s">
        <v>512</v>
      </c>
      <c r="M2472" s="1" t="s">
        <v>512</v>
      </c>
      <c r="N2472" s="1" t="s">
        <v>512</v>
      </c>
      <c r="O2472" s="1" t="s">
        <v>512</v>
      </c>
    </row>
    <row r="2473" spans="4:15" x14ac:dyDescent="0.25">
      <c r="D2473" s="1" t="s">
        <v>512</v>
      </c>
      <c r="E2473" s="21" t="s">
        <v>512</v>
      </c>
      <c r="F2473" s="1" t="s">
        <v>512</v>
      </c>
      <c r="G2473" s="1" t="s">
        <v>512</v>
      </c>
      <c r="H2473" s="1" t="s">
        <v>512</v>
      </c>
      <c r="I2473" s="1" t="s">
        <v>512</v>
      </c>
      <c r="J2473" s="1" t="s">
        <v>512</v>
      </c>
      <c r="K2473" s="1" t="s">
        <v>512</v>
      </c>
      <c r="L2473" s="1" t="s">
        <v>512</v>
      </c>
      <c r="M2473" s="1" t="s">
        <v>512</v>
      </c>
      <c r="N2473" s="1" t="s">
        <v>512</v>
      </c>
      <c r="O2473" s="1" t="s">
        <v>512</v>
      </c>
    </row>
    <row r="2474" spans="4:15" x14ac:dyDescent="0.25">
      <c r="D2474" s="1" t="s">
        <v>512</v>
      </c>
      <c r="E2474" s="21" t="s">
        <v>512</v>
      </c>
      <c r="F2474" s="1" t="s">
        <v>512</v>
      </c>
      <c r="G2474" s="1" t="s">
        <v>512</v>
      </c>
      <c r="H2474" s="1" t="s">
        <v>512</v>
      </c>
      <c r="I2474" s="1" t="s">
        <v>512</v>
      </c>
      <c r="J2474" s="1" t="s">
        <v>512</v>
      </c>
      <c r="K2474" s="1" t="s">
        <v>512</v>
      </c>
      <c r="L2474" s="1" t="s">
        <v>512</v>
      </c>
      <c r="M2474" s="1" t="s">
        <v>512</v>
      </c>
      <c r="N2474" s="1" t="s">
        <v>512</v>
      </c>
      <c r="O2474" s="1" t="s">
        <v>512</v>
      </c>
    </row>
    <row r="2475" spans="4:15" x14ac:dyDescent="0.25">
      <c r="D2475" s="1" t="s">
        <v>512</v>
      </c>
      <c r="E2475" s="21" t="s">
        <v>512</v>
      </c>
      <c r="F2475" s="1" t="s">
        <v>512</v>
      </c>
      <c r="G2475" s="1" t="s">
        <v>512</v>
      </c>
      <c r="H2475" s="1" t="s">
        <v>512</v>
      </c>
      <c r="I2475" s="1" t="s">
        <v>512</v>
      </c>
      <c r="J2475" s="1" t="s">
        <v>512</v>
      </c>
      <c r="K2475" s="1" t="s">
        <v>512</v>
      </c>
      <c r="L2475" s="1" t="s">
        <v>512</v>
      </c>
      <c r="M2475" s="1" t="s">
        <v>512</v>
      </c>
      <c r="N2475" s="1" t="s">
        <v>512</v>
      </c>
      <c r="O2475" s="1" t="s">
        <v>512</v>
      </c>
    </row>
    <row r="2476" spans="4:15" x14ac:dyDescent="0.25">
      <c r="D2476" s="1" t="s">
        <v>512</v>
      </c>
      <c r="E2476" s="21" t="s">
        <v>512</v>
      </c>
      <c r="F2476" s="1" t="s">
        <v>512</v>
      </c>
      <c r="G2476" s="1" t="s">
        <v>512</v>
      </c>
      <c r="H2476" s="1" t="s">
        <v>512</v>
      </c>
      <c r="I2476" s="1" t="s">
        <v>512</v>
      </c>
      <c r="J2476" s="1" t="s">
        <v>512</v>
      </c>
      <c r="K2476" s="1" t="s">
        <v>512</v>
      </c>
      <c r="L2476" s="1" t="s">
        <v>512</v>
      </c>
      <c r="M2476" s="1" t="s">
        <v>512</v>
      </c>
      <c r="N2476" s="1" t="s">
        <v>512</v>
      </c>
      <c r="O2476" s="1" t="s">
        <v>512</v>
      </c>
    </row>
    <row r="2477" spans="4:15" x14ac:dyDescent="0.25">
      <c r="D2477" s="1" t="s">
        <v>512</v>
      </c>
      <c r="E2477" s="21" t="s">
        <v>512</v>
      </c>
      <c r="F2477" s="1" t="s">
        <v>512</v>
      </c>
      <c r="G2477" s="1" t="s">
        <v>512</v>
      </c>
      <c r="H2477" s="1" t="s">
        <v>512</v>
      </c>
      <c r="I2477" s="1" t="s">
        <v>512</v>
      </c>
      <c r="J2477" s="1" t="s">
        <v>512</v>
      </c>
      <c r="K2477" s="1" t="s">
        <v>512</v>
      </c>
      <c r="L2477" s="1" t="s">
        <v>512</v>
      </c>
      <c r="M2477" s="1" t="s">
        <v>512</v>
      </c>
      <c r="N2477" s="1" t="s">
        <v>512</v>
      </c>
      <c r="O2477" s="1" t="s">
        <v>512</v>
      </c>
    </row>
    <row r="2478" spans="4:15" x14ac:dyDescent="0.25">
      <c r="D2478" s="1" t="s">
        <v>512</v>
      </c>
      <c r="E2478" s="21" t="s">
        <v>512</v>
      </c>
      <c r="F2478" s="1" t="s">
        <v>512</v>
      </c>
      <c r="G2478" s="1" t="s">
        <v>512</v>
      </c>
      <c r="H2478" s="1" t="s">
        <v>512</v>
      </c>
      <c r="I2478" s="1" t="s">
        <v>512</v>
      </c>
      <c r="J2478" s="1" t="s">
        <v>512</v>
      </c>
      <c r="K2478" s="1" t="s">
        <v>512</v>
      </c>
      <c r="L2478" s="1" t="s">
        <v>512</v>
      </c>
      <c r="M2478" s="1" t="s">
        <v>512</v>
      </c>
      <c r="N2478" s="1" t="s">
        <v>512</v>
      </c>
      <c r="O2478" s="1" t="s">
        <v>512</v>
      </c>
    </row>
    <row r="2479" spans="4:15" x14ac:dyDescent="0.25">
      <c r="D2479" s="1" t="s">
        <v>512</v>
      </c>
      <c r="E2479" s="21" t="s">
        <v>512</v>
      </c>
      <c r="F2479" s="1" t="s">
        <v>512</v>
      </c>
      <c r="G2479" s="1" t="s">
        <v>512</v>
      </c>
      <c r="H2479" s="1" t="s">
        <v>512</v>
      </c>
      <c r="I2479" s="1" t="s">
        <v>512</v>
      </c>
      <c r="J2479" s="1" t="s">
        <v>512</v>
      </c>
      <c r="K2479" s="1" t="s">
        <v>512</v>
      </c>
      <c r="L2479" s="1" t="s">
        <v>512</v>
      </c>
      <c r="M2479" s="1" t="s">
        <v>512</v>
      </c>
      <c r="N2479" s="1" t="s">
        <v>512</v>
      </c>
      <c r="O2479" s="1" t="s">
        <v>512</v>
      </c>
    </row>
    <row r="2480" spans="4:15" x14ac:dyDescent="0.25">
      <c r="D2480" s="1" t="s">
        <v>512</v>
      </c>
      <c r="E2480" s="21" t="s">
        <v>512</v>
      </c>
      <c r="F2480" s="1" t="s">
        <v>512</v>
      </c>
      <c r="G2480" s="1" t="s">
        <v>512</v>
      </c>
      <c r="H2480" s="1" t="s">
        <v>512</v>
      </c>
      <c r="I2480" s="1" t="s">
        <v>512</v>
      </c>
      <c r="J2480" s="1" t="s">
        <v>512</v>
      </c>
      <c r="K2480" s="1" t="s">
        <v>512</v>
      </c>
      <c r="L2480" s="1" t="s">
        <v>512</v>
      </c>
      <c r="M2480" s="1" t="s">
        <v>512</v>
      </c>
      <c r="N2480" s="1" t="s">
        <v>512</v>
      </c>
      <c r="O2480" s="1" t="s">
        <v>512</v>
      </c>
    </row>
    <row r="2481" spans="4:15" x14ac:dyDescent="0.25">
      <c r="D2481" s="1" t="s">
        <v>512</v>
      </c>
      <c r="E2481" s="21" t="s">
        <v>512</v>
      </c>
      <c r="F2481" s="1" t="s">
        <v>512</v>
      </c>
      <c r="G2481" s="1" t="s">
        <v>512</v>
      </c>
      <c r="H2481" s="1" t="s">
        <v>512</v>
      </c>
      <c r="I2481" s="1" t="s">
        <v>512</v>
      </c>
      <c r="J2481" s="1" t="s">
        <v>512</v>
      </c>
      <c r="K2481" s="1" t="s">
        <v>512</v>
      </c>
      <c r="L2481" s="1" t="s">
        <v>512</v>
      </c>
      <c r="M2481" s="1" t="s">
        <v>512</v>
      </c>
      <c r="N2481" s="1" t="s">
        <v>512</v>
      </c>
      <c r="O2481" s="1" t="s">
        <v>512</v>
      </c>
    </row>
    <row r="2482" spans="4:15" x14ac:dyDescent="0.25">
      <c r="D2482" s="1" t="s">
        <v>512</v>
      </c>
      <c r="E2482" s="21" t="s">
        <v>512</v>
      </c>
      <c r="F2482" s="1" t="s">
        <v>512</v>
      </c>
      <c r="G2482" s="1" t="s">
        <v>512</v>
      </c>
      <c r="H2482" s="1" t="s">
        <v>512</v>
      </c>
      <c r="I2482" s="1" t="s">
        <v>512</v>
      </c>
      <c r="J2482" s="1" t="s">
        <v>512</v>
      </c>
      <c r="K2482" s="1" t="s">
        <v>512</v>
      </c>
      <c r="L2482" s="1" t="s">
        <v>512</v>
      </c>
      <c r="M2482" s="1" t="s">
        <v>512</v>
      </c>
      <c r="N2482" s="1" t="s">
        <v>512</v>
      </c>
      <c r="O2482" s="1" t="s">
        <v>512</v>
      </c>
    </row>
    <row r="2483" spans="4:15" x14ac:dyDescent="0.25">
      <c r="D2483" s="1" t="s">
        <v>512</v>
      </c>
      <c r="E2483" s="21" t="s">
        <v>512</v>
      </c>
      <c r="F2483" s="1" t="s">
        <v>512</v>
      </c>
      <c r="G2483" s="1" t="s">
        <v>512</v>
      </c>
      <c r="H2483" s="1" t="s">
        <v>512</v>
      </c>
      <c r="I2483" s="1" t="s">
        <v>512</v>
      </c>
      <c r="J2483" s="1" t="s">
        <v>512</v>
      </c>
      <c r="K2483" s="1" t="s">
        <v>512</v>
      </c>
      <c r="L2483" s="1" t="s">
        <v>512</v>
      </c>
      <c r="M2483" s="1" t="s">
        <v>512</v>
      </c>
      <c r="N2483" s="1" t="s">
        <v>512</v>
      </c>
      <c r="O2483" s="1" t="s">
        <v>512</v>
      </c>
    </row>
    <row r="2484" spans="4:15" x14ac:dyDescent="0.25">
      <c r="D2484" s="1" t="s">
        <v>512</v>
      </c>
      <c r="E2484" s="21" t="s">
        <v>512</v>
      </c>
      <c r="F2484" s="1" t="s">
        <v>512</v>
      </c>
      <c r="G2484" s="1" t="s">
        <v>512</v>
      </c>
      <c r="H2484" s="1" t="s">
        <v>512</v>
      </c>
      <c r="I2484" s="1" t="s">
        <v>512</v>
      </c>
      <c r="J2484" s="1" t="s">
        <v>512</v>
      </c>
      <c r="K2484" s="1" t="s">
        <v>512</v>
      </c>
      <c r="L2484" s="1" t="s">
        <v>512</v>
      </c>
      <c r="M2484" s="1" t="s">
        <v>512</v>
      </c>
      <c r="N2484" s="1" t="s">
        <v>512</v>
      </c>
      <c r="O2484" s="1" t="s">
        <v>512</v>
      </c>
    </row>
    <row r="2485" spans="4:15" x14ac:dyDescent="0.25">
      <c r="D2485" s="1" t="s">
        <v>512</v>
      </c>
      <c r="E2485" s="21" t="s">
        <v>512</v>
      </c>
      <c r="F2485" s="1" t="s">
        <v>512</v>
      </c>
      <c r="G2485" s="1" t="s">
        <v>512</v>
      </c>
      <c r="H2485" s="1" t="s">
        <v>512</v>
      </c>
      <c r="I2485" s="1" t="s">
        <v>512</v>
      </c>
      <c r="J2485" s="1" t="s">
        <v>512</v>
      </c>
      <c r="K2485" s="1" t="s">
        <v>512</v>
      </c>
      <c r="L2485" s="1" t="s">
        <v>512</v>
      </c>
      <c r="M2485" s="1" t="s">
        <v>512</v>
      </c>
      <c r="N2485" s="1" t="s">
        <v>512</v>
      </c>
      <c r="O2485" s="1" t="s">
        <v>512</v>
      </c>
    </row>
    <row r="2486" spans="4:15" x14ac:dyDescent="0.25">
      <c r="D2486" s="1" t="s">
        <v>512</v>
      </c>
      <c r="E2486" s="21" t="s">
        <v>512</v>
      </c>
      <c r="F2486" s="1" t="s">
        <v>512</v>
      </c>
      <c r="G2486" s="1" t="s">
        <v>512</v>
      </c>
      <c r="H2486" s="1" t="s">
        <v>512</v>
      </c>
      <c r="I2486" s="1" t="s">
        <v>512</v>
      </c>
      <c r="J2486" s="1" t="s">
        <v>512</v>
      </c>
      <c r="K2486" s="1" t="s">
        <v>512</v>
      </c>
      <c r="L2486" s="1" t="s">
        <v>512</v>
      </c>
      <c r="M2486" s="1" t="s">
        <v>512</v>
      </c>
      <c r="N2486" s="1" t="s">
        <v>512</v>
      </c>
      <c r="O2486" s="1" t="s">
        <v>512</v>
      </c>
    </row>
    <row r="2487" spans="4:15" x14ac:dyDescent="0.25">
      <c r="D2487" s="1" t="s">
        <v>512</v>
      </c>
      <c r="E2487" s="21" t="s">
        <v>512</v>
      </c>
      <c r="F2487" s="1" t="s">
        <v>512</v>
      </c>
      <c r="G2487" s="1" t="s">
        <v>512</v>
      </c>
      <c r="H2487" s="1" t="s">
        <v>512</v>
      </c>
      <c r="I2487" s="1" t="s">
        <v>512</v>
      </c>
      <c r="J2487" s="1" t="s">
        <v>512</v>
      </c>
      <c r="K2487" s="1" t="s">
        <v>512</v>
      </c>
      <c r="L2487" s="1" t="s">
        <v>512</v>
      </c>
      <c r="M2487" s="1" t="s">
        <v>512</v>
      </c>
      <c r="N2487" s="1" t="s">
        <v>512</v>
      </c>
      <c r="O2487" s="1" t="s">
        <v>512</v>
      </c>
    </row>
    <row r="2488" spans="4:15" x14ac:dyDescent="0.25">
      <c r="D2488" s="1" t="s">
        <v>512</v>
      </c>
      <c r="E2488" s="21" t="s">
        <v>512</v>
      </c>
      <c r="F2488" s="1" t="s">
        <v>512</v>
      </c>
      <c r="G2488" s="1" t="s">
        <v>512</v>
      </c>
      <c r="H2488" s="1" t="s">
        <v>512</v>
      </c>
      <c r="I2488" s="1" t="s">
        <v>512</v>
      </c>
      <c r="J2488" s="1" t="s">
        <v>512</v>
      </c>
      <c r="K2488" s="1" t="s">
        <v>512</v>
      </c>
      <c r="L2488" s="1" t="s">
        <v>512</v>
      </c>
      <c r="M2488" s="1" t="s">
        <v>512</v>
      </c>
      <c r="N2488" s="1" t="s">
        <v>512</v>
      </c>
      <c r="O2488" s="1" t="s">
        <v>512</v>
      </c>
    </row>
    <row r="2489" spans="4:15" x14ac:dyDescent="0.25">
      <c r="D2489" s="1" t="s">
        <v>512</v>
      </c>
      <c r="E2489" s="21" t="s">
        <v>512</v>
      </c>
      <c r="F2489" s="1" t="s">
        <v>512</v>
      </c>
      <c r="G2489" s="1" t="s">
        <v>512</v>
      </c>
      <c r="H2489" s="1" t="s">
        <v>512</v>
      </c>
      <c r="I2489" s="1" t="s">
        <v>512</v>
      </c>
      <c r="J2489" s="1" t="s">
        <v>512</v>
      </c>
      <c r="K2489" s="1" t="s">
        <v>512</v>
      </c>
      <c r="L2489" s="1" t="s">
        <v>512</v>
      </c>
      <c r="M2489" s="1" t="s">
        <v>512</v>
      </c>
      <c r="N2489" s="1" t="s">
        <v>512</v>
      </c>
      <c r="O2489" s="1" t="s">
        <v>512</v>
      </c>
    </row>
    <row r="2490" spans="4:15" x14ac:dyDescent="0.25">
      <c r="D2490" s="1" t="s">
        <v>512</v>
      </c>
      <c r="E2490" s="21" t="s">
        <v>512</v>
      </c>
      <c r="F2490" s="1" t="s">
        <v>512</v>
      </c>
      <c r="G2490" s="1" t="s">
        <v>512</v>
      </c>
      <c r="H2490" s="1" t="s">
        <v>512</v>
      </c>
      <c r="I2490" s="1" t="s">
        <v>512</v>
      </c>
      <c r="J2490" s="1" t="s">
        <v>512</v>
      </c>
      <c r="K2490" s="1" t="s">
        <v>512</v>
      </c>
      <c r="L2490" s="1" t="s">
        <v>512</v>
      </c>
      <c r="M2490" s="1" t="s">
        <v>512</v>
      </c>
      <c r="N2490" s="1" t="s">
        <v>512</v>
      </c>
      <c r="O2490" s="1" t="s">
        <v>512</v>
      </c>
    </row>
    <row r="2491" spans="4:15" x14ac:dyDescent="0.25">
      <c r="D2491" s="1" t="s">
        <v>512</v>
      </c>
      <c r="E2491" s="21" t="s">
        <v>512</v>
      </c>
      <c r="F2491" s="1" t="s">
        <v>512</v>
      </c>
      <c r="G2491" s="1" t="s">
        <v>512</v>
      </c>
      <c r="H2491" s="1" t="s">
        <v>512</v>
      </c>
      <c r="I2491" s="1" t="s">
        <v>512</v>
      </c>
      <c r="J2491" s="1" t="s">
        <v>512</v>
      </c>
      <c r="K2491" s="1" t="s">
        <v>512</v>
      </c>
      <c r="L2491" s="1" t="s">
        <v>512</v>
      </c>
      <c r="M2491" s="1" t="s">
        <v>512</v>
      </c>
      <c r="N2491" s="1" t="s">
        <v>512</v>
      </c>
      <c r="O2491" s="1" t="s">
        <v>512</v>
      </c>
    </row>
    <row r="2492" spans="4:15" x14ac:dyDescent="0.25">
      <c r="D2492" s="1" t="s">
        <v>512</v>
      </c>
      <c r="E2492" s="21" t="s">
        <v>512</v>
      </c>
      <c r="F2492" s="1" t="s">
        <v>512</v>
      </c>
      <c r="G2492" s="1" t="s">
        <v>512</v>
      </c>
      <c r="H2492" s="1" t="s">
        <v>512</v>
      </c>
      <c r="I2492" s="1" t="s">
        <v>512</v>
      </c>
      <c r="J2492" s="1" t="s">
        <v>512</v>
      </c>
      <c r="K2492" s="1" t="s">
        <v>512</v>
      </c>
      <c r="L2492" s="1" t="s">
        <v>512</v>
      </c>
      <c r="M2492" s="1" t="s">
        <v>512</v>
      </c>
      <c r="N2492" s="1" t="s">
        <v>512</v>
      </c>
      <c r="O2492" s="1" t="s">
        <v>512</v>
      </c>
    </row>
    <row r="2493" spans="4:15" x14ac:dyDescent="0.25">
      <c r="D2493" s="1" t="s">
        <v>512</v>
      </c>
      <c r="E2493" s="21" t="s">
        <v>512</v>
      </c>
      <c r="F2493" s="1" t="s">
        <v>512</v>
      </c>
      <c r="G2493" s="1" t="s">
        <v>512</v>
      </c>
      <c r="H2493" s="1" t="s">
        <v>512</v>
      </c>
      <c r="I2493" s="1" t="s">
        <v>512</v>
      </c>
      <c r="J2493" s="1" t="s">
        <v>512</v>
      </c>
      <c r="K2493" s="1" t="s">
        <v>512</v>
      </c>
      <c r="L2493" s="1" t="s">
        <v>512</v>
      </c>
      <c r="M2493" s="1" t="s">
        <v>512</v>
      </c>
      <c r="N2493" s="1" t="s">
        <v>512</v>
      </c>
      <c r="O2493" s="1" t="s">
        <v>512</v>
      </c>
    </row>
    <row r="2494" spans="4:15" x14ac:dyDescent="0.25">
      <c r="D2494" s="1" t="s">
        <v>512</v>
      </c>
      <c r="E2494" s="21" t="s">
        <v>512</v>
      </c>
      <c r="F2494" s="1" t="s">
        <v>512</v>
      </c>
      <c r="G2494" s="1" t="s">
        <v>512</v>
      </c>
      <c r="H2494" s="1" t="s">
        <v>512</v>
      </c>
      <c r="I2494" s="1" t="s">
        <v>512</v>
      </c>
      <c r="J2494" s="1" t="s">
        <v>512</v>
      </c>
      <c r="K2494" s="1" t="s">
        <v>512</v>
      </c>
      <c r="L2494" s="1" t="s">
        <v>512</v>
      </c>
      <c r="M2494" s="1" t="s">
        <v>512</v>
      </c>
      <c r="N2494" s="1" t="s">
        <v>512</v>
      </c>
      <c r="O2494" s="1" t="s">
        <v>512</v>
      </c>
    </row>
    <row r="2495" spans="4:15" x14ac:dyDescent="0.25">
      <c r="D2495" s="1" t="s">
        <v>512</v>
      </c>
      <c r="E2495" s="21" t="s">
        <v>512</v>
      </c>
      <c r="F2495" s="1" t="s">
        <v>512</v>
      </c>
      <c r="G2495" s="1" t="s">
        <v>512</v>
      </c>
      <c r="H2495" s="1" t="s">
        <v>512</v>
      </c>
      <c r="I2495" s="1" t="s">
        <v>512</v>
      </c>
      <c r="J2495" s="1" t="s">
        <v>512</v>
      </c>
      <c r="K2495" s="1" t="s">
        <v>512</v>
      </c>
      <c r="L2495" s="1" t="s">
        <v>512</v>
      </c>
      <c r="M2495" s="1" t="s">
        <v>512</v>
      </c>
      <c r="N2495" s="1" t="s">
        <v>512</v>
      </c>
      <c r="O2495" s="1" t="s">
        <v>512</v>
      </c>
    </row>
    <row r="2496" spans="4:15" x14ac:dyDescent="0.25">
      <c r="D2496" s="1" t="s">
        <v>512</v>
      </c>
      <c r="E2496" s="21" t="s">
        <v>512</v>
      </c>
      <c r="F2496" s="1" t="s">
        <v>512</v>
      </c>
      <c r="G2496" s="1" t="s">
        <v>512</v>
      </c>
      <c r="H2496" s="1" t="s">
        <v>512</v>
      </c>
      <c r="I2496" s="1" t="s">
        <v>512</v>
      </c>
      <c r="J2496" s="1" t="s">
        <v>512</v>
      </c>
      <c r="K2496" s="1" t="s">
        <v>512</v>
      </c>
      <c r="L2496" s="1" t="s">
        <v>512</v>
      </c>
      <c r="M2496" s="1" t="s">
        <v>512</v>
      </c>
      <c r="N2496" s="1" t="s">
        <v>512</v>
      </c>
      <c r="O2496" s="1" t="s">
        <v>512</v>
      </c>
    </row>
    <row r="2497" spans="4:15" x14ac:dyDescent="0.25">
      <c r="D2497" s="1" t="s">
        <v>512</v>
      </c>
      <c r="E2497" s="21" t="s">
        <v>512</v>
      </c>
      <c r="F2497" s="1" t="s">
        <v>512</v>
      </c>
      <c r="G2497" s="1" t="s">
        <v>512</v>
      </c>
      <c r="H2497" s="1" t="s">
        <v>512</v>
      </c>
      <c r="I2497" s="1" t="s">
        <v>512</v>
      </c>
      <c r="J2497" s="1" t="s">
        <v>512</v>
      </c>
      <c r="K2497" s="1" t="s">
        <v>512</v>
      </c>
      <c r="L2497" s="1" t="s">
        <v>512</v>
      </c>
      <c r="M2497" s="1" t="s">
        <v>512</v>
      </c>
      <c r="N2497" s="1" t="s">
        <v>512</v>
      </c>
      <c r="O2497" s="1" t="s">
        <v>512</v>
      </c>
    </row>
    <row r="2498" spans="4:15" x14ac:dyDescent="0.25">
      <c r="D2498" s="1" t="s">
        <v>512</v>
      </c>
      <c r="E2498" s="21" t="s">
        <v>512</v>
      </c>
      <c r="F2498" s="1" t="s">
        <v>512</v>
      </c>
      <c r="G2498" s="1" t="s">
        <v>512</v>
      </c>
      <c r="H2498" s="1" t="s">
        <v>512</v>
      </c>
      <c r="I2498" s="1" t="s">
        <v>512</v>
      </c>
      <c r="J2498" s="1" t="s">
        <v>512</v>
      </c>
      <c r="K2498" s="1" t="s">
        <v>512</v>
      </c>
      <c r="L2498" s="1" t="s">
        <v>512</v>
      </c>
      <c r="M2498" s="1" t="s">
        <v>512</v>
      </c>
      <c r="N2498" s="1" t="s">
        <v>512</v>
      </c>
      <c r="O2498" s="1" t="s">
        <v>512</v>
      </c>
    </row>
    <row r="2499" spans="4:15" x14ac:dyDescent="0.25">
      <c r="D2499" s="1" t="s">
        <v>512</v>
      </c>
      <c r="E2499" s="21" t="s">
        <v>512</v>
      </c>
      <c r="F2499" s="1" t="s">
        <v>512</v>
      </c>
      <c r="G2499" s="1" t="s">
        <v>512</v>
      </c>
      <c r="H2499" s="1" t="s">
        <v>512</v>
      </c>
      <c r="I2499" s="1" t="s">
        <v>512</v>
      </c>
      <c r="J2499" s="1" t="s">
        <v>512</v>
      </c>
      <c r="K2499" s="1" t="s">
        <v>512</v>
      </c>
      <c r="L2499" s="1" t="s">
        <v>512</v>
      </c>
      <c r="M2499" s="1" t="s">
        <v>512</v>
      </c>
      <c r="N2499" s="1" t="s">
        <v>512</v>
      </c>
      <c r="O2499" s="1" t="s">
        <v>512</v>
      </c>
    </row>
    <row r="2500" spans="4:15" x14ac:dyDescent="0.25">
      <c r="D2500" s="1" t="s">
        <v>512</v>
      </c>
      <c r="E2500" s="21" t="s">
        <v>512</v>
      </c>
      <c r="F2500" s="1" t="s">
        <v>512</v>
      </c>
      <c r="G2500" s="1" t="s">
        <v>512</v>
      </c>
      <c r="H2500" s="1" t="s">
        <v>512</v>
      </c>
      <c r="I2500" s="1" t="s">
        <v>512</v>
      </c>
      <c r="J2500" s="1" t="s">
        <v>512</v>
      </c>
      <c r="K2500" s="1" t="s">
        <v>512</v>
      </c>
      <c r="L2500" s="1" t="s">
        <v>512</v>
      </c>
      <c r="M2500" s="1" t="s">
        <v>512</v>
      </c>
      <c r="N2500" s="1" t="s">
        <v>512</v>
      </c>
      <c r="O2500" s="1" t="s">
        <v>512</v>
      </c>
    </row>
    <row r="2501" spans="4:15" x14ac:dyDescent="0.25">
      <c r="D2501" s="1" t="s">
        <v>512</v>
      </c>
      <c r="E2501" s="21" t="s">
        <v>512</v>
      </c>
      <c r="F2501" s="1" t="s">
        <v>512</v>
      </c>
      <c r="G2501" s="1" t="s">
        <v>512</v>
      </c>
      <c r="H2501" s="1" t="s">
        <v>512</v>
      </c>
      <c r="I2501" s="1" t="s">
        <v>512</v>
      </c>
      <c r="J2501" s="1" t="s">
        <v>512</v>
      </c>
      <c r="K2501" s="1" t="s">
        <v>512</v>
      </c>
      <c r="L2501" s="1" t="s">
        <v>512</v>
      </c>
      <c r="M2501" s="1" t="s">
        <v>512</v>
      </c>
      <c r="N2501" s="1" t="s">
        <v>512</v>
      </c>
      <c r="O2501" s="1" t="s">
        <v>512</v>
      </c>
    </row>
    <row r="2502" spans="4:15" x14ac:dyDescent="0.25">
      <c r="D2502" s="1" t="s">
        <v>512</v>
      </c>
      <c r="E2502" s="21" t="s">
        <v>512</v>
      </c>
      <c r="F2502" s="1" t="s">
        <v>512</v>
      </c>
      <c r="G2502" s="1" t="s">
        <v>512</v>
      </c>
      <c r="H2502" s="1" t="s">
        <v>512</v>
      </c>
      <c r="I2502" s="1" t="s">
        <v>512</v>
      </c>
      <c r="J2502" s="1" t="s">
        <v>512</v>
      </c>
      <c r="K2502" s="1" t="s">
        <v>512</v>
      </c>
      <c r="L2502" s="1" t="s">
        <v>512</v>
      </c>
      <c r="M2502" s="1" t="s">
        <v>512</v>
      </c>
      <c r="N2502" s="1" t="s">
        <v>512</v>
      </c>
      <c r="O2502" s="1" t="s">
        <v>512</v>
      </c>
    </row>
    <row r="2503" spans="4:15" x14ac:dyDescent="0.25">
      <c r="D2503" s="1" t="s">
        <v>512</v>
      </c>
      <c r="E2503" s="21" t="s">
        <v>512</v>
      </c>
      <c r="F2503" s="1" t="s">
        <v>512</v>
      </c>
      <c r="G2503" s="1" t="s">
        <v>512</v>
      </c>
      <c r="H2503" s="1" t="s">
        <v>512</v>
      </c>
      <c r="I2503" s="1" t="s">
        <v>512</v>
      </c>
      <c r="J2503" s="1" t="s">
        <v>512</v>
      </c>
      <c r="K2503" s="1" t="s">
        <v>512</v>
      </c>
      <c r="L2503" s="1" t="s">
        <v>512</v>
      </c>
      <c r="M2503" s="1" t="s">
        <v>512</v>
      </c>
      <c r="N2503" s="1" t="s">
        <v>512</v>
      </c>
      <c r="O2503" s="1" t="s">
        <v>512</v>
      </c>
    </row>
    <row r="2504" spans="4:15" x14ac:dyDescent="0.25">
      <c r="D2504" s="1" t="s">
        <v>512</v>
      </c>
      <c r="E2504" s="21" t="s">
        <v>512</v>
      </c>
      <c r="F2504" s="1" t="s">
        <v>512</v>
      </c>
      <c r="G2504" s="1" t="s">
        <v>512</v>
      </c>
      <c r="H2504" s="1" t="s">
        <v>512</v>
      </c>
      <c r="I2504" s="1" t="s">
        <v>512</v>
      </c>
      <c r="J2504" s="1" t="s">
        <v>512</v>
      </c>
      <c r="K2504" s="1" t="s">
        <v>512</v>
      </c>
      <c r="L2504" s="1" t="s">
        <v>512</v>
      </c>
      <c r="M2504" s="1" t="s">
        <v>512</v>
      </c>
      <c r="N2504" s="1" t="s">
        <v>512</v>
      </c>
      <c r="O2504" s="1" t="s">
        <v>512</v>
      </c>
    </row>
    <row r="2505" spans="4:15" x14ac:dyDescent="0.25">
      <c r="D2505" s="1" t="s">
        <v>512</v>
      </c>
      <c r="E2505" s="21" t="s">
        <v>512</v>
      </c>
      <c r="F2505" s="1" t="s">
        <v>512</v>
      </c>
      <c r="G2505" s="1" t="s">
        <v>512</v>
      </c>
      <c r="H2505" s="1" t="s">
        <v>512</v>
      </c>
      <c r="I2505" s="1" t="s">
        <v>512</v>
      </c>
      <c r="J2505" s="1" t="s">
        <v>512</v>
      </c>
      <c r="K2505" s="1" t="s">
        <v>512</v>
      </c>
      <c r="L2505" s="1" t="s">
        <v>512</v>
      </c>
      <c r="M2505" s="1" t="s">
        <v>512</v>
      </c>
      <c r="N2505" s="1" t="s">
        <v>512</v>
      </c>
      <c r="O2505" s="1" t="s">
        <v>512</v>
      </c>
    </row>
    <row r="2506" spans="4:15" x14ac:dyDescent="0.25">
      <c r="D2506" s="1" t="s">
        <v>512</v>
      </c>
      <c r="E2506" s="21" t="s">
        <v>512</v>
      </c>
      <c r="F2506" s="1" t="s">
        <v>512</v>
      </c>
      <c r="G2506" s="1" t="s">
        <v>512</v>
      </c>
      <c r="H2506" s="1" t="s">
        <v>512</v>
      </c>
      <c r="I2506" s="1" t="s">
        <v>512</v>
      </c>
      <c r="J2506" s="1" t="s">
        <v>512</v>
      </c>
      <c r="K2506" s="1" t="s">
        <v>512</v>
      </c>
      <c r="L2506" s="1" t="s">
        <v>512</v>
      </c>
      <c r="M2506" s="1" t="s">
        <v>512</v>
      </c>
      <c r="N2506" s="1" t="s">
        <v>512</v>
      </c>
      <c r="O2506" s="1" t="s">
        <v>512</v>
      </c>
    </row>
    <row r="2507" spans="4:15" x14ac:dyDescent="0.25">
      <c r="D2507" s="1" t="s">
        <v>512</v>
      </c>
      <c r="E2507" s="21" t="s">
        <v>512</v>
      </c>
      <c r="F2507" s="1" t="s">
        <v>512</v>
      </c>
      <c r="G2507" s="1" t="s">
        <v>512</v>
      </c>
      <c r="H2507" s="1" t="s">
        <v>512</v>
      </c>
      <c r="I2507" s="1" t="s">
        <v>512</v>
      </c>
      <c r="J2507" s="1" t="s">
        <v>512</v>
      </c>
      <c r="K2507" s="1" t="s">
        <v>512</v>
      </c>
      <c r="L2507" s="1" t="s">
        <v>512</v>
      </c>
      <c r="M2507" s="1" t="s">
        <v>512</v>
      </c>
      <c r="N2507" s="1" t="s">
        <v>512</v>
      </c>
      <c r="O2507" s="1" t="s">
        <v>512</v>
      </c>
    </row>
    <row r="2508" spans="4:15" x14ac:dyDescent="0.25">
      <c r="D2508" s="1" t="s">
        <v>512</v>
      </c>
      <c r="E2508" s="21" t="s">
        <v>512</v>
      </c>
      <c r="F2508" s="1" t="s">
        <v>512</v>
      </c>
      <c r="G2508" s="1" t="s">
        <v>512</v>
      </c>
      <c r="H2508" s="1" t="s">
        <v>512</v>
      </c>
      <c r="I2508" s="1" t="s">
        <v>512</v>
      </c>
      <c r="J2508" s="1" t="s">
        <v>512</v>
      </c>
      <c r="K2508" s="1" t="s">
        <v>512</v>
      </c>
      <c r="L2508" s="1" t="s">
        <v>512</v>
      </c>
      <c r="M2508" s="1" t="s">
        <v>512</v>
      </c>
      <c r="N2508" s="1" t="s">
        <v>512</v>
      </c>
      <c r="O2508" s="1" t="s">
        <v>512</v>
      </c>
    </row>
    <row r="2509" spans="4:15" x14ac:dyDescent="0.25">
      <c r="D2509" s="1" t="s">
        <v>512</v>
      </c>
      <c r="E2509" s="21" t="s">
        <v>512</v>
      </c>
      <c r="F2509" s="1" t="s">
        <v>512</v>
      </c>
      <c r="G2509" s="1" t="s">
        <v>512</v>
      </c>
      <c r="H2509" s="1" t="s">
        <v>512</v>
      </c>
      <c r="I2509" s="1" t="s">
        <v>512</v>
      </c>
      <c r="J2509" s="1" t="s">
        <v>512</v>
      </c>
      <c r="K2509" s="1" t="s">
        <v>512</v>
      </c>
      <c r="L2509" s="1" t="s">
        <v>512</v>
      </c>
      <c r="M2509" s="1" t="s">
        <v>512</v>
      </c>
      <c r="N2509" s="1" t="s">
        <v>512</v>
      </c>
      <c r="O2509" s="1" t="s">
        <v>512</v>
      </c>
    </row>
    <row r="2510" spans="4:15" x14ac:dyDescent="0.25">
      <c r="D2510" s="1" t="s">
        <v>512</v>
      </c>
      <c r="E2510" s="21" t="s">
        <v>512</v>
      </c>
      <c r="F2510" s="1" t="s">
        <v>512</v>
      </c>
      <c r="G2510" s="1" t="s">
        <v>512</v>
      </c>
      <c r="H2510" s="1" t="s">
        <v>512</v>
      </c>
      <c r="I2510" s="1" t="s">
        <v>512</v>
      </c>
      <c r="J2510" s="1" t="s">
        <v>512</v>
      </c>
      <c r="K2510" s="1" t="s">
        <v>512</v>
      </c>
      <c r="L2510" s="1" t="s">
        <v>512</v>
      </c>
      <c r="M2510" s="1" t="s">
        <v>512</v>
      </c>
      <c r="N2510" s="1" t="s">
        <v>512</v>
      </c>
      <c r="O2510" s="1" t="s">
        <v>512</v>
      </c>
    </row>
    <row r="2511" spans="4:15" x14ac:dyDescent="0.25">
      <c r="D2511" s="1" t="s">
        <v>512</v>
      </c>
      <c r="E2511" s="21" t="s">
        <v>512</v>
      </c>
      <c r="F2511" s="1" t="s">
        <v>512</v>
      </c>
      <c r="G2511" s="1" t="s">
        <v>512</v>
      </c>
      <c r="H2511" s="1" t="s">
        <v>512</v>
      </c>
      <c r="I2511" s="1" t="s">
        <v>512</v>
      </c>
      <c r="J2511" s="1" t="s">
        <v>512</v>
      </c>
      <c r="K2511" s="1" t="s">
        <v>512</v>
      </c>
      <c r="L2511" s="1" t="s">
        <v>512</v>
      </c>
      <c r="M2511" s="1" t="s">
        <v>512</v>
      </c>
      <c r="N2511" s="1" t="s">
        <v>512</v>
      </c>
      <c r="O2511" s="1" t="s">
        <v>512</v>
      </c>
    </row>
    <row r="2512" spans="4:15" x14ac:dyDescent="0.25">
      <c r="D2512" s="1" t="s">
        <v>512</v>
      </c>
      <c r="E2512" s="21" t="s">
        <v>512</v>
      </c>
      <c r="F2512" s="1" t="s">
        <v>512</v>
      </c>
      <c r="G2512" s="1" t="s">
        <v>512</v>
      </c>
      <c r="H2512" s="1" t="s">
        <v>512</v>
      </c>
      <c r="I2512" s="1" t="s">
        <v>512</v>
      </c>
      <c r="J2512" s="1" t="s">
        <v>512</v>
      </c>
      <c r="K2512" s="1" t="s">
        <v>512</v>
      </c>
      <c r="L2512" s="1" t="s">
        <v>512</v>
      </c>
      <c r="M2512" s="1" t="s">
        <v>512</v>
      </c>
      <c r="N2512" s="1" t="s">
        <v>512</v>
      </c>
      <c r="O2512" s="1" t="s">
        <v>512</v>
      </c>
    </row>
    <row r="2513" spans="4:15" x14ac:dyDescent="0.25">
      <c r="D2513" s="1" t="s">
        <v>512</v>
      </c>
      <c r="E2513" s="21" t="s">
        <v>512</v>
      </c>
      <c r="F2513" s="1" t="s">
        <v>512</v>
      </c>
      <c r="G2513" s="1" t="s">
        <v>512</v>
      </c>
      <c r="H2513" s="1" t="s">
        <v>512</v>
      </c>
      <c r="I2513" s="1" t="s">
        <v>512</v>
      </c>
      <c r="J2513" s="1" t="s">
        <v>512</v>
      </c>
      <c r="K2513" s="1" t="s">
        <v>512</v>
      </c>
      <c r="L2513" s="1" t="s">
        <v>512</v>
      </c>
      <c r="M2513" s="1" t="s">
        <v>512</v>
      </c>
      <c r="N2513" s="1" t="s">
        <v>512</v>
      </c>
      <c r="O2513" s="1" t="s">
        <v>512</v>
      </c>
    </row>
    <row r="2514" spans="4:15" x14ac:dyDescent="0.25">
      <c r="D2514" s="1" t="s">
        <v>512</v>
      </c>
      <c r="E2514" s="21" t="s">
        <v>512</v>
      </c>
      <c r="F2514" s="1" t="s">
        <v>512</v>
      </c>
      <c r="G2514" s="1" t="s">
        <v>512</v>
      </c>
      <c r="H2514" s="1" t="s">
        <v>512</v>
      </c>
      <c r="I2514" s="1" t="s">
        <v>512</v>
      </c>
      <c r="J2514" s="1" t="s">
        <v>512</v>
      </c>
      <c r="K2514" s="1" t="s">
        <v>512</v>
      </c>
      <c r="L2514" s="1" t="s">
        <v>512</v>
      </c>
      <c r="M2514" s="1" t="s">
        <v>512</v>
      </c>
      <c r="N2514" s="1" t="s">
        <v>512</v>
      </c>
      <c r="O2514" s="1" t="s">
        <v>512</v>
      </c>
    </row>
    <row r="2515" spans="4:15" x14ac:dyDescent="0.25">
      <c r="D2515" s="1" t="s">
        <v>512</v>
      </c>
      <c r="E2515" s="21" t="s">
        <v>512</v>
      </c>
      <c r="F2515" s="1" t="s">
        <v>512</v>
      </c>
      <c r="G2515" s="1" t="s">
        <v>512</v>
      </c>
      <c r="H2515" s="1" t="s">
        <v>512</v>
      </c>
      <c r="I2515" s="1" t="s">
        <v>512</v>
      </c>
      <c r="J2515" s="1" t="s">
        <v>512</v>
      </c>
      <c r="K2515" s="1" t="s">
        <v>512</v>
      </c>
      <c r="L2515" s="1" t="s">
        <v>512</v>
      </c>
      <c r="M2515" s="1" t="s">
        <v>512</v>
      </c>
      <c r="N2515" s="1" t="s">
        <v>512</v>
      </c>
      <c r="O2515" s="1" t="s">
        <v>512</v>
      </c>
    </row>
    <row r="2516" spans="4:15" x14ac:dyDescent="0.25">
      <c r="D2516" s="1" t="s">
        <v>512</v>
      </c>
      <c r="E2516" s="21" t="s">
        <v>512</v>
      </c>
      <c r="F2516" s="1" t="s">
        <v>512</v>
      </c>
      <c r="G2516" s="1" t="s">
        <v>512</v>
      </c>
      <c r="H2516" s="1" t="s">
        <v>512</v>
      </c>
      <c r="I2516" s="1" t="s">
        <v>512</v>
      </c>
      <c r="J2516" s="1" t="s">
        <v>512</v>
      </c>
      <c r="K2516" s="1" t="s">
        <v>512</v>
      </c>
      <c r="L2516" s="1" t="s">
        <v>512</v>
      </c>
      <c r="M2516" s="1" t="s">
        <v>512</v>
      </c>
      <c r="N2516" s="1" t="s">
        <v>512</v>
      </c>
      <c r="O2516" s="1" t="s">
        <v>512</v>
      </c>
    </row>
    <row r="2517" spans="4:15" x14ac:dyDescent="0.25">
      <c r="D2517" s="1" t="s">
        <v>512</v>
      </c>
      <c r="E2517" s="21" t="s">
        <v>512</v>
      </c>
      <c r="F2517" s="1" t="s">
        <v>512</v>
      </c>
      <c r="G2517" s="1" t="s">
        <v>512</v>
      </c>
      <c r="H2517" s="1" t="s">
        <v>512</v>
      </c>
      <c r="I2517" s="1" t="s">
        <v>512</v>
      </c>
      <c r="J2517" s="1" t="s">
        <v>512</v>
      </c>
      <c r="K2517" s="1" t="s">
        <v>512</v>
      </c>
      <c r="L2517" s="1" t="s">
        <v>512</v>
      </c>
      <c r="M2517" s="1" t="s">
        <v>512</v>
      </c>
      <c r="N2517" s="1" t="s">
        <v>512</v>
      </c>
      <c r="O2517" s="1" t="s">
        <v>512</v>
      </c>
    </row>
    <row r="2518" spans="4:15" x14ac:dyDescent="0.25">
      <c r="D2518" s="1" t="s">
        <v>512</v>
      </c>
      <c r="E2518" s="21" t="s">
        <v>512</v>
      </c>
      <c r="F2518" s="1" t="s">
        <v>512</v>
      </c>
      <c r="G2518" s="1" t="s">
        <v>512</v>
      </c>
      <c r="H2518" s="1" t="s">
        <v>512</v>
      </c>
      <c r="I2518" s="1" t="s">
        <v>512</v>
      </c>
      <c r="J2518" s="1" t="s">
        <v>512</v>
      </c>
      <c r="K2518" s="1" t="s">
        <v>512</v>
      </c>
      <c r="L2518" s="1" t="s">
        <v>512</v>
      </c>
      <c r="M2518" s="1" t="s">
        <v>512</v>
      </c>
      <c r="N2518" s="1" t="s">
        <v>512</v>
      </c>
      <c r="O2518" s="1" t="s">
        <v>512</v>
      </c>
    </row>
    <row r="2519" spans="4:15" x14ac:dyDescent="0.25">
      <c r="D2519" s="1" t="s">
        <v>512</v>
      </c>
      <c r="E2519" s="21" t="s">
        <v>512</v>
      </c>
      <c r="F2519" s="1" t="s">
        <v>512</v>
      </c>
      <c r="G2519" s="1" t="s">
        <v>512</v>
      </c>
      <c r="H2519" s="1" t="s">
        <v>512</v>
      </c>
      <c r="I2519" s="1" t="s">
        <v>512</v>
      </c>
      <c r="J2519" s="1" t="s">
        <v>512</v>
      </c>
      <c r="K2519" s="1" t="s">
        <v>512</v>
      </c>
      <c r="L2519" s="1" t="s">
        <v>512</v>
      </c>
      <c r="M2519" s="1" t="s">
        <v>512</v>
      </c>
      <c r="N2519" s="1" t="s">
        <v>512</v>
      </c>
      <c r="O2519" s="1" t="s">
        <v>512</v>
      </c>
    </row>
    <row r="2520" spans="4:15" x14ac:dyDescent="0.25">
      <c r="D2520" s="1" t="s">
        <v>512</v>
      </c>
      <c r="E2520" s="21" t="s">
        <v>512</v>
      </c>
      <c r="F2520" s="1" t="s">
        <v>512</v>
      </c>
      <c r="G2520" s="1" t="s">
        <v>512</v>
      </c>
      <c r="H2520" s="1" t="s">
        <v>512</v>
      </c>
      <c r="I2520" s="1" t="s">
        <v>512</v>
      </c>
      <c r="J2520" s="1" t="s">
        <v>512</v>
      </c>
      <c r="K2520" s="1" t="s">
        <v>512</v>
      </c>
      <c r="L2520" s="1" t="s">
        <v>512</v>
      </c>
      <c r="M2520" s="1" t="s">
        <v>512</v>
      </c>
      <c r="N2520" s="1" t="s">
        <v>512</v>
      </c>
      <c r="O2520" s="1" t="s">
        <v>512</v>
      </c>
    </row>
    <row r="2521" spans="4:15" x14ac:dyDescent="0.25">
      <c r="D2521" s="1" t="s">
        <v>512</v>
      </c>
      <c r="E2521" s="21" t="s">
        <v>512</v>
      </c>
      <c r="F2521" s="1" t="s">
        <v>512</v>
      </c>
      <c r="G2521" s="1" t="s">
        <v>512</v>
      </c>
      <c r="H2521" s="1" t="s">
        <v>512</v>
      </c>
      <c r="I2521" s="1" t="s">
        <v>512</v>
      </c>
      <c r="J2521" s="1" t="s">
        <v>512</v>
      </c>
      <c r="K2521" s="1" t="s">
        <v>512</v>
      </c>
      <c r="L2521" s="1" t="s">
        <v>512</v>
      </c>
      <c r="M2521" s="1" t="s">
        <v>512</v>
      </c>
      <c r="N2521" s="1" t="s">
        <v>512</v>
      </c>
      <c r="O2521" s="1" t="s">
        <v>512</v>
      </c>
    </row>
    <row r="2522" spans="4:15" x14ac:dyDescent="0.25">
      <c r="D2522" s="1" t="s">
        <v>512</v>
      </c>
      <c r="E2522" s="21" t="s">
        <v>512</v>
      </c>
      <c r="F2522" s="1" t="s">
        <v>512</v>
      </c>
      <c r="G2522" s="1" t="s">
        <v>512</v>
      </c>
      <c r="H2522" s="1" t="s">
        <v>512</v>
      </c>
      <c r="I2522" s="1" t="s">
        <v>512</v>
      </c>
      <c r="J2522" s="1" t="s">
        <v>512</v>
      </c>
      <c r="K2522" s="1" t="s">
        <v>512</v>
      </c>
      <c r="L2522" s="1" t="s">
        <v>512</v>
      </c>
      <c r="M2522" s="1" t="s">
        <v>512</v>
      </c>
      <c r="N2522" s="1" t="s">
        <v>512</v>
      </c>
      <c r="O2522" s="1" t="s">
        <v>512</v>
      </c>
    </row>
    <row r="2523" spans="4:15" x14ac:dyDescent="0.25">
      <c r="D2523" s="1" t="s">
        <v>512</v>
      </c>
      <c r="E2523" s="21" t="s">
        <v>512</v>
      </c>
      <c r="F2523" s="1" t="s">
        <v>512</v>
      </c>
      <c r="G2523" s="1" t="s">
        <v>512</v>
      </c>
      <c r="H2523" s="1" t="s">
        <v>512</v>
      </c>
      <c r="I2523" s="1" t="s">
        <v>512</v>
      </c>
      <c r="J2523" s="1" t="s">
        <v>512</v>
      </c>
      <c r="K2523" s="1" t="s">
        <v>512</v>
      </c>
      <c r="L2523" s="1" t="s">
        <v>512</v>
      </c>
      <c r="M2523" s="1" t="s">
        <v>512</v>
      </c>
      <c r="N2523" s="1" t="s">
        <v>512</v>
      </c>
      <c r="O2523" s="1" t="s">
        <v>512</v>
      </c>
    </row>
    <row r="2524" spans="4:15" x14ac:dyDescent="0.25">
      <c r="D2524" s="1" t="s">
        <v>512</v>
      </c>
      <c r="E2524" s="21" t="s">
        <v>512</v>
      </c>
      <c r="F2524" s="1" t="s">
        <v>512</v>
      </c>
      <c r="G2524" s="1" t="s">
        <v>512</v>
      </c>
      <c r="H2524" s="1" t="s">
        <v>512</v>
      </c>
      <c r="I2524" s="1" t="s">
        <v>512</v>
      </c>
      <c r="J2524" s="1" t="s">
        <v>512</v>
      </c>
      <c r="K2524" s="1" t="s">
        <v>512</v>
      </c>
      <c r="L2524" s="1" t="s">
        <v>512</v>
      </c>
      <c r="M2524" s="1" t="s">
        <v>512</v>
      </c>
      <c r="N2524" s="1" t="s">
        <v>512</v>
      </c>
      <c r="O2524" s="1" t="s">
        <v>512</v>
      </c>
    </row>
    <row r="2525" spans="4:15" x14ac:dyDescent="0.25">
      <c r="D2525" s="1" t="s">
        <v>512</v>
      </c>
      <c r="E2525" s="21" t="s">
        <v>512</v>
      </c>
      <c r="F2525" s="1" t="s">
        <v>512</v>
      </c>
      <c r="G2525" s="1" t="s">
        <v>512</v>
      </c>
      <c r="H2525" s="1" t="s">
        <v>512</v>
      </c>
      <c r="I2525" s="1" t="s">
        <v>512</v>
      </c>
      <c r="J2525" s="1" t="s">
        <v>512</v>
      </c>
      <c r="K2525" s="1" t="s">
        <v>512</v>
      </c>
      <c r="L2525" s="1" t="s">
        <v>512</v>
      </c>
      <c r="M2525" s="1" t="s">
        <v>512</v>
      </c>
      <c r="N2525" s="1" t="s">
        <v>512</v>
      </c>
      <c r="O2525" s="1" t="s">
        <v>512</v>
      </c>
    </row>
    <row r="2526" spans="4:15" x14ac:dyDescent="0.25">
      <c r="D2526" s="1" t="s">
        <v>512</v>
      </c>
      <c r="E2526" s="21" t="s">
        <v>512</v>
      </c>
      <c r="F2526" s="1" t="s">
        <v>512</v>
      </c>
      <c r="G2526" s="1" t="s">
        <v>512</v>
      </c>
      <c r="H2526" s="1" t="s">
        <v>512</v>
      </c>
      <c r="I2526" s="1" t="s">
        <v>512</v>
      </c>
      <c r="J2526" s="1" t="s">
        <v>512</v>
      </c>
      <c r="K2526" s="1" t="s">
        <v>512</v>
      </c>
      <c r="L2526" s="1" t="s">
        <v>512</v>
      </c>
      <c r="M2526" s="1" t="s">
        <v>512</v>
      </c>
      <c r="N2526" s="1" t="s">
        <v>512</v>
      </c>
      <c r="O2526" s="1" t="s">
        <v>512</v>
      </c>
    </row>
    <row r="2527" spans="4:15" x14ac:dyDescent="0.25">
      <c r="D2527" s="1" t="s">
        <v>512</v>
      </c>
      <c r="E2527" s="21" t="s">
        <v>512</v>
      </c>
      <c r="F2527" s="1" t="s">
        <v>512</v>
      </c>
      <c r="G2527" s="1" t="s">
        <v>512</v>
      </c>
      <c r="H2527" s="1" t="s">
        <v>512</v>
      </c>
      <c r="I2527" s="1" t="s">
        <v>512</v>
      </c>
      <c r="J2527" s="1" t="s">
        <v>512</v>
      </c>
      <c r="K2527" s="1" t="s">
        <v>512</v>
      </c>
      <c r="L2527" s="1" t="s">
        <v>512</v>
      </c>
      <c r="M2527" s="1" t="s">
        <v>512</v>
      </c>
      <c r="N2527" s="1" t="s">
        <v>512</v>
      </c>
      <c r="O2527" s="1" t="s">
        <v>512</v>
      </c>
    </row>
    <row r="2528" spans="4:15" x14ac:dyDescent="0.25">
      <c r="D2528" s="1" t="s">
        <v>512</v>
      </c>
      <c r="E2528" s="21" t="s">
        <v>512</v>
      </c>
      <c r="F2528" s="1" t="s">
        <v>512</v>
      </c>
      <c r="G2528" s="1" t="s">
        <v>512</v>
      </c>
      <c r="H2528" s="1" t="s">
        <v>512</v>
      </c>
      <c r="I2528" s="1" t="s">
        <v>512</v>
      </c>
      <c r="J2528" s="1" t="s">
        <v>512</v>
      </c>
      <c r="K2528" s="1" t="s">
        <v>512</v>
      </c>
      <c r="L2528" s="1" t="s">
        <v>512</v>
      </c>
      <c r="M2528" s="1" t="s">
        <v>512</v>
      </c>
      <c r="N2528" s="1" t="s">
        <v>512</v>
      </c>
      <c r="O2528" s="1" t="s">
        <v>512</v>
      </c>
    </row>
    <row r="2529" spans="4:15" x14ac:dyDescent="0.25">
      <c r="D2529" s="1" t="s">
        <v>512</v>
      </c>
      <c r="E2529" s="21" t="s">
        <v>512</v>
      </c>
      <c r="F2529" s="1" t="s">
        <v>512</v>
      </c>
      <c r="G2529" s="1" t="s">
        <v>512</v>
      </c>
      <c r="H2529" s="1" t="s">
        <v>512</v>
      </c>
      <c r="I2529" s="1" t="s">
        <v>512</v>
      </c>
      <c r="J2529" s="1" t="s">
        <v>512</v>
      </c>
      <c r="K2529" s="1" t="s">
        <v>512</v>
      </c>
      <c r="L2529" s="1" t="s">
        <v>512</v>
      </c>
      <c r="M2529" s="1" t="s">
        <v>512</v>
      </c>
      <c r="N2529" s="1" t="s">
        <v>512</v>
      </c>
      <c r="O2529" s="1" t="s">
        <v>512</v>
      </c>
    </row>
    <row r="2530" spans="4:15" x14ac:dyDescent="0.25">
      <c r="D2530" s="1" t="s">
        <v>512</v>
      </c>
      <c r="E2530" s="21" t="s">
        <v>512</v>
      </c>
      <c r="F2530" s="1" t="s">
        <v>512</v>
      </c>
      <c r="G2530" s="1" t="s">
        <v>512</v>
      </c>
      <c r="H2530" s="1" t="s">
        <v>512</v>
      </c>
      <c r="I2530" s="1" t="s">
        <v>512</v>
      </c>
      <c r="J2530" s="1" t="s">
        <v>512</v>
      </c>
      <c r="K2530" s="1" t="s">
        <v>512</v>
      </c>
      <c r="L2530" s="1" t="s">
        <v>512</v>
      </c>
      <c r="M2530" s="1" t="s">
        <v>512</v>
      </c>
      <c r="N2530" s="1" t="s">
        <v>512</v>
      </c>
      <c r="O2530" s="1" t="s">
        <v>512</v>
      </c>
    </row>
    <row r="2531" spans="4:15" x14ac:dyDescent="0.25">
      <c r="D2531" s="1" t="s">
        <v>512</v>
      </c>
      <c r="E2531" s="21" t="s">
        <v>512</v>
      </c>
      <c r="F2531" s="1" t="s">
        <v>512</v>
      </c>
      <c r="G2531" s="1" t="s">
        <v>512</v>
      </c>
      <c r="H2531" s="1" t="s">
        <v>512</v>
      </c>
      <c r="I2531" s="1" t="s">
        <v>512</v>
      </c>
      <c r="J2531" s="1" t="s">
        <v>512</v>
      </c>
      <c r="K2531" s="1" t="s">
        <v>512</v>
      </c>
      <c r="L2531" s="1" t="s">
        <v>512</v>
      </c>
      <c r="M2531" s="1" t="s">
        <v>512</v>
      </c>
      <c r="N2531" s="1" t="s">
        <v>512</v>
      </c>
      <c r="O2531" s="1" t="s">
        <v>512</v>
      </c>
    </row>
    <row r="2532" spans="4:15" x14ac:dyDescent="0.25">
      <c r="D2532" s="1" t="s">
        <v>512</v>
      </c>
      <c r="E2532" s="21" t="s">
        <v>512</v>
      </c>
      <c r="F2532" s="1" t="s">
        <v>512</v>
      </c>
      <c r="G2532" s="1" t="s">
        <v>512</v>
      </c>
      <c r="H2532" s="1" t="s">
        <v>512</v>
      </c>
      <c r="I2532" s="1" t="s">
        <v>512</v>
      </c>
      <c r="J2532" s="1" t="s">
        <v>512</v>
      </c>
      <c r="K2532" s="1" t="s">
        <v>512</v>
      </c>
      <c r="L2532" s="1" t="s">
        <v>512</v>
      </c>
      <c r="M2532" s="1" t="s">
        <v>512</v>
      </c>
      <c r="N2532" s="1" t="s">
        <v>512</v>
      </c>
      <c r="O2532" s="1" t="s">
        <v>512</v>
      </c>
    </row>
    <row r="2533" spans="4:15" x14ac:dyDescent="0.25">
      <c r="D2533" s="1" t="s">
        <v>512</v>
      </c>
      <c r="E2533" s="21" t="s">
        <v>512</v>
      </c>
      <c r="F2533" s="1" t="s">
        <v>512</v>
      </c>
      <c r="G2533" s="1" t="s">
        <v>512</v>
      </c>
      <c r="H2533" s="1" t="s">
        <v>512</v>
      </c>
      <c r="I2533" s="1" t="s">
        <v>512</v>
      </c>
      <c r="J2533" s="1" t="s">
        <v>512</v>
      </c>
      <c r="K2533" s="1" t="s">
        <v>512</v>
      </c>
      <c r="L2533" s="1" t="s">
        <v>512</v>
      </c>
      <c r="M2533" s="1" t="s">
        <v>512</v>
      </c>
      <c r="N2533" s="1" t="s">
        <v>512</v>
      </c>
      <c r="O2533" s="1" t="s">
        <v>512</v>
      </c>
    </row>
    <row r="2534" spans="4:15" x14ac:dyDescent="0.25">
      <c r="D2534" s="1" t="s">
        <v>512</v>
      </c>
      <c r="E2534" s="21" t="s">
        <v>512</v>
      </c>
      <c r="F2534" s="1" t="s">
        <v>512</v>
      </c>
      <c r="G2534" s="1" t="s">
        <v>512</v>
      </c>
      <c r="H2534" s="1" t="s">
        <v>512</v>
      </c>
      <c r="I2534" s="1" t="s">
        <v>512</v>
      </c>
      <c r="J2534" s="1" t="s">
        <v>512</v>
      </c>
      <c r="K2534" s="1" t="s">
        <v>512</v>
      </c>
      <c r="L2534" s="1" t="s">
        <v>512</v>
      </c>
      <c r="M2534" s="1" t="s">
        <v>512</v>
      </c>
      <c r="N2534" s="1" t="s">
        <v>512</v>
      </c>
      <c r="O2534" s="1" t="s">
        <v>512</v>
      </c>
    </row>
    <row r="2535" spans="4:15" x14ac:dyDescent="0.25">
      <c r="D2535" s="1" t="s">
        <v>512</v>
      </c>
      <c r="E2535" s="21" t="s">
        <v>512</v>
      </c>
      <c r="F2535" s="1" t="s">
        <v>512</v>
      </c>
      <c r="G2535" s="1" t="s">
        <v>512</v>
      </c>
      <c r="H2535" s="1" t="s">
        <v>512</v>
      </c>
      <c r="I2535" s="1" t="s">
        <v>512</v>
      </c>
      <c r="J2535" s="1" t="s">
        <v>512</v>
      </c>
      <c r="K2535" s="1" t="s">
        <v>512</v>
      </c>
      <c r="L2535" s="1" t="s">
        <v>512</v>
      </c>
      <c r="M2535" s="1" t="s">
        <v>512</v>
      </c>
      <c r="N2535" s="1" t="s">
        <v>512</v>
      </c>
      <c r="O2535" s="1" t="s">
        <v>512</v>
      </c>
    </row>
    <row r="2536" spans="4:15" x14ac:dyDescent="0.25">
      <c r="D2536" s="1" t="s">
        <v>512</v>
      </c>
      <c r="E2536" s="21" t="s">
        <v>512</v>
      </c>
      <c r="F2536" s="1" t="s">
        <v>512</v>
      </c>
      <c r="G2536" s="1" t="s">
        <v>512</v>
      </c>
      <c r="H2536" s="1" t="s">
        <v>512</v>
      </c>
      <c r="I2536" s="1" t="s">
        <v>512</v>
      </c>
      <c r="J2536" s="1" t="s">
        <v>512</v>
      </c>
      <c r="K2536" s="1" t="s">
        <v>512</v>
      </c>
      <c r="L2536" s="1" t="s">
        <v>512</v>
      </c>
      <c r="M2536" s="1" t="s">
        <v>512</v>
      </c>
      <c r="N2536" s="1" t="s">
        <v>512</v>
      </c>
      <c r="O2536" s="1" t="s">
        <v>512</v>
      </c>
    </row>
    <row r="2537" spans="4:15" x14ac:dyDescent="0.25">
      <c r="D2537" s="1" t="s">
        <v>512</v>
      </c>
      <c r="E2537" s="21" t="s">
        <v>512</v>
      </c>
      <c r="F2537" s="1" t="s">
        <v>512</v>
      </c>
      <c r="G2537" s="1" t="s">
        <v>512</v>
      </c>
      <c r="H2537" s="1" t="s">
        <v>512</v>
      </c>
      <c r="I2537" s="1" t="s">
        <v>512</v>
      </c>
      <c r="J2537" s="1" t="s">
        <v>512</v>
      </c>
      <c r="K2537" s="1" t="s">
        <v>512</v>
      </c>
      <c r="L2537" s="1" t="s">
        <v>512</v>
      </c>
      <c r="M2537" s="1" t="s">
        <v>512</v>
      </c>
      <c r="N2537" s="1" t="s">
        <v>512</v>
      </c>
      <c r="O2537" s="1" t="s">
        <v>512</v>
      </c>
    </row>
    <row r="2538" spans="4:15" x14ac:dyDescent="0.25">
      <c r="D2538" s="1" t="s">
        <v>512</v>
      </c>
      <c r="E2538" s="21" t="s">
        <v>512</v>
      </c>
      <c r="F2538" s="1" t="s">
        <v>512</v>
      </c>
      <c r="G2538" s="1" t="s">
        <v>512</v>
      </c>
      <c r="H2538" s="1" t="s">
        <v>512</v>
      </c>
      <c r="I2538" s="1" t="s">
        <v>512</v>
      </c>
      <c r="J2538" s="1" t="s">
        <v>512</v>
      </c>
      <c r="K2538" s="1" t="s">
        <v>512</v>
      </c>
      <c r="L2538" s="1" t="s">
        <v>512</v>
      </c>
      <c r="M2538" s="1" t="s">
        <v>512</v>
      </c>
      <c r="N2538" s="1" t="s">
        <v>512</v>
      </c>
      <c r="O2538" s="1" t="s">
        <v>512</v>
      </c>
    </row>
    <row r="2539" spans="4:15" x14ac:dyDescent="0.25">
      <c r="D2539" s="1" t="s">
        <v>512</v>
      </c>
      <c r="E2539" s="21" t="s">
        <v>512</v>
      </c>
      <c r="F2539" s="1" t="s">
        <v>512</v>
      </c>
      <c r="G2539" s="1" t="s">
        <v>512</v>
      </c>
      <c r="H2539" s="1" t="s">
        <v>512</v>
      </c>
      <c r="I2539" s="1" t="s">
        <v>512</v>
      </c>
      <c r="J2539" s="1" t="s">
        <v>512</v>
      </c>
      <c r="K2539" s="1" t="s">
        <v>512</v>
      </c>
      <c r="L2539" s="1" t="s">
        <v>512</v>
      </c>
      <c r="M2539" s="1" t="s">
        <v>512</v>
      </c>
      <c r="N2539" s="1" t="s">
        <v>512</v>
      </c>
      <c r="O2539" s="1" t="s">
        <v>512</v>
      </c>
    </row>
    <row r="2540" spans="4:15" x14ac:dyDescent="0.25">
      <c r="D2540" s="1" t="s">
        <v>512</v>
      </c>
      <c r="E2540" s="21" t="s">
        <v>512</v>
      </c>
      <c r="F2540" s="1" t="s">
        <v>512</v>
      </c>
      <c r="G2540" s="1" t="s">
        <v>512</v>
      </c>
      <c r="H2540" s="1" t="s">
        <v>512</v>
      </c>
      <c r="I2540" s="1" t="s">
        <v>512</v>
      </c>
      <c r="J2540" s="1" t="s">
        <v>512</v>
      </c>
      <c r="K2540" s="1" t="s">
        <v>512</v>
      </c>
      <c r="L2540" s="1" t="s">
        <v>512</v>
      </c>
      <c r="M2540" s="1" t="s">
        <v>512</v>
      </c>
      <c r="N2540" s="1" t="s">
        <v>512</v>
      </c>
      <c r="O2540" s="1" t="s">
        <v>512</v>
      </c>
    </row>
    <row r="2541" spans="4:15" x14ac:dyDescent="0.25">
      <c r="D2541" s="1" t="s">
        <v>512</v>
      </c>
      <c r="E2541" s="21" t="s">
        <v>512</v>
      </c>
      <c r="F2541" s="1" t="s">
        <v>512</v>
      </c>
      <c r="G2541" s="1" t="s">
        <v>512</v>
      </c>
      <c r="H2541" s="1" t="s">
        <v>512</v>
      </c>
      <c r="I2541" s="1" t="s">
        <v>512</v>
      </c>
      <c r="J2541" s="1" t="s">
        <v>512</v>
      </c>
      <c r="K2541" s="1" t="s">
        <v>512</v>
      </c>
      <c r="L2541" s="1" t="s">
        <v>512</v>
      </c>
      <c r="M2541" s="1" t="s">
        <v>512</v>
      </c>
      <c r="N2541" s="1" t="s">
        <v>512</v>
      </c>
      <c r="O2541" s="1" t="s">
        <v>512</v>
      </c>
    </row>
    <row r="2542" spans="4:15" x14ac:dyDescent="0.25">
      <c r="D2542" s="1" t="s">
        <v>512</v>
      </c>
      <c r="E2542" s="21" t="s">
        <v>512</v>
      </c>
      <c r="F2542" s="1" t="s">
        <v>512</v>
      </c>
      <c r="G2542" s="1" t="s">
        <v>512</v>
      </c>
      <c r="H2542" s="1" t="s">
        <v>512</v>
      </c>
      <c r="I2542" s="1" t="s">
        <v>512</v>
      </c>
      <c r="J2542" s="1" t="s">
        <v>512</v>
      </c>
      <c r="K2542" s="1" t="s">
        <v>512</v>
      </c>
      <c r="L2542" s="1" t="s">
        <v>512</v>
      </c>
      <c r="M2542" s="1" t="s">
        <v>512</v>
      </c>
      <c r="N2542" s="1" t="s">
        <v>512</v>
      </c>
      <c r="O2542" s="1" t="s">
        <v>512</v>
      </c>
    </row>
    <row r="2543" spans="4:15" x14ac:dyDescent="0.25">
      <c r="D2543" s="1" t="s">
        <v>512</v>
      </c>
      <c r="E2543" s="21" t="s">
        <v>512</v>
      </c>
      <c r="F2543" s="1" t="s">
        <v>512</v>
      </c>
      <c r="G2543" s="1" t="s">
        <v>512</v>
      </c>
      <c r="H2543" s="1" t="s">
        <v>512</v>
      </c>
      <c r="I2543" s="1" t="s">
        <v>512</v>
      </c>
      <c r="J2543" s="1" t="s">
        <v>512</v>
      </c>
      <c r="K2543" s="1" t="s">
        <v>512</v>
      </c>
      <c r="L2543" s="1" t="s">
        <v>512</v>
      </c>
      <c r="M2543" s="1" t="s">
        <v>512</v>
      </c>
      <c r="N2543" s="1" t="s">
        <v>512</v>
      </c>
      <c r="O2543" s="1" t="s">
        <v>512</v>
      </c>
    </row>
    <row r="2544" spans="4:15" x14ac:dyDescent="0.25">
      <c r="D2544" s="1" t="s">
        <v>512</v>
      </c>
      <c r="E2544" s="21" t="s">
        <v>512</v>
      </c>
      <c r="F2544" s="1" t="s">
        <v>512</v>
      </c>
      <c r="G2544" s="1" t="s">
        <v>512</v>
      </c>
      <c r="H2544" s="1" t="s">
        <v>512</v>
      </c>
      <c r="I2544" s="1" t="s">
        <v>512</v>
      </c>
      <c r="J2544" s="1" t="s">
        <v>512</v>
      </c>
      <c r="K2544" s="1" t="s">
        <v>512</v>
      </c>
      <c r="L2544" s="1" t="s">
        <v>512</v>
      </c>
      <c r="M2544" s="1" t="s">
        <v>512</v>
      </c>
      <c r="N2544" s="1" t="s">
        <v>512</v>
      </c>
      <c r="O2544" s="1" t="s">
        <v>512</v>
      </c>
    </row>
    <row r="2545" spans="4:15" x14ac:dyDescent="0.25">
      <c r="D2545" s="1" t="s">
        <v>512</v>
      </c>
      <c r="E2545" s="21" t="s">
        <v>512</v>
      </c>
      <c r="F2545" s="1" t="s">
        <v>512</v>
      </c>
      <c r="G2545" s="1" t="s">
        <v>512</v>
      </c>
      <c r="H2545" s="1" t="s">
        <v>512</v>
      </c>
      <c r="I2545" s="1" t="s">
        <v>512</v>
      </c>
      <c r="J2545" s="1" t="s">
        <v>512</v>
      </c>
      <c r="K2545" s="1" t="s">
        <v>512</v>
      </c>
      <c r="L2545" s="1" t="s">
        <v>512</v>
      </c>
      <c r="M2545" s="1" t="s">
        <v>512</v>
      </c>
      <c r="N2545" s="1" t="s">
        <v>512</v>
      </c>
      <c r="O2545" s="1" t="s">
        <v>512</v>
      </c>
    </row>
    <row r="2546" spans="4:15" x14ac:dyDescent="0.25">
      <c r="D2546" s="1" t="s">
        <v>512</v>
      </c>
      <c r="E2546" s="21" t="s">
        <v>512</v>
      </c>
      <c r="F2546" s="1" t="s">
        <v>512</v>
      </c>
      <c r="G2546" s="1" t="s">
        <v>512</v>
      </c>
      <c r="H2546" s="1" t="s">
        <v>512</v>
      </c>
      <c r="I2546" s="1" t="s">
        <v>512</v>
      </c>
      <c r="J2546" s="1" t="s">
        <v>512</v>
      </c>
      <c r="K2546" s="1" t="s">
        <v>512</v>
      </c>
      <c r="L2546" s="1" t="s">
        <v>512</v>
      </c>
      <c r="M2546" s="1" t="s">
        <v>512</v>
      </c>
      <c r="N2546" s="1" t="s">
        <v>512</v>
      </c>
      <c r="O2546" s="1" t="s">
        <v>512</v>
      </c>
    </row>
    <row r="2547" spans="4:15" x14ac:dyDescent="0.25">
      <c r="D2547" s="1" t="s">
        <v>512</v>
      </c>
      <c r="E2547" s="21" t="s">
        <v>512</v>
      </c>
      <c r="F2547" s="1" t="s">
        <v>512</v>
      </c>
      <c r="G2547" s="1" t="s">
        <v>512</v>
      </c>
      <c r="H2547" s="1" t="s">
        <v>512</v>
      </c>
      <c r="I2547" s="1" t="s">
        <v>512</v>
      </c>
      <c r="J2547" s="1" t="s">
        <v>512</v>
      </c>
      <c r="K2547" s="1" t="s">
        <v>512</v>
      </c>
      <c r="L2547" s="1" t="s">
        <v>512</v>
      </c>
      <c r="M2547" s="1" t="s">
        <v>512</v>
      </c>
      <c r="N2547" s="1" t="s">
        <v>512</v>
      </c>
      <c r="O2547" s="1" t="s">
        <v>512</v>
      </c>
    </row>
    <row r="2548" spans="4:15" x14ac:dyDescent="0.25">
      <c r="D2548" s="1" t="s">
        <v>512</v>
      </c>
      <c r="E2548" s="21" t="s">
        <v>512</v>
      </c>
      <c r="F2548" s="1" t="s">
        <v>512</v>
      </c>
      <c r="G2548" s="1" t="s">
        <v>512</v>
      </c>
      <c r="H2548" s="1" t="s">
        <v>512</v>
      </c>
      <c r="I2548" s="1" t="s">
        <v>512</v>
      </c>
      <c r="J2548" s="1" t="s">
        <v>512</v>
      </c>
      <c r="K2548" s="1" t="s">
        <v>512</v>
      </c>
      <c r="L2548" s="1" t="s">
        <v>512</v>
      </c>
      <c r="M2548" s="1" t="s">
        <v>512</v>
      </c>
      <c r="N2548" s="1" t="s">
        <v>512</v>
      </c>
      <c r="O2548" s="1" t="s">
        <v>512</v>
      </c>
    </row>
    <row r="2549" spans="4:15" x14ac:dyDescent="0.25">
      <c r="D2549" s="1" t="s">
        <v>512</v>
      </c>
      <c r="E2549" s="21" t="s">
        <v>512</v>
      </c>
      <c r="F2549" s="1" t="s">
        <v>512</v>
      </c>
      <c r="G2549" s="1" t="s">
        <v>512</v>
      </c>
      <c r="H2549" s="1" t="s">
        <v>512</v>
      </c>
      <c r="I2549" s="1" t="s">
        <v>512</v>
      </c>
      <c r="J2549" s="1" t="s">
        <v>512</v>
      </c>
      <c r="K2549" s="1" t="s">
        <v>512</v>
      </c>
      <c r="L2549" s="1" t="s">
        <v>512</v>
      </c>
      <c r="M2549" s="1" t="s">
        <v>512</v>
      </c>
      <c r="N2549" s="1" t="s">
        <v>512</v>
      </c>
      <c r="O2549" s="1" t="s">
        <v>512</v>
      </c>
    </row>
    <row r="2550" spans="4:15" x14ac:dyDescent="0.25">
      <c r="D2550" s="1" t="s">
        <v>512</v>
      </c>
      <c r="E2550" s="21" t="s">
        <v>512</v>
      </c>
      <c r="F2550" s="1" t="s">
        <v>512</v>
      </c>
      <c r="G2550" s="1" t="s">
        <v>512</v>
      </c>
      <c r="H2550" s="1" t="s">
        <v>512</v>
      </c>
      <c r="I2550" s="1" t="s">
        <v>512</v>
      </c>
      <c r="J2550" s="1" t="s">
        <v>512</v>
      </c>
      <c r="K2550" s="1" t="s">
        <v>512</v>
      </c>
      <c r="L2550" s="1" t="s">
        <v>512</v>
      </c>
      <c r="M2550" s="1" t="s">
        <v>512</v>
      </c>
      <c r="N2550" s="1" t="s">
        <v>512</v>
      </c>
      <c r="O2550" s="1" t="s">
        <v>512</v>
      </c>
    </row>
    <row r="2551" spans="4:15" x14ac:dyDescent="0.25">
      <c r="D2551" s="1" t="s">
        <v>512</v>
      </c>
      <c r="E2551" s="21" t="s">
        <v>512</v>
      </c>
      <c r="F2551" s="1" t="s">
        <v>512</v>
      </c>
      <c r="G2551" s="1" t="s">
        <v>512</v>
      </c>
      <c r="H2551" s="1" t="s">
        <v>512</v>
      </c>
      <c r="I2551" s="1" t="s">
        <v>512</v>
      </c>
      <c r="J2551" s="1" t="s">
        <v>512</v>
      </c>
      <c r="K2551" s="1" t="s">
        <v>512</v>
      </c>
      <c r="L2551" s="1" t="s">
        <v>512</v>
      </c>
      <c r="M2551" s="1" t="s">
        <v>512</v>
      </c>
      <c r="N2551" s="1" t="s">
        <v>512</v>
      </c>
      <c r="O2551" s="1" t="s">
        <v>512</v>
      </c>
    </row>
    <row r="2552" spans="4:15" x14ac:dyDescent="0.25">
      <c r="D2552" s="1" t="s">
        <v>512</v>
      </c>
      <c r="E2552" s="21" t="s">
        <v>512</v>
      </c>
      <c r="F2552" s="1" t="s">
        <v>512</v>
      </c>
      <c r="G2552" s="1" t="s">
        <v>512</v>
      </c>
      <c r="H2552" s="1" t="s">
        <v>512</v>
      </c>
      <c r="I2552" s="1" t="s">
        <v>512</v>
      </c>
      <c r="J2552" s="1" t="s">
        <v>512</v>
      </c>
      <c r="K2552" s="1" t="s">
        <v>512</v>
      </c>
      <c r="L2552" s="1" t="s">
        <v>512</v>
      </c>
      <c r="M2552" s="1" t="s">
        <v>512</v>
      </c>
      <c r="N2552" s="1" t="s">
        <v>512</v>
      </c>
      <c r="O2552" s="1" t="s">
        <v>512</v>
      </c>
    </row>
    <row r="2553" spans="4:15" x14ac:dyDescent="0.25">
      <c r="D2553" s="1" t="s">
        <v>512</v>
      </c>
      <c r="E2553" s="21" t="s">
        <v>512</v>
      </c>
      <c r="F2553" s="1" t="s">
        <v>512</v>
      </c>
      <c r="G2553" s="1" t="s">
        <v>512</v>
      </c>
      <c r="H2553" s="1" t="s">
        <v>512</v>
      </c>
      <c r="I2553" s="1" t="s">
        <v>512</v>
      </c>
      <c r="J2553" s="1" t="s">
        <v>512</v>
      </c>
      <c r="K2553" s="1" t="s">
        <v>512</v>
      </c>
      <c r="L2553" s="1" t="s">
        <v>512</v>
      </c>
      <c r="M2553" s="1" t="s">
        <v>512</v>
      </c>
      <c r="N2553" s="1" t="s">
        <v>512</v>
      </c>
      <c r="O2553" s="1" t="s">
        <v>512</v>
      </c>
    </row>
    <row r="2554" spans="4:15" x14ac:dyDescent="0.25">
      <c r="D2554" s="1" t="s">
        <v>512</v>
      </c>
      <c r="E2554" s="21" t="s">
        <v>512</v>
      </c>
      <c r="F2554" s="1" t="s">
        <v>512</v>
      </c>
      <c r="G2554" s="1" t="s">
        <v>512</v>
      </c>
      <c r="H2554" s="1" t="s">
        <v>512</v>
      </c>
      <c r="I2554" s="1" t="s">
        <v>512</v>
      </c>
      <c r="J2554" s="1" t="s">
        <v>512</v>
      </c>
      <c r="K2554" s="1" t="s">
        <v>512</v>
      </c>
      <c r="L2554" s="1" t="s">
        <v>512</v>
      </c>
      <c r="M2554" s="1" t="s">
        <v>512</v>
      </c>
      <c r="N2554" s="1" t="s">
        <v>512</v>
      </c>
      <c r="O2554" s="1" t="s">
        <v>512</v>
      </c>
    </row>
    <row r="2555" spans="4:15" x14ac:dyDescent="0.25">
      <c r="D2555" s="1" t="s">
        <v>512</v>
      </c>
      <c r="E2555" s="21" t="s">
        <v>512</v>
      </c>
      <c r="F2555" s="1" t="s">
        <v>512</v>
      </c>
      <c r="G2555" s="1" t="s">
        <v>512</v>
      </c>
      <c r="H2555" s="1" t="s">
        <v>512</v>
      </c>
      <c r="I2555" s="1" t="s">
        <v>512</v>
      </c>
      <c r="J2555" s="1" t="s">
        <v>512</v>
      </c>
      <c r="K2555" s="1" t="s">
        <v>512</v>
      </c>
      <c r="L2555" s="1" t="s">
        <v>512</v>
      </c>
      <c r="M2555" s="1" t="s">
        <v>512</v>
      </c>
      <c r="N2555" s="1" t="s">
        <v>512</v>
      </c>
      <c r="O2555" s="1" t="s">
        <v>512</v>
      </c>
    </row>
    <row r="2556" spans="4:15" x14ac:dyDescent="0.25">
      <c r="D2556" s="1" t="s">
        <v>512</v>
      </c>
      <c r="E2556" s="21" t="s">
        <v>512</v>
      </c>
      <c r="F2556" s="1" t="s">
        <v>512</v>
      </c>
      <c r="G2556" s="1" t="s">
        <v>512</v>
      </c>
      <c r="H2556" s="1" t="s">
        <v>512</v>
      </c>
      <c r="I2556" s="1" t="s">
        <v>512</v>
      </c>
      <c r="J2556" s="1" t="s">
        <v>512</v>
      </c>
      <c r="K2556" s="1" t="s">
        <v>512</v>
      </c>
      <c r="L2556" s="1" t="s">
        <v>512</v>
      </c>
      <c r="M2556" s="1" t="s">
        <v>512</v>
      </c>
      <c r="N2556" s="1" t="s">
        <v>512</v>
      </c>
      <c r="O2556" s="1" t="s">
        <v>512</v>
      </c>
    </row>
    <row r="2557" spans="4:15" x14ac:dyDescent="0.25">
      <c r="D2557" s="1" t="s">
        <v>512</v>
      </c>
      <c r="E2557" s="21" t="s">
        <v>512</v>
      </c>
      <c r="F2557" s="1" t="s">
        <v>512</v>
      </c>
      <c r="G2557" s="1" t="s">
        <v>512</v>
      </c>
      <c r="H2557" s="1" t="s">
        <v>512</v>
      </c>
      <c r="I2557" s="1" t="s">
        <v>512</v>
      </c>
      <c r="J2557" s="1" t="s">
        <v>512</v>
      </c>
      <c r="K2557" s="1" t="s">
        <v>512</v>
      </c>
      <c r="L2557" s="1" t="s">
        <v>512</v>
      </c>
      <c r="M2557" s="1" t="s">
        <v>512</v>
      </c>
      <c r="N2557" s="1" t="s">
        <v>512</v>
      </c>
      <c r="O2557" s="1" t="s">
        <v>512</v>
      </c>
    </row>
    <row r="2558" spans="4:15" x14ac:dyDescent="0.25">
      <c r="D2558" s="1" t="s">
        <v>512</v>
      </c>
      <c r="E2558" s="21" t="s">
        <v>512</v>
      </c>
      <c r="F2558" s="1" t="s">
        <v>512</v>
      </c>
      <c r="G2558" s="1" t="s">
        <v>512</v>
      </c>
      <c r="H2558" s="1" t="s">
        <v>512</v>
      </c>
      <c r="I2558" s="1" t="s">
        <v>512</v>
      </c>
      <c r="J2558" s="1" t="s">
        <v>512</v>
      </c>
      <c r="K2558" s="1" t="s">
        <v>512</v>
      </c>
      <c r="L2558" s="1" t="s">
        <v>512</v>
      </c>
      <c r="M2558" s="1" t="s">
        <v>512</v>
      </c>
      <c r="N2558" s="1" t="s">
        <v>512</v>
      </c>
      <c r="O2558" s="1" t="s">
        <v>512</v>
      </c>
    </row>
    <row r="2559" spans="4:15" x14ac:dyDescent="0.25">
      <c r="D2559" s="1" t="s">
        <v>512</v>
      </c>
      <c r="E2559" s="21" t="s">
        <v>512</v>
      </c>
      <c r="F2559" s="1" t="s">
        <v>512</v>
      </c>
      <c r="G2559" s="1" t="s">
        <v>512</v>
      </c>
      <c r="H2559" s="1" t="s">
        <v>512</v>
      </c>
      <c r="I2559" s="1" t="s">
        <v>512</v>
      </c>
      <c r="J2559" s="1" t="s">
        <v>512</v>
      </c>
      <c r="K2559" s="1" t="s">
        <v>512</v>
      </c>
      <c r="L2559" s="1" t="s">
        <v>512</v>
      </c>
      <c r="M2559" s="1" t="s">
        <v>512</v>
      </c>
      <c r="N2559" s="1" t="s">
        <v>512</v>
      </c>
      <c r="O2559" s="1" t="s">
        <v>512</v>
      </c>
    </row>
    <row r="2560" spans="4:15" x14ac:dyDescent="0.25">
      <c r="D2560" s="1" t="s">
        <v>512</v>
      </c>
      <c r="E2560" s="21" t="s">
        <v>512</v>
      </c>
      <c r="F2560" s="1" t="s">
        <v>512</v>
      </c>
      <c r="G2560" s="1" t="s">
        <v>512</v>
      </c>
      <c r="H2560" s="1" t="s">
        <v>512</v>
      </c>
      <c r="I2560" s="1" t="s">
        <v>512</v>
      </c>
      <c r="J2560" s="1" t="s">
        <v>512</v>
      </c>
      <c r="K2560" s="1" t="s">
        <v>512</v>
      </c>
      <c r="L2560" s="1" t="s">
        <v>512</v>
      </c>
      <c r="M2560" s="1" t="s">
        <v>512</v>
      </c>
      <c r="N2560" s="1" t="s">
        <v>512</v>
      </c>
      <c r="O2560" s="1" t="s">
        <v>512</v>
      </c>
    </row>
    <row r="2561" spans="4:15" x14ac:dyDescent="0.25">
      <c r="D2561" s="1" t="s">
        <v>512</v>
      </c>
      <c r="E2561" s="21" t="s">
        <v>512</v>
      </c>
      <c r="F2561" s="1" t="s">
        <v>512</v>
      </c>
      <c r="G2561" s="1" t="s">
        <v>512</v>
      </c>
      <c r="H2561" s="1" t="s">
        <v>512</v>
      </c>
      <c r="I2561" s="1" t="s">
        <v>512</v>
      </c>
      <c r="J2561" s="1" t="s">
        <v>512</v>
      </c>
      <c r="K2561" s="1" t="s">
        <v>512</v>
      </c>
      <c r="L2561" s="1" t="s">
        <v>512</v>
      </c>
      <c r="M2561" s="1" t="s">
        <v>512</v>
      </c>
      <c r="N2561" s="1" t="s">
        <v>512</v>
      </c>
      <c r="O2561" s="1" t="s">
        <v>512</v>
      </c>
    </row>
    <row r="2562" spans="4:15" x14ac:dyDescent="0.25">
      <c r="D2562" s="1" t="s">
        <v>512</v>
      </c>
      <c r="E2562" s="21" t="s">
        <v>512</v>
      </c>
      <c r="F2562" s="1" t="s">
        <v>512</v>
      </c>
      <c r="G2562" s="1" t="s">
        <v>512</v>
      </c>
      <c r="H2562" s="1" t="s">
        <v>512</v>
      </c>
      <c r="I2562" s="1" t="s">
        <v>512</v>
      </c>
      <c r="J2562" s="1" t="s">
        <v>512</v>
      </c>
      <c r="K2562" s="1" t="s">
        <v>512</v>
      </c>
      <c r="L2562" s="1" t="s">
        <v>512</v>
      </c>
      <c r="M2562" s="1" t="s">
        <v>512</v>
      </c>
      <c r="N2562" s="1" t="s">
        <v>512</v>
      </c>
      <c r="O2562" s="1" t="s">
        <v>512</v>
      </c>
    </row>
    <row r="2563" spans="4:15" x14ac:dyDescent="0.25">
      <c r="D2563" s="1" t="s">
        <v>512</v>
      </c>
      <c r="E2563" s="21" t="s">
        <v>512</v>
      </c>
      <c r="F2563" s="1" t="s">
        <v>512</v>
      </c>
      <c r="G2563" s="1" t="s">
        <v>512</v>
      </c>
      <c r="H2563" s="1" t="s">
        <v>512</v>
      </c>
      <c r="I2563" s="1" t="s">
        <v>512</v>
      </c>
      <c r="J2563" s="1" t="s">
        <v>512</v>
      </c>
      <c r="K2563" s="1" t="s">
        <v>512</v>
      </c>
      <c r="L2563" s="1" t="s">
        <v>512</v>
      </c>
      <c r="M2563" s="1" t="s">
        <v>512</v>
      </c>
      <c r="N2563" s="1" t="s">
        <v>512</v>
      </c>
      <c r="O2563" s="1" t="s">
        <v>512</v>
      </c>
    </row>
    <row r="2564" spans="4:15" x14ac:dyDescent="0.25">
      <c r="D2564" s="1" t="s">
        <v>512</v>
      </c>
      <c r="E2564" s="21" t="s">
        <v>512</v>
      </c>
      <c r="F2564" s="1" t="s">
        <v>512</v>
      </c>
      <c r="G2564" s="1" t="s">
        <v>512</v>
      </c>
      <c r="H2564" s="1" t="s">
        <v>512</v>
      </c>
      <c r="I2564" s="1" t="s">
        <v>512</v>
      </c>
      <c r="J2564" s="1" t="s">
        <v>512</v>
      </c>
      <c r="K2564" s="1" t="s">
        <v>512</v>
      </c>
      <c r="L2564" s="1" t="s">
        <v>512</v>
      </c>
      <c r="M2564" s="1" t="s">
        <v>512</v>
      </c>
      <c r="N2564" s="1" t="s">
        <v>512</v>
      </c>
      <c r="O2564" s="1" t="s">
        <v>512</v>
      </c>
    </row>
    <row r="2565" spans="4:15" x14ac:dyDescent="0.25">
      <c r="D2565" s="1" t="s">
        <v>512</v>
      </c>
      <c r="E2565" s="21" t="s">
        <v>512</v>
      </c>
      <c r="F2565" s="1" t="s">
        <v>512</v>
      </c>
      <c r="G2565" s="1" t="s">
        <v>512</v>
      </c>
      <c r="H2565" s="1" t="s">
        <v>512</v>
      </c>
      <c r="I2565" s="1" t="s">
        <v>512</v>
      </c>
      <c r="J2565" s="1" t="s">
        <v>512</v>
      </c>
      <c r="K2565" s="1" t="s">
        <v>512</v>
      </c>
      <c r="L2565" s="1" t="s">
        <v>512</v>
      </c>
      <c r="M2565" s="1" t="s">
        <v>512</v>
      </c>
      <c r="N2565" s="1" t="s">
        <v>512</v>
      </c>
      <c r="O2565" s="1" t="s">
        <v>512</v>
      </c>
    </row>
    <row r="2566" spans="4:15" x14ac:dyDescent="0.25">
      <c r="D2566" s="1" t="s">
        <v>512</v>
      </c>
      <c r="E2566" s="21" t="s">
        <v>512</v>
      </c>
      <c r="F2566" s="1" t="s">
        <v>512</v>
      </c>
      <c r="G2566" s="1" t="s">
        <v>512</v>
      </c>
      <c r="H2566" s="1" t="s">
        <v>512</v>
      </c>
      <c r="I2566" s="1" t="s">
        <v>512</v>
      </c>
      <c r="J2566" s="1" t="s">
        <v>512</v>
      </c>
      <c r="K2566" s="1" t="s">
        <v>512</v>
      </c>
      <c r="L2566" s="1" t="s">
        <v>512</v>
      </c>
      <c r="M2566" s="1" t="s">
        <v>512</v>
      </c>
      <c r="N2566" s="1" t="s">
        <v>512</v>
      </c>
      <c r="O2566" s="1" t="s">
        <v>512</v>
      </c>
    </row>
    <row r="2567" spans="4:15" x14ac:dyDescent="0.25">
      <c r="D2567" s="1" t="s">
        <v>512</v>
      </c>
      <c r="E2567" s="21" t="s">
        <v>512</v>
      </c>
      <c r="F2567" s="1" t="s">
        <v>512</v>
      </c>
      <c r="G2567" s="1" t="s">
        <v>512</v>
      </c>
      <c r="H2567" s="1" t="s">
        <v>512</v>
      </c>
      <c r="I2567" s="1" t="s">
        <v>512</v>
      </c>
      <c r="J2567" s="1" t="s">
        <v>512</v>
      </c>
      <c r="K2567" s="1" t="s">
        <v>512</v>
      </c>
      <c r="L2567" s="1" t="s">
        <v>512</v>
      </c>
      <c r="M2567" s="1" t="s">
        <v>512</v>
      </c>
      <c r="N2567" s="1" t="s">
        <v>512</v>
      </c>
      <c r="O2567" s="1" t="s">
        <v>512</v>
      </c>
    </row>
    <row r="2568" spans="4:15" x14ac:dyDescent="0.25">
      <c r="D2568" s="1" t="s">
        <v>512</v>
      </c>
      <c r="E2568" s="21" t="s">
        <v>512</v>
      </c>
      <c r="F2568" s="1" t="s">
        <v>512</v>
      </c>
      <c r="G2568" s="1" t="s">
        <v>512</v>
      </c>
      <c r="H2568" s="1" t="s">
        <v>512</v>
      </c>
      <c r="I2568" s="1" t="s">
        <v>512</v>
      </c>
      <c r="J2568" s="1" t="s">
        <v>512</v>
      </c>
      <c r="K2568" s="1" t="s">
        <v>512</v>
      </c>
      <c r="L2568" s="1" t="s">
        <v>512</v>
      </c>
      <c r="M2568" s="1" t="s">
        <v>512</v>
      </c>
      <c r="N2568" s="1" t="s">
        <v>512</v>
      </c>
      <c r="O2568" s="1" t="s">
        <v>512</v>
      </c>
    </row>
    <row r="2569" spans="4:15" x14ac:dyDescent="0.25">
      <c r="D2569" s="1" t="s">
        <v>512</v>
      </c>
      <c r="E2569" s="21" t="s">
        <v>512</v>
      </c>
      <c r="F2569" s="1" t="s">
        <v>512</v>
      </c>
      <c r="G2569" s="1" t="s">
        <v>512</v>
      </c>
      <c r="H2569" s="1" t="s">
        <v>512</v>
      </c>
      <c r="I2569" s="1" t="s">
        <v>512</v>
      </c>
      <c r="J2569" s="1" t="s">
        <v>512</v>
      </c>
      <c r="K2569" s="1" t="s">
        <v>512</v>
      </c>
      <c r="L2569" s="1" t="s">
        <v>512</v>
      </c>
      <c r="M2569" s="1" t="s">
        <v>512</v>
      </c>
      <c r="N2569" s="1" t="s">
        <v>512</v>
      </c>
      <c r="O2569" s="1" t="s">
        <v>512</v>
      </c>
    </row>
    <row r="2570" spans="4:15" x14ac:dyDescent="0.25">
      <c r="D2570" s="1" t="s">
        <v>512</v>
      </c>
      <c r="E2570" s="21" t="s">
        <v>512</v>
      </c>
      <c r="F2570" s="1" t="s">
        <v>512</v>
      </c>
      <c r="G2570" s="1" t="s">
        <v>512</v>
      </c>
      <c r="H2570" s="1" t="s">
        <v>512</v>
      </c>
      <c r="I2570" s="1" t="s">
        <v>512</v>
      </c>
      <c r="J2570" s="1" t="s">
        <v>512</v>
      </c>
      <c r="K2570" s="1" t="s">
        <v>512</v>
      </c>
      <c r="L2570" s="1" t="s">
        <v>512</v>
      </c>
      <c r="M2570" s="1" t="s">
        <v>512</v>
      </c>
      <c r="N2570" s="1" t="s">
        <v>512</v>
      </c>
      <c r="O2570" s="1" t="s">
        <v>512</v>
      </c>
    </row>
    <row r="2571" spans="4:15" x14ac:dyDescent="0.25">
      <c r="D2571" s="1" t="s">
        <v>512</v>
      </c>
      <c r="E2571" s="21" t="s">
        <v>512</v>
      </c>
      <c r="F2571" s="1" t="s">
        <v>512</v>
      </c>
      <c r="G2571" s="1" t="s">
        <v>512</v>
      </c>
      <c r="H2571" s="1" t="s">
        <v>512</v>
      </c>
      <c r="I2571" s="1" t="s">
        <v>512</v>
      </c>
      <c r="J2571" s="1" t="s">
        <v>512</v>
      </c>
      <c r="K2571" s="1" t="s">
        <v>512</v>
      </c>
      <c r="L2571" s="1" t="s">
        <v>512</v>
      </c>
      <c r="M2571" s="1" t="s">
        <v>512</v>
      </c>
      <c r="N2571" s="1" t="s">
        <v>512</v>
      </c>
      <c r="O2571" s="1" t="s">
        <v>512</v>
      </c>
    </row>
    <row r="2572" spans="4:15" x14ac:dyDescent="0.25">
      <c r="D2572" s="1" t="s">
        <v>512</v>
      </c>
      <c r="E2572" s="21" t="s">
        <v>512</v>
      </c>
      <c r="F2572" s="1" t="s">
        <v>512</v>
      </c>
      <c r="G2572" s="1" t="s">
        <v>512</v>
      </c>
      <c r="H2572" s="1" t="s">
        <v>512</v>
      </c>
      <c r="I2572" s="1" t="s">
        <v>512</v>
      </c>
      <c r="J2572" s="1" t="s">
        <v>512</v>
      </c>
      <c r="K2572" s="1" t="s">
        <v>512</v>
      </c>
      <c r="L2572" s="1" t="s">
        <v>512</v>
      </c>
      <c r="M2572" s="1" t="s">
        <v>512</v>
      </c>
      <c r="N2572" s="1" t="s">
        <v>512</v>
      </c>
      <c r="O2572" s="1" t="s">
        <v>512</v>
      </c>
    </row>
    <row r="2573" spans="4:15" x14ac:dyDescent="0.25">
      <c r="D2573" s="1" t="s">
        <v>512</v>
      </c>
      <c r="E2573" s="21" t="s">
        <v>512</v>
      </c>
      <c r="F2573" s="1" t="s">
        <v>512</v>
      </c>
      <c r="G2573" s="1" t="s">
        <v>512</v>
      </c>
      <c r="H2573" s="1" t="s">
        <v>512</v>
      </c>
      <c r="I2573" s="1" t="s">
        <v>512</v>
      </c>
      <c r="J2573" s="1" t="s">
        <v>512</v>
      </c>
      <c r="K2573" s="1" t="s">
        <v>512</v>
      </c>
      <c r="L2573" s="1" t="s">
        <v>512</v>
      </c>
      <c r="M2573" s="1" t="s">
        <v>512</v>
      </c>
      <c r="N2573" s="1" t="s">
        <v>512</v>
      </c>
      <c r="O2573" s="1" t="s">
        <v>512</v>
      </c>
    </row>
    <row r="2574" spans="4:15" x14ac:dyDescent="0.25">
      <c r="D2574" s="1" t="s">
        <v>512</v>
      </c>
      <c r="E2574" s="21" t="s">
        <v>512</v>
      </c>
      <c r="F2574" s="1" t="s">
        <v>512</v>
      </c>
      <c r="G2574" s="1" t="s">
        <v>512</v>
      </c>
      <c r="H2574" s="1" t="s">
        <v>512</v>
      </c>
      <c r="I2574" s="1" t="s">
        <v>512</v>
      </c>
      <c r="J2574" s="1" t="s">
        <v>512</v>
      </c>
      <c r="K2574" s="1" t="s">
        <v>512</v>
      </c>
      <c r="L2574" s="1" t="s">
        <v>512</v>
      </c>
      <c r="M2574" s="1" t="s">
        <v>512</v>
      </c>
      <c r="N2574" s="1" t="s">
        <v>512</v>
      </c>
      <c r="O2574" s="1" t="s">
        <v>512</v>
      </c>
    </row>
    <row r="2575" spans="4:15" x14ac:dyDescent="0.25">
      <c r="D2575" s="1" t="s">
        <v>512</v>
      </c>
      <c r="E2575" s="21" t="s">
        <v>512</v>
      </c>
      <c r="F2575" s="1" t="s">
        <v>512</v>
      </c>
      <c r="G2575" s="1" t="s">
        <v>512</v>
      </c>
      <c r="H2575" s="1" t="s">
        <v>512</v>
      </c>
      <c r="I2575" s="1" t="s">
        <v>512</v>
      </c>
      <c r="J2575" s="1" t="s">
        <v>512</v>
      </c>
      <c r="K2575" s="1" t="s">
        <v>512</v>
      </c>
      <c r="L2575" s="1" t="s">
        <v>512</v>
      </c>
      <c r="M2575" s="1" t="s">
        <v>512</v>
      </c>
      <c r="N2575" s="1" t="s">
        <v>512</v>
      </c>
      <c r="O2575" s="1" t="s">
        <v>512</v>
      </c>
    </row>
    <row r="2576" spans="4:15" x14ac:dyDescent="0.25">
      <c r="D2576" s="1" t="s">
        <v>512</v>
      </c>
      <c r="E2576" s="21" t="s">
        <v>512</v>
      </c>
      <c r="F2576" s="1" t="s">
        <v>512</v>
      </c>
      <c r="G2576" s="1" t="s">
        <v>512</v>
      </c>
      <c r="H2576" s="1" t="s">
        <v>512</v>
      </c>
      <c r="I2576" s="1" t="s">
        <v>512</v>
      </c>
      <c r="J2576" s="1" t="s">
        <v>512</v>
      </c>
      <c r="K2576" s="1" t="s">
        <v>512</v>
      </c>
      <c r="L2576" s="1" t="s">
        <v>512</v>
      </c>
      <c r="M2576" s="1" t="s">
        <v>512</v>
      </c>
      <c r="N2576" s="1" t="s">
        <v>512</v>
      </c>
      <c r="O2576" s="1" t="s">
        <v>512</v>
      </c>
    </row>
    <row r="2577" spans="4:15" x14ac:dyDescent="0.25">
      <c r="D2577" s="1" t="s">
        <v>512</v>
      </c>
      <c r="E2577" s="21" t="s">
        <v>512</v>
      </c>
      <c r="F2577" s="1" t="s">
        <v>512</v>
      </c>
      <c r="G2577" s="1" t="s">
        <v>512</v>
      </c>
      <c r="H2577" s="1" t="s">
        <v>512</v>
      </c>
      <c r="I2577" s="1" t="s">
        <v>512</v>
      </c>
      <c r="J2577" s="1" t="s">
        <v>512</v>
      </c>
      <c r="K2577" s="1" t="s">
        <v>512</v>
      </c>
      <c r="L2577" s="1" t="s">
        <v>512</v>
      </c>
      <c r="M2577" s="1" t="s">
        <v>512</v>
      </c>
      <c r="N2577" s="1" t="s">
        <v>512</v>
      </c>
      <c r="O2577" s="1" t="s">
        <v>512</v>
      </c>
    </row>
    <row r="2578" spans="4:15" x14ac:dyDescent="0.25">
      <c r="D2578" s="1" t="s">
        <v>512</v>
      </c>
      <c r="E2578" s="21" t="s">
        <v>512</v>
      </c>
      <c r="F2578" s="1" t="s">
        <v>512</v>
      </c>
      <c r="G2578" s="1" t="s">
        <v>512</v>
      </c>
      <c r="H2578" s="1" t="s">
        <v>512</v>
      </c>
      <c r="I2578" s="1" t="s">
        <v>512</v>
      </c>
      <c r="J2578" s="1" t="s">
        <v>512</v>
      </c>
      <c r="K2578" s="1" t="s">
        <v>512</v>
      </c>
      <c r="L2578" s="1" t="s">
        <v>512</v>
      </c>
      <c r="M2578" s="1" t="s">
        <v>512</v>
      </c>
      <c r="N2578" s="1" t="s">
        <v>512</v>
      </c>
      <c r="O2578" s="1" t="s">
        <v>512</v>
      </c>
    </row>
    <row r="2579" spans="4:15" x14ac:dyDescent="0.25">
      <c r="D2579" s="1" t="s">
        <v>512</v>
      </c>
      <c r="E2579" s="21" t="s">
        <v>512</v>
      </c>
      <c r="F2579" s="1" t="s">
        <v>512</v>
      </c>
      <c r="G2579" s="1" t="s">
        <v>512</v>
      </c>
      <c r="H2579" s="1" t="s">
        <v>512</v>
      </c>
      <c r="I2579" s="1" t="s">
        <v>512</v>
      </c>
      <c r="J2579" s="1" t="s">
        <v>512</v>
      </c>
      <c r="K2579" s="1" t="s">
        <v>512</v>
      </c>
      <c r="L2579" s="1" t="s">
        <v>512</v>
      </c>
      <c r="M2579" s="1" t="s">
        <v>512</v>
      </c>
      <c r="N2579" s="1" t="s">
        <v>512</v>
      </c>
      <c r="O2579" s="1" t="s">
        <v>512</v>
      </c>
    </row>
    <row r="2580" spans="4:15" x14ac:dyDescent="0.25">
      <c r="D2580" s="1" t="s">
        <v>512</v>
      </c>
      <c r="E2580" s="21" t="s">
        <v>512</v>
      </c>
      <c r="F2580" s="1" t="s">
        <v>512</v>
      </c>
      <c r="G2580" s="1" t="s">
        <v>512</v>
      </c>
      <c r="H2580" s="1" t="s">
        <v>512</v>
      </c>
      <c r="I2580" s="1" t="s">
        <v>512</v>
      </c>
      <c r="J2580" s="1" t="s">
        <v>512</v>
      </c>
      <c r="K2580" s="1" t="s">
        <v>512</v>
      </c>
      <c r="L2580" s="1" t="s">
        <v>512</v>
      </c>
      <c r="M2580" s="1" t="s">
        <v>512</v>
      </c>
      <c r="N2580" s="1" t="s">
        <v>512</v>
      </c>
      <c r="O2580" s="1" t="s">
        <v>512</v>
      </c>
    </row>
    <row r="2581" spans="4:15" x14ac:dyDescent="0.25">
      <c r="D2581" s="1" t="s">
        <v>512</v>
      </c>
      <c r="E2581" s="21" t="s">
        <v>512</v>
      </c>
      <c r="F2581" s="1" t="s">
        <v>512</v>
      </c>
      <c r="G2581" s="1" t="s">
        <v>512</v>
      </c>
      <c r="H2581" s="1" t="s">
        <v>512</v>
      </c>
      <c r="I2581" s="1" t="s">
        <v>512</v>
      </c>
      <c r="J2581" s="1" t="s">
        <v>512</v>
      </c>
      <c r="K2581" s="1" t="s">
        <v>512</v>
      </c>
      <c r="L2581" s="1" t="s">
        <v>512</v>
      </c>
      <c r="M2581" s="1" t="s">
        <v>512</v>
      </c>
      <c r="N2581" s="1" t="s">
        <v>512</v>
      </c>
      <c r="O2581" s="1" t="s">
        <v>512</v>
      </c>
    </row>
    <row r="2582" spans="4:15" x14ac:dyDescent="0.25">
      <c r="D2582" s="1" t="s">
        <v>512</v>
      </c>
      <c r="E2582" s="21" t="s">
        <v>512</v>
      </c>
      <c r="F2582" s="1" t="s">
        <v>512</v>
      </c>
      <c r="G2582" s="1" t="s">
        <v>512</v>
      </c>
      <c r="H2582" s="1" t="s">
        <v>512</v>
      </c>
      <c r="I2582" s="1" t="s">
        <v>512</v>
      </c>
      <c r="J2582" s="1" t="s">
        <v>512</v>
      </c>
      <c r="K2582" s="1" t="s">
        <v>512</v>
      </c>
      <c r="L2582" s="1" t="s">
        <v>512</v>
      </c>
      <c r="M2582" s="1" t="s">
        <v>512</v>
      </c>
      <c r="N2582" s="1" t="s">
        <v>512</v>
      </c>
      <c r="O2582" s="1" t="s">
        <v>512</v>
      </c>
    </row>
    <row r="2583" spans="4:15" x14ac:dyDescent="0.25">
      <c r="D2583" s="1" t="s">
        <v>512</v>
      </c>
      <c r="E2583" s="21" t="s">
        <v>512</v>
      </c>
      <c r="F2583" s="1" t="s">
        <v>512</v>
      </c>
      <c r="G2583" s="1" t="s">
        <v>512</v>
      </c>
      <c r="H2583" s="1" t="s">
        <v>512</v>
      </c>
      <c r="I2583" s="1" t="s">
        <v>512</v>
      </c>
      <c r="J2583" s="1" t="s">
        <v>512</v>
      </c>
      <c r="K2583" s="1" t="s">
        <v>512</v>
      </c>
      <c r="L2583" s="1" t="s">
        <v>512</v>
      </c>
      <c r="M2583" s="1" t="s">
        <v>512</v>
      </c>
      <c r="N2583" s="1" t="s">
        <v>512</v>
      </c>
      <c r="O2583" s="1" t="s">
        <v>512</v>
      </c>
    </row>
    <row r="2584" spans="4:15" x14ac:dyDescent="0.25">
      <c r="D2584" s="1" t="s">
        <v>512</v>
      </c>
      <c r="E2584" s="21" t="s">
        <v>512</v>
      </c>
      <c r="F2584" s="1" t="s">
        <v>512</v>
      </c>
      <c r="G2584" s="1" t="s">
        <v>512</v>
      </c>
      <c r="H2584" s="1" t="s">
        <v>512</v>
      </c>
      <c r="I2584" s="1" t="s">
        <v>512</v>
      </c>
      <c r="J2584" s="1" t="s">
        <v>512</v>
      </c>
      <c r="K2584" s="1" t="s">
        <v>512</v>
      </c>
      <c r="L2584" s="1" t="s">
        <v>512</v>
      </c>
      <c r="M2584" s="1" t="s">
        <v>512</v>
      </c>
      <c r="N2584" s="1" t="s">
        <v>512</v>
      </c>
      <c r="O2584" s="1" t="s">
        <v>512</v>
      </c>
    </row>
    <row r="2585" spans="4:15" x14ac:dyDescent="0.25">
      <c r="D2585" s="1" t="s">
        <v>512</v>
      </c>
      <c r="E2585" s="21" t="s">
        <v>512</v>
      </c>
      <c r="F2585" s="1" t="s">
        <v>512</v>
      </c>
      <c r="G2585" s="1" t="s">
        <v>512</v>
      </c>
      <c r="H2585" s="1" t="s">
        <v>512</v>
      </c>
      <c r="I2585" s="1" t="s">
        <v>512</v>
      </c>
      <c r="J2585" s="1" t="s">
        <v>512</v>
      </c>
      <c r="K2585" s="1" t="s">
        <v>512</v>
      </c>
      <c r="L2585" s="1" t="s">
        <v>512</v>
      </c>
      <c r="M2585" s="1" t="s">
        <v>512</v>
      </c>
      <c r="N2585" s="1" t="s">
        <v>512</v>
      </c>
      <c r="O2585" s="1" t="s">
        <v>512</v>
      </c>
    </row>
    <row r="2586" spans="4:15" x14ac:dyDescent="0.25">
      <c r="D2586" s="1" t="s">
        <v>512</v>
      </c>
      <c r="E2586" s="21" t="s">
        <v>512</v>
      </c>
      <c r="F2586" s="1" t="s">
        <v>512</v>
      </c>
      <c r="G2586" s="1" t="s">
        <v>512</v>
      </c>
      <c r="H2586" s="1" t="s">
        <v>512</v>
      </c>
      <c r="I2586" s="1" t="s">
        <v>512</v>
      </c>
      <c r="J2586" s="1" t="s">
        <v>512</v>
      </c>
      <c r="K2586" s="1" t="s">
        <v>512</v>
      </c>
      <c r="L2586" s="1" t="s">
        <v>512</v>
      </c>
      <c r="M2586" s="1" t="s">
        <v>512</v>
      </c>
      <c r="N2586" s="1" t="s">
        <v>512</v>
      </c>
      <c r="O2586" s="1" t="s">
        <v>512</v>
      </c>
    </row>
    <row r="2587" spans="4:15" x14ac:dyDescent="0.25">
      <c r="D2587" s="1" t="s">
        <v>512</v>
      </c>
      <c r="E2587" s="21" t="s">
        <v>512</v>
      </c>
      <c r="F2587" s="1" t="s">
        <v>512</v>
      </c>
      <c r="G2587" s="1" t="s">
        <v>512</v>
      </c>
      <c r="H2587" s="1" t="s">
        <v>512</v>
      </c>
      <c r="I2587" s="1" t="s">
        <v>512</v>
      </c>
      <c r="J2587" s="1" t="s">
        <v>512</v>
      </c>
      <c r="K2587" s="1" t="s">
        <v>512</v>
      </c>
      <c r="L2587" s="1" t="s">
        <v>512</v>
      </c>
      <c r="M2587" s="1" t="s">
        <v>512</v>
      </c>
      <c r="N2587" s="1" t="s">
        <v>512</v>
      </c>
      <c r="O2587" s="1" t="s">
        <v>512</v>
      </c>
    </row>
    <row r="2588" spans="4:15" x14ac:dyDescent="0.25">
      <c r="D2588" s="1" t="s">
        <v>512</v>
      </c>
      <c r="E2588" s="21" t="s">
        <v>512</v>
      </c>
      <c r="F2588" s="1" t="s">
        <v>512</v>
      </c>
      <c r="G2588" s="1" t="s">
        <v>512</v>
      </c>
      <c r="H2588" s="1" t="s">
        <v>512</v>
      </c>
      <c r="I2588" s="1" t="s">
        <v>512</v>
      </c>
      <c r="J2588" s="1" t="s">
        <v>512</v>
      </c>
      <c r="K2588" s="1" t="s">
        <v>512</v>
      </c>
      <c r="L2588" s="1" t="s">
        <v>512</v>
      </c>
      <c r="M2588" s="1" t="s">
        <v>512</v>
      </c>
      <c r="N2588" s="1" t="s">
        <v>512</v>
      </c>
      <c r="O2588" s="1" t="s">
        <v>512</v>
      </c>
    </row>
    <row r="2589" spans="4:15" x14ac:dyDescent="0.25">
      <c r="D2589" s="1" t="s">
        <v>512</v>
      </c>
      <c r="E2589" s="21" t="s">
        <v>512</v>
      </c>
      <c r="F2589" s="1" t="s">
        <v>512</v>
      </c>
      <c r="G2589" s="1" t="s">
        <v>512</v>
      </c>
      <c r="H2589" s="1" t="s">
        <v>512</v>
      </c>
      <c r="I2589" s="1" t="s">
        <v>512</v>
      </c>
      <c r="J2589" s="1" t="s">
        <v>512</v>
      </c>
      <c r="K2589" s="1" t="s">
        <v>512</v>
      </c>
      <c r="L2589" s="1" t="s">
        <v>512</v>
      </c>
      <c r="M2589" s="1" t="s">
        <v>512</v>
      </c>
      <c r="N2589" s="1" t="s">
        <v>512</v>
      </c>
      <c r="O2589" s="1" t="s">
        <v>512</v>
      </c>
    </row>
    <row r="2590" spans="4:15" x14ac:dyDescent="0.25">
      <c r="D2590" s="1" t="s">
        <v>512</v>
      </c>
      <c r="E2590" s="21" t="s">
        <v>512</v>
      </c>
      <c r="F2590" s="1" t="s">
        <v>512</v>
      </c>
      <c r="G2590" s="1" t="s">
        <v>512</v>
      </c>
      <c r="H2590" s="1" t="s">
        <v>512</v>
      </c>
      <c r="I2590" s="1" t="s">
        <v>512</v>
      </c>
      <c r="J2590" s="1" t="s">
        <v>512</v>
      </c>
      <c r="K2590" s="1" t="s">
        <v>512</v>
      </c>
      <c r="L2590" s="1" t="s">
        <v>512</v>
      </c>
      <c r="M2590" s="1" t="s">
        <v>512</v>
      </c>
      <c r="N2590" s="1" t="s">
        <v>512</v>
      </c>
      <c r="O2590" s="1" t="s">
        <v>512</v>
      </c>
    </row>
    <row r="2591" spans="4:15" x14ac:dyDescent="0.25">
      <c r="D2591" s="1" t="s">
        <v>512</v>
      </c>
      <c r="E2591" s="21" t="s">
        <v>512</v>
      </c>
      <c r="F2591" s="1" t="s">
        <v>512</v>
      </c>
      <c r="G2591" s="1" t="s">
        <v>512</v>
      </c>
      <c r="H2591" s="1" t="s">
        <v>512</v>
      </c>
      <c r="I2591" s="1" t="s">
        <v>512</v>
      </c>
      <c r="J2591" s="1" t="s">
        <v>512</v>
      </c>
      <c r="K2591" s="1" t="s">
        <v>512</v>
      </c>
      <c r="L2591" s="1" t="s">
        <v>512</v>
      </c>
      <c r="M2591" s="1" t="s">
        <v>512</v>
      </c>
      <c r="N2591" s="1" t="s">
        <v>512</v>
      </c>
      <c r="O2591" s="1" t="s">
        <v>512</v>
      </c>
    </row>
    <row r="2592" spans="4:15" x14ac:dyDescent="0.25">
      <c r="D2592" s="1" t="s">
        <v>512</v>
      </c>
      <c r="E2592" s="21" t="s">
        <v>512</v>
      </c>
      <c r="F2592" s="1" t="s">
        <v>512</v>
      </c>
      <c r="G2592" s="1" t="s">
        <v>512</v>
      </c>
      <c r="H2592" s="1" t="s">
        <v>512</v>
      </c>
      <c r="I2592" s="1" t="s">
        <v>512</v>
      </c>
      <c r="J2592" s="1" t="s">
        <v>512</v>
      </c>
      <c r="K2592" s="1" t="s">
        <v>512</v>
      </c>
      <c r="L2592" s="1" t="s">
        <v>512</v>
      </c>
      <c r="M2592" s="1" t="s">
        <v>512</v>
      </c>
      <c r="N2592" s="1" t="s">
        <v>512</v>
      </c>
      <c r="O2592" s="1" t="s">
        <v>512</v>
      </c>
    </row>
    <row r="2593" spans="4:15" x14ac:dyDescent="0.25">
      <c r="D2593" s="1" t="s">
        <v>512</v>
      </c>
      <c r="E2593" s="21" t="s">
        <v>512</v>
      </c>
      <c r="F2593" s="1" t="s">
        <v>512</v>
      </c>
      <c r="G2593" s="1" t="s">
        <v>512</v>
      </c>
      <c r="H2593" s="1" t="s">
        <v>512</v>
      </c>
      <c r="I2593" s="1" t="s">
        <v>512</v>
      </c>
      <c r="J2593" s="1" t="s">
        <v>512</v>
      </c>
      <c r="K2593" s="1" t="s">
        <v>512</v>
      </c>
      <c r="L2593" s="1" t="s">
        <v>512</v>
      </c>
      <c r="M2593" s="1" t="s">
        <v>512</v>
      </c>
      <c r="N2593" s="1" t="s">
        <v>512</v>
      </c>
      <c r="O2593" s="1" t="s">
        <v>512</v>
      </c>
    </row>
    <row r="2594" spans="4:15" x14ac:dyDescent="0.25">
      <c r="D2594" s="1" t="s">
        <v>512</v>
      </c>
      <c r="E2594" s="21" t="s">
        <v>512</v>
      </c>
      <c r="F2594" s="1" t="s">
        <v>512</v>
      </c>
      <c r="G2594" s="1" t="s">
        <v>512</v>
      </c>
      <c r="H2594" s="1" t="s">
        <v>512</v>
      </c>
      <c r="I2594" s="1" t="s">
        <v>512</v>
      </c>
      <c r="J2594" s="1" t="s">
        <v>512</v>
      </c>
      <c r="K2594" s="1" t="s">
        <v>512</v>
      </c>
      <c r="L2594" s="1" t="s">
        <v>512</v>
      </c>
      <c r="M2594" s="1" t="s">
        <v>512</v>
      </c>
      <c r="N2594" s="1" t="s">
        <v>512</v>
      </c>
      <c r="O2594" s="1" t="s">
        <v>512</v>
      </c>
    </row>
    <row r="2595" spans="4:15" x14ac:dyDescent="0.25">
      <c r="D2595" s="1" t="s">
        <v>512</v>
      </c>
      <c r="E2595" s="21" t="s">
        <v>512</v>
      </c>
      <c r="F2595" s="1" t="s">
        <v>512</v>
      </c>
      <c r="G2595" s="1" t="s">
        <v>512</v>
      </c>
      <c r="H2595" s="1" t="s">
        <v>512</v>
      </c>
      <c r="I2595" s="1" t="s">
        <v>512</v>
      </c>
      <c r="J2595" s="1" t="s">
        <v>512</v>
      </c>
      <c r="K2595" s="1" t="s">
        <v>512</v>
      </c>
      <c r="L2595" s="1" t="s">
        <v>512</v>
      </c>
      <c r="M2595" s="1" t="s">
        <v>512</v>
      </c>
      <c r="N2595" s="1" t="s">
        <v>512</v>
      </c>
      <c r="O2595" s="1" t="s">
        <v>512</v>
      </c>
    </row>
    <row r="2596" spans="4:15" x14ac:dyDescent="0.25">
      <c r="D2596" s="1" t="s">
        <v>512</v>
      </c>
      <c r="E2596" s="21" t="s">
        <v>512</v>
      </c>
      <c r="F2596" s="1" t="s">
        <v>512</v>
      </c>
      <c r="G2596" s="1" t="s">
        <v>512</v>
      </c>
      <c r="H2596" s="1" t="s">
        <v>512</v>
      </c>
      <c r="I2596" s="1" t="s">
        <v>512</v>
      </c>
      <c r="J2596" s="1" t="s">
        <v>512</v>
      </c>
      <c r="K2596" s="1" t="s">
        <v>512</v>
      </c>
      <c r="L2596" s="1" t="s">
        <v>512</v>
      </c>
      <c r="M2596" s="1" t="s">
        <v>512</v>
      </c>
      <c r="N2596" s="1" t="s">
        <v>512</v>
      </c>
      <c r="O2596" s="1" t="s">
        <v>512</v>
      </c>
    </row>
    <row r="2597" spans="4:15" x14ac:dyDescent="0.25">
      <c r="D2597" s="1" t="s">
        <v>512</v>
      </c>
      <c r="E2597" s="21" t="s">
        <v>512</v>
      </c>
      <c r="F2597" s="1" t="s">
        <v>512</v>
      </c>
      <c r="G2597" s="1" t="s">
        <v>512</v>
      </c>
      <c r="H2597" s="1" t="s">
        <v>512</v>
      </c>
      <c r="I2597" s="1" t="s">
        <v>512</v>
      </c>
      <c r="J2597" s="1" t="s">
        <v>512</v>
      </c>
      <c r="K2597" s="1" t="s">
        <v>512</v>
      </c>
      <c r="L2597" s="1" t="s">
        <v>512</v>
      </c>
      <c r="M2597" s="1" t="s">
        <v>512</v>
      </c>
      <c r="N2597" s="1" t="s">
        <v>512</v>
      </c>
      <c r="O2597" s="1" t="s">
        <v>512</v>
      </c>
    </row>
    <row r="2598" spans="4:15" x14ac:dyDescent="0.25">
      <c r="D2598" s="1" t="s">
        <v>512</v>
      </c>
      <c r="E2598" s="21" t="s">
        <v>512</v>
      </c>
      <c r="F2598" s="1" t="s">
        <v>512</v>
      </c>
      <c r="G2598" s="1" t="s">
        <v>512</v>
      </c>
      <c r="H2598" s="1" t="s">
        <v>512</v>
      </c>
      <c r="I2598" s="1" t="s">
        <v>512</v>
      </c>
      <c r="J2598" s="1" t="s">
        <v>512</v>
      </c>
      <c r="K2598" s="1" t="s">
        <v>512</v>
      </c>
      <c r="L2598" s="1" t="s">
        <v>512</v>
      </c>
      <c r="M2598" s="1" t="s">
        <v>512</v>
      </c>
      <c r="N2598" s="1" t="s">
        <v>512</v>
      </c>
      <c r="O2598" s="1" t="s">
        <v>512</v>
      </c>
    </row>
    <row r="2599" spans="4:15" x14ac:dyDescent="0.25">
      <c r="D2599" s="1" t="s">
        <v>512</v>
      </c>
      <c r="E2599" s="21" t="s">
        <v>512</v>
      </c>
      <c r="F2599" s="1" t="s">
        <v>512</v>
      </c>
      <c r="G2599" s="1" t="s">
        <v>512</v>
      </c>
      <c r="H2599" s="1" t="s">
        <v>512</v>
      </c>
      <c r="I2599" s="1" t="s">
        <v>512</v>
      </c>
      <c r="J2599" s="1" t="s">
        <v>512</v>
      </c>
      <c r="K2599" s="1" t="s">
        <v>512</v>
      </c>
      <c r="L2599" s="1" t="s">
        <v>512</v>
      </c>
      <c r="M2599" s="1" t="s">
        <v>512</v>
      </c>
      <c r="N2599" s="1" t="s">
        <v>512</v>
      </c>
      <c r="O2599" s="1" t="s">
        <v>512</v>
      </c>
    </row>
    <row r="2600" spans="4:15" x14ac:dyDescent="0.25">
      <c r="D2600" s="1" t="s">
        <v>512</v>
      </c>
      <c r="E2600" s="21" t="s">
        <v>512</v>
      </c>
      <c r="F2600" s="1" t="s">
        <v>512</v>
      </c>
      <c r="G2600" s="1" t="s">
        <v>512</v>
      </c>
      <c r="H2600" s="1" t="s">
        <v>512</v>
      </c>
      <c r="I2600" s="1" t="s">
        <v>512</v>
      </c>
      <c r="J2600" s="1" t="s">
        <v>512</v>
      </c>
      <c r="K2600" s="1" t="s">
        <v>512</v>
      </c>
      <c r="L2600" s="1" t="s">
        <v>512</v>
      </c>
      <c r="M2600" s="1" t="s">
        <v>512</v>
      </c>
      <c r="N2600" s="1" t="s">
        <v>512</v>
      </c>
      <c r="O2600" s="1" t="s">
        <v>512</v>
      </c>
    </row>
    <row r="2601" spans="4:15" x14ac:dyDescent="0.25">
      <c r="D2601" s="1" t="s">
        <v>512</v>
      </c>
      <c r="E2601" s="21" t="s">
        <v>512</v>
      </c>
      <c r="F2601" s="1" t="s">
        <v>512</v>
      </c>
      <c r="G2601" s="1" t="s">
        <v>512</v>
      </c>
      <c r="H2601" s="1" t="s">
        <v>512</v>
      </c>
      <c r="I2601" s="1" t="s">
        <v>512</v>
      </c>
      <c r="J2601" s="1" t="s">
        <v>512</v>
      </c>
      <c r="K2601" s="1" t="s">
        <v>512</v>
      </c>
      <c r="L2601" s="1" t="s">
        <v>512</v>
      </c>
      <c r="M2601" s="1" t="s">
        <v>512</v>
      </c>
      <c r="N2601" s="1" t="s">
        <v>512</v>
      </c>
      <c r="O2601" s="1" t="s">
        <v>512</v>
      </c>
    </row>
    <row r="2602" spans="4:15" x14ac:dyDescent="0.25">
      <c r="D2602" s="1" t="s">
        <v>512</v>
      </c>
      <c r="E2602" s="21" t="s">
        <v>512</v>
      </c>
      <c r="F2602" s="1" t="s">
        <v>512</v>
      </c>
      <c r="G2602" s="1" t="s">
        <v>512</v>
      </c>
      <c r="H2602" s="1" t="s">
        <v>512</v>
      </c>
      <c r="I2602" s="1" t="s">
        <v>512</v>
      </c>
      <c r="J2602" s="1" t="s">
        <v>512</v>
      </c>
      <c r="K2602" s="1" t="s">
        <v>512</v>
      </c>
      <c r="L2602" s="1" t="s">
        <v>512</v>
      </c>
      <c r="M2602" s="1" t="s">
        <v>512</v>
      </c>
      <c r="N2602" s="1" t="s">
        <v>512</v>
      </c>
      <c r="O2602" s="1" t="s">
        <v>512</v>
      </c>
    </row>
    <row r="2603" spans="4:15" x14ac:dyDescent="0.25">
      <c r="D2603" s="1" t="s">
        <v>512</v>
      </c>
      <c r="E2603" s="21" t="s">
        <v>512</v>
      </c>
      <c r="F2603" s="1" t="s">
        <v>512</v>
      </c>
      <c r="G2603" s="1" t="s">
        <v>512</v>
      </c>
      <c r="H2603" s="1" t="s">
        <v>512</v>
      </c>
      <c r="I2603" s="1" t="s">
        <v>512</v>
      </c>
      <c r="J2603" s="1" t="s">
        <v>512</v>
      </c>
      <c r="K2603" s="1" t="s">
        <v>512</v>
      </c>
      <c r="L2603" s="1" t="s">
        <v>512</v>
      </c>
      <c r="M2603" s="1" t="s">
        <v>512</v>
      </c>
      <c r="N2603" s="1" t="s">
        <v>512</v>
      </c>
      <c r="O2603" s="1" t="s">
        <v>512</v>
      </c>
    </row>
    <row r="2604" spans="4:15" x14ac:dyDescent="0.25">
      <c r="D2604" s="1" t="s">
        <v>512</v>
      </c>
      <c r="E2604" s="21" t="s">
        <v>512</v>
      </c>
      <c r="F2604" s="1" t="s">
        <v>512</v>
      </c>
      <c r="G2604" s="1" t="s">
        <v>512</v>
      </c>
      <c r="H2604" s="1" t="s">
        <v>512</v>
      </c>
      <c r="I2604" s="1" t="s">
        <v>512</v>
      </c>
      <c r="J2604" s="1" t="s">
        <v>512</v>
      </c>
      <c r="K2604" s="1" t="s">
        <v>512</v>
      </c>
      <c r="L2604" s="1" t="s">
        <v>512</v>
      </c>
      <c r="M2604" s="1" t="s">
        <v>512</v>
      </c>
      <c r="N2604" s="1" t="s">
        <v>512</v>
      </c>
      <c r="O2604" s="1" t="s">
        <v>512</v>
      </c>
    </row>
    <row r="2605" spans="4:15" x14ac:dyDescent="0.25">
      <c r="D2605" s="1" t="s">
        <v>512</v>
      </c>
      <c r="E2605" s="21" t="s">
        <v>512</v>
      </c>
      <c r="F2605" s="1" t="s">
        <v>512</v>
      </c>
      <c r="G2605" s="1" t="s">
        <v>512</v>
      </c>
      <c r="H2605" s="1" t="s">
        <v>512</v>
      </c>
      <c r="I2605" s="1" t="s">
        <v>512</v>
      </c>
      <c r="J2605" s="1" t="s">
        <v>512</v>
      </c>
      <c r="K2605" s="1" t="s">
        <v>512</v>
      </c>
      <c r="L2605" s="1" t="s">
        <v>512</v>
      </c>
      <c r="M2605" s="1" t="s">
        <v>512</v>
      </c>
      <c r="N2605" s="1" t="s">
        <v>512</v>
      </c>
      <c r="O2605" s="1" t="s">
        <v>512</v>
      </c>
    </row>
    <row r="2606" spans="4:15" x14ac:dyDescent="0.25">
      <c r="D2606" s="1" t="s">
        <v>512</v>
      </c>
      <c r="E2606" s="21" t="s">
        <v>512</v>
      </c>
      <c r="F2606" s="1" t="s">
        <v>512</v>
      </c>
      <c r="G2606" s="1" t="s">
        <v>512</v>
      </c>
      <c r="H2606" s="1" t="s">
        <v>512</v>
      </c>
      <c r="I2606" s="1" t="s">
        <v>512</v>
      </c>
      <c r="J2606" s="1" t="s">
        <v>512</v>
      </c>
      <c r="K2606" s="1" t="s">
        <v>512</v>
      </c>
      <c r="L2606" s="1" t="s">
        <v>512</v>
      </c>
      <c r="M2606" s="1" t="s">
        <v>512</v>
      </c>
      <c r="N2606" s="1" t="s">
        <v>512</v>
      </c>
      <c r="O2606" s="1" t="s">
        <v>512</v>
      </c>
    </row>
    <row r="2607" spans="4:15" x14ac:dyDescent="0.25">
      <c r="D2607" s="1" t="s">
        <v>512</v>
      </c>
      <c r="E2607" s="21" t="s">
        <v>512</v>
      </c>
      <c r="F2607" s="1" t="s">
        <v>512</v>
      </c>
      <c r="G2607" s="1" t="s">
        <v>512</v>
      </c>
      <c r="H2607" s="1" t="s">
        <v>512</v>
      </c>
      <c r="I2607" s="1" t="s">
        <v>512</v>
      </c>
      <c r="J2607" s="1" t="s">
        <v>512</v>
      </c>
      <c r="K2607" s="1" t="s">
        <v>512</v>
      </c>
      <c r="L2607" s="1" t="s">
        <v>512</v>
      </c>
      <c r="M2607" s="1" t="s">
        <v>512</v>
      </c>
      <c r="N2607" s="1" t="s">
        <v>512</v>
      </c>
      <c r="O2607" s="1" t="s">
        <v>512</v>
      </c>
    </row>
    <row r="2608" spans="4:15" x14ac:dyDescent="0.25">
      <c r="D2608" s="1" t="s">
        <v>512</v>
      </c>
      <c r="E2608" s="21" t="s">
        <v>512</v>
      </c>
      <c r="F2608" s="1" t="s">
        <v>512</v>
      </c>
      <c r="G2608" s="1" t="s">
        <v>512</v>
      </c>
      <c r="H2608" s="1" t="s">
        <v>512</v>
      </c>
      <c r="I2608" s="1" t="s">
        <v>512</v>
      </c>
      <c r="J2608" s="1" t="s">
        <v>512</v>
      </c>
      <c r="K2608" s="1" t="s">
        <v>512</v>
      </c>
      <c r="L2608" s="1" t="s">
        <v>512</v>
      </c>
      <c r="M2608" s="1" t="s">
        <v>512</v>
      </c>
      <c r="N2608" s="1" t="s">
        <v>512</v>
      </c>
      <c r="O2608" s="1" t="s">
        <v>512</v>
      </c>
    </row>
    <row r="2609" spans="4:15" x14ac:dyDescent="0.25">
      <c r="D2609" s="1" t="s">
        <v>512</v>
      </c>
      <c r="E2609" s="21" t="s">
        <v>512</v>
      </c>
      <c r="F2609" s="1" t="s">
        <v>512</v>
      </c>
      <c r="G2609" s="1" t="s">
        <v>512</v>
      </c>
      <c r="H2609" s="1" t="s">
        <v>512</v>
      </c>
      <c r="I2609" s="1" t="s">
        <v>512</v>
      </c>
      <c r="J2609" s="1" t="s">
        <v>512</v>
      </c>
      <c r="K2609" s="1" t="s">
        <v>512</v>
      </c>
      <c r="L2609" s="1" t="s">
        <v>512</v>
      </c>
      <c r="M2609" s="1" t="s">
        <v>512</v>
      </c>
      <c r="N2609" s="1" t="s">
        <v>512</v>
      </c>
      <c r="O2609" s="1" t="s">
        <v>512</v>
      </c>
    </row>
    <row r="2610" spans="4:15" x14ac:dyDescent="0.25">
      <c r="D2610" s="1" t="s">
        <v>512</v>
      </c>
      <c r="E2610" s="21" t="s">
        <v>512</v>
      </c>
      <c r="F2610" s="1" t="s">
        <v>512</v>
      </c>
      <c r="G2610" s="1" t="s">
        <v>512</v>
      </c>
      <c r="H2610" s="1" t="s">
        <v>512</v>
      </c>
      <c r="I2610" s="1" t="s">
        <v>512</v>
      </c>
      <c r="J2610" s="1" t="s">
        <v>512</v>
      </c>
      <c r="K2610" s="1" t="s">
        <v>512</v>
      </c>
      <c r="L2610" s="1" t="s">
        <v>512</v>
      </c>
      <c r="M2610" s="1" t="s">
        <v>512</v>
      </c>
      <c r="N2610" s="1" t="s">
        <v>512</v>
      </c>
      <c r="O2610" s="1" t="s">
        <v>512</v>
      </c>
    </row>
    <row r="2611" spans="4:15" x14ac:dyDescent="0.25">
      <c r="D2611" s="1" t="s">
        <v>512</v>
      </c>
      <c r="E2611" s="21" t="s">
        <v>512</v>
      </c>
      <c r="F2611" s="1" t="s">
        <v>512</v>
      </c>
      <c r="G2611" s="1" t="s">
        <v>512</v>
      </c>
      <c r="H2611" s="1" t="s">
        <v>512</v>
      </c>
      <c r="I2611" s="1" t="s">
        <v>512</v>
      </c>
      <c r="J2611" s="1" t="s">
        <v>512</v>
      </c>
      <c r="K2611" s="1" t="s">
        <v>512</v>
      </c>
      <c r="L2611" s="1" t="s">
        <v>512</v>
      </c>
      <c r="M2611" s="1" t="s">
        <v>512</v>
      </c>
      <c r="N2611" s="1" t="s">
        <v>512</v>
      </c>
      <c r="O2611" s="1" t="s">
        <v>512</v>
      </c>
    </row>
    <row r="2612" spans="4:15" x14ac:dyDescent="0.25">
      <c r="D2612" s="1" t="s">
        <v>512</v>
      </c>
      <c r="E2612" s="21" t="s">
        <v>512</v>
      </c>
      <c r="F2612" s="1" t="s">
        <v>512</v>
      </c>
      <c r="G2612" s="1" t="s">
        <v>512</v>
      </c>
      <c r="H2612" s="1" t="s">
        <v>512</v>
      </c>
      <c r="I2612" s="1" t="s">
        <v>512</v>
      </c>
      <c r="J2612" s="1" t="s">
        <v>512</v>
      </c>
      <c r="K2612" s="1" t="s">
        <v>512</v>
      </c>
      <c r="L2612" s="1" t="s">
        <v>512</v>
      </c>
      <c r="M2612" s="1" t="s">
        <v>512</v>
      </c>
      <c r="N2612" s="1" t="s">
        <v>512</v>
      </c>
      <c r="O2612" s="1" t="s">
        <v>512</v>
      </c>
    </row>
    <row r="2613" spans="4:15" x14ac:dyDescent="0.25">
      <c r="D2613" s="1" t="s">
        <v>512</v>
      </c>
      <c r="E2613" s="21" t="s">
        <v>512</v>
      </c>
      <c r="F2613" s="1" t="s">
        <v>512</v>
      </c>
      <c r="G2613" s="1" t="s">
        <v>512</v>
      </c>
      <c r="H2613" s="1" t="s">
        <v>512</v>
      </c>
      <c r="I2613" s="1" t="s">
        <v>512</v>
      </c>
      <c r="J2613" s="1" t="s">
        <v>512</v>
      </c>
      <c r="K2613" s="1" t="s">
        <v>512</v>
      </c>
      <c r="L2613" s="1" t="s">
        <v>512</v>
      </c>
      <c r="M2613" s="1" t="s">
        <v>512</v>
      </c>
      <c r="N2613" s="1" t="s">
        <v>512</v>
      </c>
      <c r="O2613" s="1" t="s">
        <v>512</v>
      </c>
    </row>
    <row r="2614" spans="4:15" x14ac:dyDescent="0.25">
      <c r="D2614" s="1" t="s">
        <v>512</v>
      </c>
      <c r="E2614" s="21" t="s">
        <v>512</v>
      </c>
      <c r="F2614" s="1" t="s">
        <v>512</v>
      </c>
      <c r="G2614" s="1" t="s">
        <v>512</v>
      </c>
      <c r="H2614" s="1" t="s">
        <v>512</v>
      </c>
      <c r="I2614" s="1" t="s">
        <v>512</v>
      </c>
      <c r="J2614" s="1" t="s">
        <v>512</v>
      </c>
      <c r="K2614" s="1" t="s">
        <v>512</v>
      </c>
      <c r="L2614" s="1" t="s">
        <v>512</v>
      </c>
      <c r="M2614" s="1" t="s">
        <v>512</v>
      </c>
      <c r="N2614" s="1" t="s">
        <v>512</v>
      </c>
      <c r="O2614" s="1" t="s">
        <v>512</v>
      </c>
    </row>
    <row r="2615" spans="4:15" x14ac:dyDescent="0.25">
      <c r="D2615" s="1" t="s">
        <v>512</v>
      </c>
      <c r="E2615" s="21" t="s">
        <v>512</v>
      </c>
      <c r="F2615" s="1" t="s">
        <v>512</v>
      </c>
      <c r="G2615" s="1" t="s">
        <v>512</v>
      </c>
      <c r="H2615" s="1" t="s">
        <v>512</v>
      </c>
      <c r="I2615" s="1" t="s">
        <v>512</v>
      </c>
      <c r="J2615" s="1" t="s">
        <v>512</v>
      </c>
      <c r="K2615" s="1" t="s">
        <v>512</v>
      </c>
      <c r="L2615" s="1" t="s">
        <v>512</v>
      </c>
      <c r="M2615" s="1" t="s">
        <v>512</v>
      </c>
      <c r="N2615" s="1" t="s">
        <v>512</v>
      </c>
      <c r="O2615" s="1" t="s">
        <v>512</v>
      </c>
    </row>
    <row r="2616" spans="4:15" x14ac:dyDescent="0.25">
      <c r="D2616" s="1" t="s">
        <v>512</v>
      </c>
      <c r="E2616" s="21" t="s">
        <v>512</v>
      </c>
      <c r="F2616" s="1" t="s">
        <v>512</v>
      </c>
      <c r="G2616" s="1" t="s">
        <v>512</v>
      </c>
      <c r="H2616" s="1" t="s">
        <v>512</v>
      </c>
      <c r="I2616" s="1" t="s">
        <v>512</v>
      </c>
      <c r="J2616" s="1" t="s">
        <v>512</v>
      </c>
      <c r="K2616" s="1" t="s">
        <v>512</v>
      </c>
      <c r="L2616" s="1" t="s">
        <v>512</v>
      </c>
      <c r="M2616" s="1" t="s">
        <v>512</v>
      </c>
      <c r="N2616" s="1" t="s">
        <v>512</v>
      </c>
      <c r="O2616" s="1" t="s">
        <v>512</v>
      </c>
    </row>
    <row r="2617" spans="4:15" x14ac:dyDescent="0.25">
      <c r="D2617" s="1" t="s">
        <v>512</v>
      </c>
      <c r="E2617" s="21" t="s">
        <v>512</v>
      </c>
      <c r="F2617" s="1" t="s">
        <v>512</v>
      </c>
      <c r="G2617" s="1" t="s">
        <v>512</v>
      </c>
      <c r="H2617" s="1" t="s">
        <v>512</v>
      </c>
      <c r="I2617" s="1" t="s">
        <v>512</v>
      </c>
      <c r="J2617" s="1" t="s">
        <v>512</v>
      </c>
      <c r="K2617" s="1" t="s">
        <v>512</v>
      </c>
      <c r="L2617" s="1" t="s">
        <v>512</v>
      </c>
      <c r="M2617" s="1" t="s">
        <v>512</v>
      </c>
      <c r="N2617" s="1" t="s">
        <v>512</v>
      </c>
      <c r="O2617" s="1" t="s">
        <v>512</v>
      </c>
    </row>
    <row r="2618" spans="4:15" x14ac:dyDescent="0.25">
      <c r="D2618" s="1" t="s">
        <v>512</v>
      </c>
      <c r="E2618" s="21" t="s">
        <v>512</v>
      </c>
      <c r="F2618" s="1" t="s">
        <v>512</v>
      </c>
      <c r="G2618" s="1" t="s">
        <v>512</v>
      </c>
      <c r="H2618" s="1" t="s">
        <v>512</v>
      </c>
      <c r="I2618" s="1" t="s">
        <v>512</v>
      </c>
      <c r="J2618" s="1" t="s">
        <v>512</v>
      </c>
      <c r="K2618" s="1" t="s">
        <v>512</v>
      </c>
      <c r="L2618" s="1" t="s">
        <v>512</v>
      </c>
      <c r="M2618" s="1" t="s">
        <v>512</v>
      </c>
      <c r="N2618" s="1" t="s">
        <v>512</v>
      </c>
      <c r="O2618" s="1" t="s">
        <v>512</v>
      </c>
    </row>
    <row r="2619" spans="4:15" x14ac:dyDescent="0.25">
      <c r="D2619" s="1" t="s">
        <v>512</v>
      </c>
      <c r="E2619" s="21" t="s">
        <v>512</v>
      </c>
      <c r="F2619" s="1" t="s">
        <v>512</v>
      </c>
      <c r="G2619" s="1" t="s">
        <v>512</v>
      </c>
      <c r="H2619" s="1" t="s">
        <v>512</v>
      </c>
      <c r="I2619" s="1" t="s">
        <v>512</v>
      </c>
      <c r="J2619" s="1" t="s">
        <v>512</v>
      </c>
      <c r="K2619" s="1" t="s">
        <v>512</v>
      </c>
      <c r="L2619" s="1" t="s">
        <v>512</v>
      </c>
      <c r="M2619" s="1" t="s">
        <v>512</v>
      </c>
      <c r="N2619" s="1" t="s">
        <v>512</v>
      </c>
      <c r="O2619" s="1" t="s">
        <v>512</v>
      </c>
    </row>
    <row r="2620" spans="4:15" x14ac:dyDescent="0.25">
      <c r="D2620" s="1" t="s">
        <v>512</v>
      </c>
      <c r="E2620" s="21" t="s">
        <v>512</v>
      </c>
      <c r="F2620" s="1" t="s">
        <v>512</v>
      </c>
      <c r="G2620" s="1" t="s">
        <v>512</v>
      </c>
      <c r="H2620" s="1" t="s">
        <v>512</v>
      </c>
      <c r="I2620" s="1" t="s">
        <v>512</v>
      </c>
      <c r="J2620" s="1" t="s">
        <v>512</v>
      </c>
      <c r="K2620" s="1" t="s">
        <v>512</v>
      </c>
      <c r="L2620" s="1" t="s">
        <v>512</v>
      </c>
      <c r="M2620" s="1" t="s">
        <v>512</v>
      </c>
      <c r="N2620" s="1" t="s">
        <v>512</v>
      </c>
      <c r="O2620" s="1" t="s">
        <v>512</v>
      </c>
    </row>
    <row r="2621" spans="4:15" x14ac:dyDescent="0.25">
      <c r="D2621" s="1" t="s">
        <v>512</v>
      </c>
      <c r="E2621" s="21" t="s">
        <v>512</v>
      </c>
      <c r="F2621" s="1" t="s">
        <v>512</v>
      </c>
      <c r="G2621" s="1" t="s">
        <v>512</v>
      </c>
      <c r="H2621" s="1" t="s">
        <v>512</v>
      </c>
      <c r="I2621" s="1" t="s">
        <v>512</v>
      </c>
      <c r="J2621" s="1" t="s">
        <v>512</v>
      </c>
      <c r="K2621" s="1" t="s">
        <v>512</v>
      </c>
      <c r="L2621" s="1" t="s">
        <v>512</v>
      </c>
      <c r="M2621" s="1" t="s">
        <v>512</v>
      </c>
      <c r="N2621" s="1" t="s">
        <v>512</v>
      </c>
      <c r="O2621" s="1" t="s">
        <v>512</v>
      </c>
    </row>
    <row r="2622" spans="4:15" x14ac:dyDescent="0.25">
      <c r="D2622" s="1" t="s">
        <v>512</v>
      </c>
      <c r="E2622" s="21" t="s">
        <v>512</v>
      </c>
      <c r="F2622" s="1" t="s">
        <v>512</v>
      </c>
      <c r="G2622" s="1" t="s">
        <v>512</v>
      </c>
      <c r="H2622" s="1" t="s">
        <v>512</v>
      </c>
      <c r="I2622" s="1" t="s">
        <v>512</v>
      </c>
      <c r="J2622" s="1" t="s">
        <v>512</v>
      </c>
      <c r="K2622" s="1" t="s">
        <v>512</v>
      </c>
      <c r="L2622" s="1" t="s">
        <v>512</v>
      </c>
      <c r="M2622" s="1" t="s">
        <v>512</v>
      </c>
      <c r="N2622" s="1" t="s">
        <v>512</v>
      </c>
      <c r="O2622" s="1" t="s">
        <v>512</v>
      </c>
    </row>
    <row r="2623" spans="4:15" x14ac:dyDescent="0.25">
      <c r="D2623" s="1" t="s">
        <v>512</v>
      </c>
      <c r="E2623" s="21" t="s">
        <v>512</v>
      </c>
      <c r="F2623" s="1" t="s">
        <v>512</v>
      </c>
      <c r="G2623" s="1" t="s">
        <v>512</v>
      </c>
      <c r="H2623" s="1" t="s">
        <v>512</v>
      </c>
      <c r="I2623" s="1" t="s">
        <v>512</v>
      </c>
      <c r="J2623" s="1" t="s">
        <v>512</v>
      </c>
      <c r="K2623" s="1" t="s">
        <v>512</v>
      </c>
      <c r="L2623" s="1" t="s">
        <v>512</v>
      </c>
      <c r="M2623" s="1" t="s">
        <v>512</v>
      </c>
      <c r="N2623" s="1" t="s">
        <v>512</v>
      </c>
      <c r="O2623" s="1" t="s">
        <v>512</v>
      </c>
    </row>
    <row r="2624" spans="4:15" x14ac:dyDescent="0.25">
      <c r="D2624" s="1" t="s">
        <v>512</v>
      </c>
      <c r="E2624" s="21" t="s">
        <v>512</v>
      </c>
      <c r="F2624" s="1" t="s">
        <v>512</v>
      </c>
      <c r="G2624" s="1" t="s">
        <v>512</v>
      </c>
      <c r="H2624" s="1" t="s">
        <v>512</v>
      </c>
      <c r="I2624" s="1" t="s">
        <v>512</v>
      </c>
      <c r="J2624" s="1" t="s">
        <v>512</v>
      </c>
      <c r="K2624" s="1" t="s">
        <v>512</v>
      </c>
      <c r="L2624" s="1" t="s">
        <v>512</v>
      </c>
      <c r="M2624" s="1" t="s">
        <v>512</v>
      </c>
      <c r="N2624" s="1" t="s">
        <v>512</v>
      </c>
      <c r="O2624" s="1" t="s">
        <v>512</v>
      </c>
    </row>
    <row r="2625" spans="4:15" x14ac:dyDescent="0.25">
      <c r="D2625" s="1" t="s">
        <v>512</v>
      </c>
      <c r="E2625" s="21" t="s">
        <v>512</v>
      </c>
      <c r="F2625" s="1" t="s">
        <v>512</v>
      </c>
      <c r="G2625" s="1" t="s">
        <v>512</v>
      </c>
      <c r="H2625" s="1" t="s">
        <v>512</v>
      </c>
      <c r="I2625" s="1" t="s">
        <v>512</v>
      </c>
      <c r="J2625" s="1" t="s">
        <v>512</v>
      </c>
      <c r="K2625" s="1" t="s">
        <v>512</v>
      </c>
      <c r="L2625" s="1" t="s">
        <v>512</v>
      </c>
      <c r="M2625" s="1" t="s">
        <v>512</v>
      </c>
      <c r="N2625" s="1" t="s">
        <v>512</v>
      </c>
      <c r="O2625" s="1" t="s">
        <v>512</v>
      </c>
    </row>
    <row r="2626" spans="4:15" x14ac:dyDescent="0.25">
      <c r="D2626" s="1" t="s">
        <v>512</v>
      </c>
      <c r="E2626" s="21" t="s">
        <v>512</v>
      </c>
      <c r="F2626" s="1" t="s">
        <v>512</v>
      </c>
      <c r="G2626" s="1" t="s">
        <v>512</v>
      </c>
      <c r="H2626" s="1" t="s">
        <v>512</v>
      </c>
      <c r="I2626" s="1" t="s">
        <v>512</v>
      </c>
      <c r="J2626" s="1" t="s">
        <v>512</v>
      </c>
      <c r="K2626" s="1" t="s">
        <v>512</v>
      </c>
      <c r="L2626" s="1" t="s">
        <v>512</v>
      </c>
      <c r="M2626" s="1" t="s">
        <v>512</v>
      </c>
      <c r="N2626" s="1" t="s">
        <v>512</v>
      </c>
      <c r="O2626" s="1" t="s">
        <v>512</v>
      </c>
    </row>
    <row r="2627" spans="4:15" x14ac:dyDescent="0.25">
      <c r="D2627" s="1" t="s">
        <v>512</v>
      </c>
      <c r="E2627" s="21" t="s">
        <v>512</v>
      </c>
      <c r="F2627" s="1" t="s">
        <v>512</v>
      </c>
      <c r="G2627" s="1" t="s">
        <v>512</v>
      </c>
      <c r="H2627" s="1" t="s">
        <v>512</v>
      </c>
      <c r="I2627" s="1" t="s">
        <v>512</v>
      </c>
      <c r="J2627" s="1" t="s">
        <v>512</v>
      </c>
      <c r="K2627" s="1" t="s">
        <v>512</v>
      </c>
      <c r="L2627" s="1" t="s">
        <v>512</v>
      </c>
      <c r="M2627" s="1" t="s">
        <v>512</v>
      </c>
      <c r="N2627" s="1" t="s">
        <v>512</v>
      </c>
      <c r="O2627" s="1" t="s">
        <v>512</v>
      </c>
    </row>
    <row r="2628" spans="4:15" x14ac:dyDescent="0.25">
      <c r="D2628" s="1" t="s">
        <v>512</v>
      </c>
      <c r="E2628" s="21" t="s">
        <v>512</v>
      </c>
      <c r="F2628" s="1" t="s">
        <v>512</v>
      </c>
      <c r="G2628" s="1" t="s">
        <v>512</v>
      </c>
      <c r="H2628" s="1" t="s">
        <v>512</v>
      </c>
      <c r="I2628" s="1" t="s">
        <v>512</v>
      </c>
      <c r="J2628" s="1" t="s">
        <v>512</v>
      </c>
      <c r="K2628" s="1" t="s">
        <v>512</v>
      </c>
      <c r="L2628" s="1" t="s">
        <v>512</v>
      </c>
      <c r="M2628" s="1" t="s">
        <v>512</v>
      </c>
      <c r="N2628" s="1" t="s">
        <v>512</v>
      </c>
      <c r="O2628" s="1" t="s">
        <v>512</v>
      </c>
    </row>
    <row r="2629" spans="4:15" x14ac:dyDescent="0.25">
      <c r="D2629" s="1" t="s">
        <v>512</v>
      </c>
      <c r="E2629" s="21" t="s">
        <v>512</v>
      </c>
      <c r="F2629" s="1" t="s">
        <v>512</v>
      </c>
      <c r="G2629" s="1" t="s">
        <v>512</v>
      </c>
      <c r="H2629" s="1" t="s">
        <v>512</v>
      </c>
      <c r="I2629" s="1" t="s">
        <v>512</v>
      </c>
      <c r="J2629" s="1" t="s">
        <v>512</v>
      </c>
      <c r="K2629" s="1" t="s">
        <v>512</v>
      </c>
      <c r="L2629" s="1" t="s">
        <v>512</v>
      </c>
      <c r="M2629" s="1" t="s">
        <v>512</v>
      </c>
      <c r="N2629" s="1" t="s">
        <v>512</v>
      </c>
      <c r="O2629" s="1" t="s">
        <v>512</v>
      </c>
    </row>
    <row r="2630" spans="4:15" x14ac:dyDescent="0.25">
      <c r="D2630" s="1" t="s">
        <v>512</v>
      </c>
      <c r="E2630" s="21" t="s">
        <v>512</v>
      </c>
      <c r="F2630" s="1" t="s">
        <v>512</v>
      </c>
      <c r="G2630" s="1" t="s">
        <v>512</v>
      </c>
      <c r="H2630" s="1" t="s">
        <v>512</v>
      </c>
      <c r="I2630" s="1" t="s">
        <v>512</v>
      </c>
      <c r="J2630" s="1" t="s">
        <v>512</v>
      </c>
      <c r="K2630" s="1" t="s">
        <v>512</v>
      </c>
      <c r="L2630" s="1" t="s">
        <v>512</v>
      </c>
      <c r="M2630" s="1" t="s">
        <v>512</v>
      </c>
      <c r="N2630" s="1" t="s">
        <v>512</v>
      </c>
      <c r="O2630" s="1" t="s">
        <v>512</v>
      </c>
    </row>
    <row r="2631" spans="4:15" x14ac:dyDescent="0.25">
      <c r="D2631" s="1" t="s">
        <v>512</v>
      </c>
      <c r="E2631" s="21" t="s">
        <v>512</v>
      </c>
      <c r="F2631" s="1" t="s">
        <v>512</v>
      </c>
      <c r="G2631" s="1" t="s">
        <v>512</v>
      </c>
      <c r="H2631" s="1" t="s">
        <v>512</v>
      </c>
      <c r="I2631" s="1" t="s">
        <v>512</v>
      </c>
      <c r="J2631" s="1" t="s">
        <v>512</v>
      </c>
      <c r="K2631" s="1" t="s">
        <v>512</v>
      </c>
      <c r="L2631" s="1" t="s">
        <v>512</v>
      </c>
      <c r="M2631" s="1" t="s">
        <v>512</v>
      </c>
      <c r="N2631" s="1" t="s">
        <v>512</v>
      </c>
      <c r="O2631" s="1" t="s">
        <v>512</v>
      </c>
    </row>
    <row r="2632" spans="4:15" x14ac:dyDescent="0.25">
      <c r="D2632" s="1" t="s">
        <v>512</v>
      </c>
      <c r="E2632" s="21" t="s">
        <v>512</v>
      </c>
      <c r="F2632" s="1" t="s">
        <v>512</v>
      </c>
      <c r="G2632" s="1" t="s">
        <v>512</v>
      </c>
      <c r="H2632" s="1" t="s">
        <v>512</v>
      </c>
      <c r="I2632" s="1" t="s">
        <v>512</v>
      </c>
      <c r="J2632" s="1" t="s">
        <v>512</v>
      </c>
      <c r="K2632" s="1" t="s">
        <v>512</v>
      </c>
      <c r="L2632" s="1" t="s">
        <v>512</v>
      </c>
      <c r="M2632" s="1" t="s">
        <v>512</v>
      </c>
      <c r="N2632" s="1" t="s">
        <v>512</v>
      </c>
      <c r="O2632" s="1" t="s">
        <v>512</v>
      </c>
    </row>
    <row r="2633" spans="4:15" x14ac:dyDescent="0.25">
      <c r="D2633" s="1" t="s">
        <v>512</v>
      </c>
      <c r="E2633" s="21" t="s">
        <v>512</v>
      </c>
      <c r="F2633" s="1" t="s">
        <v>512</v>
      </c>
      <c r="G2633" s="1" t="s">
        <v>512</v>
      </c>
      <c r="H2633" s="1" t="s">
        <v>512</v>
      </c>
      <c r="I2633" s="1" t="s">
        <v>512</v>
      </c>
      <c r="J2633" s="1" t="s">
        <v>512</v>
      </c>
      <c r="K2633" s="1" t="s">
        <v>512</v>
      </c>
      <c r="L2633" s="1" t="s">
        <v>512</v>
      </c>
      <c r="M2633" s="1" t="s">
        <v>512</v>
      </c>
      <c r="N2633" s="1" t="s">
        <v>512</v>
      </c>
      <c r="O2633" s="1" t="s">
        <v>512</v>
      </c>
    </row>
    <row r="2634" spans="4:15" x14ac:dyDescent="0.25">
      <c r="D2634" s="1" t="s">
        <v>512</v>
      </c>
      <c r="E2634" s="21" t="s">
        <v>512</v>
      </c>
      <c r="F2634" s="1" t="s">
        <v>512</v>
      </c>
      <c r="G2634" s="1" t="s">
        <v>512</v>
      </c>
      <c r="H2634" s="1" t="s">
        <v>512</v>
      </c>
      <c r="I2634" s="1" t="s">
        <v>512</v>
      </c>
      <c r="J2634" s="1" t="s">
        <v>512</v>
      </c>
      <c r="K2634" s="1" t="s">
        <v>512</v>
      </c>
      <c r="L2634" s="1" t="s">
        <v>512</v>
      </c>
      <c r="M2634" s="1" t="s">
        <v>512</v>
      </c>
      <c r="N2634" s="1" t="s">
        <v>512</v>
      </c>
      <c r="O2634" s="1" t="s">
        <v>512</v>
      </c>
    </row>
    <row r="2635" spans="4:15" x14ac:dyDescent="0.25">
      <c r="D2635" s="1" t="s">
        <v>512</v>
      </c>
      <c r="E2635" s="21" t="s">
        <v>512</v>
      </c>
      <c r="F2635" s="1" t="s">
        <v>512</v>
      </c>
      <c r="G2635" s="1" t="s">
        <v>512</v>
      </c>
      <c r="H2635" s="1" t="s">
        <v>512</v>
      </c>
      <c r="I2635" s="1" t="s">
        <v>512</v>
      </c>
      <c r="J2635" s="1" t="s">
        <v>512</v>
      </c>
      <c r="K2635" s="1" t="s">
        <v>512</v>
      </c>
      <c r="L2635" s="1" t="s">
        <v>512</v>
      </c>
      <c r="M2635" s="1" t="s">
        <v>512</v>
      </c>
      <c r="N2635" s="1" t="s">
        <v>512</v>
      </c>
      <c r="O2635" s="1" t="s">
        <v>512</v>
      </c>
    </row>
    <row r="2636" spans="4:15" x14ac:dyDescent="0.25">
      <c r="D2636" s="1" t="s">
        <v>512</v>
      </c>
      <c r="E2636" s="21" t="s">
        <v>512</v>
      </c>
      <c r="F2636" s="1" t="s">
        <v>512</v>
      </c>
      <c r="G2636" s="1" t="s">
        <v>512</v>
      </c>
      <c r="H2636" s="1" t="s">
        <v>512</v>
      </c>
      <c r="I2636" s="1" t="s">
        <v>512</v>
      </c>
      <c r="J2636" s="1" t="s">
        <v>512</v>
      </c>
      <c r="K2636" s="1" t="s">
        <v>512</v>
      </c>
      <c r="L2636" s="1" t="s">
        <v>512</v>
      </c>
      <c r="M2636" s="1" t="s">
        <v>512</v>
      </c>
      <c r="N2636" s="1" t="s">
        <v>512</v>
      </c>
      <c r="O2636" s="1" t="s">
        <v>512</v>
      </c>
    </row>
    <row r="2637" spans="4:15" x14ac:dyDescent="0.25">
      <c r="D2637" s="1" t="s">
        <v>512</v>
      </c>
      <c r="E2637" s="21" t="s">
        <v>512</v>
      </c>
      <c r="F2637" s="1" t="s">
        <v>512</v>
      </c>
      <c r="G2637" s="1" t="s">
        <v>512</v>
      </c>
      <c r="H2637" s="1" t="s">
        <v>512</v>
      </c>
      <c r="I2637" s="1" t="s">
        <v>512</v>
      </c>
      <c r="J2637" s="1" t="s">
        <v>512</v>
      </c>
      <c r="K2637" s="1" t="s">
        <v>512</v>
      </c>
      <c r="L2637" s="1" t="s">
        <v>512</v>
      </c>
      <c r="M2637" s="1" t="s">
        <v>512</v>
      </c>
      <c r="N2637" s="1" t="s">
        <v>512</v>
      </c>
      <c r="O2637" s="1" t="s">
        <v>512</v>
      </c>
    </row>
    <row r="2638" spans="4:15" x14ac:dyDescent="0.25">
      <c r="D2638" s="1" t="s">
        <v>512</v>
      </c>
      <c r="E2638" s="21" t="s">
        <v>512</v>
      </c>
      <c r="F2638" s="1" t="s">
        <v>512</v>
      </c>
      <c r="G2638" s="1" t="s">
        <v>512</v>
      </c>
      <c r="H2638" s="1" t="s">
        <v>512</v>
      </c>
      <c r="I2638" s="1" t="s">
        <v>512</v>
      </c>
      <c r="J2638" s="1" t="s">
        <v>512</v>
      </c>
      <c r="K2638" s="1" t="s">
        <v>512</v>
      </c>
      <c r="L2638" s="1" t="s">
        <v>512</v>
      </c>
      <c r="M2638" s="1" t="s">
        <v>512</v>
      </c>
      <c r="N2638" s="1" t="s">
        <v>512</v>
      </c>
      <c r="O2638" s="1" t="s">
        <v>512</v>
      </c>
    </row>
    <row r="2639" spans="4:15" x14ac:dyDescent="0.25">
      <c r="D2639" s="1" t="s">
        <v>512</v>
      </c>
      <c r="E2639" s="21" t="s">
        <v>512</v>
      </c>
      <c r="F2639" s="1" t="s">
        <v>512</v>
      </c>
      <c r="G2639" s="1" t="s">
        <v>512</v>
      </c>
      <c r="H2639" s="1" t="s">
        <v>512</v>
      </c>
      <c r="I2639" s="1" t="s">
        <v>512</v>
      </c>
      <c r="J2639" s="1" t="s">
        <v>512</v>
      </c>
      <c r="K2639" s="1" t="s">
        <v>512</v>
      </c>
      <c r="L2639" s="1" t="s">
        <v>512</v>
      </c>
      <c r="M2639" s="1" t="s">
        <v>512</v>
      </c>
      <c r="N2639" s="1" t="s">
        <v>512</v>
      </c>
      <c r="O2639" s="1" t="s">
        <v>512</v>
      </c>
    </row>
    <row r="2640" spans="4:15" x14ac:dyDescent="0.25">
      <c r="D2640" s="1" t="s">
        <v>512</v>
      </c>
      <c r="E2640" s="21" t="s">
        <v>512</v>
      </c>
      <c r="F2640" s="1" t="s">
        <v>512</v>
      </c>
      <c r="G2640" s="1" t="s">
        <v>512</v>
      </c>
      <c r="H2640" s="1" t="s">
        <v>512</v>
      </c>
      <c r="I2640" s="1" t="s">
        <v>512</v>
      </c>
      <c r="J2640" s="1" t="s">
        <v>512</v>
      </c>
      <c r="K2640" s="1" t="s">
        <v>512</v>
      </c>
      <c r="L2640" s="1" t="s">
        <v>512</v>
      </c>
      <c r="M2640" s="1" t="s">
        <v>512</v>
      </c>
      <c r="N2640" s="1" t="s">
        <v>512</v>
      </c>
      <c r="O2640" s="1" t="s">
        <v>512</v>
      </c>
    </row>
    <row r="2641" spans="4:15" x14ac:dyDescent="0.25">
      <c r="D2641" s="1" t="s">
        <v>512</v>
      </c>
      <c r="E2641" s="21" t="s">
        <v>512</v>
      </c>
      <c r="F2641" s="1" t="s">
        <v>512</v>
      </c>
      <c r="G2641" s="1" t="s">
        <v>512</v>
      </c>
      <c r="H2641" s="1" t="s">
        <v>512</v>
      </c>
      <c r="I2641" s="1" t="s">
        <v>512</v>
      </c>
      <c r="J2641" s="1" t="s">
        <v>512</v>
      </c>
      <c r="K2641" s="1" t="s">
        <v>512</v>
      </c>
      <c r="L2641" s="1" t="s">
        <v>512</v>
      </c>
      <c r="M2641" s="1" t="s">
        <v>512</v>
      </c>
      <c r="N2641" s="1" t="s">
        <v>512</v>
      </c>
      <c r="O2641" s="1" t="s">
        <v>512</v>
      </c>
    </row>
    <row r="2642" spans="4:15" x14ac:dyDescent="0.25">
      <c r="D2642" s="1" t="s">
        <v>512</v>
      </c>
      <c r="E2642" s="21" t="s">
        <v>512</v>
      </c>
      <c r="F2642" s="1" t="s">
        <v>512</v>
      </c>
      <c r="G2642" s="1" t="s">
        <v>512</v>
      </c>
      <c r="H2642" s="1" t="s">
        <v>512</v>
      </c>
      <c r="I2642" s="1" t="s">
        <v>512</v>
      </c>
      <c r="J2642" s="1" t="s">
        <v>512</v>
      </c>
      <c r="K2642" s="1" t="s">
        <v>512</v>
      </c>
      <c r="L2642" s="1" t="s">
        <v>512</v>
      </c>
      <c r="M2642" s="1" t="s">
        <v>512</v>
      </c>
      <c r="N2642" s="1" t="s">
        <v>512</v>
      </c>
      <c r="O2642" s="1" t="s">
        <v>512</v>
      </c>
    </row>
    <row r="2643" spans="4:15" x14ac:dyDescent="0.25">
      <c r="D2643" s="1" t="s">
        <v>512</v>
      </c>
      <c r="E2643" s="21" t="s">
        <v>512</v>
      </c>
      <c r="F2643" s="1" t="s">
        <v>512</v>
      </c>
      <c r="G2643" s="1" t="s">
        <v>512</v>
      </c>
      <c r="H2643" s="1" t="s">
        <v>512</v>
      </c>
      <c r="I2643" s="1" t="s">
        <v>512</v>
      </c>
      <c r="J2643" s="1" t="s">
        <v>512</v>
      </c>
      <c r="K2643" s="1" t="s">
        <v>512</v>
      </c>
      <c r="L2643" s="1" t="s">
        <v>512</v>
      </c>
      <c r="M2643" s="1" t="s">
        <v>512</v>
      </c>
      <c r="N2643" s="1" t="s">
        <v>512</v>
      </c>
      <c r="O2643" s="1" t="s">
        <v>512</v>
      </c>
    </row>
    <row r="2644" spans="4:15" x14ac:dyDescent="0.25">
      <c r="D2644" s="1" t="s">
        <v>512</v>
      </c>
      <c r="E2644" s="21" t="s">
        <v>512</v>
      </c>
      <c r="F2644" s="1" t="s">
        <v>512</v>
      </c>
      <c r="G2644" s="1" t="s">
        <v>512</v>
      </c>
      <c r="H2644" s="1" t="s">
        <v>512</v>
      </c>
      <c r="I2644" s="1" t="s">
        <v>512</v>
      </c>
      <c r="J2644" s="1" t="s">
        <v>512</v>
      </c>
      <c r="K2644" s="1" t="s">
        <v>512</v>
      </c>
      <c r="L2644" s="1" t="s">
        <v>512</v>
      </c>
      <c r="M2644" s="1" t="s">
        <v>512</v>
      </c>
      <c r="N2644" s="1" t="s">
        <v>512</v>
      </c>
      <c r="O2644" s="1" t="s">
        <v>512</v>
      </c>
    </row>
    <row r="2645" spans="4:15" x14ac:dyDescent="0.25">
      <c r="D2645" s="1" t="s">
        <v>512</v>
      </c>
      <c r="E2645" s="21" t="s">
        <v>512</v>
      </c>
      <c r="F2645" s="1" t="s">
        <v>512</v>
      </c>
      <c r="G2645" s="1" t="s">
        <v>512</v>
      </c>
      <c r="H2645" s="1" t="s">
        <v>512</v>
      </c>
      <c r="I2645" s="1" t="s">
        <v>512</v>
      </c>
      <c r="J2645" s="1" t="s">
        <v>512</v>
      </c>
      <c r="K2645" s="1" t="s">
        <v>512</v>
      </c>
      <c r="L2645" s="1" t="s">
        <v>512</v>
      </c>
      <c r="M2645" s="1" t="s">
        <v>512</v>
      </c>
      <c r="N2645" s="1" t="s">
        <v>512</v>
      </c>
      <c r="O2645" s="1" t="s">
        <v>512</v>
      </c>
    </row>
    <row r="2646" spans="4:15" x14ac:dyDescent="0.25">
      <c r="D2646" s="1" t="s">
        <v>512</v>
      </c>
      <c r="E2646" s="21" t="s">
        <v>512</v>
      </c>
      <c r="F2646" s="1" t="s">
        <v>512</v>
      </c>
      <c r="G2646" s="1" t="s">
        <v>512</v>
      </c>
      <c r="H2646" s="1" t="s">
        <v>512</v>
      </c>
      <c r="I2646" s="1" t="s">
        <v>512</v>
      </c>
      <c r="J2646" s="1" t="s">
        <v>512</v>
      </c>
      <c r="K2646" s="1" t="s">
        <v>512</v>
      </c>
      <c r="L2646" s="1" t="s">
        <v>512</v>
      </c>
      <c r="M2646" s="1" t="s">
        <v>512</v>
      </c>
      <c r="N2646" s="1" t="s">
        <v>512</v>
      </c>
      <c r="O2646" s="1" t="s">
        <v>512</v>
      </c>
    </row>
    <row r="2647" spans="4:15" x14ac:dyDescent="0.25">
      <c r="D2647" s="1" t="s">
        <v>512</v>
      </c>
      <c r="E2647" s="21" t="s">
        <v>512</v>
      </c>
      <c r="F2647" s="1" t="s">
        <v>512</v>
      </c>
      <c r="G2647" s="1" t="s">
        <v>512</v>
      </c>
      <c r="H2647" s="1" t="s">
        <v>512</v>
      </c>
      <c r="I2647" s="1" t="s">
        <v>512</v>
      </c>
      <c r="J2647" s="1" t="s">
        <v>512</v>
      </c>
      <c r="K2647" s="1" t="s">
        <v>512</v>
      </c>
      <c r="L2647" s="1" t="s">
        <v>512</v>
      </c>
      <c r="M2647" s="1" t="s">
        <v>512</v>
      </c>
      <c r="N2647" s="1" t="s">
        <v>512</v>
      </c>
      <c r="O2647" s="1" t="s">
        <v>512</v>
      </c>
    </row>
    <row r="2648" spans="4:15" x14ac:dyDescent="0.25">
      <c r="D2648" s="1" t="s">
        <v>512</v>
      </c>
      <c r="E2648" s="21" t="s">
        <v>512</v>
      </c>
      <c r="F2648" s="1" t="s">
        <v>512</v>
      </c>
      <c r="G2648" s="1" t="s">
        <v>512</v>
      </c>
      <c r="H2648" s="1" t="s">
        <v>512</v>
      </c>
      <c r="I2648" s="1" t="s">
        <v>512</v>
      </c>
      <c r="J2648" s="1" t="s">
        <v>512</v>
      </c>
      <c r="K2648" s="1" t="s">
        <v>512</v>
      </c>
      <c r="L2648" s="1" t="s">
        <v>512</v>
      </c>
      <c r="M2648" s="1" t="s">
        <v>512</v>
      </c>
      <c r="N2648" s="1" t="s">
        <v>512</v>
      </c>
      <c r="O2648" s="1" t="s">
        <v>512</v>
      </c>
    </row>
    <row r="2649" spans="4:15" x14ac:dyDescent="0.25">
      <c r="D2649" s="1" t="s">
        <v>512</v>
      </c>
      <c r="E2649" s="21" t="s">
        <v>512</v>
      </c>
      <c r="F2649" s="1" t="s">
        <v>512</v>
      </c>
      <c r="G2649" s="1" t="s">
        <v>512</v>
      </c>
      <c r="H2649" s="1" t="s">
        <v>512</v>
      </c>
      <c r="I2649" s="1" t="s">
        <v>512</v>
      </c>
      <c r="J2649" s="1" t="s">
        <v>512</v>
      </c>
      <c r="K2649" s="1" t="s">
        <v>512</v>
      </c>
      <c r="L2649" s="1" t="s">
        <v>512</v>
      </c>
      <c r="M2649" s="1" t="s">
        <v>512</v>
      </c>
      <c r="N2649" s="1" t="s">
        <v>512</v>
      </c>
      <c r="O2649" s="1" t="s">
        <v>512</v>
      </c>
    </row>
    <row r="2650" spans="4:15" x14ac:dyDescent="0.25">
      <c r="D2650" s="1" t="s">
        <v>512</v>
      </c>
      <c r="E2650" s="21" t="s">
        <v>512</v>
      </c>
      <c r="F2650" s="1" t="s">
        <v>512</v>
      </c>
      <c r="G2650" s="1" t="s">
        <v>512</v>
      </c>
      <c r="H2650" s="1" t="s">
        <v>512</v>
      </c>
      <c r="I2650" s="1" t="s">
        <v>512</v>
      </c>
      <c r="J2650" s="1" t="s">
        <v>512</v>
      </c>
      <c r="K2650" s="1" t="s">
        <v>512</v>
      </c>
      <c r="L2650" s="1" t="s">
        <v>512</v>
      </c>
      <c r="M2650" s="1" t="s">
        <v>512</v>
      </c>
      <c r="N2650" s="1" t="s">
        <v>512</v>
      </c>
      <c r="O2650" s="1" t="s">
        <v>512</v>
      </c>
    </row>
    <row r="2651" spans="4:15" x14ac:dyDescent="0.25">
      <c r="D2651" s="1" t="s">
        <v>512</v>
      </c>
      <c r="E2651" s="21" t="s">
        <v>512</v>
      </c>
      <c r="F2651" s="1" t="s">
        <v>512</v>
      </c>
      <c r="G2651" s="1" t="s">
        <v>512</v>
      </c>
      <c r="H2651" s="1" t="s">
        <v>512</v>
      </c>
      <c r="I2651" s="1" t="s">
        <v>512</v>
      </c>
      <c r="J2651" s="1" t="s">
        <v>512</v>
      </c>
      <c r="K2651" s="1" t="s">
        <v>512</v>
      </c>
      <c r="L2651" s="1" t="s">
        <v>512</v>
      </c>
      <c r="M2651" s="1" t="s">
        <v>512</v>
      </c>
      <c r="N2651" s="1" t="s">
        <v>512</v>
      </c>
      <c r="O2651" s="1" t="s">
        <v>512</v>
      </c>
    </row>
    <row r="2652" spans="4:15" x14ac:dyDescent="0.25">
      <c r="D2652" s="1" t="s">
        <v>512</v>
      </c>
      <c r="E2652" s="21" t="s">
        <v>512</v>
      </c>
      <c r="F2652" s="1" t="s">
        <v>512</v>
      </c>
      <c r="G2652" s="1" t="s">
        <v>512</v>
      </c>
      <c r="H2652" s="1" t="s">
        <v>512</v>
      </c>
      <c r="I2652" s="1" t="s">
        <v>512</v>
      </c>
      <c r="J2652" s="1" t="s">
        <v>512</v>
      </c>
      <c r="K2652" s="1" t="s">
        <v>512</v>
      </c>
      <c r="L2652" s="1" t="s">
        <v>512</v>
      </c>
      <c r="M2652" s="1" t="s">
        <v>512</v>
      </c>
      <c r="N2652" s="1" t="s">
        <v>512</v>
      </c>
      <c r="O2652" s="1" t="s">
        <v>512</v>
      </c>
    </row>
    <row r="2653" spans="4:15" x14ac:dyDescent="0.25">
      <c r="D2653" s="1" t="s">
        <v>512</v>
      </c>
      <c r="E2653" s="21" t="s">
        <v>512</v>
      </c>
      <c r="F2653" s="1" t="s">
        <v>512</v>
      </c>
      <c r="G2653" s="1" t="s">
        <v>512</v>
      </c>
      <c r="H2653" s="1" t="s">
        <v>512</v>
      </c>
      <c r="I2653" s="1" t="s">
        <v>512</v>
      </c>
      <c r="J2653" s="1" t="s">
        <v>512</v>
      </c>
      <c r="K2653" s="1" t="s">
        <v>512</v>
      </c>
      <c r="L2653" s="1" t="s">
        <v>512</v>
      </c>
      <c r="M2653" s="1" t="s">
        <v>512</v>
      </c>
      <c r="N2653" s="1" t="s">
        <v>512</v>
      </c>
      <c r="O2653" s="1" t="s">
        <v>512</v>
      </c>
    </row>
    <row r="2654" spans="4:15" x14ac:dyDescent="0.25">
      <c r="D2654" s="1" t="s">
        <v>512</v>
      </c>
      <c r="E2654" s="21" t="s">
        <v>512</v>
      </c>
      <c r="F2654" s="1" t="s">
        <v>512</v>
      </c>
      <c r="G2654" s="1" t="s">
        <v>512</v>
      </c>
      <c r="H2654" s="1" t="s">
        <v>512</v>
      </c>
      <c r="I2654" s="1" t="s">
        <v>512</v>
      </c>
      <c r="J2654" s="1" t="s">
        <v>512</v>
      </c>
      <c r="K2654" s="1" t="s">
        <v>512</v>
      </c>
      <c r="L2654" s="1" t="s">
        <v>512</v>
      </c>
      <c r="M2654" s="1" t="s">
        <v>512</v>
      </c>
      <c r="N2654" s="1" t="s">
        <v>512</v>
      </c>
      <c r="O2654" s="1" t="s">
        <v>512</v>
      </c>
    </row>
    <row r="2655" spans="4:15" x14ac:dyDescent="0.25">
      <c r="D2655" s="1" t="s">
        <v>512</v>
      </c>
      <c r="E2655" s="21" t="s">
        <v>512</v>
      </c>
      <c r="F2655" s="1" t="s">
        <v>512</v>
      </c>
      <c r="G2655" s="1" t="s">
        <v>512</v>
      </c>
      <c r="H2655" s="1" t="s">
        <v>512</v>
      </c>
      <c r="I2655" s="1" t="s">
        <v>512</v>
      </c>
      <c r="J2655" s="1" t="s">
        <v>512</v>
      </c>
      <c r="K2655" s="1" t="s">
        <v>512</v>
      </c>
      <c r="L2655" s="1" t="s">
        <v>512</v>
      </c>
      <c r="M2655" s="1" t="s">
        <v>512</v>
      </c>
      <c r="N2655" s="1" t="s">
        <v>512</v>
      </c>
      <c r="O2655" s="1" t="s">
        <v>512</v>
      </c>
    </row>
    <row r="2656" spans="4:15" x14ac:dyDescent="0.25">
      <c r="D2656" s="1" t="s">
        <v>512</v>
      </c>
      <c r="E2656" s="21" t="s">
        <v>512</v>
      </c>
      <c r="F2656" s="1" t="s">
        <v>512</v>
      </c>
      <c r="G2656" s="1" t="s">
        <v>512</v>
      </c>
      <c r="H2656" s="1" t="s">
        <v>512</v>
      </c>
      <c r="I2656" s="1" t="s">
        <v>512</v>
      </c>
      <c r="J2656" s="1" t="s">
        <v>512</v>
      </c>
      <c r="K2656" s="1" t="s">
        <v>512</v>
      </c>
      <c r="L2656" s="1" t="s">
        <v>512</v>
      </c>
      <c r="M2656" s="1" t="s">
        <v>512</v>
      </c>
      <c r="N2656" s="1" t="s">
        <v>512</v>
      </c>
      <c r="O2656" s="1" t="s">
        <v>512</v>
      </c>
    </row>
    <row r="2657" spans="4:15" x14ac:dyDescent="0.25">
      <c r="D2657" s="1" t="s">
        <v>512</v>
      </c>
      <c r="E2657" s="21" t="s">
        <v>512</v>
      </c>
      <c r="F2657" s="1" t="s">
        <v>512</v>
      </c>
      <c r="G2657" s="1" t="s">
        <v>512</v>
      </c>
      <c r="H2657" s="1" t="s">
        <v>512</v>
      </c>
      <c r="I2657" s="1" t="s">
        <v>512</v>
      </c>
      <c r="J2657" s="1" t="s">
        <v>512</v>
      </c>
      <c r="K2657" s="1" t="s">
        <v>512</v>
      </c>
      <c r="L2657" s="1" t="s">
        <v>512</v>
      </c>
      <c r="M2657" s="1" t="s">
        <v>512</v>
      </c>
      <c r="N2657" s="1" t="s">
        <v>512</v>
      </c>
      <c r="O2657" s="1" t="s">
        <v>512</v>
      </c>
    </row>
    <row r="2658" spans="4:15" x14ac:dyDescent="0.25">
      <c r="D2658" s="1" t="s">
        <v>512</v>
      </c>
      <c r="E2658" s="21" t="s">
        <v>512</v>
      </c>
      <c r="F2658" s="1" t="s">
        <v>512</v>
      </c>
      <c r="G2658" s="1" t="s">
        <v>512</v>
      </c>
      <c r="H2658" s="1" t="s">
        <v>512</v>
      </c>
      <c r="I2658" s="1" t="s">
        <v>512</v>
      </c>
      <c r="J2658" s="1" t="s">
        <v>512</v>
      </c>
      <c r="K2658" s="1" t="s">
        <v>512</v>
      </c>
      <c r="L2658" s="1" t="s">
        <v>512</v>
      </c>
      <c r="M2658" s="1" t="s">
        <v>512</v>
      </c>
      <c r="N2658" s="1" t="s">
        <v>512</v>
      </c>
      <c r="O2658" s="1" t="s">
        <v>512</v>
      </c>
    </row>
    <row r="2659" spans="4:15" x14ac:dyDescent="0.25">
      <c r="D2659" s="1" t="s">
        <v>512</v>
      </c>
      <c r="E2659" s="21" t="s">
        <v>512</v>
      </c>
      <c r="F2659" s="1" t="s">
        <v>512</v>
      </c>
      <c r="G2659" s="1" t="s">
        <v>512</v>
      </c>
      <c r="H2659" s="1" t="s">
        <v>512</v>
      </c>
      <c r="I2659" s="1" t="s">
        <v>512</v>
      </c>
      <c r="J2659" s="1" t="s">
        <v>512</v>
      </c>
      <c r="K2659" s="1" t="s">
        <v>512</v>
      </c>
      <c r="L2659" s="1" t="s">
        <v>512</v>
      </c>
      <c r="M2659" s="1" t="s">
        <v>512</v>
      </c>
      <c r="N2659" s="1" t="s">
        <v>512</v>
      </c>
      <c r="O2659" s="1" t="s">
        <v>512</v>
      </c>
    </row>
    <row r="2660" spans="4:15" x14ac:dyDescent="0.25">
      <c r="D2660" s="1" t="s">
        <v>512</v>
      </c>
      <c r="E2660" s="21" t="s">
        <v>512</v>
      </c>
      <c r="F2660" s="1" t="s">
        <v>512</v>
      </c>
      <c r="G2660" s="1" t="s">
        <v>512</v>
      </c>
      <c r="H2660" s="1" t="s">
        <v>512</v>
      </c>
      <c r="I2660" s="1" t="s">
        <v>512</v>
      </c>
      <c r="J2660" s="1" t="s">
        <v>512</v>
      </c>
      <c r="K2660" s="1" t="s">
        <v>512</v>
      </c>
      <c r="L2660" s="1" t="s">
        <v>512</v>
      </c>
      <c r="M2660" s="1" t="s">
        <v>512</v>
      </c>
      <c r="N2660" s="1" t="s">
        <v>512</v>
      </c>
      <c r="O2660" s="1" t="s">
        <v>512</v>
      </c>
    </row>
    <row r="2661" spans="4:15" x14ac:dyDescent="0.25">
      <c r="D2661" s="1" t="s">
        <v>512</v>
      </c>
      <c r="E2661" s="21" t="s">
        <v>512</v>
      </c>
      <c r="F2661" s="1" t="s">
        <v>512</v>
      </c>
      <c r="G2661" s="1" t="s">
        <v>512</v>
      </c>
      <c r="H2661" s="1" t="s">
        <v>512</v>
      </c>
      <c r="I2661" s="1" t="s">
        <v>512</v>
      </c>
      <c r="J2661" s="1" t="s">
        <v>512</v>
      </c>
      <c r="K2661" s="1" t="s">
        <v>512</v>
      </c>
      <c r="L2661" s="1" t="s">
        <v>512</v>
      </c>
      <c r="M2661" s="1" t="s">
        <v>512</v>
      </c>
      <c r="N2661" s="1" t="s">
        <v>512</v>
      </c>
      <c r="O2661" s="1" t="s">
        <v>512</v>
      </c>
    </row>
    <row r="2662" spans="4:15" x14ac:dyDescent="0.25">
      <c r="D2662" s="1" t="s">
        <v>512</v>
      </c>
      <c r="E2662" s="21" t="s">
        <v>512</v>
      </c>
      <c r="F2662" s="1" t="s">
        <v>512</v>
      </c>
      <c r="G2662" s="1" t="s">
        <v>512</v>
      </c>
      <c r="H2662" s="1" t="s">
        <v>512</v>
      </c>
      <c r="I2662" s="1" t="s">
        <v>512</v>
      </c>
      <c r="J2662" s="1" t="s">
        <v>512</v>
      </c>
      <c r="K2662" s="1" t="s">
        <v>512</v>
      </c>
      <c r="L2662" s="1" t="s">
        <v>512</v>
      </c>
      <c r="M2662" s="1" t="s">
        <v>512</v>
      </c>
      <c r="N2662" s="1" t="s">
        <v>512</v>
      </c>
      <c r="O2662" s="1" t="s">
        <v>512</v>
      </c>
    </row>
    <row r="2663" spans="4:15" x14ac:dyDescent="0.25">
      <c r="D2663" s="1" t="s">
        <v>512</v>
      </c>
      <c r="E2663" s="21" t="s">
        <v>512</v>
      </c>
      <c r="F2663" s="1" t="s">
        <v>512</v>
      </c>
      <c r="G2663" s="1" t="s">
        <v>512</v>
      </c>
      <c r="H2663" s="1" t="s">
        <v>512</v>
      </c>
      <c r="I2663" s="1" t="s">
        <v>512</v>
      </c>
      <c r="J2663" s="1" t="s">
        <v>512</v>
      </c>
      <c r="K2663" s="1" t="s">
        <v>512</v>
      </c>
      <c r="L2663" s="1" t="s">
        <v>512</v>
      </c>
      <c r="M2663" s="1" t="s">
        <v>512</v>
      </c>
      <c r="N2663" s="1" t="s">
        <v>512</v>
      </c>
      <c r="O2663" s="1" t="s">
        <v>512</v>
      </c>
    </row>
    <row r="2664" spans="4:15" x14ac:dyDescent="0.25">
      <c r="D2664" s="1" t="s">
        <v>512</v>
      </c>
      <c r="E2664" s="21" t="s">
        <v>512</v>
      </c>
      <c r="F2664" s="1" t="s">
        <v>512</v>
      </c>
      <c r="G2664" s="1" t="s">
        <v>512</v>
      </c>
      <c r="H2664" s="1" t="s">
        <v>512</v>
      </c>
      <c r="I2664" s="1" t="s">
        <v>512</v>
      </c>
      <c r="J2664" s="1" t="s">
        <v>512</v>
      </c>
      <c r="K2664" s="1" t="s">
        <v>512</v>
      </c>
      <c r="L2664" s="1" t="s">
        <v>512</v>
      </c>
      <c r="M2664" s="1" t="s">
        <v>512</v>
      </c>
      <c r="N2664" s="1" t="s">
        <v>512</v>
      </c>
      <c r="O2664" s="1" t="s">
        <v>512</v>
      </c>
    </row>
    <row r="2665" spans="4:15" x14ac:dyDescent="0.25">
      <c r="D2665" s="1" t="s">
        <v>512</v>
      </c>
      <c r="E2665" s="21" t="s">
        <v>512</v>
      </c>
      <c r="F2665" s="1" t="s">
        <v>512</v>
      </c>
      <c r="G2665" s="1" t="s">
        <v>512</v>
      </c>
      <c r="H2665" s="1" t="s">
        <v>512</v>
      </c>
      <c r="I2665" s="1" t="s">
        <v>512</v>
      </c>
      <c r="J2665" s="1" t="s">
        <v>512</v>
      </c>
      <c r="K2665" s="1" t="s">
        <v>512</v>
      </c>
      <c r="L2665" s="1" t="s">
        <v>512</v>
      </c>
      <c r="M2665" s="1" t="s">
        <v>512</v>
      </c>
      <c r="N2665" s="1" t="s">
        <v>512</v>
      </c>
      <c r="O2665" s="1" t="s">
        <v>512</v>
      </c>
    </row>
    <row r="2666" spans="4:15" x14ac:dyDescent="0.25">
      <c r="D2666" s="1" t="s">
        <v>512</v>
      </c>
      <c r="E2666" s="21" t="s">
        <v>512</v>
      </c>
      <c r="F2666" s="1" t="s">
        <v>512</v>
      </c>
      <c r="G2666" s="1" t="s">
        <v>512</v>
      </c>
      <c r="H2666" s="1" t="s">
        <v>512</v>
      </c>
      <c r="I2666" s="1" t="s">
        <v>512</v>
      </c>
      <c r="J2666" s="1" t="s">
        <v>512</v>
      </c>
      <c r="K2666" s="1" t="s">
        <v>512</v>
      </c>
      <c r="L2666" s="1" t="s">
        <v>512</v>
      </c>
      <c r="M2666" s="1" t="s">
        <v>512</v>
      </c>
      <c r="N2666" s="1" t="s">
        <v>512</v>
      </c>
      <c r="O2666" s="1" t="s">
        <v>512</v>
      </c>
    </row>
    <row r="2667" spans="4:15" x14ac:dyDescent="0.25">
      <c r="D2667" s="1" t="s">
        <v>512</v>
      </c>
      <c r="E2667" s="21" t="s">
        <v>512</v>
      </c>
      <c r="F2667" s="1" t="s">
        <v>512</v>
      </c>
      <c r="G2667" s="1" t="s">
        <v>512</v>
      </c>
      <c r="H2667" s="1" t="s">
        <v>512</v>
      </c>
      <c r="I2667" s="1" t="s">
        <v>512</v>
      </c>
      <c r="J2667" s="1" t="s">
        <v>512</v>
      </c>
      <c r="K2667" s="1" t="s">
        <v>512</v>
      </c>
      <c r="L2667" s="1" t="s">
        <v>512</v>
      </c>
      <c r="M2667" s="1" t="s">
        <v>512</v>
      </c>
      <c r="N2667" s="1" t="s">
        <v>512</v>
      </c>
      <c r="O2667" s="1" t="s">
        <v>512</v>
      </c>
    </row>
    <row r="2668" spans="4:15" x14ac:dyDescent="0.25">
      <c r="D2668" s="1" t="s">
        <v>512</v>
      </c>
      <c r="E2668" s="21" t="s">
        <v>512</v>
      </c>
      <c r="F2668" s="1" t="s">
        <v>512</v>
      </c>
      <c r="G2668" s="1" t="s">
        <v>512</v>
      </c>
      <c r="H2668" s="1" t="s">
        <v>512</v>
      </c>
      <c r="I2668" s="1" t="s">
        <v>512</v>
      </c>
      <c r="J2668" s="1" t="s">
        <v>512</v>
      </c>
      <c r="K2668" s="1" t="s">
        <v>512</v>
      </c>
      <c r="L2668" s="1" t="s">
        <v>512</v>
      </c>
      <c r="M2668" s="1" t="s">
        <v>512</v>
      </c>
      <c r="N2668" s="1" t="s">
        <v>512</v>
      </c>
      <c r="O2668" s="1" t="s">
        <v>512</v>
      </c>
    </row>
    <row r="2669" spans="4:15" x14ac:dyDescent="0.25">
      <c r="D2669" s="1" t="s">
        <v>512</v>
      </c>
      <c r="E2669" s="21" t="s">
        <v>512</v>
      </c>
      <c r="F2669" s="1" t="s">
        <v>512</v>
      </c>
      <c r="G2669" s="1" t="s">
        <v>512</v>
      </c>
      <c r="H2669" s="1" t="s">
        <v>512</v>
      </c>
      <c r="I2669" s="1" t="s">
        <v>512</v>
      </c>
      <c r="J2669" s="1" t="s">
        <v>512</v>
      </c>
      <c r="K2669" s="1" t="s">
        <v>512</v>
      </c>
      <c r="L2669" s="1" t="s">
        <v>512</v>
      </c>
      <c r="M2669" s="1" t="s">
        <v>512</v>
      </c>
      <c r="N2669" s="1" t="s">
        <v>512</v>
      </c>
      <c r="O2669" s="1" t="s">
        <v>512</v>
      </c>
    </row>
    <row r="2670" spans="4:15" x14ac:dyDescent="0.25">
      <c r="D2670" s="1" t="s">
        <v>512</v>
      </c>
      <c r="E2670" s="21" t="s">
        <v>512</v>
      </c>
      <c r="F2670" s="1" t="s">
        <v>512</v>
      </c>
      <c r="G2670" s="1" t="s">
        <v>512</v>
      </c>
      <c r="H2670" s="1" t="s">
        <v>512</v>
      </c>
      <c r="I2670" s="1" t="s">
        <v>512</v>
      </c>
      <c r="J2670" s="1" t="s">
        <v>512</v>
      </c>
      <c r="K2670" s="1" t="s">
        <v>512</v>
      </c>
      <c r="L2670" s="1" t="s">
        <v>512</v>
      </c>
      <c r="M2670" s="1" t="s">
        <v>512</v>
      </c>
      <c r="N2670" s="1" t="s">
        <v>512</v>
      </c>
      <c r="O2670" s="1" t="s">
        <v>512</v>
      </c>
    </row>
    <row r="2671" spans="4:15" x14ac:dyDescent="0.25">
      <c r="D2671" s="1" t="s">
        <v>512</v>
      </c>
      <c r="E2671" s="21" t="s">
        <v>512</v>
      </c>
      <c r="F2671" s="1" t="s">
        <v>512</v>
      </c>
      <c r="G2671" s="1" t="s">
        <v>512</v>
      </c>
      <c r="H2671" s="1" t="s">
        <v>512</v>
      </c>
      <c r="I2671" s="1" t="s">
        <v>512</v>
      </c>
      <c r="J2671" s="1" t="s">
        <v>512</v>
      </c>
      <c r="K2671" s="1" t="s">
        <v>512</v>
      </c>
      <c r="L2671" s="1" t="s">
        <v>512</v>
      </c>
      <c r="M2671" s="1" t="s">
        <v>512</v>
      </c>
      <c r="N2671" s="1" t="s">
        <v>512</v>
      </c>
      <c r="O2671" s="1" t="s">
        <v>512</v>
      </c>
    </row>
    <row r="2672" spans="4:15" x14ac:dyDescent="0.25">
      <c r="D2672" s="1" t="s">
        <v>512</v>
      </c>
      <c r="E2672" s="21" t="s">
        <v>512</v>
      </c>
      <c r="F2672" s="1" t="s">
        <v>512</v>
      </c>
      <c r="G2672" s="1" t="s">
        <v>512</v>
      </c>
      <c r="H2672" s="1" t="s">
        <v>512</v>
      </c>
      <c r="I2672" s="1" t="s">
        <v>512</v>
      </c>
      <c r="J2672" s="1" t="s">
        <v>512</v>
      </c>
      <c r="K2672" s="1" t="s">
        <v>512</v>
      </c>
      <c r="L2672" s="1" t="s">
        <v>512</v>
      </c>
      <c r="M2672" s="1" t="s">
        <v>512</v>
      </c>
      <c r="N2672" s="1" t="s">
        <v>512</v>
      </c>
      <c r="O2672" s="1" t="s">
        <v>512</v>
      </c>
    </row>
    <row r="2673" spans="4:15" x14ac:dyDescent="0.25">
      <c r="D2673" s="1" t="s">
        <v>512</v>
      </c>
      <c r="E2673" s="21" t="s">
        <v>512</v>
      </c>
      <c r="F2673" s="1" t="s">
        <v>512</v>
      </c>
      <c r="G2673" s="1" t="s">
        <v>512</v>
      </c>
      <c r="H2673" s="1" t="s">
        <v>512</v>
      </c>
      <c r="I2673" s="1" t="s">
        <v>512</v>
      </c>
      <c r="J2673" s="1" t="s">
        <v>512</v>
      </c>
      <c r="K2673" s="1" t="s">
        <v>512</v>
      </c>
      <c r="L2673" s="1" t="s">
        <v>512</v>
      </c>
      <c r="M2673" s="1" t="s">
        <v>512</v>
      </c>
      <c r="N2673" s="1" t="s">
        <v>512</v>
      </c>
      <c r="O2673" s="1" t="s">
        <v>512</v>
      </c>
    </row>
    <row r="2674" spans="4:15" x14ac:dyDescent="0.25">
      <c r="D2674" s="1" t="s">
        <v>512</v>
      </c>
      <c r="E2674" s="21" t="s">
        <v>512</v>
      </c>
      <c r="F2674" s="1" t="s">
        <v>512</v>
      </c>
      <c r="G2674" s="1" t="s">
        <v>512</v>
      </c>
      <c r="H2674" s="1" t="s">
        <v>512</v>
      </c>
      <c r="I2674" s="1" t="s">
        <v>512</v>
      </c>
      <c r="J2674" s="1" t="s">
        <v>512</v>
      </c>
      <c r="K2674" s="1" t="s">
        <v>512</v>
      </c>
      <c r="L2674" s="1" t="s">
        <v>512</v>
      </c>
      <c r="M2674" s="1" t="s">
        <v>512</v>
      </c>
      <c r="N2674" s="1" t="s">
        <v>512</v>
      </c>
      <c r="O2674" s="1" t="s">
        <v>512</v>
      </c>
    </row>
    <row r="2675" spans="4:15" x14ac:dyDescent="0.25">
      <c r="D2675" s="1" t="s">
        <v>512</v>
      </c>
      <c r="E2675" s="21" t="s">
        <v>512</v>
      </c>
      <c r="F2675" s="1" t="s">
        <v>512</v>
      </c>
      <c r="G2675" s="1" t="s">
        <v>512</v>
      </c>
      <c r="H2675" s="1" t="s">
        <v>512</v>
      </c>
      <c r="I2675" s="1" t="s">
        <v>512</v>
      </c>
      <c r="J2675" s="1" t="s">
        <v>512</v>
      </c>
      <c r="K2675" s="1" t="s">
        <v>512</v>
      </c>
      <c r="L2675" s="1" t="s">
        <v>512</v>
      </c>
      <c r="M2675" s="1" t="s">
        <v>512</v>
      </c>
      <c r="N2675" s="1" t="s">
        <v>512</v>
      </c>
      <c r="O2675" s="1" t="s">
        <v>512</v>
      </c>
    </row>
    <row r="2676" spans="4:15" x14ac:dyDescent="0.25">
      <c r="D2676" s="1" t="s">
        <v>512</v>
      </c>
      <c r="E2676" s="21" t="s">
        <v>512</v>
      </c>
      <c r="F2676" s="1" t="s">
        <v>512</v>
      </c>
      <c r="G2676" s="1" t="s">
        <v>512</v>
      </c>
      <c r="H2676" s="1" t="s">
        <v>512</v>
      </c>
      <c r="I2676" s="1" t="s">
        <v>512</v>
      </c>
      <c r="J2676" s="1" t="s">
        <v>512</v>
      </c>
      <c r="K2676" s="1" t="s">
        <v>512</v>
      </c>
      <c r="L2676" s="1" t="s">
        <v>512</v>
      </c>
      <c r="M2676" s="1" t="s">
        <v>512</v>
      </c>
      <c r="N2676" s="1" t="s">
        <v>512</v>
      </c>
      <c r="O2676" s="1" t="s">
        <v>512</v>
      </c>
    </row>
    <row r="2677" spans="4:15" x14ac:dyDescent="0.25">
      <c r="D2677" s="1" t="s">
        <v>512</v>
      </c>
      <c r="E2677" s="21" t="s">
        <v>512</v>
      </c>
      <c r="F2677" s="1" t="s">
        <v>512</v>
      </c>
      <c r="G2677" s="1" t="s">
        <v>512</v>
      </c>
      <c r="H2677" s="1" t="s">
        <v>512</v>
      </c>
      <c r="I2677" s="1" t="s">
        <v>512</v>
      </c>
      <c r="J2677" s="1" t="s">
        <v>512</v>
      </c>
      <c r="K2677" s="1" t="s">
        <v>512</v>
      </c>
      <c r="L2677" s="1" t="s">
        <v>512</v>
      </c>
      <c r="M2677" s="1" t="s">
        <v>512</v>
      </c>
      <c r="N2677" s="1" t="s">
        <v>512</v>
      </c>
      <c r="O2677" s="1" t="s">
        <v>512</v>
      </c>
    </row>
    <row r="2678" spans="4:15" x14ac:dyDescent="0.25">
      <c r="D2678" s="1" t="s">
        <v>512</v>
      </c>
      <c r="E2678" s="21" t="s">
        <v>512</v>
      </c>
      <c r="F2678" s="1" t="s">
        <v>512</v>
      </c>
      <c r="G2678" s="1" t="s">
        <v>512</v>
      </c>
      <c r="H2678" s="1" t="s">
        <v>512</v>
      </c>
      <c r="I2678" s="1" t="s">
        <v>512</v>
      </c>
      <c r="J2678" s="1" t="s">
        <v>512</v>
      </c>
      <c r="K2678" s="1" t="s">
        <v>512</v>
      </c>
      <c r="L2678" s="1" t="s">
        <v>512</v>
      </c>
      <c r="M2678" s="1" t="s">
        <v>512</v>
      </c>
      <c r="N2678" s="1" t="s">
        <v>512</v>
      </c>
      <c r="O2678" s="1" t="s">
        <v>512</v>
      </c>
    </row>
    <row r="2679" spans="4:15" x14ac:dyDescent="0.25">
      <c r="D2679" s="1" t="s">
        <v>512</v>
      </c>
      <c r="E2679" s="21" t="s">
        <v>512</v>
      </c>
      <c r="F2679" s="1" t="s">
        <v>512</v>
      </c>
      <c r="G2679" s="1" t="s">
        <v>512</v>
      </c>
      <c r="H2679" s="1" t="s">
        <v>512</v>
      </c>
      <c r="I2679" s="1" t="s">
        <v>512</v>
      </c>
      <c r="J2679" s="1" t="s">
        <v>512</v>
      </c>
      <c r="K2679" s="1" t="s">
        <v>512</v>
      </c>
      <c r="L2679" s="1" t="s">
        <v>512</v>
      </c>
      <c r="M2679" s="1" t="s">
        <v>512</v>
      </c>
      <c r="N2679" s="1" t="s">
        <v>512</v>
      </c>
      <c r="O2679" s="1" t="s">
        <v>512</v>
      </c>
    </row>
    <row r="2680" spans="4:15" x14ac:dyDescent="0.25">
      <c r="D2680" s="1" t="s">
        <v>512</v>
      </c>
      <c r="E2680" s="21" t="s">
        <v>512</v>
      </c>
      <c r="F2680" s="1" t="s">
        <v>512</v>
      </c>
      <c r="G2680" s="1" t="s">
        <v>512</v>
      </c>
      <c r="H2680" s="1" t="s">
        <v>512</v>
      </c>
      <c r="I2680" s="1" t="s">
        <v>512</v>
      </c>
      <c r="J2680" s="1" t="s">
        <v>512</v>
      </c>
      <c r="K2680" s="1" t="s">
        <v>512</v>
      </c>
      <c r="L2680" s="1" t="s">
        <v>512</v>
      </c>
      <c r="M2680" s="1" t="s">
        <v>512</v>
      </c>
      <c r="N2680" s="1" t="s">
        <v>512</v>
      </c>
      <c r="O2680" s="1" t="s">
        <v>512</v>
      </c>
    </row>
    <row r="2681" spans="4:15" x14ac:dyDescent="0.25">
      <c r="D2681" s="1" t="s">
        <v>512</v>
      </c>
      <c r="E2681" s="21" t="s">
        <v>512</v>
      </c>
      <c r="F2681" s="1" t="s">
        <v>512</v>
      </c>
      <c r="G2681" s="1" t="s">
        <v>512</v>
      </c>
      <c r="H2681" s="1" t="s">
        <v>512</v>
      </c>
      <c r="I2681" s="1" t="s">
        <v>512</v>
      </c>
      <c r="J2681" s="1" t="s">
        <v>512</v>
      </c>
      <c r="K2681" s="1" t="s">
        <v>512</v>
      </c>
      <c r="L2681" s="1" t="s">
        <v>512</v>
      </c>
      <c r="M2681" s="1" t="s">
        <v>512</v>
      </c>
      <c r="N2681" s="1" t="s">
        <v>512</v>
      </c>
      <c r="O2681" s="1" t="s">
        <v>512</v>
      </c>
    </row>
    <row r="2682" spans="4:15" x14ac:dyDescent="0.25">
      <c r="D2682" s="1" t="s">
        <v>512</v>
      </c>
      <c r="E2682" s="21" t="s">
        <v>512</v>
      </c>
      <c r="F2682" s="1" t="s">
        <v>512</v>
      </c>
      <c r="G2682" s="1" t="s">
        <v>512</v>
      </c>
      <c r="H2682" s="1" t="s">
        <v>512</v>
      </c>
      <c r="I2682" s="1" t="s">
        <v>512</v>
      </c>
      <c r="J2682" s="1" t="s">
        <v>512</v>
      </c>
      <c r="K2682" s="1" t="s">
        <v>512</v>
      </c>
      <c r="L2682" s="1" t="s">
        <v>512</v>
      </c>
      <c r="M2682" s="1" t="s">
        <v>512</v>
      </c>
      <c r="N2682" s="1" t="s">
        <v>512</v>
      </c>
      <c r="O2682" s="1" t="s">
        <v>512</v>
      </c>
    </row>
    <row r="2683" spans="4:15" x14ac:dyDescent="0.25">
      <c r="D2683" s="1" t="s">
        <v>512</v>
      </c>
      <c r="E2683" s="21" t="s">
        <v>512</v>
      </c>
      <c r="F2683" s="1" t="s">
        <v>512</v>
      </c>
      <c r="G2683" s="1" t="s">
        <v>512</v>
      </c>
      <c r="H2683" s="1" t="s">
        <v>512</v>
      </c>
      <c r="I2683" s="1" t="s">
        <v>512</v>
      </c>
      <c r="J2683" s="1" t="s">
        <v>512</v>
      </c>
      <c r="K2683" s="1" t="s">
        <v>512</v>
      </c>
      <c r="L2683" s="1" t="s">
        <v>512</v>
      </c>
      <c r="M2683" s="1" t="s">
        <v>512</v>
      </c>
      <c r="N2683" s="1" t="s">
        <v>512</v>
      </c>
      <c r="O2683" s="1" t="s">
        <v>512</v>
      </c>
    </row>
    <row r="2684" spans="4:15" x14ac:dyDescent="0.25">
      <c r="D2684" s="1" t="s">
        <v>512</v>
      </c>
      <c r="E2684" s="21" t="s">
        <v>512</v>
      </c>
      <c r="F2684" s="1" t="s">
        <v>512</v>
      </c>
      <c r="G2684" s="1" t="s">
        <v>512</v>
      </c>
      <c r="H2684" s="1" t="s">
        <v>512</v>
      </c>
      <c r="I2684" s="1" t="s">
        <v>512</v>
      </c>
      <c r="J2684" s="1" t="s">
        <v>512</v>
      </c>
      <c r="K2684" s="1" t="s">
        <v>512</v>
      </c>
      <c r="L2684" s="1" t="s">
        <v>512</v>
      </c>
      <c r="M2684" s="1" t="s">
        <v>512</v>
      </c>
      <c r="N2684" s="1" t="s">
        <v>512</v>
      </c>
      <c r="O2684" s="1" t="s">
        <v>512</v>
      </c>
    </row>
    <row r="2685" spans="4:15" x14ac:dyDescent="0.25">
      <c r="D2685" s="1" t="s">
        <v>512</v>
      </c>
      <c r="E2685" s="21" t="s">
        <v>512</v>
      </c>
      <c r="F2685" s="1" t="s">
        <v>512</v>
      </c>
      <c r="G2685" s="1" t="s">
        <v>512</v>
      </c>
      <c r="H2685" s="1" t="s">
        <v>512</v>
      </c>
      <c r="I2685" s="1" t="s">
        <v>512</v>
      </c>
      <c r="J2685" s="1" t="s">
        <v>512</v>
      </c>
      <c r="K2685" s="1" t="s">
        <v>512</v>
      </c>
      <c r="L2685" s="1" t="s">
        <v>512</v>
      </c>
      <c r="M2685" s="1" t="s">
        <v>512</v>
      </c>
      <c r="N2685" s="1" t="s">
        <v>512</v>
      </c>
      <c r="O2685" s="1" t="s">
        <v>512</v>
      </c>
    </row>
    <row r="2686" spans="4:15" x14ac:dyDescent="0.25">
      <c r="D2686" s="1" t="s">
        <v>512</v>
      </c>
      <c r="E2686" s="21" t="s">
        <v>512</v>
      </c>
      <c r="F2686" s="1" t="s">
        <v>512</v>
      </c>
      <c r="G2686" s="1" t="s">
        <v>512</v>
      </c>
      <c r="H2686" s="1" t="s">
        <v>512</v>
      </c>
      <c r="I2686" s="1" t="s">
        <v>512</v>
      </c>
      <c r="J2686" s="1" t="s">
        <v>512</v>
      </c>
      <c r="K2686" s="1" t="s">
        <v>512</v>
      </c>
      <c r="L2686" s="1" t="s">
        <v>512</v>
      </c>
      <c r="M2686" s="1" t="s">
        <v>512</v>
      </c>
      <c r="N2686" s="1" t="s">
        <v>512</v>
      </c>
      <c r="O2686" s="1" t="s">
        <v>512</v>
      </c>
    </row>
    <row r="2687" spans="4:15" x14ac:dyDescent="0.25">
      <c r="D2687" s="1" t="s">
        <v>512</v>
      </c>
      <c r="E2687" s="21" t="s">
        <v>512</v>
      </c>
      <c r="F2687" s="1" t="s">
        <v>512</v>
      </c>
      <c r="G2687" s="1" t="s">
        <v>512</v>
      </c>
      <c r="H2687" s="1" t="s">
        <v>512</v>
      </c>
      <c r="I2687" s="1" t="s">
        <v>512</v>
      </c>
      <c r="J2687" s="1" t="s">
        <v>512</v>
      </c>
      <c r="K2687" s="1" t="s">
        <v>512</v>
      </c>
      <c r="L2687" s="1" t="s">
        <v>512</v>
      </c>
      <c r="M2687" s="1" t="s">
        <v>512</v>
      </c>
      <c r="N2687" s="1" t="s">
        <v>512</v>
      </c>
      <c r="O2687" s="1" t="s">
        <v>512</v>
      </c>
    </row>
    <row r="2688" spans="4:15" x14ac:dyDescent="0.25">
      <c r="D2688" s="1" t="s">
        <v>512</v>
      </c>
      <c r="E2688" s="21" t="s">
        <v>512</v>
      </c>
      <c r="F2688" s="1" t="s">
        <v>512</v>
      </c>
      <c r="G2688" s="1" t="s">
        <v>512</v>
      </c>
      <c r="H2688" s="1" t="s">
        <v>512</v>
      </c>
      <c r="I2688" s="1" t="s">
        <v>512</v>
      </c>
      <c r="J2688" s="1" t="s">
        <v>512</v>
      </c>
      <c r="K2688" s="1" t="s">
        <v>512</v>
      </c>
      <c r="L2688" s="1" t="s">
        <v>512</v>
      </c>
      <c r="M2688" s="1" t="s">
        <v>512</v>
      </c>
      <c r="N2688" s="1" t="s">
        <v>512</v>
      </c>
      <c r="O2688" s="1" t="s">
        <v>512</v>
      </c>
    </row>
    <row r="2689" spans="4:15" x14ac:dyDescent="0.25">
      <c r="D2689" s="1" t="s">
        <v>512</v>
      </c>
      <c r="E2689" s="21" t="s">
        <v>512</v>
      </c>
      <c r="F2689" s="1" t="s">
        <v>512</v>
      </c>
      <c r="G2689" s="1" t="s">
        <v>512</v>
      </c>
      <c r="H2689" s="1" t="s">
        <v>512</v>
      </c>
      <c r="I2689" s="1" t="s">
        <v>512</v>
      </c>
      <c r="J2689" s="1" t="s">
        <v>512</v>
      </c>
      <c r="K2689" s="1" t="s">
        <v>512</v>
      </c>
      <c r="L2689" s="1" t="s">
        <v>512</v>
      </c>
      <c r="M2689" s="1" t="s">
        <v>512</v>
      </c>
      <c r="N2689" s="1" t="s">
        <v>512</v>
      </c>
      <c r="O2689" s="1" t="s">
        <v>512</v>
      </c>
    </row>
    <row r="2690" spans="4:15" x14ac:dyDescent="0.25">
      <c r="D2690" s="1" t="s">
        <v>512</v>
      </c>
      <c r="E2690" s="21" t="s">
        <v>512</v>
      </c>
      <c r="F2690" s="1" t="s">
        <v>512</v>
      </c>
      <c r="G2690" s="1" t="s">
        <v>512</v>
      </c>
      <c r="H2690" s="1" t="s">
        <v>512</v>
      </c>
      <c r="I2690" s="1" t="s">
        <v>512</v>
      </c>
      <c r="J2690" s="1" t="s">
        <v>512</v>
      </c>
      <c r="K2690" s="1" t="s">
        <v>512</v>
      </c>
      <c r="L2690" s="1" t="s">
        <v>512</v>
      </c>
      <c r="M2690" s="1" t="s">
        <v>512</v>
      </c>
      <c r="N2690" s="1" t="s">
        <v>512</v>
      </c>
      <c r="O2690" s="1" t="s">
        <v>512</v>
      </c>
    </row>
    <row r="2691" spans="4:15" x14ac:dyDescent="0.25">
      <c r="D2691" s="1" t="s">
        <v>512</v>
      </c>
      <c r="E2691" s="21" t="s">
        <v>512</v>
      </c>
      <c r="F2691" s="1" t="s">
        <v>512</v>
      </c>
      <c r="G2691" s="1" t="s">
        <v>512</v>
      </c>
      <c r="H2691" s="1" t="s">
        <v>512</v>
      </c>
      <c r="I2691" s="1" t="s">
        <v>512</v>
      </c>
      <c r="J2691" s="1" t="s">
        <v>512</v>
      </c>
      <c r="K2691" s="1" t="s">
        <v>512</v>
      </c>
      <c r="L2691" s="1" t="s">
        <v>512</v>
      </c>
      <c r="M2691" s="1" t="s">
        <v>512</v>
      </c>
      <c r="N2691" s="1" t="s">
        <v>512</v>
      </c>
      <c r="O2691" s="1" t="s">
        <v>512</v>
      </c>
    </row>
    <row r="2692" spans="4:15" x14ac:dyDescent="0.25">
      <c r="D2692" s="1" t="s">
        <v>512</v>
      </c>
      <c r="E2692" s="21" t="s">
        <v>512</v>
      </c>
      <c r="F2692" s="1" t="s">
        <v>512</v>
      </c>
      <c r="G2692" s="1" t="s">
        <v>512</v>
      </c>
      <c r="H2692" s="1" t="s">
        <v>512</v>
      </c>
      <c r="I2692" s="1" t="s">
        <v>512</v>
      </c>
      <c r="J2692" s="1" t="s">
        <v>512</v>
      </c>
      <c r="K2692" s="1" t="s">
        <v>512</v>
      </c>
      <c r="L2692" s="1" t="s">
        <v>512</v>
      </c>
      <c r="M2692" s="1" t="s">
        <v>512</v>
      </c>
      <c r="N2692" s="1" t="s">
        <v>512</v>
      </c>
      <c r="O2692" s="1" t="s">
        <v>512</v>
      </c>
    </row>
    <row r="2693" spans="4:15" x14ac:dyDescent="0.25">
      <c r="D2693" s="1" t="s">
        <v>512</v>
      </c>
      <c r="E2693" s="21" t="s">
        <v>512</v>
      </c>
      <c r="F2693" s="1" t="s">
        <v>512</v>
      </c>
      <c r="G2693" s="1" t="s">
        <v>512</v>
      </c>
      <c r="H2693" s="1" t="s">
        <v>512</v>
      </c>
      <c r="I2693" s="1" t="s">
        <v>512</v>
      </c>
      <c r="J2693" s="1" t="s">
        <v>512</v>
      </c>
      <c r="K2693" s="1" t="s">
        <v>512</v>
      </c>
      <c r="L2693" s="1" t="s">
        <v>512</v>
      </c>
      <c r="M2693" s="1" t="s">
        <v>512</v>
      </c>
      <c r="N2693" s="1" t="s">
        <v>512</v>
      </c>
      <c r="O2693" s="1" t="s">
        <v>512</v>
      </c>
    </row>
    <row r="2694" spans="4:15" x14ac:dyDescent="0.25">
      <c r="D2694" s="1" t="s">
        <v>512</v>
      </c>
      <c r="E2694" s="21" t="s">
        <v>512</v>
      </c>
      <c r="F2694" s="1" t="s">
        <v>512</v>
      </c>
      <c r="G2694" s="1" t="s">
        <v>512</v>
      </c>
      <c r="H2694" s="1" t="s">
        <v>512</v>
      </c>
      <c r="I2694" s="1" t="s">
        <v>512</v>
      </c>
      <c r="J2694" s="1" t="s">
        <v>512</v>
      </c>
      <c r="K2694" s="1" t="s">
        <v>512</v>
      </c>
      <c r="L2694" s="1" t="s">
        <v>512</v>
      </c>
      <c r="M2694" s="1" t="s">
        <v>512</v>
      </c>
      <c r="N2694" s="1" t="s">
        <v>512</v>
      </c>
      <c r="O2694" s="1" t="s">
        <v>512</v>
      </c>
    </row>
    <row r="2695" spans="4:15" x14ac:dyDescent="0.25">
      <c r="D2695" s="1" t="s">
        <v>512</v>
      </c>
      <c r="E2695" s="21" t="s">
        <v>512</v>
      </c>
      <c r="F2695" s="1" t="s">
        <v>512</v>
      </c>
      <c r="G2695" s="1" t="s">
        <v>512</v>
      </c>
      <c r="H2695" s="1" t="s">
        <v>512</v>
      </c>
      <c r="I2695" s="1" t="s">
        <v>512</v>
      </c>
      <c r="J2695" s="1" t="s">
        <v>512</v>
      </c>
      <c r="K2695" s="1" t="s">
        <v>512</v>
      </c>
      <c r="L2695" s="1" t="s">
        <v>512</v>
      </c>
      <c r="M2695" s="1" t="s">
        <v>512</v>
      </c>
      <c r="N2695" s="1" t="s">
        <v>512</v>
      </c>
      <c r="O2695" s="1" t="s">
        <v>512</v>
      </c>
    </row>
    <row r="2696" spans="4:15" x14ac:dyDescent="0.25">
      <c r="D2696" s="1" t="s">
        <v>512</v>
      </c>
      <c r="E2696" s="21" t="s">
        <v>512</v>
      </c>
      <c r="F2696" s="1" t="s">
        <v>512</v>
      </c>
      <c r="G2696" s="1" t="s">
        <v>512</v>
      </c>
      <c r="H2696" s="1" t="s">
        <v>512</v>
      </c>
      <c r="I2696" s="1" t="s">
        <v>512</v>
      </c>
      <c r="J2696" s="1" t="s">
        <v>512</v>
      </c>
      <c r="K2696" s="1" t="s">
        <v>512</v>
      </c>
      <c r="L2696" s="1" t="s">
        <v>512</v>
      </c>
      <c r="M2696" s="1" t="s">
        <v>512</v>
      </c>
      <c r="N2696" s="1" t="s">
        <v>512</v>
      </c>
      <c r="O2696" s="1" t="s">
        <v>512</v>
      </c>
    </row>
    <row r="2697" spans="4:15" x14ac:dyDescent="0.25">
      <c r="D2697" s="1" t="s">
        <v>512</v>
      </c>
      <c r="E2697" s="21" t="s">
        <v>512</v>
      </c>
      <c r="F2697" s="1" t="s">
        <v>512</v>
      </c>
      <c r="G2697" s="1" t="s">
        <v>512</v>
      </c>
      <c r="H2697" s="1" t="s">
        <v>512</v>
      </c>
      <c r="I2697" s="1" t="s">
        <v>512</v>
      </c>
      <c r="J2697" s="1" t="s">
        <v>512</v>
      </c>
      <c r="K2697" s="1" t="s">
        <v>512</v>
      </c>
      <c r="L2697" s="1" t="s">
        <v>512</v>
      </c>
      <c r="M2697" s="1" t="s">
        <v>512</v>
      </c>
      <c r="N2697" s="1" t="s">
        <v>512</v>
      </c>
      <c r="O2697" s="1" t="s">
        <v>512</v>
      </c>
    </row>
    <row r="2698" spans="4:15" x14ac:dyDescent="0.25">
      <c r="D2698" s="1" t="s">
        <v>512</v>
      </c>
      <c r="E2698" s="21" t="s">
        <v>512</v>
      </c>
      <c r="F2698" s="1" t="s">
        <v>512</v>
      </c>
      <c r="G2698" s="1" t="s">
        <v>512</v>
      </c>
      <c r="H2698" s="1" t="s">
        <v>512</v>
      </c>
      <c r="I2698" s="1" t="s">
        <v>512</v>
      </c>
      <c r="J2698" s="1" t="s">
        <v>512</v>
      </c>
      <c r="K2698" s="1" t="s">
        <v>512</v>
      </c>
      <c r="L2698" s="1" t="s">
        <v>512</v>
      </c>
      <c r="M2698" s="1" t="s">
        <v>512</v>
      </c>
      <c r="N2698" s="1" t="s">
        <v>512</v>
      </c>
      <c r="O2698" s="1" t="s">
        <v>512</v>
      </c>
    </row>
    <row r="2699" spans="4:15" x14ac:dyDescent="0.25">
      <c r="D2699" s="1" t="s">
        <v>512</v>
      </c>
      <c r="E2699" s="21" t="s">
        <v>512</v>
      </c>
      <c r="F2699" s="1" t="s">
        <v>512</v>
      </c>
      <c r="G2699" s="1" t="s">
        <v>512</v>
      </c>
      <c r="H2699" s="1" t="s">
        <v>512</v>
      </c>
      <c r="I2699" s="1" t="s">
        <v>512</v>
      </c>
      <c r="J2699" s="1" t="s">
        <v>512</v>
      </c>
      <c r="K2699" s="1" t="s">
        <v>512</v>
      </c>
      <c r="L2699" s="1" t="s">
        <v>512</v>
      </c>
      <c r="M2699" s="1" t="s">
        <v>512</v>
      </c>
      <c r="N2699" s="1" t="s">
        <v>512</v>
      </c>
      <c r="O2699" s="1" t="s">
        <v>512</v>
      </c>
    </row>
    <row r="2700" spans="4:15" x14ac:dyDescent="0.25">
      <c r="D2700" s="1" t="s">
        <v>512</v>
      </c>
      <c r="E2700" s="21" t="s">
        <v>512</v>
      </c>
      <c r="F2700" s="1" t="s">
        <v>512</v>
      </c>
      <c r="G2700" s="1" t="s">
        <v>512</v>
      </c>
      <c r="H2700" s="1" t="s">
        <v>512</v>
      </c>
      <c r="I2700" s="1" t="s">
        <v>512</v>
      </c>
      <c r="J2700" s="1" t="s">
        <v>512</v>
      </c>
      <c r="K2700" s="1" t="s">
        <v>512</v>
      </c>
      <c r="L2700" s="1" t="s">
        <v>512</v>
      </c>
      <c r="M2700" s="1" t="s">
        <v>512</v>
      </c>
      <c r="N2700" s="1" t="s">
        <v>512</v>
      </c>
      <c r="O2700" s="1" t="s">
        <v>512</v>
      </c>
    </row>
    <row r="2701" spans="4:15" x14ac:dyDescent="0.25">
      <c r="D2701" s="1" t="s">
        <v>512</v>
      </c>
      <c r="E2701" s="21" t="s">
        <v>512</v>
      </c>
      <c r="F2701" s="1" t="s">
        <v>512</v>
      </c>
      <c r="G2701" s="1" t="s">
        <v>512</v>
      </c>
      <c r="H2701" s="1" t="s">
        <v>512</v>
      </c>
      <c r="I2701" s="1" t="s">
        <v>512</v>
      </c>
      <c r="J2701" s="1" t="s">
        <v>512</v>
      </c>
      <c r="K2701" s="1" t="s">
        <v>512</v>
      </c>
      <c r="L2701" s="1" t="s">
        <v>512</v>
      </c>
      <c r="M2701" s="1" t="s">
        <v>512</v>
      </c>
      <c r="N2701" s="1" t="s">
        <v>512</v>
      </c>
      <c r="O2701" s="1" t="s">
        <v>512</v>
      </c>
    </row>
    <row r="2702" spans="4:15" x14ac:dyDescent="0.25">
      <c r="D2702" s="1" t="s">
        <v>512</v>
      </c>
      <c r="E2702" s="21" t="s">
        <v>512</v>
      </c>
      <c r="F2702" s="1" t="s">
        <v>512</v>
      </c>
      <c r="G2702" s="1" t="s">
        <v>512</v>
      </c>
      <c r="H2702" s="1" t="s">
        <v>512</v>
      </c>
      <c r="I2702" s="1" t="s">
        <v>512</v>
      </c>
      <c r="J2702" s="1" t="s">
        <v>512</v>
      </c>
      <c r="K2702" s="1" t="s">
        <v>512</v>
      </c>
      <c r="L2702" s="1" t="s">
        <v>512</v>
      </c>
      <c r="M2702" s="1" t="s">
        <v>512</v>
      </c>
      <c r="N2702" s="1" t="s">
        <v>512</v>
      </c>
      <c r="O2702" s="1" t="s">
        <v>512</v>
      </c>
    </row>
    <row r="2703" spans="4:15" x14ac:dyDescent="0.25">
      <c r="D2703" s="1" t="s">
        <v>512</v>
      </c>
      <c r="E2703" s="21" t="s">
        <v>512</v>
      </c>
      <c r="F2703" s="1" t="s">
        <v>512</v>
      </c>
      <c r="G2703" s="1" t="s">
        <v>512</v>
      </c>
      <c r="H2703" s="1" t="s">
        <v>512</v>
      </c>
      <c r="I2703" s="1" t="s">
        <v>512</v>
      </c>
      <c r="J2703" s="1" t="s">
        <v>512</v>
      </c>
      <c r="K2703" s="1" t="s">
        <v>512</v>
      </c>
      <c r="L2703" s="1" t="s">
        <v>512</v>
      </c>
      <c r="M2703" s="1" t="s">
        <v>512</v>
      </c>
      <c r="N2703" s="1" t="s">
        <v>512</v>
      </c>
      <c r="O2703" s="1" t="s">
        <v>512</v>
      </c>
    </row>
    <row r="2704" spans="4:15" x14ac:dyDescent="0.25">
      <c r="D2704" s="1" t="s">
        <v>512</v>
      </c>
      <c r="E2704" s="21" t="s">
        <v>512</v>
      </c>
      <c r="F2704" s="1" t="s">
        <v>512</v>
      </c>
      <c r="G2704" s="1" t="s">
        <v>512</v>
      </c>
      <c r="H2704" s="1" t="s">
        <v>512</v>
      </c>
      <c r="I2704" s="1" t="s">
        <v>512</v>
      </c>
      <c r="J2704" s="1" t="s">
        <v>512</v>
      </c>
      <c r="K2704" s="1" t="s">
        <v>512</v>
      </c>
      <c r="L2704" s="1" t="s">
        <v>512</v>
      </c>
      <c r="M2704" s="1" t="s">
        <v>512</v>
      </c>
      <c r="N2704" s="1" t="s">
        <v>512</v>
      </c>
      <c r="O2704" s="1" t="s">
        <v>512</v>
      </c>
    </row>
    <row r="2705" spans="4:15" x14ac:dyDescent="0.25">
      <c r="D2705" s="1" t="s">
        <v>512</v>
      </c>
      <c r="E2705" s="21" t="s">
        <v>512</v>
      </c>
      <c r="F2705" s="1" t="s">
        <v>512</v>
      </c>
      <c r="G2705" s="1" t="s">
        <v>512</v>
      </c>
      <c r="H2705" s="1" t="s">
        <v>512</v>
      </c>
      <c r="I2705" s="1" t="s">
        <v>512</v>
      </c>
      <c r="J2705" s="1" t="s">
        <v>512</v>
      </c>
      <c r="K2705" s="1" t="s">
        <v>512</v>
      </c>
      <c r="L2705" s="1" t="s">
        <v>512</v>
      </c>
      <c r="M2705" s="1" t="s">
        <v>512</v>
      </c>
      <c r="N2705" s="1" t="s">
        <v>512</v>
      </c>
      <c r="O2705" s="1" t="s">
        <v>512</v>
      </c>
    </row>
    <row r="2706" spans="4:15" x14ac:dyDescent="0.25">
      <c r="D2706" s="1" t="s">
        <v>512</v>
      </c>
      <c r="E2706" s="21" t="s">
        <v>512</v>
      </c>
      <c r="F2706" s="1" t="s">
        <v>512</v>
      </c>
      <c r="G2706" s="1" t="s">
        <v>512</v>
      </c>
      <c r="H2706" s="1" t="s">
        <v>512</v>
      </c>
      <c r="I2706" s="1" t="s">
        <v>512</v>
      </c>
      <c r="J2706" s="1" t="s">
        <v>512</v>
      </c>
      <c r="K2706" s="1" t="s">
        <v>512</v>
      </c>
      <c r="L2706" s="1" t="s">
        <v>512</v>
      </c>
      <c r="M2706" s="1" t="s">
        <v>512</v>
      </c>
      <c r="N2706" s="1" t="s">
        <v>512</v>
      </c>
      <c r="O2706" s="1" t="s">
        <v>512</v>
      </c>
    </row>
    <row r="2707" spans="4:15" x14ac:dyDescent="0.25">
      <c r="D2707" s="1" t="s">
        <v>512</v>
      </c>
      <c r="E2707" s="21" t="s">
        <v>512</v>
      </c>
      <c r="F2707" s="1" t="s">
        <v>512</v>
      </c>
      <c r="G2707" s="1" t="s">
        <v>512</v>
      </c>
      <c r="H2707" s="1" t="s">
        <v>512</v>
      </c>
      <c r="I2707" s="1" t="s">
        <v>512</v>
      </c>
      <c r="J2707" s="1" t="s">
        <v>512</v>
      </c>
      <c r="K2707" s="1" t="s">
        <v>512</v>
      </c>
      <c r="L2707" s="1" t="s">
        <v>512</v>
      </c>
      <c r="M2707" s="1" t="s">
        <v>512</v>
      </c>
      <c r="N2707" s="1" t="s">
        <v>512</v>
      </c>
      <c r="O2707" s="1" t="s">
        <v>512</v>
      </c>
    </row>
    <row r="2708" spans="4:15" x14ac:dyDescent="0.25">
      <c r="D2708" s="1" t="s">
        <v>512</v>
      </c>
      <c r="E2708" s="21" t="s">
        <v>512</v>
      </c>
      <c r="F2708" s="1" t="s">
        <v>512</v>
      </c>
      <c r="G2708" s="1" t="s">
        <v>512</v>
      </c>
      <c r="H2708" s="1" t="s">
        <v>512</v>
      </c>
      <c r="I2708" s="1" t="s">
        <v>512</v>
      </c>
      <c r="J2708" s="1" t="s">
        <v>512</v>
      </c>
      <c r="K2708" s="1" t="s">
        <v>512</v>
      </c>
      <c r="L2708" s="1" t="s">
        <v>512</v>
      </c>
      <c r="M2708" s="1" t="s">
        <v>512</v>
      </c>
      <c r="N2708" s="1" t="s">
        <v>512</v>
      </c>
      <c r="O2708" s="1" t="s">
        <v>512</v>
      </c>
    </row>
    <row r="2709" spans="4:15" x14ac:dyDescent="0.25">
      <c r="D2709" s="1" t="s">
        <v>512</v>
      </c>
      <c r="E2709" s="21" t="s">
        <v>512</v>
      </c>
      <c r="F2709" s="1" t="s">
        <v>512</v>
      </c>
      <c r="G2709" s="1" t="s">
        <v>512</v>
      </c>
      <c r="H2709" s="1" t="s">
        <v>512</v>
      </c>
      <c r="I2709" s="1" t="s">
        <v>512</v>
      </c>
      <c r="J2709" s="1" t="s">
        <v>512</v>
      </c>
      <c r="K2709" s="1" t="s">
        <v>512</v>
      </c>
      <c r="L2709" s="1" t="s">
        <v>512</v>
      </c>
      <c r="M2709" s="1" t="s">
        <v>512</v>
      </c>
      <c r="N2709" s="1" t="s">
        <v>512</v>
      </c>
      <c r="O2709" s="1" t="s">
        <v>512</v>
      </c>
    </row>
    <row r="2710" spans="4:15" x14ac:dyDescent="0.25">
      <c r="D2710" s="1" t="s">
        <v>512</v>
      </c>
      <c r="E2710" s="21" t="s">
        <v>512</v>
      </c>
      <c r="F2710" s="1" t="s">
        <v>512</v>
      </c>
      <c r="G2710" s="1" t="s">
        <v>512</v>
      </c>
      <c r="H2710" s="1" t="s">
        <v>512</v>
      </c>
      <c r="I2710" s="1" t="s">
        <v>512</v>
      </c>
      <c r="J2710" s="1" t="s">
        <v>512</v>
      </c>
      <c r="K2710" s="1" t="s">
        <v>512</v>
      </c>
      <c r="L2710" s="1" t="s">
        <v>512</v>
      </c>
      <c r="M2710" s="1" t="s">
        <v>512</v>
      </c>
      <c r="N2710" s="1" t="s">
        <v>512</v>
      </c>
      <c r="O2710" s="1" t="s">
        <v>512</v>
      </c>
    </row>
    <row r="2711" spans="4:15" x14ac:dyDescent="0.25">
      <c r="D2711" s="1" t="s">
        <v>512</v>
      </c>
      <c r="E2711" s="21" t="s">
        <v>512</v>
      </c>
      <c r="F2711" s="1" t="s">
        <v>512</v>
      </c>
      <c r="G2711" s="1" t="s">
        <v>512</v>
      </c>
      <c r="H2711" s="1" t="s">
        <v>512</v>
      </c>
      <c r="I2711" s="1" t="s">
        <v>512</v>
      </c>
      <c r="J2711" s="1" t="s">
        <v>512</v>
      </c>
      <c r="K2711" s="1" t="s">
        <v>512</v>
      </c>
      <c r="L2711" s="1" t="s">
        <v>512</v>
      </c>
      <c r="M2711" s="1" t="s">
        <v>512</v>
      </c>
      <c r="N2711" s="1" t="s">
        <v>512</v>
      </c>
      <c r="O2711" s="1" t="s">
        <v>512</v>
      </c>
    </row>
    <row r="2712" spans="4:15" x14ac:dyDescent="0.25">
      <c r="D2712" s="1" t="s">
        <v>512</v>
      </c>
      <c r="E2712" s="21" t="s">
        <v>512</v>
      </c>
      <c r="F2712" s="1" t="s">
        <v>512</v>
      </c>
      <c r="G2712" s="1" t="s">
        <v>512</v>
      </c>
      <c r="H2712" s="1" t="s">
        <v>512</v>
      </c>
      <c r="I2712" s="1" t="s">
        <v>512</v>
      </c>
      <c r="J2712" s="1" t="s">
        <v>512</v>
      </c>
      <c r="K2712" s="1" t="s">
        <v>512</v>
      </c>
      <c r="L2712" s="1" t="s">
        <v>512</v>
      </c>
      <c r="M2712" s="1" t="s">
        <v>512</v>
      </c>
      <c r="N2712" s="1" t="s">
        <v>512</v>
      </c>
      <c r="O2712" s="1" t="s">
        <v>512</v>
      </c>
    </row>
    <row r="2713" spans="4:15" x14ac:dyDescent="0.25">
      <c r="D2713" s="1" t="s">
        <v>512</v>
      </c>
      <c r="E2713" s="21" t="s">
        <v>512</v>
      </c>
      <c r="F2713" s="1" t="s">
        <v>512</v>
      </c>
      <c r="G2713" s="1" t="s">
        <v>512</v>
      </c>
      <c r="H2713" s="1" t="s">
        <v>512</v>
      </c>
      <c r="I2713" s="1" t="s">
        <v>512</v>
      </c>
      <c r="J2713" s="1" t="s">
        <v>512</v>
      </c>
      <c r="K2713" s="1" t="s">
        <v>512</v>
      </c>
      <c r="L2713" s="1" t="s">
        <v>512</v>
      </c>
      <c r="M2713" s="1" t="s">
        <v>512</v>
      </c>
      <c r="N2713" s="1" t="s">
        <v>512</v>
      </c>
      <c r="O2713" s="1" t="s">
        <v>512</v>
      </c>
    </row>
    <row r="2714" spans="4:15" x14ac:dyDescent="0.25">
      <c r="D2714" s="1" t="s">
        <v>512</v>
      </c>
      <c r="E2714" s="21" t="s">
        <v>512</v>
      </c>
      <c r="F2714" s="1" t="s">
        <v>512</v>
      </c>
      <c r="G2714" s="1" t="s">
        <v>512</v>
      </c>
      <c r="H2714" s="1" t="s">
        <v>512</v>
      </c>
      <c r="I2714" s="1" t="s">
        <v>512</v>
      </c>
      <c r="J2714" s="1" t="s">
        <v>512</v>
      </c>
      <c r="K2714" s="1" t="s">
        <v>512</v>
      </c>
      <c r="L2714" s="1" t="s">
        <v>512</v>
      </c>
      <c r="M2714" s="1" t="s">
        <v>512</v>
      </c>
      <c r="N2714" s="1" t="s">
        <v>512</v>
      </c>
      <c r="O2714" s="1" t="s">
        <v>512</v>
      </c>
    </row>
    <row r="2715" spans="4:15" x14ac:dyDescent="0.25">
      <c r="D2715" s="1" t="s">
        <v>512</v>
      </c>
      <c r="E2715" s="21" t="s">
        <v>512</v>
      </c>
      <c r="F2715" s="1" t="s">
        <v>512</v>
      </c>
      <c r="G2715" s="1" t="s">
        <v>512</v>
      </c>
      <c r="H2715" s="1" t="s">
        <v>512</v>
      </c>
      <c r="I2715" s="1" t="s">
        <v>512</v>
      </c>
      <c r="J2715" s="1" t="s">
        <v>512</v>
      </c>
      <c r="K2715" s="1" t="s">
        <v>512</v>
      </c>
      <c r="L2715" s="1" t="s">
        <v>512</v>
      </c>
      <c r="M2715" s="1" t="s">
        <v>512</v>
      </c>
      <c r="N2715" s="1" t="s">
        <v>512</v>
      </c>
      <c r="O2715" s="1" t="s">
        <v>512</v>
      </c>
    </row>
    <row r="2716" spans="4:15" x14ac:dyDescent="0.25">
      <c r="D2716" s="1" t="s">
        <v>512</v>
      </c>
      <c r="E2716" s="21" t="s">
        <v>512</v>
      </c>
      <c r="F2716" s="1" t="s">
        <v>512</v>
      </c>
      <c r="G2716" s="1" t="s">
        <v>512</v>
      </c>
      <c r="H2716" s="1" t="s">
        <v>512</v>
      </c>
      <c r="I2716" s="1" t="s">
        <v>512</v>
      </c>
      <c r="J2716" s="1" t="s">
        <v>512</v>
      </c>
      <c r="K2716" s="1" t="s">
        <v>512</v>
      </c>
      <c r="L2716" s="1" t="s">
        <v>512</v>
      </c>
      <c r="M2716" s="1" t="s">
        <v>512</v>
      </c>
      <c r="N2716" s="1" t="s">
        <v>512</v>
      </c>
      <c r="O2716" s="1" t="s">
        <v>512</v>
      </c>
    </row>
    <row r="2717" spans="4:15" x14ac:dyDescent="0.25">
      <c r="D2717" s="1" t="s">
        <v>512</v>
      </c>
      <c r="E2717" s="21" t="s">
        <v>512</v>
      </c>
      <c r="F2717" s="1" t="s">
        <v>512</v>
      </c>
      <c r="G2717" s="1" t="s">
        <v>512</v>
      </c>
      <c r="H2717" s="1" t="s">
        <v>512</v>
      </c>
      <c r="I2717" s="1" t="s">
        <v>512</v>
      </c>
      <c r="J2717" s="1" t="s">
        <v>512</v>
      </c>
      <c r="K2717" s="1" t="s">
        <v>512</v>
      </c>
      <c r="L2717" s="1" t="s">
        <v>512</v>
      </c>
      <c r="M2717" s="1" t="s">
        <v>512</v>
      </c>
      <c r="N2717" s="1" t="s">
        <v>512</v>
      </c>
      <c r="O2717" s="1" t="s">
        <v>512</v>
      </c>
    </row>
    <row r="2718" spans="4:15" x14ac:dyDescent="0.25">
      <c r="D2718" s="1" t="s">
        <v>512</v>
      </c>
      <c r="E2718" s="21" t="s">
        <v>512</v>
      </c>
      <c r="F2718" s="1" t="s">
        <v>512</v>
      </c>
      <c r="G2718" s="1" t="s">
        <v>512</v>
      </c>
      <c r="H2718" s="1" t="s">
        <v>512</v>
      </c>
      <c r="I2718" s="1" t="s">
        <v>512</v>
      </c>
      <c r="J2718" s="1" t="s">
        <v>512</v>
      </c>
      <c r="K2718" s="1" t="s">
        <v>512</v>
      </c>
      <c r="L2718" s="1" t="s">
        <v>512</v>
      </c>
      <c r="M2718" s="1" t="s">
        <v>512</v>
      </c>
      <c r="N2718" s="1" t="s">
        <v>512</v>
      </c>
      <c r="O2718" s="1" t="s">
        <v>512</v>
      </c>
    </row>
    <row r="2719" spans="4:15" x14ac:dyDescent="0.25">
      <c r="D2719" s="1" t="s">
        <v>512</v>
      </c>
      <c r="E2719" s="21" t="s">
        <v>512</v>
      </c>
      <c r="F2719" s="1" t="s">
        <v>512</v>
      </c>
      <c r="G2719" s="1" t="s">
        <v>512</v>
      </c>
      <c r="H2719" s="1" t="s">
        <v>512</v>
      </c>
      <c r="I2719" s="1" t="s">
        <v>512</v>
      </c>
      <c r="J2719" s="1" t="s">
        <v>512</v>
      </c>
      <c r="K2719" s="1" t="s">
        <v>512</v>
      </c>
      <c r="L2719" s="1" t="s">
        <v>512</v>
      </c>
      <c r="M2719" s="1" t="s">
        <v>512</v>
      </c>
      <c r="N2719" s="1" t="s">
        <v>512</v>
      </c>
      <c r="O2719" s="1" t="s">
        <v>512</v>
      </c>
    </row>
    <row r="2720" spans="4:15" x14ac:dyDescent="0.25">
      <c r="D2720" s="1" t="s">
        <v>512</v>
      </c>
      <c r="E2720" s="21" t="s">
        <v>512</v>
      </c>
      <c r="F2720" s="1" t="s">
        <v>512</v>
      </c>
      <c r="G2720" s="1" t="s">
        <v>512</v>
      </c>
      <c r="H2720" s="1" t="s">
        <v>512</v>
      </c>
      <c r="I2720" s="1" t="s">
        <v>512</v>
      </c>
      <c r="J2720" s="1" t="s">
        <v>512</v>
      </c>
      <c r="K2720" s="1" t="s">
        <v>512</v>
      </c>
      <c r="L2720" s="1" t="s">
        <v>512</v>
      </c>
      <c r="M2720" s="1" t="s">
        <v>512</v>
      </c>
      <c r="N2720" s="1" t="s">
        <v>512</v>
      </c>
      <c r="O2720" s="1" t="s">
        <v>512</v>
      </c>
    </row>
    <row r="2721" spans="4:15" x14ac:dyDescent="0.25">
      <c r="D2721" s="1" t="s">
        <v>512</v>
      </c>
      <c r="E2721" s="21" t="s">
        <v>512</v>
      </c>
      <c r="F2721" s="1" t="s">
        <v>512</v>
      </c>
      <c r="G2721" s="1" t="s">
        <v>512</v>
      </c>
      <c r="H2721" s="1" t="s">
        <v>512</v>
      </c>
      <c r="I2721" s="1" t="s">
        <v>512</v>
      </c>
      <c r="J2721" s="1" t="s">
        <v>512</v>
      </c>
      <c r="K2721" s="1" t="s">
        <v>512</v>
      </c>
      <c r="L2721" s="1" t="s">
        <v>512</v>
      </c>
      <c r="M2721" s="1" t="s">
        <v>512</v>
      </c>
      <c r="N2721" s="1" t="s">
        <v>512</v>
      </c>
      <c r="O2721" s="1" t="s">
        <v>512</v>
      </c>
    </row>
    <row r="2722" spans="4:15" x14ac:dyDescent="0.25">
      <c r="D2722" s="1" t="s">
        <v>512</v>
      </c>
      <c r="E2722" s="21" t="s">
        <v>512</v>
      </c>
      <c r="F2722" s="1" t="s">
        <v>512</v>
      </c>
      <c r="G2722" s="1" t="s">
        <v>512</v>
      </c>
      <c r="H2722" s="1" t="s">
        <v>512</v>
      </c>
      <c r="I2722" s="1" t="s">
        <v>512</v>
      </c>
      <c r="J2722" s="1" t="s">
        <v>512</v>
      </c>
      <c r="K2722" s="1" t="s">
        <v>512</v>
      </c>
      <c r="L2722" s="1" t="s">
        <v>512</v>
      </c>
      <c r="M2722" s="1" t="s">
        <v>512</v>
      </c>
      <c r="N2722" s="1" t="s">
        <v>512</v>
      </c>
      <c r="O2722" s="1" t="s">
        <v>512</v>
      </c>
    </row>
    <row r="2723" spans="4:15" x14ac:dyDescent="0.25">
      <c r="D2723" s="1" t="s">
        <v>512</v>
      </c>
      <c r="E2723" s="21" t="s">
        <v>512</v>
      </c>
      <c r="F2723" s="1" t="s">
        <v>512</v>
      </c>
      <c r="G2723" s="1" t="s">
        <v>512</v>
      </c>
      <c r="H2723" s="1" t="s">
        <v>512</v>
      </c>
      <c r="I2723" s="1" t="s">
        <v>512</v>
      </c>
      <c r="J2723" s="1" t="s">
        <v>512</v>
      </c>
      <c r="K2723" s="1" t="s">
        <v>512</v>
      </c>
      <c r="L2723" s="1" t="s">
        <v>512</v>
      </c>
      <c r="M2723" s="1" t="s">
        <v>512</v>
      </c>
      <c r="N2723" s="1" t="s">
        <v>512</v>
      </c>
      <c r="O2723" s="1" t="s">
        <v>512</v>
      </c>
    </row>
    <row r="2724" spans="4:15" x14ac:dyDescent="0.25">
      <c r="D2724" s="1" t="s">
        <v>512</v>
      </c>
      <c r="E2724" s="21" t="s">
        <v>512</v>
      </c>
      <c r="F2724" s="1" t="s">
        <v>512</v>
      </c>
      <c r="G2724" s="1" t="s">
        <v>512</v>
      </c>
      <c r="H2724" s="1" t="s">
        <v>512</v>
      </c>
      <c r="I2724" s="1" t="s">
        <v>512</v>
      </c>
      <c r="J2724" s="1" t="s">
        <v>512</v>
      </c>
      <c r="K2724" s="1" t="s">
        <v>512</v>
      </c>
      <c r="L2724" s="1" t="s">
        <v>512</v>
      </c>
      <c r="M2724" s="1" t="s">
        <v>512</v>
      </c>
      <c r="N2724" s="1" t="s">
        <v>512</v>
      </c>
      <c r="O2724" s="1" t="s">
        <v>512</v>
      </c>
    </row>
    <row r="2725" spans="4:15" x14ac:dyDescent="0.25">
      <c r="D2725" s="1" t="s">
        <v>512</v>
      </c>
      <c r="E2725" s="21" t="s">
        <v>512</v>
      </c>
      <c r="F2725" s="1" t="s">
        <v>512</v>
      </c>
      <c r="G2725" s="1" t="s">
        <v>512</v>
      </c>
      <c r="H2725" s="1" t="s">
        <v>512</v>
      </c>
      <c r="I2725" s="1" t="s">
        <v>512</v>
      </c>
      <c r="J2725" s="1" t="s">
        <v>512</v>
      </c>
      <c r="K2725" s="1" t="s">
        <v>512</v>
      </c>
      <c r="L2725" s="1" t="s">
        <v>512</v>
      </c>
      <c r="M2725" s="1" t="s">
        <v>512</v>
      </c>
      <c r="N2725" s="1" t="s">
        <v>512</v>
      </c>
      <c r="O2725" s="1" t="s">
        <v>512</v>
      </c>
    </row>
    <row r="2726" spans="4:15" x14ac:dyDescent="0.25">
      <c r="D2726" s="1" t="s">
        <v>512</v>
      </c>
      <c r="E2726" s="21" t="s">
        <v>512</v>
      </c>
      <c r="F2726" s="1" t="s">
        <v>512</v>
      </c>
      <c r="G2726" s="1" t="s">
        <v>512</v>
      </c>
      <c r="H2726" s="1" t="s">
        <v>512</v>
      </c>
      <c r="I2726" s="1" t="s">
        <v>512</v>
      </c>
      <c r="J2726" s="1" t="s">
        <v>512</v>
      </c>
      <c r="K2726" s="1" t="s">
        <v>512</v>
      </c>
      <c r="L2726" s="1" t="s">
        <v>512</v>
      </c>
      <c r="M2726" s="1" t="s">
        <v>512</v>
      </c>
      <c r="N2726" s="1" t="s">
        <v>512</v>
      </c>
      <c r="O2726" s="1" t="s">
        <v>512</v>
      </c>
    </row>
    <row r="2727" spans="4:15" x14ac:dyDescent="0.25">
      <c r="D2727" s="1" t="s">
        <v>512</v>
      </c>
      <c r="E2727" s="21" t="s">
        <v>512</v>
      </c>
      <c r="F2727" s="1" t="s">
        <v>512</v>
      </c>
      <c r="G2727" s="1" t="s">
        <v>512</v>
      </c>
      <c r="H2727" s="1" t="s">
        <v>512</v>
      </c>
      <c r="I2727" s="1" t="s">
        <v>512</v>
      </c>
      <c r="J2727" s="1" t="s">
        <v>512</v>
      </c>
      <c r="K2727" s="1" t="s">
        <v>512</v>
      </c>
      <c r="L2727" s="1" t="s">
        <v>512</v>
      </c>
      <c r="M2727" s="1" t="s">
        <v>512</v>
      </c>
      <c r="N2727" s="1" t="s">
        <v>512</v>
      </c>
      <c r="O2727" s="1" t="s">
        <v>512</v>
      </c>
    </row>
    <row r="2728" spans="4:15" x14ac:dyDescent="0.25">
      <c r="D2728" s="1" t="s">
        <v>512</v>
      </c>
      <c r="E2728" s="21" t="s">
        <v>512</v>
      </c>
      <c r="F2728" s="1" t="s">
        <v>512</v>
      </c>
      <c r="G2728" s="1" t="s">
        <v>512</v>
      </c>
      <c r="H2728" s="1" t="s">
        <v>512</v>
      </c>
      <c r="I2728" s="1" t="s">
        <v>512</v>
      </c>
      <c r="J2728" s="1" t="s">
        <v>512</v>
      </c>
      <c r="K2728" s="1" t="s">
        <v>512</v>
      </c>
      <c r="L2728" s="1" t="s">
        <v>512</v>
      </c>
      <c r="M2728" s="1" t="s">
        <v>512</v>
      </c>
      <c r="N2728" s="1" t="s">
        <v>512</v>
      </c>
      <c r="O2728" s="1" t="s">
        <v>512</v>
      </c>
    </row>
    <row r="2729" spans="4:15" x14ac:dyDescent="0.25">
      <c r="D2729" s="1" t="s">
        <v>512</v>
      </c>
      <c r="E2729" s="21" t="s">
        <v>512</v>
      </c>
      <c r="F2729" s="1" t="s">
        <v>512</v>
      </c>
      <c r="G2729" s="1" t="s">
        <v>512</v>
      </c>
      <c r="H2729" s="1" t="s">
        <v>512</v>
      </c>
      <c r="I2729" s="1" t="s">
        <v>512</v>
      </c>
      <c r="J2729" s="1" t="s">
        <v>512</v>
      </c>
      <c r="K2729" s="1" t="s">
        <v>512</v>
      </c>
      <c r="L2729" s="1" t="s">
        <v>512</v>
      </c>
      <c r="M2729" s="1" t="s">
        <v>512</v>
      </c>
      <c r="N2729" s="1" t="s">
        <v>512</v>
      </c>
      <c r="O2729" s="1" t="s">
        <v>512</v>
      </c>
    </row>
    <row r="2730" spans="4:15" x14ac:dyDescent="0.25">
      <c r="D2730" s="1" t="s">
        <v>512</v>
      </c>
      <c r="E2730" s="21" t="s">
        <v>512</v>
      </c>
      <c r="F2730" s="1" t="s">
        <v>512</v>
      </c>
      <c r="G2730" s="1" t="s">
        <v>512</v>
      </c>
      <c r="H2730" s="1" t="s">
        <v>512</v>
      </c>
      <c r="I2730" s="1" t="s">
        <v>512</v>
      </c>
      <c r="J2730" s="1" t="s">
        <v>512</v>
      </c>
      <c r="K2730" s="1" t="s">
        <v>512</v>
      </c>
      <c r="L2730" s="1" t="s">
        <v>512</v>
      </c>
      <c r="M2730" s="1" t="s">
        <v>512</v>
      </c>
      <c r="N2730" s="1" t="s">
        <v>512</v>
      </c>
      <c r="O2730" s="1" t="s">
        <v>512</v>
      </c>
    </row>
    <row r="2731" spans="4:15" x14ac:dyDescent="0.25">
      <c r="D2731" s="1" t="s">
        <v>512</v>
      </c>
      <c r="E2731" s="21" t="s">
        <v>512</v>
      </c>
      <c r="F2731" s="1" t="s">
        <v>512</v>
      </c>
      <c r="G2731" s="1" t="s">
        <v>512</v>
      </c>
      <c r="H2731" s="1" t="s">
        <v>512</v>
      </c>
      <c r="I2731" s="1" t="s">
        <v>512</v>
      </c>
      <c r="J2731" s="1" t="s">
        <v>512</v>
      </c>
      <c r="K2731" s="1" t="s">
        <v>512</v>
      </c>
      <c r="L2731" s="1" t="s">
        <v>512</v>
      </c>
      <c r="M2731" s="1" t="s">
        <v>512</v>
      </c>
      <c r="N2731" s="1" t="s">
        <v>512</v>
      </c>
      <c r="O2731" s="1" t="s">
        <v>512</v>
      </c>
    </row>
    <row r="2732" spans="4:15" x14ac:dyDescent="0.25">
      <c r="D2732" s="1" t="s">
        <v>512</v>
      </c>
      <c r="E2732" s="21" t="s">
        <v>512</v>
      </c>
      <c r="F2732" s="1" t="s">
        <v>512</v>
      </c>
      <c r="G2732" s="1" t="s">
        <v>512</v>
      </c>
      <c r="H2732" s="1" t="s">
        <v>512</v>
      </c>
      <c r="I2732" s="1" t="s">
        <v>512</v>
      </c>
      <c r="J2732" s="1" t="s">
        <v>512</v>
      </c>
      <c r="K2732" s="1" t="s">
        <v>512</v>
      </c>
      <c r="L2732" s="1" t="s">
        <v>512</v>
      </c>
      <c r="M2732" s="1" t="s">
        <v>512</v>
      </c>
      <c r="N2732" s="1" t="s">
        <v>512</v>
      </c>
      <c r="O2732" s="1" t="s">
        <v>512</v>
      </c>
    </row>
    <row r="2733" spans="4:15" x14ac:dyDescent="0.25">
      <c r="D2733" s="1" t="s">
        <v>512</v>
      </c>
      <c r="E2733" s="21" t="s">
        <v>512</v>
      </c>
      <c r="F2733" s="1" t="s">
        <v>512</v>
      </c>
      <c r="G2733" s="1" t="s">
        <v>512</v>
      </c>
      <c r="H2733" s="1" t="s">
        <v>512</v>
      </c>
      <c r="I2733" s="1" t="s">
        <v>512</v>
      </c>
      <c r="J2733" s="1" t="s">
        <v>512</v>
      </c>
      <c r="K2733" s="1" t="s">
        <v>512</v>
      </c>
      <c r="L2733" s="1" t="s">
        <v>512</v>
      </c>
      <c r="M2733" s="1" t="s">
        <v>512</v>
      </c>
      <c r="N2733" s="1" t="s">
        <v>512</v>
      </c>
      <c r="O2733" s="1" t="s">
        <v>512</v>
      </c>
    </row>
    <row r="2734" spans="4:15" x14ac:dyDescent="0.25">
      <c r="D2734" s="1" t="s">
        <v>512</v>
      </c>
      <c r="E2734" s="21" t="s">
        <v>512</v>
      </c>
      <c r="F2734" s="1" t="s">
        <v>512</v>
      </c>
      <c r="G2734" s="1" t="s">
        <v>512</v>
      </c>
      <c r="H2734" s="1" t="s">
        <v>512</v>
      </c>
      <c r="I2734" s="1" t="s">
        <v>512</v>
      </c>
      <c r="J2734" s="1" t="s">
        <v>512</v>
      </c>
      <c r="K2734" s="1" t="s">
        <v>512</v>
      </c>
      <c r="L2734" s="1" t="s">
        <v>512</v>
      </c>
      <c r="M2734" s="1" t="s">
        <v>512</v>
      </c>
      <c r="N2734" s="1" t="s">
        <v>512</v>
      </c>
      <c r="O2734" s="1" t="s">
        <v>512</v>
      </c>
    </row>
    <row r="2735" spans="4:15" x14ac:dyDescent="0.25">
      <c r="D2735" s="1" t="s">
        <v>512</v>
      </c>
      <c r="E2735" s="21" t="s">
        <v>512</v>
      </c>
      <c r="F2735" s="1" t="s">
        <v>512</v>
      </c>
      <c r="G2735" s="1" t="s">
        <v>512</v>
      </c>
      <c r="H2735" s="1" t="s">
        <v>512</v>
      </c>
      <c r="I2735" s="1" t="s">
        <v>512</v>
      </c>
      <c r="J2735" s="1" t="s">
        <v>512</v>
      </c>
      <c r="K2735" s="1" t="s">
        <v>512</v>
      </c>
      <c r="L2735" s="1" t="s">
        <v>512</v>
      </c>
      <c r="M2735" s="1" t="s">
        <v>512</v>
      </c>
      <c r="N2735" s="1" t="s">
        <v>512</v>
      </c>
      <c r="O2735" s="1" t="s">
        <v>512</v>
      </c>
    </row>
    <row r="2736" spans="4:15" x14ac:dyDescent="0.25">
      <c r="D2736" s="1" t="s">
        <v>512</v>
      </c>
      <c r="E2736" s="21" t="s">
        <v>512</v>
      </c>
      <c r="F2736" s="1" t="s">
        <v>512</v>
      </c>
      <c r="G2736" s="1" t="s">
        <v>512</v>
      </c>
      <c r="H2736" s="1" t="s">
        <v>512</v>
      </c>
      <c r="I2736" s="1" t="s">
        <v>512</v>
      </c>
      <c r="J2736" s="1" t="s">
        <v>512</v>
      </c>
      <c r="K2736" s="1" t="s">
        <v>512</v>
      </c>
      <c r="L2736" s="1" t="s">
        <v>512</v>
      </c>
      <c r="M2736" s="1" t="s">
        <v>512</v>
      </c>
      <c r="N2736" s="1" t="s">
        <v>512</v>
      </c>
      <c r="O2736" s="1" t="s">
        <v>512</v>
      </c>
    </row>
    <row r="2737" spans="4:15" x14ac:dyDescent="0.25">
      <c r="D2737" s="1" t="s">
        <v>512</v>
      </c>
      <c r="E2737" s="21" t="s">
        <v>512</v>
      </c>
      <c r="F2737" s="1" t="s">
        <v>512</v>
      </c>
      <c r="G2737" s="1" t="s">
        <v>512</v>
      </c>
      <c r="H2737" s="1" t="s">
        <v>512</v>
      </c>
      <c r="I2737" s="1" t="s">
        <v>512</v>
      </c>
      <c r="J2737" s="1" t="s">
        <v>512</v>
      </c>
      <c r="K2737" s="1" t="s">
        <v>512</v>
      </c>
      <c r="L2737" s="1" t="s">
        <v>512</v>
      </c>
      <c r="M2737" s="1" t="s">
        <v>512</v>
      </c>
      <c r="N2737" s="1" t="s">
        <v>512</v>
      </c>
      <c r="O2737" s="1" t="s">
        <v>512</v>
      </c>
    </row>
    <row r="2738" spans="4:15" x14ac:dyDescent="0.25">
      <c r="D2738" s="1" t="s">
        <v>512</v>
      </c>
      <c r="E2738" s="21" t="s">
        <v>512</v>
      </c>
      <c r="F2738" s="1" t="s">
        <v>512</v>
      </c>
      <c r="G2738" s="1" t="s">
        <v>512</v>
      </c>
      <c r="H2738" s="1" t="s">
        <v>512</v>
      </c>
      <c r="I2738" s="1" t="s">
        <v>512</v>
      </c>
      <c r="J2738" s="1" t="s">
        <v>512</v>
      </c>
      <c r="K2738" s="1" t="s">
        <v>512</v>
      </c>
      <c r="L2738" s="1" t="s">
        <v>512</v>
      </c>
      <c r="M2738" s="1" t="s">
        <v>512</v>
      </c>
      <c r="N2738" s="1" t="s">
        <v>512</v>
      </c>
      <c r="O2738" s="1" t="s">
        <v>512</v>
      </c>
    </row>
    <row r="2739" spans="4:15" x14ac:dyDescent="0.25">
      <c r="D2739" s="1" t="s">
        <v>512</v>
      </c>
      <c r="E2739" s="21" t="s">
        <v>512</v>
      </c>
      <c r="F2739" s="1" t="s">
        <v>512</v>
      </c>
      <c r="G2739" s="1" t="s">
        <v>512</v>
      </c>
      <c r="H2739" s="1" t="s">
        <v>512</v>
      </c>
      <c r="I2739" s="1" t="s">
        <v>512</v>
      </c>
      <c r="J2739" s="1" t="s">
        <v>512</v>
      </c>
      <c r="K2739" s="1" t="s">
        <v>512</v>
      </c>
      <c r="L2739" s="1" t="s">
        <v>512</v>
      </c>
      <c r="M2739" s="1" t="s">
        <v>512</v>
      </c>
      <c r="N2739" s="1" t="s">
        <v>512</v>
      </c>
      <c r="O2739" s="1" t="s">
        <v>512</v>
      </c>
    </row>
    <row r="2740" spans="4:15" x14ac:dyDescent="0.25">
      <c r="D2740" s="1" t="s">
        <v>512</v>
      </c>
      <c r="E2740" s="21" t="s">
        <v>512</v>
      </c>
      <c r="F2740" s="1" t="s">
        <v>512</v>
      </c>
      <c r="G2740" s="1" t="s">
        <v>512</v>
      </c>
      <c r="H2740" s="1" t="s">
        <v>512</v>
      </c>
      <c r="I2740" s="1" t="s">
        <v>512</v>
      </c>
      <c r="J2740" s="1" t="s">
        <v>512</v>
      </c>
      <c r="K2740" s="1" t="s">
        <v>512</v>
      </c>
      <c r="L2740" s="1" t="s">
        <v>512</v>
      </c>
      <c r="M2740" s="1" t="s">
        <v>512</v>
      </c>
      <c r="N2740" s="1" t="s">
        <v>512</v>
      </c>
      <c r="O2740" s="1" t="s">
        <v>512</v>
      </c>
    </row>
    <row r="2741" spans="4:15" x14ac:dyDescent="0.25">
      <c r="D2741" s="1" t="s">
        <v>512</v>
      </c>
      <c r="E2741" s="21" t="s">
        <v>512</v>
      </c>
      <c r="F2741" s="1" t="s">
        <v>512</v>
      </c>
      <c r="G2741" s="1" t="s">
        <v>512</v>
      </c>
      <c r="H2741" s="1" t="s">
        <v>512</v>
      </c>
      <c r="I2741" s="1" t="s">
        <v>512</v>
      </c>
      <c r="J2741" s="1" t="s">
        <v>512</v>
      </c>
      <c r="K2741" s="1" t="s">
        <v>512</v>
      </c>
      <c r="L2741" s="1" t="s">
        <v>512</v>
      </c>
      <c r="M2741" s="1" t="s">
        <v>512</v>
      </c>
      <c r="N2741" s="1" t="s">
        <v>512</v>
      </c>
      <c r="O2741" s="1" t="s">
        <v>512</v>
      </c>
    </row>
    <row r="2742" spans="4:15" x14ac:dyDescent="0.25">
      <c r="D2742" s="1" t="s">
        <v>512</v>
      </c>
      <c r="E2742" s="21" t="s">
        <v>512</v>
      </c>
      <c r="F2742" s="1" t="s">
        <v>512</v>
      </c>
      <c r="G2742" s="1" t="s">
        <v>512</v>
      </c>
      <c r="H2742" s="1" t="s">
        <v>512</v>
      </c>
      <c r="I2742" s="1" t="s">
        <v>512</v>
      </c>
      <c r="J2742" s="1" t="s">
        <v>512</v>
      </c>
      <c r="K2742" s="1" t="s">
        <v>512</v>
      </c>
      <c r="L2742" s="1" t="s">
        <v>512</v>
      </c>
      <c r="M2742" s="1" t="s">
        <v>512</v>
      </c>
      <c r="N2742" s="1" t="s">
        <v>512</v>
      </c>
      <c r="O2742" s="1" t="s">
        <v>512</v>
      </c>
    </row>
    <row r="2743" spans="4:15" x14ac:dyDescent="0.25">
      <c r="D2743" s="1" t="s">
        <v>512</v>
      </c>
      <c r="E2743" s="21" t="s">
        <v>512</v>
      </c>
      <c r="F2743" s="1" t="s">
        <v>512</v>
      </c>
      <c r="G2743" s="1" t="s">
        <v>512</v>
      </c>
      <c r="H2743" s="1" t="s">
        <v>512</v>
      </c>
      <c r="I2743" s="1" t="s">
        <v>512</v>
      </c>
      <c r="J2743" s="1" t="s">
        <v>512</v>
      </c>
      <c r="K2743" s="1" t="s">
        <v>512</v>
      </c>
      <c r="L2743" s="1" t="s">
        <v>512</v>
      </c>
      <c r="M2743" s="1" t="s">
        <v>512</v>
      </c>
      <c r="N2743" s="1" t="s">
        <v>512</v>
      </c>
      <c r="O2743" s="1" t="s">
        <v>512</v>
      </c>
    </row>
    <row r="2744" spans="4:15" x14ac:dyDescent="0.25">
      <c r="D2744" s="1" t="s">
        <v>512</v>
      </c>
      <c r="E2744" s="21" t="s">
        <v>512</v>
      </c>
      <c r="F2744" s="1" t="s">
        <v>512</v>
      </c>
      <c r="G2744" s="1" t="s">
        <v>512</v>
      </c>
      <c r="H2744" s="1" t="s">
        <v>512</v>
      </c>
      <c r="I2744" s="1" t="s">
        <v>512</v>
      </c>
      <c r="J2744" s="1" t="s">
        <v>512</v>
      </c>
      <c r="K2744" s="1" t="s">
        <v>512</v>
      </c>
      <c r="L2744" s="1" t="s">
        <v>512</v>
      </c>
      <c r="M2744" s="1" t="s">
        <v>512</v>
      </c>
      <c r="N2744" s="1" t="s">
        <v>512</v>
      </c>
      <c r="O2744" s="1" t="s">
        <v>512</v>
      </c>
    </row>
    <row r="2745" spans="4:15" x14ac:dyDescent="0.25">
      <c r="D2745" s="1" t="s">
        <v>512</v>
      </c>
      <c r="E2745" s="21" t="s">
        <v>512</v>
      </c>
      <c r="F2745" s="1" t="s">
        <v>512</v>
      </c>
      <c r="G2745" s="1" t="s">
        <v>512</v>
      </c>
      <c r="H2745" s="1" t="s">
        <v>512</v>
      </c>
      <c r="I2745" s="1" t="s">
        <v>512</v>
      </c>
      <c r="J2745" s="1" t="s">
        <v>512</v>
      </c>
      <c r="K2745" s="1" t="s">
        <v>512</v>
      </c>
      <c r="L2745" s="1" t="s">
        <v>512</v>
      </c>
      <c r="M2745" s="1" t="s">
        <v>512</v>
      </c>
      <c r="N2745" s="1" t="s">
        <v>512</v>
      </c>
      <c r="O2745" s="1" t="s">
        <v>512</v>
      </c>
    </row>
    <row r="2746" spans="4:15" x14ac:dyDescent="0.25">
      <c r="D2746" s="1" t="s">
        <v>512</v>
      </c>
      <c r="E2746" s="21" t="s">
        <v>512</v>
      </c>
      <c r="F2746" s="1" t="s">
        <v>512</v>
      </c>
      <c r="G2746" s="1" t="s">
        <v>512</v>
      </c>
      <c r="H2746" s="1" t="s">
        <v>512</v>
      </c>
      <c r="I2746" s="1" t="s">
        <v>512</v>
      </c>
      <c r="J2746" s="1" t="s">
        <v>512</v>
      </c>
      <c r="K2746" s="1" t="s">
        <v>512</v>
      </c>
      <c r="L2746" s="1" t="s">
        <v>512</v>
      </c>
      <c r="M2746" s="1" t="s">
        <v>512</v>
      </c>
      <c r="N2746" s="1" t="s">
        <v>512</v>
      </c>
      <c r="O2746" s="1" t="s">
        <v>512</v>
      </c>
    </row>
    <row r="2747" spans="4:15" x14ac:dyDescent="0.25">
      <c r="D2747" s="1" t="s">
        <v>512</v>
      </c>
      <c r="E2747" s="21" t="s">
        <v>512</v>
      </c>
      <c r="F2747" s="1" t="s">
        <v>512</v>
      </c>
      <c r="G2747" s="1" t="s">
        <v>512</v>
      </c>
      <c r="H2747" s="1" t="s">
        <v>512</v>
      </c>
      <c r="I2747" s="1" t="s">
        <v>512</v>
      </c>
      <c r="J2747" s="1" t="s">
        <v>512</v>
      </c>
      <c r="K2747" s="1" t="s">
        <v>512</v>
      </c>
      <c r="L2747" s="1" t="s">
        <v>512</v>
      </c>
      <c r="M2747" s="1" t="s">
        <v>512</v>
      </c>
      <c r="N2747" s="1" t="s">
        <v>512</v>
      </c>
      <c r="O2747" s="1" t="s">
        <v>512</v>
      </c>
    </row>
    <row r="2748" spans="4:15" x14ac:dyDescent="0.25">
      <c r="D2748" s="1" t="s">
        <v>512</v>
      </c>
      <c r="E2748" s="21" t="s">
        <v>512</v>
      </c>
      <c r="F2748" s="1" t="s">
        <v>512</v>
      </c>
      <c r="G2748" s="1" t="s">
        <v>512</v>
      </c>
      <c r="H2748" s="1" t="s">
        <v>512</v>
      </c>
      <c r="I2748" s="1" t="s">
        <v>512</v>
      </c>
      <c r="J2748" s="1" t="s">
        <v>512</v>
      </c>
      <c r="K2748" s="1" t="s">
        <v>512</v>
      </c>
      <c r="L2748" s="1" t="s">
        <v>512</v>
      </c>
      <c r="M2748" s="1" t="s">
        <v>512</v>
      </c>
      <c r="N2748" s="1" t="s">
        <v>512</v>
      </c>
      <c r="O2748" s="1" t="s">
        <v>512</v>
      </c>
    </row>
    <row r="2749" spans="4:15" x14ac:dyDescent="0.25">
      <c r="D2749" s="1" t="s">
        <v>512</v>
      </c>
      <c r="E2749" s="21" t="s">
        <v>512</v>
      </c>
      <c r="F2749" s="1" t="s">
        <v>512</v>
      </c>
      <c r="G2749" s="1" t="s">
        <v>512</v>
      </c>
      <c r="H2749" s="1" t="s">
        <v>512</v>
      </c>
      <c r="I2749" s="1" t="s">
        <v>512</v>
      </c>
      <c r="J2749" s="1" t="s">
        <v>512</v>
      </c>
      <c r="K2749" s="1" t="s">
        <v>512</v>
      </c>
      <c r="L2749" s="1" t="s">
        <v>512</v>
      </c>
      <c r="M2749" s="1" t="s">
        <v>512</v>
      </c>
      <c r="N2749" s="1" t="s">
        <v>512</v>
      </c>
      <c r="O2749" s="1" t="s">
        <v>512</v>
      </c>
    </row>
    <row r="2750" spans="4:15" x14ac:dyDescent="0.25">
      <c r="D2750" s="1" t="s">
        <v>512</v>
      </c>
      <c r="E2750" s="21" t="s">
        <v>512</v>
      </c>
      <c r="F2750" s="1" t="s">
        <v>512</v>
      </c>
      <c r="G2750" s="1" t="s">
        <v>512</v>
      </c>
      <c r="H2750" s="1" t="s">
        <v>512</v>
      </c>
      <c r="I2750" s="1" t="s">
        <v>512</v>
      </c>
      <c r="J2750" s="1" t="s">
        <v>512</v>
      </c>
      <c r="K2750" s="1" t="s">
        <v>512</v>
      </c>
      <c r="L2750" s="1" t="s">
        <v>512</v>
      </c>
      <c r="M2750" s="1" t="s">
        <v>512</v>
      </c>
      <c r="N2750" s="1" t="s">
        <v>512</v>
      </c>
      <c r="O2750" s="1" t="s">
        <v>512</v>
      </c>
    </row>
    <row r="2751" spans="4:15" x14ac:dyDescent="0.25">
      <c r="D2751" s="1" t="s">
        <v>512</v>
      </c>
      <c r="E2751" s="21" t="s">
        <v>512</v>
      </c>
      <c r="F2751" s="1" t="s">
        <v>512</v>
      </c>
      <c r="G2751" s="1" t="s">
        <v>512</v>
      </c>
      <c r="H2751" s="1" t="s">
        <v>512</v>
      </c>
      <c r="I2751" s="1" t="s">
        <v>512</v>
      </c>
      <c r="J2751" s="1" t="s">
        <v>512</v>
      </c>
      <c r="K2751" s="1" t="s">
        <v>512</v>
      </c>
      <c r="L2751" s="1" t="s">
        <v>512</v>
      </c>
      <c r="M2751" s="1" t="s">
        <v>512</v>
      </c>
      <c r="N2751" s="1" t="s">
        <v>512</v>
      </c>
      <c r="O2751" s="1" t="s">
        <v>512</v>
      </c>
    </row>
    <row r="2752" spans="4:15" x14ac:dyDescent="0.25">
      <c r="D2752" s="1" t="s">
        <v>512</v>
      </c>
      <c r="E2752" s="21" t="s">
        <v>512</v>
      </c>
      <c r="F2752" s="1" t="s">
        <v>512</v>
      </c>
      <c r="G2752" s="1" t="s">
        <v>512</v>
      </c>
      <c r="H2752" s="1" t="s">
        <v>512</v>
      </c>
      <c r="I2752" s="1" t="s">
        <v>512</v>
      </c>
      <c r="J2752" s="1" t="s">
        <v>512</v>
      </c>
      <c r="K2752" s="1" t="s">
        <v>512</v>
      </c>
      <c r="L2752" s="1" t="s">
        <v>512</v>
      </c>
      <c r="M2752" s="1" t="s">
        <v>512</v>
      </c>
      <c r="N2752" s="1" t="s">
        <v>512</v>
      </c>
      <c r="O2752" s="1" t="s">
        <v>512</v>
      </c>
    </row>
    <row r="2753" spans="4:15" x14ac:dyDescent="0.25">
      <c r="D2753" s="1" t="s">
        <v>512</v>
      </c>
      <c r="E2753" s="21" t="s">
        <v>512</v>
      </c>
      <c r="F2753" s="1" t="s">
        <v>512</v>
      </c>
      <c r="G2753" s="1" t="s">
        <v>512</v>
      </c>
      <c r="H2753" s="1" t="s">
        <v>512</v>
      </c>
      <c r="I2753" s="1" t="s">
        <v>512</v>
      </c>
      <c r="J2753" s="1" t="s">
        <v>512</v>
      </c>
      <c r="K2753" s="1" t="s">
        <v>512</v>
      </c>
      <c r="L2753" s="1" t="s">
        <v>512</v>
      </c>
      <c r="M2753" s="1" t="s">
        <v>512</v>
      </c>
      <c r="N2753" s="1" t="s">
        <v>512</v>
      </c>
      <c r="O2753" s="1" t="s">
        <v>512</v>
      </c>
    </row>
    <row r="2754" spans="4:15" x14ac:dyDescent="0.25">
      <c r="D2754" s="1" t="s">
        <v>512</v>
      </c>
      <c r="E2754" s="21" t="s">
        <v>512</v>
      </c>
      <c r="F2754" s="1" t="s">
        <v>512</v>
      </c>
      <c r="G2754" s="1" t="s">
        <v>512</v>
      </c>
      <c r="H2754" s="1" t="s">
        <v>512</v>
      </c>
      <c r="I2754" s="1" t="s">
        <v>512</v>
      </c>
      <c r="J2754" s="1" t="s">
        <v>512</v>
      </c>
      <c r="K2754" s="1" t="s">
        <v>512</v>
      </c>
      <c r="L2754" s="1" t="s">
        <v>512</v>
      </c>
      <c r="M2754" s="1" t="s">
        <v>512</v>
      </c>
      <c r="N2754" s="1" t="s">
        <v>512</v>
      </c>
      <c r="O2754" s="1" t="s">
        <v>512</v>
      </c>
    </row>
    <row r="2755" spans="4:15" x14ac:dyDescent="0.25">
      <c r="D2755" s="1" t="s">
        <v>512</v>
      </c>
      <c r="E2755" s="21" t="s">
        <v>512</v>
      </c>
      <c r="F2755" s="1" t="s">
        <v>512</v>
      </c>
      <c r="G2755" s="1" t="s">
        <v>512</v>
      </c>
      <c r="H2755" s="1" t="s">
        <v>512</v>
      </c>
      <c r="I2755" s="1" t="s">
        <v>512</v>
      </c>
      <c r="J2755" s="1" t="s">
        <v>512</v>
      </c>
      <c r="K2755" s="1" t="s">
        <v>512</v>
      </c>
      <c r="L2755" s="1" t="s">
        <v>512</v>
      </c>
      <c r="M2755" s="1" t="s">
        <v>512</v>
      </c>
      <c r="N2755" s="1" t="s">
        <v>512</v>
      </c>
      <c r="O2755" s="1" t="s">
        <v>512</v>
      </c>
    </row>
    <row r="2756" spans="4:15" x14ac:dyDescent="0.25">
      <c r="D2756" s="1" t="s">
        <v>512</v>
      </c>
      <c r="E2756" s="21" t="s">
        <v>512</v>
      </c>
      <c r="F2756" s="1" t="s">
        <v>512</v>
      </c>
      <c r="G2756" s="1" t="s">
        <v>512</v>
      </c>
      <c r="H2756" s="1" t="s">
        <v>512</v>
      </c>
      <c r="I2756" s="1" t="s">
        <v>512</v>
      </c>
      <c r="J2756" s="1" t="s">
        <v>512</v>
      </c>
      <c r="K2756" s="1" t="s">
        <v>512</v>
      </c>
      <c r="L2756" s="1" t="s">
        <v>512</v>
      </c>
      <c r="M2756" s="1" t="s">
        <v>512</v>
      </c>
      <c r="N2756" s="1" t="s">
        <v>512</v>
      </c>
      <c r="O2756" s="1" t="s">
        <v>512</v>
      </c>
    </row>
    <row r="2757" spans="4:15" x14ac:dyDescent="0.25">
      <c r="D2757" s="1" t="s">
        <v>512</v>
      </c>
      <c r="E2757" s="21" t="s">
        <v>512</v>
      </c>
      <c r="F2757" s="1" t="s">
        <v>512</v>
      </c>
      <c r="G2757" s="1" t="s">
        <v>512</v>
      </c>
      <c r="H2757" s="1" t="s">
        <v>512</v>
      </c>
      <c r="I2757" s="1" t="s">
        <v>512</v>
      </c>
      <c r="J2757" s="1" t="s">
        <v>512</v>
      </c>
      <c r="K2757" s="1" t="s">
        <v>512</v>
      </c>
      <c r="L2757" s="1" t="s">
        <v>512</v>
      </c>
      <c r="M2757" s="1" t="s">
        <v>512</v>
      </c>
      <c r="N2757" s="1" t="s">
        <v>512</v>
      </c>
      <c r="O2757" s="1" t="s">
        <v>512</v>
      </c>
    </row>
    <row r="2758" spans="4:15" x14ac:dyDescent="0.25">
      <c r="D2758" s="1" t="s">
        <v>512</v>
      </c>
      <c r="E2758" s="21" t="s">
        <v>512</v>
      </c>
      <c r="F2758" s="1" t="s">
        <v>512</v>
      </c>
      <c r="G2758" s="1" t="s">
        <v>512</v>
      </c>
      <c r="H2758" s="1" t="s">
        <v>512</v>
      </c>
      <c r="I2758" s="1" t="s">
        <v>512</v>
      </c>
      <c r="J2758" s="1" t="s">
        <v>512</v>
      </c>
      <c r="K2758" s="1" t="s">
        <v>512</v>
      </c>
      <c r="L2758" s="1" t="s">
        <v>512</v>
      </c>
      <c r="M2758" s="1" t="s">
        <v>512</v>
      </c>
      <c r="N2758" s="1" t="s">
        <v>512</v>
      </c>
      <c r="O2758" s="1" t="s">
        <v>512</v>
      </c>
    </row>
    <row r="2759" spans="4:15" x14ac:dyDescent="0.25">
      <c r="D2759" s="1" t="s">
        <v>512</v>
      </c>
      <c r="E2759" s="21" t="s">
        <v>512</v>
      </c>
      <c r="F2759" s="1" t="s">
        <v>512</v>
      </c>
      <c r="G2759" s="1" t="s">
        <v>512</v>
      </c>
      <c r="H2759" s="1" t="s">
        <v>512</v>
      </c>
      <c r="I2759" s="1" t="s">
        <v>512</v>
      </c>
      <c r="J2759" s="1" t="s">
        <v>512</v>
      </c>
      <c r="K2759" s="1" t="s">
        <v>512</v>
      </c>
      <c r="L2759" s="1" t="s">
        <v>512</v>
      </c>
      <c r="M2759" s="1" t="s">
        <v>512</v>
      </c>
      <c r="N2759" s="1" t="s">
        <v>512</v>
      </c>
      <c r="O2759" s="1" t="s">
        <v>512</v>
      </c>
    </row>
    <row r="2760" spans="4:15" x14ac:dyDescent="0.25">
      <c r="D2760" s="1" t="s">
        <v>512</v>
      </c>
      <c r="E2760" s="21" t="s">
        <v>512</v>
      </c>
      <c r="F2760" s="1" t="s">
        <v>512</v>
      </c>
      <c r="G2760" s="1" t="s">
        <v>512</v>
      </c>
      <c r="H2760" s="1" t="s">
        <v>512</v>
      </c>
      <c r="I2760" s="1" t="s">
        <v>512</v>
      </c>
      <c r="J2760" s="1" t="s">
        <v>512</v>
      </c>
      <c r="K2760" s="1" t="s">
        <v>512</v>
      </c>
      <c r="L2760" s="1" t="s">
        <v>512</v>
      </c>
      <c r="M2760" s="1" t="s">
        <v>512</v>
      </c>
      <c r="N2760" s="1" t="s">
        <v>512</v>
      </c>
      <c r="O2760" s="1" t="s">
        <v>512</v>
      </c>
    </row>
    <row r="2761" spans="4:15" x14ac:dyDescent="0.25">
      <c r="D2761" s="1" t="s">
        <v>512</v>
      </c>
      <c r="E2761" s="21" t="s">
        <v>512</v>
      </c>
      <c r="F2761" s="1" t="s">
        <v>512</v>
      </c>
      <c r="G2761" s="1" t="s">
        <v>512</v>
      </c>
      <c r="H2761" s="1" t="s">
        <v>512</v>
      </c>
      <c r="I2761" s="1" t="s">
        <v>512</v>
      </c>
      <c r="J2761" s="1" t="s">
        <v>512</v>
      </c>
      <c r="K2761" s="1" t="s">
        <v>512</v>
      </c>
      <c r="L2761" s="1" t="s">
        <v>512</v>
      </c>
      <c r="M2761" s="1" t="s">
        <v>512</v>
      </c>
      <c r="N2761" s="1" t="s">
        <v>512</v>
      </c>
      <c r="O2761" s="1" t="s">
        <v>512</v>
      </c>
    </row>
    <row r="2762" spans="4:15" x14ac:dyDescent="0.25">
      <c r="D2762" s="1" t="s">
        <v>512</v>
      </c>
      <c r="E2762" s="21" t="s">
        <v>512</v>
      </c>
      <c r="F2762" s="1" t="s">
        <v>512</v>
      </c>
      <c r="G2762" s="1" t="s">
        <v>512</v>
      </c>
      <c r="H2762" s="1" t="s">
        <v>512</v>
      </c>
      <c r="I2762" s="1" t="s">
        <v>512</v>
      </c>
      <c r="J2762" s="1" t="s">
        <v>512</v>
      </c>
      <c r="K2762" s="1" t="s">
        <v>512</v>
      </c>
      <c r="L2762" s="1" t="s">
        <v>512</v>
      </c>
      <c r="M2762" s="1" t="s">
        <v>512</v>
      </c>
      <c r="N2762" s="1" t="s">
        <v>512</v>
      </c>
      <c r="O2762" s="1" t="s">
        <v>512</v>
      </c>
    </row>
    <row r="2763" spans="4:15" x14ac:dyDescent="0.25">
      <c r="D2763" s="1" t="s">
        <v>512</v>
      </c>
      <c r="E2763" s="21" t="s">
        <v>512</v>
      </c>
      <c r="F2763" s="1" t="s">
        <v>512</v>
      </c>
      <c r="G2763" s="1" t="s">
        <v>512</v>
      </c>
      <c r="H2763" s="1" t="s">
        <v>512</v>
      </c>
      <c r="I2763" s="1" t="s">
        <v>512</v>
      </c>
      <c r="J2763" s="1" t="s">
        <v>512</v>
      </c>
      <c r="K2763" s="1" t="s">
        <v>512</v>
      </c>
      <c r="L2763" s="1" t="s">
        <v>512</v>
      </c>
      <c r="M2763" s="1" t="s">
        <v>512</v>
      </c>
      <c r="N2763" s="1" t="s">
        <v>512</v>
      </c>
      <c r="O2763" s="1" t="s">
        <v>512</v>
      </c>
    </row>
    <row r="2764" spans="4:15" x14ac:dyDescent="0.25">
      <c r="D2764" s="1" t="s">
        <v>512</v>
      </c>
      <c r="E2764" s="21" t="s">
        <v>512</v>
      </c>
      <c r="F2764" s="1" t="s">
        <v>512</v>
      </c>
      <c r="G2764" s="1" t="s">
        <v>512</v>
      </c>
      <c r="H2764" s="1" t="s">
        <v>512</v>
      </c>
      <c r="I2764" s="1" t="s">
        <v>512</v>
      </c>
      <c r="J2764" s="1" t="s">
        <v>512</v>
      </c>
      <c r="K2764" s="1" t="s">
        <v>512</v>
      </c>
      <c r="L2764" s="1" t="s">
        <v>512</v>
      </c>
      <c r="M2764" s="1" t="s">
        <v>512</v>
      </c>
      <c r="N2764" s="1" t="s">
        <v>512</v>
      </c>
      <c r="O2764" s="1" t="s">
        <v>512</v>
      </c>
    </row>
    <row r="2765" spans="4:15" x14ac:dyDescent="0.25">
      <c r="D2765" s="1" t="s">
        <v>512</v>
      </c>
      <c r="E2765" s="21" t="s">
        <v>512</v>
      </c>
      <c r="F2765" s="1" t="s">
        <v>512</v>
      </c>
      <c r="G2765" s="1" t="s">
        <v>512</v>
      </c>
      <c r="H2765" s="1" t="s">
        <v>512</v>
      </c>
      <c r="I2765" s="1" t="s">
        <v>512</v>
      </c>
      <c r="J2765" s="1" t="s">
        <v>512</v>
      </c>
      <c r="K2765" s="1" t="s">
        <v>512</v>
      </c>
      <c r="L2765" s="1" t="s">
        <v>512</v>
      </c>
      <c r="M2765" s="1" t="s">
        <v>512</v>
      </c>
      <c r="N2765" s="1" t="s">
        <v>512</v>
      </c>
      <c r="O2765" s="1" t="s">
        <v>512</v>
      </c>
    </row>
    <row r="2766" spans="4:15" x14ac:dyDescent="0.25">
      <c r="D2766" s="1" t="s">
        <v>512</v>
      </c>
      <c r="E2766" s="21" t="s">
        <v>512</v>
      </c>
      <c r="F2766" s="1" t="s">
        <v>512</v>
      </c>
      <c r="G2766" s="1" t="s">
        <v>512</v>
      </c>
      <c r="H2766" s="1" t="s">
        <v>512</v>
      </c>
      <c r="I2766" s="1" t="s">
        <v>512</v>
      </c>
      <c r="J2766" s="1" t="s">
        <v>512</v>
      </c>
      <c r="K2766" s="1" t="s">
        <v>512</v>
      </c>
      <c r="L2766" s="1" t="s">
        <v>512</v>
      </c>
      <c r="M2766" s="1" t="s">
        <v>512</v>
      </c>
      <c r="N2766" s="1" t="s">
        <v>512</v>
      </c>
      <c r="O2766" s="1" t="s">
        <v>512</v>
      </c>
    </row>
    <row r="2767" spans="4:15" x14ac:dyDescent="0.25">
      <c r="D2767" s="1" t="s">
        <v>512</v>
      </c>
      <c r="E2767" s="21" t="s">
        <v>512</v>
      </c>
      <c r="F2767" s="1" t="s">
        <v>512</v>
      </c>
      <c r="G2767" s="1" t="s">
        <v>512</v>
      </c>
      <c r="H2767" s="1" t="s">
        <v>512</v>
      </c>
      <c r="I2767" s="1" t="s">
        <v>512</v>
      </c>
      <c r="J2767" s="1" t="s">
        <v>512</v>
      </c>
      <c r="K2767" s="1" t="s">
        <v>512</v>
      </c>
      <c r="L2767" s="1" t="s">
        <v>512</v>
      </c>
      <c r="M2767" s="1" t="s">
        <v>512</v>
      </c>
      <c r="N2767" s="1" t="s">
        <v>512</v>
      </c>
      <c r="O2767" s="1" t="s">
        <v>512</v>
      </c>
    </row>
    <row r="2768" spans="4:15" x14ac:dyDescent="0.25">
      <c r="D2768" s="1" t="s">
        <v>512</v>
      </c>
      <c r="E2768" s="21" t="s">
        <v>512</v>
      </c>
      <c r="F2768" s="1" t="s">
        <v>512</v>
      </c>
      <c r="G2768" s="1" t="s">
        <v>512</v>
      </c>
      <c r="H2768" s="1" t="s">
        <v>512</v>
      </c>
      <c r="I2768" s="1" t="s">
        <v>512</v>
      </c>
      <c r="J2768" s="1" t="s">
        <v>512</v>
      </c>
      <c r="K2768" s="1" t="s">
        <v>512</v>
      </c>
      <c r="L2768" s="1" t="s">
        <v>512</v>
      </c>
      <c r="M2768" s="1" t="s">
        <v>512</v>
      </c>
      <c r="N2768" s="1" t="s">
        <v>512</v>
      </c>
      <c r="O2768" s="1" t="s">
        <v>512</v>
      </c>
    </row>
    <row r="2769" spans="4:15" x14ac:dyDescent="0.25">
      <c r="D2769" s="1" t="s">
        <v>512</v>
      </c>
      <c r="E2769" s="21" t="s">
        <v>512</v>
      </c>
      <c r="F2769" s="1" t="s">
        <v>512</v>
      </c>
      <c r="G2769" s="1" t="s">
        <v>512</v>
      </c>
      <c r="H2769" s="1" t="s">
        <v>512</v>
      </c>
      <c r="I2769" s="1" t="s">
        <v>512</v>
      </c>
      <c r="J2769" s="1" t="s">
        <v>512</v>
      </c>
      <c r="K2769" s="1" t="s">
        <v>512</v>
      </c>
      <c r="L2769" s="1" t="s">
        <v>512</v>
      </c>
      <c r="M2769" s="1" t="s">
        <v>512</v>
      </c>
      <c r="N2769" s="1" t="s">
        <v>512</v>
      </c>
      <c r="O2769" s="1" t="s">
        <v>512</v>
      </c>
    </row>
    <row r="2770" spans="4:15" x14ac:dyDescent="0.25">
      <c r="D2770" s="1" t="s">
        <v>512</v>
      </c>
      <c r="E2770" s="21" t="s">
        <v>512</v>
      </c>
      <c r="F2770" s="1" t="s">
        <v>512</v>
      </c>
      <c r="G2770" s="1" t="s">
        <v>512</v>
      </c>
      <c r="H2770" s="1" t="s">
        <v>512</v>
      </c>
      <c r="I2770" s="1" t="s">
        <v>512</v>
      </c>
      <c r="J2770" s="1" t="s">
        <v>512</v>
      </c>
      <c r="K2770" s="1" t="s">
        <v>512</v>
      </c>
      <c r="L2770" s="1" t="s">
        <v>512</v>
      </c>
      <c r="M2770" s="1" t="s">
        <v>512</v>
      </c>
      <c r="N2770" s="1" t="s">
        <v>512</v>
      </c>
      <c r="O2770" s="1" t="s">
        <v>512</v>
      </c>
    </row>
    <row r="2771" spans="4:15" x14ac:dyDescent="0.25">
      <c r="D2771" s="1" t="s">
        <v>512</v>
      </c>
      <c r="E2771" s="21" t="s">
        <v>512</v>
      </c>
      <c r="F2771" s="1" t="s">
        <v>512</v>
      </c>
      <c r="G2771" s="1" t="s">
        <v>512</v>
      </c>
      <c r="H2771" s="1" t="s">
        <v>512</v>
      </c>
      <c r="I2771" s="1" t="s">
        <v>512</v>
      </c>
      <c r="J2771" s="1" t="s">
        <v>512</v>
      </c>
      <c r="K2771" s="1" t="s">
        <v>512</v>
      </c>
      <c r="L2771" s="1" t="s">
        <v>512</v>
      </c>
      <c r="M2771" s="1" t="s">
        <v>512</v>
      </c>
      <c r="N2771" s="1" t="s">
        <v>512</v>
      </c>
      <c r="O2771" s="1" t="s">
        <v>512</v>
      </c>
    </row>
    <row r="2772" spans="4:15" x14ac:dyDescent="0.25">
      <c r="D2772" s="1" t="s">
        <v>512</v>
      </c>
      <c r="E2772" s="21" t="s">
        <v>512</v>
      </c>
      <c r="F2772" s="1" t="s">
        <v>512</v>
      </c>
      <c r="G2772" s="1" t="s">
        <v>512</v>
      </c>
      <c r="H2772" s="1" t="s">
        <v>512</v>
      </c>
      <c r="I2772" s="1" t="s">
        <v>512</v>
      </c>
      <c r="J2772" s="1" t="s">
        <v>512</v>
      </c>
      <c r="K2772" s="1" t="s">
        <v>512</v>
      </c>
      <c r="L2772" s="1" t="s">
        <v>512</v>
      </c>
      <c r="M2772" s="1" t="s">
        <v>512</v>
      </c>
      <c r="N2772" s="1" t="s">
        <v>512</v>
      </c>
      <c r="O2772" s="1" t="s">
        <v>512</v>
      </c>
    </row>
    <row r="2773" spans="4:15" x14ac:dyDescent="0.25">
      <c r="D2773" s="1" t="s">
        <v>512</v>
      </c>
      <c r="E2773" s="21" t="s">
        <v>512</v>
      </c>
      <c r="F2773" s="1" t="s">
        <v>512</v>
      </c>
      <c r="G2773" s="1" t="s">
        <v>512</v>
      </c>
      <c r="H2773" s="1" t="s">
        <v>512</v>
      </c>
      <c r="I2773" s="1" t="s">
        <v>512</v>
      </c>
      <c r="J2773" s="1" t="s">
        <v>512</v>
      </c>
      <c r="K2773" s="1" t="s">
        <v>512</v>
      </c>
      <c r="L2773" s="1" t="s">
        <v>512</v>
      </c>
      <c r="M2773" s="1" t="s">
        <v>512</v>
      </c>
      <c r="N2773" s="1" t="s">
        <v>512</v>
      </c>
      <c r="O2773" s="1" t="s">
        <v>512</v>
      </c>
    </row>
    <row r="2774" spans="4:15" x14ac:dyDescent="0.25">
      <c r="D2774" s="1" t="s">
        <v>512</v>
      </c>
      <c r="E2774" s="21" t="s">
        <v>512</v>
      </c>
      <c r="F2774" s="1" t="s">
        <v>512</v>
      </c>
      <c r="G2774" s="1" t="s">
        <v>512</v>
      </c>
      <c r="H2774" s="1" t="s">
        <v>512</v>
      </c>
      <c r="I2774" s="1" t="s">
        <v>512</v>
      </c>
      <c r="J2774" s="1" t="s">
        <v>512</v>
      </c>
      <c r="K2774" s="1" t="s">
        <v>512</v>
      </c>
      <c r="L2774" s="1" t="s">
        <v>512</v>
      </c>
      <c r="M2774" s="1" t="s">
        <v>512</v>
      </c>
      <c r="N2774" s="1" t="s">
        <v>512</v>
      </c>
      <c r="O2774" s="1" t="s">
        <v>512</v>
      </c>
    </row>
    <row r="2775" spans="4:15" x14ac:dyDescent="0.25">
      <c r="D2775" s="1" t="s">
        <v>512</v>
      </c>
      <c r="E2775" s="21" t="s">
        <v>512</v>
      </c>
      <c r="F2775" s="1" t="s">
        <v>512</v>
      </c>
      <c r="G2775" s="1" t="s">
        <v>512</v>
      </c>
      <c r="H2775" s="1" t="s">
        <v>512</v>
      </c>
      <c r="I2775" s="1" t="s">
        <v>512</v>
      </c>
      <c r="J2775" s="1" t="s">
        <v>512</v>
      </c>
      <c r="K2775" s="1" t="s">
        <v>512</v>
      </c>
      <c r="L2775" s="1" t="s">
        <v>512</v>
      </c>
      <c r="M2775" s="1" t="s">
        <v>512</v>
      </c>
      <c r="N2775" s="1" t="s">
        <v>512</v>
      </c>
      <c r="O2775" s="1" t="s">
        <v>512</v>
      </c>
    </row>
    <row r="2776" spans="4:15" x14ac:dyDescent="0.25">
      <c r="D2776" s="1" t="s">
        <v>512</v>
      </c>
      <c r="E2776" s="21" t="s">
        <v>512</v>
      </c>
      <c r="F2776" s="1" t="s">
        <v>512</v>
      </c>
      <c r="G2776" s="1" t="s">
        <v>512</v>
      </c>
      <c r="H2776" s="1" t="s">
        <v>512</v>
      </c>
      <c r="I2776" s="1" t="s">
        <v>512</v>
      </c>
      <c r="J2776" s="1" t="s">
        <v>512</v>
      </c>
      <c r="K2776" s="1" t="s">
        <v>512</v>
      </c>
      <c r="L2776" s="1" t="s">
        <v>512</v>
      </c>
      <c r="M2776" s="1" t="s">
        <v>512</v>
      </c>
      <c r="N2776" s="1" t="s">
        <v>512</v>
      </c>
      <c r="O2776" s="1" t="s">
        <v>512</v>
      </c>
    </row>
    <row r="2777" spans="4:15" x14ac:dyDescent="0.25">
      <c r="D2777" s="1" t="s">
        <v>512</v>
      </c>
      <c r="E2777" s="21" t="s">
        <v>512</v>
      </c>
      <c r="F2777" s="1" t="s">
        <v>512</v>
      </c>
      <c r="G2777" s="1" t="s">
        <v>512</v>
      </c>
      <c r="H2777" s="1" t="s">
        <v>512</v>
      </c>
      <c r="I2777" s="1" t="s">
        <v>512</v>
      </c>
      <c r="J2777" s="1" t="s">
        <v>512</v>
      </c>
      <c r="K2777" s="1" t="s">
        <v>512</v>
      </c>
      <c r="L2777" s="1" t="s">
        <v>512</v>
      </c>
      <c r="M2777" s="1" t="s">
        <v>512</v>
      </c>
      <c r="N2777" s="1" t="s">
        <v>512</v>
      </c>
      <c r="O2777" s="1" t="s">
        <v>512</v>
      </c>
    </row>
    <row r="2778" spans="4:15" x14ac:dyDescent="0.25">
      <c r="D2778" s="1" t="s">
        <v>512</v>
      </c>
      <c r="E2778" s="21" t="s">
        <v>512</v>
      </c>
      <c r="F2778" s="1" t="s">
        <v>512</v>
      </c>
      <c r="G2778" s="1" t="s">
        <v>512</v>
      </c>
      <c r="H2778" s="1" t="s">
        <v>512</v>
      </c>
      <c r="I2778" s="1" t="s">
        <v>512</v>
      </c>
      <c r="J2778" s="1" t="s">
        <v>512</v>
      </c>
      <c r="K2778" s="1" t="s">
        <v>512</v>
      </c>
      <c r="L2778" s="1" t="s">
        <v>512</v>
      </c>
      <c r="M2778" s="1" t="s">
        <v>512</v>
      </c>
      <c r="N2778" s="1" t="s">
        <v>512</v>
      </c>
      <c r="O2778" s="1" t="s">
        <v>512</v>
      </c>
    </row>
    <row r="2779" spans="4:15" x14ac:dyDescent="0.25">
      <c r="D2779" s="1" t="s">
        <v>512</v>
      </c>
      <c r="E2779" s="21" t="s">
        <v>512</v>
      </c>
      <c r="F2779" s="1" t="s">
        <v>512</v>
      </c>
      <c r="G2779" s="1" t="s">
        <v>512</v>
      </c>
      <c r="H2779" s="1" t="s">
        <v>512</v>
      </c>
      <c r="I2779" s="1" t="s">
        <v>512</v>
      </c>
      <c r="J2779" s="1" t="s">
        <v>512</v>
      </c>
      <c r="K2779" s="1" t="s">
        <v>512</v>
      </c>
      <c r="L2779" s="1" t="s">
        <v>512</v>
      </c>
      <c r="M2779" s="1" t="s">
        <v>512</v>
      </c>
      <c r="N2779" s="1" t="s">
        <v>512</v>
      </c>
      <c r="O2779" s="1" t="s">
        <v>512</v>
      </c>
    </row>
    <row r="2780" spans="4:15" x14ac:dyDescent="0.25">
      <c r="D2780" s="1" t="s">
        <v>512</v>
      </c>
      <c r="E2780" s="21" t="s">
        <v>512</v>
      </c>
      <c r="F2780" s="1" t="s">
        <v>512</v>
      </c>
      <c r="G2780" s="1" t="s">
        <v>512</v>
      </c>
      <c r="H2780" s="1" t="s">
        <v>512</v>
      </c>
      <c r="I2780" s="1" t="s">
        <v>512</v>
      </c>
      <c r="J2780" s="1" t="s">
        <v>512</v>
      </c>
      <c r="K2780" s="1" t="s">
        <v>512</v>
      </c>
      <c r="L2780" s="1" t="s">
        <v>512</v>
      </c>
      <c r="M2780" s="1" t="s">
        <v>512</v>
      </c>
      <c r="N2780" s="1" t="s">
        <v>512</v>
      </c>
      <c r="O2780" s="1" t="s">
        <v>512</v>
      </c>
    </row>
    <row r="2781" spans="4:15" x14ac:dyDescent="0.25">
      <c r="D2781" s="1" t="s">
        <v>512</v>
      </c>
      <c r="E2781" s="21" t="s">
        <v>512</v>
      </c>
      <c r="F2781" s="1" t="s">
        <v>512</v>
      </c>
      <c r="G2781" s="1" t="s">
        <v>512</v>
      </c>
      <c r="H2781" s="1" t="s">
        <v>512</v>
      </c>
      <c r="I2781" s="1" t="s">
        <v>512</v>
      </c>
      <c r="J2781" s="1" t="s">
        <v>512</v>
      </c>
      <c r="K2781" s="1" t="s">
        <v>512</v>
      </c>
      <c r="L2781" s="1" t="s">
        <v>512</v>
      </c>
      <c r="M2781" s="1" t="s">
        <v>512</v>
      </c>
      <c r="N2781" s="1" t="s">
        <v>512</v>
      </c>
      <c r="O2781" s="1" t="s">
        <v>512</v>
      </c>
    </row>
    <row r="2782" spans="4:15" x14ac:dyDescent="0.25">
      <c r="D2782" s="1" t="s">
        <v>512</v>
      </c>
      <c r="E2782" s="21" t="s">
        <v>512</v>
      </c>
      <c r="F2782" s="1" t="s">
        <v>512</v>
      </c>
      <c r="G2782" s="1" t="s">
        <v>512</v>
      </c>
      <c r="H2782" s="1" t="s">
        <v>512</v>
      </c>
      <c r="I2782" s="1" t="s">
        <v>512</v>
      </c>
      <c r="J2782" s="1" t="s">
        <v>512</v>
      </c>
      <c r="K2782" s="1" t="s">
        <v>512</v>
      </c>
      <c r="L2782" s="1" t="s">
        <v>512</v>
      </c>
      <c r="M2782" s="1" t="s">
        <v>512</v>
      </c>
      <c r="N2782" s="1" t="s">
        <v>512</v>
      </c>
      <c r="O2782" s="1" t="s">
        <v>512</v>
      </c>
    </row>
    <row r="2783" spans="4:15" x14ac:dyDescent="0.25">
      <c r="D2783" s="1" t="s">
        <v>512</v>
      </c>
      <c r="E2783" s="21" t="s">
        <v>512</v>
      </c>
      <c r="F2783" s="1" t="s">
        <v>512</v>
      </c>
      <c r="G2783" s="1" t="s">
        <v>512</v>
      </c>
      <c r="H2783" s="1" t="s">
        <v>512</v>
      </c>
      <c r="I2783" s="1" t="s">
        <v>512</v>
      </c>
      <c r="J2783" s="1" t="s">
        <v>512</v>
      </c>
      <c r="K2783" s="1" t="s">
        <v>512</v>
      </c>
      <c r="L2783" s="1" t="s">
        <v>512</v>
      </c>
      <c r="M2783" s="1" t="s">
        <v>512</v>
      </c>
      <c r="N2783" s="1" t="s">
        <v>512</v>
      </c>
      <c r="O2783" s="1" t="s">
        <v>512</v>
      </c>
    </row>
    <row r="2784" spans="4:15" x14ac:dyDescent="0.25">
      <c r="D2784" s="1" t="s">
        <v>512</v>
      </c>
      <c r="E2784" s="21" t="s">
        <v>512</v>
      </c>
      <c r="F2784" s="1" t="s">
        <v>512</v>
      </c>
      <c r="G2784" s="1" t="s">
        <v>512</v>
      </c>
      <c r="H2784" s="1" t="s">
        <v>512</v>
      </c>
      <c r="I2784" s="1" t="s">
        <v>512</v>
      </c>
      <c r="J2784" s="1" t="s">
        <v>512</v>
      </c>
      <c r="K2784" s="1" t="s">
        <v>512</v>
      </c>
      <c r="L2784" s="1" t="s">
        <v>512</v>
      </c>
      <c r="M2784" s="1" t="s">
        <v>512</v>
      </c>
      <c r="N2784" s="1" t="s">
        <v>512</v>
      </c>
      <c r="O2784" s="1" t="s">
        <v>512</v>
      </c>
    </row>
    <row r="2785" spans="4:15" x14ac:dyDescent="0.25">
      <c r="D2785" s="1" t="s">
        <v>512</v>
      </c>
      <c r="E2785" s="21" t="s">
        <v>512</v>
      </c>
      <c r="F2785" s="1" t="s">
        <v>512</v>
      </c>
      <c r="G2785" s="1" t="s">
        <v>512</v>
      </c>
      <c r="H2785" s="1" t="s">
        <v>512</v>
      </c>
      <c r="I2785" s="1" t="s">
        <v>512</v>
      </c>
      <c r="J2785" s="1" t="s">
        <v>512</v>
      </c>
      <c r="K2785" s="1" t="s">
        <v>512</v>
      </c>
      <c r="L2785" s="1" t="s">
        <v>512</v>
      </c>
      <c r="M2785" s="1" t="s">
        <v>512</v>
      </c>
      <c r="N2785" s="1" t="s">
        <v>512</v>
      </c>
      <c r="O2785" s="1" t="s">
        <v>512</v>
      </c>
    </row>
    <row r="2786" spans="4:15" x14ac:dyDescent="0.25">
      <c r="D2786" s="1" t="s">
        <v>512</v>
      </c>
      <c r="E2786" s="21" t="s">
        <v>512</v>
      </c>
      <c r="F2786" s="1" t="s">
        <v>512</v>
      </c>
      <c r="G2786" s="1" t="s">
        <v>512</v>
      </c>
      <c r="H2786" s="1" t="s">
        <v>512</v>
      </c>
      <c r="I2786" s="1" t="s">
        <v>512</v>
      </c>
      <c r="J2786" s="1" t="s">
        <v>512</v>
      </c>
      <c r="K2786" s="1" t="s">
        <v>512</v>
      </c>
      <c r="L2786" s="1" t="s">
        <v>512</v>
      </c>
      <c r="M2786" s="1" t="s">
        <v>512</v>
      </c>
      <c r="N2786" s="1" t="s">
        <v>512</v>
      </c>
      <c r="O2786" s="1" t="s">
        <v>512</v>
      </c>
    </row>
    <row r="2787" spans="4:15" x14ac:dyDescent="0.25">
      <c r="D2787" s="1" t="s">
        <v>512</v>
      </c>
      <c r="E2787" s="21" t="s">
        <v>512</v>
      </c>
      <c r="F2787" s="1" t="s">
        <v>512</v>
      </c>
      <c r="G2787" s="1" t="s">
        <v>512</v>
      </c>
      <c r="H2787" s="1" t="s">
        <v>512</v>
      </c>
      <c r="I2787" s="1" t="s">
        <v>512</v>
      </c>
      <c r="J2787" s="1" t="s">
        <v>512</v>
      </c>
      <c r="K2787" s="1" t="s">
        <v>512</v>
      </c>
      <c r="L2787" s="1" t="s">
        <v>512</v>
      </c>
      <c r="M2787" s="1" t="s">
        <v>512</v>
      </c>
      <c r="N2787" s="1" t="s">
        <v>512</v>
      </c>
      <c r="O2787" s="1" t="s">
        <v>512</v>
      </c>
    </row>
    <row r="2788" spans="4:15" x14ac:dyDescent="0.25">
      <c r="D2788" s="1" t="s">
        <v>512</v>
      </c>
      <c r="E2788" s="21" t="s">
        <v>512</v>
      </c>
      <c r="F2788" s="1" t="s">
        <v>512</v>
      </c>
      <c r="G2788" s="1" t="s">
        <v>512</v>
      </c>
      <c r="H2788" s="1" t="s">
        <v>512</v>
      </c>
      <c r="I2788" s="1" t="s">
        <v>512</v>
      </c>
      <c r="J2788" s="1" t="s">
        <v>512</v>
      </c>
      <c r="K2788" s="1" t="s">
        <v>512</v>
      </c>
      <c r="L2788" s="1" t="s">
        <v>512</v>
      </c>
      <c r="M2788" s="1" t="s">
        <v>512</v>
      </c>
      <c r="N2788" s="1" t="s">
        <v>512</v>
      </c>
      <c r="O2788" s="1" t="s">
        <v>512</v>
      </c>
    </row>
    <row r="2789" spans="4:15" x14ac:dyDescent="0.25">
      <c r="D2789" s="1" t="s">
        <v>512</v>
      </c>
      <c r="E2789" s="21" t="s">
        <v>512</v>
      </c>
      <c r="F2789" s="1" t="s">
        <v>512</v>
      </c>
      <c r="G2789" s="1" t="s">
        <v>512</v>
      </c>
      <c r="H2789" s="1" t="s">
        <v>512</v>
      </c>
      <c r="I2789" s="1" t="s">
        <v>512</v>
      </c>
      <c r="J2789" s="1" t="s">
        <v>512</v>
      </c>
      <c r="K2789" s="1" t="s">
        <v>512</v>
      </c>
      <c r="L2789" s="1" t="s">
        <v>512</v>
      </c>
      <c r="M2789" s="1" t="s">
        <v>512</v>
      </c>
      <c r="N2789" s="1" t="s">
        <v>512</v>
      </c>
      <c r="O2789" s="1" t="s">
        <v>512</v>
      </c>
    </row>
    <row r="2790" spans="4:15" x14ac:dyDescent="0.25">
      <c r="D2790" s="1" t="s">
        <v>512</v>
      </c>
      <c r="E2790" s="21" t="s">
        <v>512</v>
      </c>
      <c r="F2790" s="1" t="s">
        <v>512</v>
      </c>
      <c r="G2790" s="1" t="s">
        <v>512</v>
      </c>
      <c r="H2790" s="1" t="s">
        <v>512</v>
      </c>
      <c r="I2790" s="1" t="s">
        <v>512</v>
      </c>
      <c r="J2790" s="1" t="s">
        <v>512</v>
      </c>
      <c r="K2790" s="1" t="s">
        <v>512</v>
      </c>
      <c r="L2790" s="1" t="s">
        <v>512</v>
      </c>
      <c r="M2790" s="1" t="s">
        <v>512</v>
      </c>
      <c r="N2790" s="1" t="s">
        <v>512</v>
      </c>
      <c r="O2790" s="1" t="s">
        <v>512</v>
      </c>
    </row>
    <row r="2791" spans="4:15" x14ac:dyDescent="0.25">
      <c r="D2791" s="1" t="s">
        <v>512</v>
      </c>
      <c r="E2791" s="21" t="s">
        <v>512</v>
      </c>
      <c r="F2791" s="1" t="s">
        <v>512</v>
      </c>
      <c r="G2791" s="1" t="s">
        <v>512</v>
      </c>
      <c r="H2791" s="1" t="s">
        <v>512</v>
      </c>
      <c r="I2791" s="1" t="s">
        <v>512</v>
      </c>
      <c r="J2791" s="1" t="s">
        <v>512</v>
      </c>
      <c r="K2791" s="1" t="s">
        <v>512</v>
      </c>
      <c r="L2791" s="1" t="s">
        <v>512</v>
      </c>
      <c r="M2791" s="1" t="s">
        <v>512</v>
      </c>
      <c r="N2791" s="1" t="s">
        <v>512</v>
      </c>
      <c r="O2791" s="1" t="s">
        <v>512</v>
      </c>
    </row>
    <row r="2792" spans="4:15" x14ac:dyDescent="0.25">
      <c r="D2792" s="1" t="s">
        <v>512</v>
      </c>
      <c r="E2792" s="21" t="s">
        <v>512</v>
      </c>
      <c r="F2792" s="1" t="s">
        <v>512</v>
      </c>
      <c r="G2792" s="1" t="s">
        <v>512</v>
      </c>
      <c r="H2792" s="1" t="s">
        <v>512</v>
      </c>
      <c r="I2792" s="1" t="s">
        <v>512</v>
      </c>
      <c r="J2792" s="1" t="s">
        <v>512</v>
      </c>
      <c r="K2792" s="1" t="s">
        <v>512</v>
      </c>
      <c r="L2792" s="1" t="s">
        <v>512</v>
      </c>
      <c r="M2792" s="1" t="s">
        <v>512</v>
      </c>
      <c r="N2792" s="1" t="s">
        <v>512</v>
      </c>
      <c r="O2792" s="1" t="s">
        <v>512</v>
      </c>
    </row>
    <row r="2793" spans="4:15" x14ac:dyDescent="0.25">
      <c r="D2793" s="1" t="s">
        <v>512</v>
      </c>
      <c r="E2793" s="21" t="s">
        <v>512</v>
      </c>
      <c r="F2793" s="1" t="s">
        <v>512</v>
      </c>
      <c r="G2793" s="1" t="s">
        <v>512</v>
      </c>
      <c r="H2793" s="1" t="s">
        <v>512</v>
      </c>
      <c r="I2793" s="1" t="s">
        <v>512</v>
      </c>
      <c r="J2793" s="1" t="s">
        <v>512</v>
      </c>
      <c r="K2793" s="1" t="s">
        <v>512</v>
      </c>
      <c r="L2793" s="1" t="s">
        <v>512</v>
      </c>
      <c r="M2793" s="1" t="s">
        <v>512</v>
      </c>
      <c r="N2793" s="1" t="s">
        <v>512</v>
      </c>
      <c r="O2793" s="1" t="s">
        <v>512</v>
      </c>
    </row>
    <row r="2794" spans="4:15" x14ac:dyDescent="0.25">
      <c r="D2794" s="1" t="s">
        <v>512</v>
      </c>
      <c r="E2794" s="21" t="s">
        <v>512</v>
      </c>
      <c r="F2794" s="1" t="s">
        <v>512</v>
      </c>
      <c r="G2794" s="1" t="s">
        <v>512</v>
      </c>
      <c r="H2794" s="1" t="s">
        <v>512</v>
      </c>
      <c r="I2794" s="1" t="s">
        <v>512</v>
      </c>
      <c r="J2794" s="1" t="s">
        <v>512</v>
      </c>
      <c r="K2794" s="1" t="s">
        <v>512</v>
      </c>
      <c r="L2794" s="1" t="s">
        <v>512</v>
      </c>
      <c r="M2794" s="1" t="s">
        <v>512</v>
      </c>
      <c r="N2794" s="1" t="s">
        <v>512</v>
      </c>
      <c r="O2794" s="1" t="s">
        <v>512</v>
      </c>
    </row>
    <row r="2795" spans="4:15" x14ac:dyDescent="0.25">
      <c r="D2795" s="1" t="s">
        <v>512</v>
      </c>
      <c r="E2795" s="21" t="s">
        <v>512</v>
      </c>
      <c r="F2795" s="1" t="s">
        <v>512</v>
      </c>
      <c r="G2795" s="1" t="s">
        <v>512</v>
      </c>
      <c r="H2795" s="1" t="s">
        <v>512</v>
      </c>
      <c r="I2795" s="1" t="s">
        <v>512</v>
      </c>
      <c r="J2795" s="1" t="s">
        <v>512</v>
      </c>
      <c r="K2795" s="1" t="s">
        <v>512</v>
      </c>
      <c r="L2795" s="1" t="s">
        <v>512</v>
      </c>
      <c r="M2795" s="1" t="s">
        <v>512</v>
      </c>
      <c r="N2795" s="1" t="s">
        <v>512</v>
      </c>
      <c r="O2795" s="1" t="s">
        <v>512</v>
      </c>
    </row>
    <row r="2796" spans="4:15" x14ac:dyDescent="0.25">
      <c r="D2796" s="1" t="s">
        <v>512</v>
      </c>
      <c r="E2796" s="21" t="s">
        <v>512</v>
      </c>
      <c r="F2796" s="1" t="s">
        <v>512</v>
      </c>
      <c r="G2796" s="1" t="s">
        <v>512</v>
      </c>
      <c r="H2796" s="1" t="s">
        <v>512</v>
      </c>
      <c r="I2796" s="1" t="s">
        <v>512</v>
      </c>
      <c r="J2796" s="1" t="s">
        <v>512</v>
      </c>
      <c r="K2796" s="1" t="s">
        <v>512</v>
      </c>
      <c r="L2796" s="1" t="s">
        <v>512</v>
      </c>
      <c r="M2796" s="1" t="s">
        <v>512</v>
      </c>
      <c r="N2796" s="1" t="s">
        <v>512</v>
      </c>
      <c r="O2796" s="1" t="s">
        <v>512</v>
      </c>
    </row>
    <row r="2797" spans="4:15" x14ac:dyDescent="0.25">
      <c r="D2797" s="1" t="s">
        <v>512</v>
      </c>
      <c r="E2797" s="21" t="s">
        <v>512</v>
      </c>
      <c r="F2797" s="1" t="s">
        <v>512</v>
      </c>
      <c r="G2797" s="1" t="s">
        <v>512</v>
      </c>
      <c r="H2797" s="1" t="s">
        <v>512</v>
      </c>
      <c r="I2797" s="1" t="s">
        <v>512</v>
      </c>
      <c r="J2797" s="1" t="s">
        <v>512</v>
      </c>
      <c r="K2797" s="1" t="s">
        <v>512</v>
      </c>
      <c r="L2797" s="1" t="s">
        <v>512</v>
      </c>
      <c r="M2797" s="1" t="s">
        <v>512</v>
      </c>
      <c r="N2797" s="1" t="s">
        <v>512</v>
      </c>
      <c r="O2797" s="1" t="s">
        <v>512</v>
      </c>
    </row>
    <row r="2798" spans="4:15" x14ac:dyDescent="0.25">
      <c r="D2798" s="1" t="s">
        <v>512</v>
      </c>
      <c r="E2798" s="21" t="s">
        <v>512</v>
      </c>
      <c r="F2798" s="1" t="s">
        <v>512</v>
      </c>
      <c r="G2798" s="1" t="s">
        <v>512</v>
      </c>
      <c r="H2798" s="1" t="s">
        <v>512</v>
      </c>
      <c r="I2798" s="1" t="s">
        <v>512</v>
      </c>
      <c r="J2798" s="1" t="s">
        <v>512</v>
      </c>
      <c r="K2798" s="1" t="s">
        <v>512</v>
      </c>
      <c r="L2798" s="1" t="s">
        <v>512</v>
      </c>
      <c r="M2798" s="1" t="s">
        <v>512</v>
      </c>
      <c r="N2798" s="1" t="s">
        <v>512</v>
      </c>
      <c r="O2798" s="1" t="s">
        <v>512</v>
      </c>
    </row>
    <row r="2799" spans="4:15" x14ac:dyDescent="0.25">
      <c r="D2799" s="1" t="s">
        <v>512</v>
      </c>
      <c r="E2799" s="21" t="s">
        <v>512</v>
      </c>
      <c r="F2799" s="1" t="s">
        <v>512</v>
      </c>
      <c r="G2799" s="1" t="s">
        <v>512</v>
      </c>
      <c r="H2799" s="1" t="s">
        <v>512</v>
      </c>
      <c r="I2799" s="1" t="s">
        <v>512</v>
      </c>
      <c r="J2799" s="1" t="s">
        <v>512</v>
      </c>
      <c r="K2799" s="1" t="s">
        <v>512</v>
      </c>
      <c r="L2799" s="1" t="s">
        <v>512</v>
      </c>
      <c r="M2799" s="1" t="s">
        <v>512</v>
      </c>
      <c r="N2799" s="1" t="s">
        <v>512</v>
      </c>
      <c r="O2799" s="1" t="s">
        <v>512</v>
      </c>
    </row>
    <row r="2800" spans="4:15" x14ac:dyDescent="0.25">
      <c r="D2800" s="1" t="s">
        <v>512</v>
      </c>
      <c r="E2800" s="21" t="s">
        <v>512</v>
      </c>
      <c r="F2800" s="1" t="s">
        <v>512</v>
      </c>
      <c r="G2800" s="1" t="s">
        <v>512</v>
      </c>
      <c r="H2800" s="1" t="s">
        <v>512</v>
      </c>
      <c r="I2800" s="1" t="s">
        <v>512</v>
      </c>
      <c r="J2800" s="1" t="s">
        <v>512</v>
      </c>
      <c r="K2800" s="1" t="s">
        <v>512</v>
      </c>
      <c r="L2800" s="1" t="s">
        <v>512</v>
      </c>
      <c r="M2800" s="1" t="s">
        <v>512</v>
      </c>
      <c r="N2800" s="1" t="s">
        <v>512</v>
      </c>
      <c r="O2800" s="1" t="s">
        <v>512</v>
      </c>
    </row>
    <row r="2801" spans="4:15" x14ac:dyDescent="0.25">
      <c r="D2801" s="1" t="s">
        <v>512</v>
      </c>
      <c r="E2801" s="21" t="s">
        <v>512</v>
      </c>
      <c r="F2801" s="1" t="s">
        <v>512</v>
      </c>
      <c r="G2801" s="1" t="s">
        <v>512</v>
      </c>
      <c r="H2801" s="1" t="s">
        <v>512</v>
      </c>
      <c r="I2801" s="1" t="s">
        <v>512</v>
      </c>
      <c r="J2801" s="1" t="s">
        <v>512</v>
      </c>
      <c r="K2801" s="1" t="s">
        <v>512</v>
      </c>
      <c r="L2801" s="1" t="s">
        <v>512</v>
      </c>
      <c r="M2801" s="1" t="s">
        <v>512</v>
      </c>
      <c r="N2801" s="1" t="s">
        <v>512</v>
      </c>
      <c r="O2801" s="1" t="s">
        <v>512</v>
      </c>
    </row>
    <row r="2802" spans="4:15" x14ac:dyDescent="0.25">
      <c r="D2802" s="1" t="s">
        <v>512</v>
      </c>
      <c r="E2802" s="21" t="s">
        <v>512</v>
      </c>
      <c r="F2802" s="1" t="s">
        <v>512</v>
      </c>
      <c r="G2802" s="1" t="s">
        <v>512</v>
      </c>
      <c r="H2802" s="1" t="s">
        <v>512</v>
      </c>
      <c r="I2802" s="1" t="s">
        <v>512</v>
      </c>
      <c r="J2802" s="1" t="s">
        <v>512</v>
      </c>
      <c r="K2802" s="1" t="s">
        <v>512</v>
      </c>
      <c r="L2802" s="1" t="s">
        <v>512</v>
      </c>
      <c r="M2802" s="1" t="s">
        <v>512</v>
      </c>
      <c r="N2802" s="1" t="s">
        <v>512</v>
      </c>
      <c r="O2802" s="1" t="s">
        <v>512</v>
      </c>
    </row>
    <row r="2803" spans="4:15" x14ac:dyDescent="0.25">
      <c r="D2803" s="1" t="s">
        <v>512</v>
      </c>
      <c r="E2803" s="21" t="s">
        <v>512</v>
      </c>
      <c r="F2803" s="1" t="s">
        <v>512</v>
      </c>
      <c r="G2803" s="1" t="s">
        <v>512</v>
      </c>
      <c r="H2803" s="1" t="s">
        <v>512</v>
      </c>
      <c r="I2803" s="1" t="s">
        <v>512</v>
      </c>
      <c r="J2803" s="1" t="s">
        <v>512</v>
      </c>
      <c r="K2803" s="1" t="s">
        <v>512</v>
      </c>
      <c r="L2803" s="1" t="s">
        <v>512</v>
      </c>
      <c r="M2803" s="1" t="s">
        <v>512</v>
      </c>
      <c r="N2803" s="1" t="s">
        <v>512</v>
      </c>
      <c r="O2803" s="1" t="s">
        <v>512</v>
      </c>
    </row>
    <row r="2804" spans="4:15" x14ac:dyDescent="0.25">
      <c r="D2804" s="1" t="s">
        <v>512</v>
      </c>
      <c r="E2804" s="21" t="s">
        <v>512</v>
      </c>
      <c r="F2804" s="1" t="s">
        <v>512</v>
      </c>
      <c r="G2804" s="1" t="s">
        <v>512</v>
      </c>
      <c r="H2804" s="1" t="s">
        <v>512</v>
      </c>
      <c r="I2804" s="1" t="s">
        <v>512</v>
      </c>
      <c r="J2804" s="1" t="s">
        <v>512</v>
      </c>
      <c r="K2804" s="1" t="s">
        <v>512</v>
      </c>
      <c r="L2804" s="1" t="s">
        <v>512</v>
      </c>
      <c r="M2804" s="1" t="s">
        <v>512</v>
      </c>
      <c r="N2804" s="1" t="s">
        <v>512</v>
      </c>
      <c r="O2804" s="1" t="s">
        <v>512</v>
      </c>
    </row>
    <row r="2805" spans="4:15" x14ac:dyDescent="0.25">
      <c r="D2805" s="1" t="s">
        <v>512</v>
      </c>
      <c r="E2805" s="21" t="s">
        <v>512</v>
      </c>
      <c r="F2805" s="1" t="s">
        <v>512</v>
      </c>
      <c r="G2805" s="1" t="s">
        <v>512</v>
      </c>
      <c r="H2805" s="1" t="s">
        <v>512</v>
      </c>
      <c r="I2805" s="1" t="s">
        <v>512</v>
      </c>
      <c r="J2805" s="1" t="s">
        <v>512</v>
      </c>
      <c r="K2805" s="1" t="s">
        <v>512</v>
      </c>
      <c r="L2805" s="1" t="s">
        <v>512</v>
      </c>
      <c r="M2805" s="1" t="s">
        <v>512</v>
      </c>
      <c r="N2805" s="1" t="s">
        <v>512</v>
      </c>
      <c r="O2805" s="1" t="s">
        <v>512</v>
      </c>
    </row>
    <row r="2806" spans="4:15" x14ac:dyDescent="0.25">
      <c r="D2806" s="1" t="s">
        <v>512</v>
      </c>
      <c r="E2806" s="21" t="s">
        <v>512</v>
      </c>
      <c r="F2806" s="1" t="s">
        <v>512</v>
      </c>
      <c r="G2806" s="1" t="s">
        <v>512</v>
      </c>
      <c r="H2806" s="1" t="s">
        <v>512</v>
      </c>
      <c r="I2806" s="1" t="s">
        <v>512</v>
      </c>
      <c r="J2806" s="1" t="s">
        <v>512</v>
      </c>
      <c r="K2806" s="1" t="s">
        <v>512</v>
      </c>
      <c r="L2806" s="1" t="s">
        <v>512</v>
      </c>
      <c r="M2806" s="1" t="s">
        <v>512</v>
      </c>
      <c r="N2806" s="1" t="s">
        <v>512</v>
      </c>
      <c r="O2806" s="1" t="s">
        <v>512</v>
      </c>
    </row>
    <row r="2807" spans="4:15" x14ac:dyDescent="0.25">
      <c r="D2807" s="1" t="s">
        <v>512</v>
      </c>
      <c r="E2807" s="21" t="s">
        <v>512</v>
      </c>
      <c r="F2807" s="1" t="s">
        <v>512</v>
      </c>
      <c r="G2807" s="1" t="s">
        <v>512</v>
      </c>
      <c r="H2807" s="1" t="s">
        <v>512</v>
      </c>
      <c r="I2807" s="1" t="s">
        <v>512</v>
      </c>
      <c r="J2807" s="1" t="s">
        <v>512</v>
      </c>
      <c r="K2807" s="1" t="s">
        <v>512</v>
      </c>
      <c r="L2807" s="1" t="s">
        <v>512</v>
      </c>
      <c r="M2807" s="1" t="s">
        <v>512</v>
      </c>
      <c r="N2807" s="1" t="s">
        <v>512</v>
      </c>
      <c r="O2807" s="1" t="s">
        <v>512</v>
      </c>
    </row>
    <row r="2808" spans="4:15" x14ac:dyDescent="0.25">
      <c r="D2808" s="1" t="s">
        <v>512</v>
      </c>
      <c r="E2808" s="21" t="s">
        <v>512</v>
      </c>
      <c r="F2808" s="1" t="s">
        <v>512</v>
      </c>
      <c r="G2808" s="1" t="s">
        <v>512</v>
      </c>
      <c r="H2808" s="1" t="s">
        <v>512</v>
      </c>
      <c r="I2808" s="1" t="s">
        <v>512</v>
      </c>
      <c r="J2808" s="1" t="s">
        <v>512</v>
      </c>
      <c r="K2808" s="1" t="s">
        <v>512</v>
      </c>
      <c r="L2808" s="1" t="s">
        <v>512</v>
      </c>
      <c r="M2808" s="1" t="s">
        <v>512</v>
      </c>
      <c r="N2808" s="1" t="s">
        <v>512</v>
      </c>
      <c r="O2808" s="1" t="s">
        <v>512</v>
      </c>
    </row>
    <row r="2809" spans="4:15" x14ac:dyDescent="0.25">
      <c r="D2809" s="1" t="s">
        <v>512</v>
      </c>
      <c r="E2809" s="21" t="s">
        <v>512</v>
      </c>
      <c r="F2809" s="1" t="s">
        <v>512</v>
      </c>
      <c r="G2809" s="1" t="s">
        <v>512</v>
      </c>
      <c r="H2809" s="1" t="s">
        <v>512</v>
      </c>
      <c r="I2809" s="1" t="s">
        <v>512</v>
      </c>
      <c r="J2809" s="1" t="s">
        <v>512</v>
      </c>
      <c r="K2809" s="1" t="s">
        <v>512</v>
      </c>
      <c r="L2809" s="1" t="s">
        <v>512</v>
      </c>
      <c r="M2809" s="1" t="s">
        <v>512</v>
      </c>
      <c r="N2809" s="1" t="s">
        <v>512</v>
      </c>
      <c r="O2809" s="1" t="s">
        <v>512</v>
      </c>
    </row>
    <row r="2810" spans="4:15" x14ac:dyDescent="0.25">
      <c r="D2810" s="1" t="s">
        <v>512</v>
      </c>
      <c r="E2810" s="21" t="s">
        <v>512</v>
      </c>
      <c r="F2810" s="1" t="s">
        <v>512</v>
      </c>
      <c r="G2810" s="1" t="s">
        <v>512</v>
      </c>
      <c r="H2810" s="1" t="s">
        <v>512</v>
      </c>
      <c r="I2810" s="1" t="s">
        <v>512</v>
      </c>
      <c r="J2810" s="1" t="s">
        <v>512</v>
      </c>
      <c r="K2810" s="1" t="s">
        <v>512</v>
      </c>
      <c r="L2810" s="1" t="s">
        <v>512</v>
      </c>
      <c r="M2810" s="1" t="s">
        <v>512</v>
      </c>
      <c r="N2810" s="1" t="s">
        <v>512</v>
      </c>
      <c r="O2810" s="1" t="s">
        <v>512</v>
      </c>
    </row>
    <row r="2811" spans="4:15" x14ac:dyDescent="0.25">
      <c r="D2811" s="1" t="s">
        <v>512</v>
      </c>
      <c r="E2811" s="21" t="s">
        <v>512</v>
      </c>
      <c r="F2811" s="1" t="s">
        <v>512</v>
      </c>
      <c r="G2811" s="1" t="s">
        <v>512</v>
      </c>
      <c r="H2811" s="1" t="s">
        <v>512</v>
      </c>
      <c r="I2811" s="1" t="s">
        <v>512</v>
      </c>
      <c r="J2811" s="1" t="s">
        <v>512</v>
      </c>
      <c r="K2811" s="1" t="s">
        <v>512</v>
      </c>
      <c r="L2811" s="1" t="s">
        <v>512</v>
      </c>
      <c r="M2811" s="1" t="s">
        <v>512</v>
      </c>
      <c r="N2811" s="1" t="s">
        <v>512</v>
      </c>
      <c r="O2811" s="1" t="s">
        <v>512</v>
      </c>
    </row>
    <row r="2812" spans="4:15" x14ac:dyDescent="0.25">
      <c r="D2812" s="1" t="s">
        <v>512</v>
      </c>
      <c r="E2812" s="21" t="s">
        <v>512</v>
      </c>
      <c r="F2812" s="1" t="s">
        <v>512</v>
      </c>
      <c r="G2812" s="1" t="s">
        <v>512</v>
      </c>
      <c r="H2812" s="1" t="s">
        <v>512</v>
      </c>
      <c r="I2812" s="1" t="s">
        <v>512</v>
      </c>
      <c r="J2812" s="1" t="s">
        <v>512</v>
      </c>
      <c r="K2812" s="1" t="s">
        <v>512</v>
      </c>
      <c r="L2812" s="1" t="s">
        <v>512</v>
      </c>
      <c r="M2812" s="1" t="s">
        <v>512</v>
      </c>
      <c r="N2812" s="1" t="s">
        <v>512</v>
      </c>
      <c r="O2812" s="1" t="s">
        <v>512</v>
      </c>
    </row>
    <row r="2813" spans="4:15" x14ac:dyDescent="0.25">
      <c r="D2813" s="1" t="s">
        <v>512</v>
      </c>
      <c r="E2813" s="21" t="s">
        <v>512</v>
      </c>
      <c r="F2813" s="1" t="s">
        <v>512</v>
      </c>
      <c r="G2813" s="1" t="s">
        <v>512</v>
      </c>
      <c r="H2813" s="1" t="s">
        <v>512</v>
      </c>
      <c r="I2813" s="1" t="s">
        <v>512</v>
      </c>
      <c r="J2813" s="1" t="s">
        <v>512</v>
      </c>
      <c r="K2813" s="1" t="s">
        <v>512</v>
      </c>
      <c r="L2813" s="1" t="s">
        <v>512</v>
      </c>
      <c r="M2813" s="1" t="s">
        <v>512</v>
      </c>
      <c r="N2813" s="1" t="s">
        <v>512</v>
      </c>
      <c r="O2813" s="1" t="s">
        <v>512</v>
      </c>
    </row>
    <row r="2814" spans="4:15" x14ac:dyDescent="0.25">
      <c r="D2814" s="1" t="s">
        <v>512</v>
      </c>
      <c r="E2814" s="21" t="s">
        <v>512</v>
      </c>
      <c r="F2814" s="1" t="s">
        <v>512</v>
      </c>
      <c r="G2814" s="1" t="s">
        <v>512</v>
      </c>
      <c r="H2814" s="1" t="s">
        <v>512</v>
      </c>
      <c r="I2814" s="1" t="s">
        <v>512</v>
      </c>
      <c r="J2814" s="1" t="s">
        <v>512</v>
      </c>
      <c r="K2814" s="1" t="s">
        <v>512</v>
      </c>
      <c r="L2814" s="1" t="s">
        <v>512</v>
      </c>
      <c r="M2814" s="1" t="s">
        <v>512</v>
      </c>
      <c r="N2814" s="1" t="s">
        <v>512</v>
      </c>
      <c r="O2814" s="1" t="s">
        <v>512</v>
      </c>
    </row>
    <row r="2815" spans="4:15" x14ac:dyDescent="0.25">
      <c r="D2815" s="1" t="s">
        <v>512</v>
      </c>
      <c r="E2815" s="21" t="s">
        <v>512</v>
      </c>
      <c r="F2815" s="1" t="s">
        <v>512</v>
      </c>
      <c r="G2815" s="1" t="s">
        <v>512</v>
      </c>
      <c r="H2815" s="1" t="s">
        <v>512</v>
      </c>
      <c r="I2815" s="1" t="s">
        <v>512</v>
      </c>
      <c r="J2815" s="1" t="s">
        <v>512</v>
      </c>
      <c r="K2815" s="1" t="s">
        <v>512</v>
      </c>
      <c r="L2815" s="1" t="s">
        <v>512</v>
      </c>
      <c r="M2815" s="1" t="s">
        <v>512</v>
      </c>
      <c r="N2815" s="1" t="s">
        <v>512</v>
      </c>
      <c r="O2815" s="1" t="s">
        <v>512</v>
      </c>
    </row>
    <row r="2816" spans="4:15" x14ac:dyDescent="0.25">
      <c r="D2816" s="1" t="s">
        <v>512</v>
      </c>
      <c r="E2816" s="21" t="s">
        <v>512</v>
      </c>
      <c r="F2816" s="1" t="s">
        <v>512</v>
      </c>
      <c r="G2816" s="1" t="s">
        <v>512</v>
      </c>
      <c r="H2816" s="1" t="s">
        <v>512</v>
      </c>
      <c r="I2816" s="1" t="s">
        <v>512</v>
      </c>
      <c r="J2816" s="1" t="s">
        <v>512</v>
      </c>
      <c r="K2816" s="1" t="s">
        <v>512</v>
      </c>
      <c r="L2816" s="1" t="s">
        <v>512</v>
      </c>
      <c r="M2816" s="1" t="s">
        <v>512</v>
      </c>
      <c r="N2816" s="1" t="s">
        <v>512</v>
      </c>
      <c r="O2816" s="1" t="s">
        <v>512</v>
      </c>
    </row>
    <row r="2817" spans="4:15" x14ac:dyDescent="0.25">
      <c r="D2817" s="1" t="s">
        <v>512</v>
      </c>
      <c r="E2817" s="21" t="s">
        <v>512</v>
      </c>
      <c r="F2817" s="1" t="s">
        <v>512</v>
      </c>
      <c r="G2817" s="1" t="s">
        <v>512</v>
      </c>
      <c r="H2817" s="1" t="s">
        <v>512</v>
      </c>
      <c r="I2817" s="1" t="s">
        <v>512</v>
      </c>
      <c r="J2817" s="1" t="s">
        <v>512</v>
      </c>
      <c r="K2817" s="1" t="s">
        <v>512</v>
      </c>
      <c r="L2817" s="1" t="s">
        <v>512</v>
      </c>
      <c r="M2817" s="1" t="s">
        <v>512</v>
      </c>
      <c r="N2817" s="1" t="s">
        <v>512</v>
      </c>
      <c r="O2817" s="1" t="s">
        <v>512</v>
      </c>
    </row>
    <row r="2818" spans="4:15" x14ac:dyDescent="0.25">
      <c r="D2818" s="1" t="s">
        <v>512</v>
      </c>
      <c r="E2818" s="21" t="s">
        <v>512</v>
      </c>
      <c r="F2818" s="1" t="s">
        <v>512</v>
      </c>
      <c r="G2818" s="1" t="s">
        <v>512</v>
      </c>
      <c r="H2818" s="1" t="s">
        <v>512</v>
      </c>
      <c r="I2818" s="1" t="s">
        <v>512</v>
      </c>
      <c r="J2818" s="1" t="s">
        <v>512</v>
      </c>
      <c r="K2818" s="1" t="s">
        <v>512</v>
      </c>
      <c r="L2818" s="1" t="s">
        <v>512</v>
      </c>
      <c r="M2818" s="1" t="s">
        <v>512</v>
      </c>
      <c r="N2818" s="1" t="s">
        <v>512</v>
      </c>
      <c r="O2818" s="1" t="s">
        <v>512</v>
      </c>
    </row>
    <row r="2819" spans="4:15" x14ac:dyDescent="0.25">
      <c r="D2819" s="1" t="s">
        <v>512</v>
      </c>
      <c r="E2819" s="21" t="s">
        <v>512</v>
      </c>
      <c r="F2819" s="1" t="s">
        <v>512</v>
      </c>
      <c r="G2819" s="1" t="s">
        <v>512</v>
      </c>
      <c r="H2819" s="1" t="s">
        <v>512</v>
      </c>
      <c r="I2819" s="1" t="s">
        <v>512</v>
      </c>
      <c r="J2819" s="1" t="s">
        <v>512</v>
      </c>
      <c r="K2819" s="1" t="s">
        <v>512</v>
      </c>
      <c r="L2819" s="1" t="s">
        <v>512</v>
      </c>
      <c r="M2819" s="1" t="s">
        <v>512</v>
      </c>
      <c r="N2819" s="1" t="s">
        <v>512</v>
      </c>
      <c r="O2819" s="1" t="s">
        <v>512</v>
      </c>
    </row>
    <row r="2820" spans="4:15" x14ac:dyDescent="0.25">
      <c r="D2820" s="1" t="s">
        <v>512</v>
      </c>
      <c r="E2820" s="21" t="s">
        <v>512</v>
      </c>
      <c r="F2820" s="1" t="s">
        <v>512</v>
      </c>
      <c r="G2820" s="1" t="s">
        <v>512</v>
      </c>
      <c r="H2820" s="1" t="s">
        <v>512</v>
      </c>
      <c r="I2820" s="1" t="s">
        <v>512</v>
      </c>
      <c r="J2820" s="1" t="s">
        <v>512</v>
      </c>
      <c r="K2820" s="1" t="s">
        <v>512</v>
      </c>
      <c r="L2820" s="1" t="s">
        <v>512</v>
      </c>
      <c r="M2820" s="1" t="s">
        <v>512</v>
      </c>
      <c r="N2820" s="1" t="s">
        <v>512</v>
      </c>
      <c r="O2820" s="1" t="s">
        <v>512</v>
      </c>
    </row>
    <row r="2821" spans="4:15" x14ac:dyDescent="0.25">
      <c r="D2821" s="1" t="s">
        <v>512</v>
      </c>
      <c r="E2821" s="21" t="s">
        <v>512</v>
      </c>
      <c r="F2821" s="1" t="s">
        <v>512</v>
      </c>
      <c r="G2821" s="1" t="s">
        <v>512</v>
      </c>
      <c r="H2821" s="1" t="s">
        <v>512</v>
      </c>
      <c r="I2821" s="1" t="s">
        <v>512</v>
      </c>
      <c r="J2821" s="1" t="s">
        <v>512</v>
      </c>
      <c r="K2821" s="1" t="s">
        <v>512</v>
      </c>
      <c r="L2821" s="1" t="s">
        <v>512</v>
      </c>
      <c r="M2821" s="1" t="s">
        <v>512</v>
      </c>
      <c r="N2821" s="1" t="s">
        <v>512</v>
      </c>
      <c r="O2821" s="1" t="s">
        <v>512</v>
      </c>
    </row>
    <row r="2822" spans="4:15" x14ac:dyDescent="0.25">
      <c r="D2822" s="1" t="s">
        <v>512</v>
      </c>
      <c r="E2822" s="21" t="s">
        <v>512</v>
      </c>
      <c r="F2822" s="1" t="s">
        <v>512</v>
      </c>
      <c r="G2822" s="1" t="s">
        <v>512</v>
      </c>
      <c r="H2822" s="1" t="s">
        <v>512</v>
      </c>
      <c r="I2822" s="1" t="s">
        <v>512</v>
      </c>
      <c r="J2822" s="1" t="s">
        <v>512</v>
      </c>
      <c r="K2822" s="1" t="s">
        <v>512</v>
      </c>
      <c r="L2822" s="1" t="s">
        <v>512</v>
      </c>
      <c r="M2822" s="1" t="s">
        <v>512</v>
      </c>
      <c r="N2822" s="1" t="s">
        <v>512</v>
      </c>
      <c r="O2822" s="1" t="s">
        <v>512</v>
      </c>
    </row>
    <row r="2823" spans="4:15" x14ac:dyDescent="0.25">
      <c r="D2823" s="1" t="s">
        <v>512</v>
      </c>
      <c r="E2823" s="21" t="s">
        <v>512</v>
      </c>
      <c r="F2823" s="1" t="s">
        <v>512</v>
      </c>
      <c r="G2823" s="1" t="s">
        <v>512</v>
      </c>
      <c r="H2823" s="1" t="s">
        <v>512</v>
      </c>
      <c r="I2823" s="1" t="s">
        <v>512</v>
      </c>
      <c r="J2823" s="1" t="s">
        <v>512</v>
      </c>
      <c r="K2823" s="1" t="s">
        <v>512</v>
      </c>
      <c r="L2823" s="1" t="s">
        <v>512</v>
      </c>
      <c r="M2823" s="1" t="s">
        <v>512</v>
      </c>
      <c r="N2823" s="1" t="s">
        <v>512</v>
      </c>
      <c r="O2823" s="1" t="s">
        <v>512</v>
      </c>
    </row>
    <row r="2824" spans="4:15" x14ac:dyDescent="0.25">
      <c r="D2824" s="1" t="s">
        <v>512</v>
      </c>
      <c r="E2824" s="21" t="s">
        <v>512</v>
      </c>
      <c r="F2824" s="1" t="s">
        <v>512</v>
      </c>
      <c r="G2824" s="1" t="s">
        <v>512</v>
      </c>
      <c r="H2824" s="1" t="s">
        <v>512</v>
      </c>
      <c r="I2824" s="1" t="s">
        <v>512</v>
      </c>
      <c r="J2824" s="1" t="s">
        <v>512</v>
      </c>
      <c r="K2824" s="1" t="s">
        <v>512</v>
      </c>
      <c r="L2824" s="1" t="s">
        <v>512</v>
      </c>
      <c r="M2824" s="1" t="s">
        <v>512</v>
      </c>
      <c r="N2824" s="1" t="s">
        <v>512</v>
      </c>
      <c r="O2824" s="1" t="s">
        <v>512</v>
      </c>
    </row>
    <row r="2825" spans="4:15" x14ac:dyDescent="0.25">
      <c r="D2825" s="1" t="s">
        <v>512</v>
      </c>
      <c r="E2825" s="21" t="s">
        <v>512</v>
      </c>
      <c r="F2825" s="1" t="s">
        <v>512</v>
      </c>
      <c r="G2825" s="1" t="s">
        <v>512</v>
      </c>
      <c r="H2825" s="1" t="s">
        <v>512</v>
      </c>
      <c r="I2825" s="1" t="s">
        <v>512</v>
      </c>
      <c r="J2825" s="1" t="s">
        <v>512</v>
      </c>
      <c r="K2825" s="1" t="s">
        <v>512</v>
      </c>
      <c r="L2825" s="1" t="s">
        <v>512</v>
      </c>
      <c r="M2825" s="1" t="s">
        <v>512</v>
      </c>
      <c r="N2825" s="1" t="s">
        <v>512</v>
      </c>
      <c r="O2825" s="1" t="s">
        <v>512</v>
      </c>
    </row>
    <row r="2826" spans="4:15" x14ac:dyDescent="0.25">
      <c r="D2826" s="1" t="s">
        <v>512</v>
      </c>
      <c r="E2826" s="21" t="s">
        <v>512</v>
      </c>
      <c r="F2826" s="1" t="s">
        <v>512</v>
      </c>
      <c r="G2826" s="1" t="s">
        <v>512</v>
      </c>
      <c r="H2826" s="1" t="s">
        <v>512</v>
      </c>
      <c r="I2826" s="1" t="s">
        <v>512</v>
      </c>
      <c r="J2826" s="1" t="s">
        <v>512</v>
      </c>
      <c r="K2826" s="1" t="s">
        <v>512</v>
      </c>
      <c r="L2826" s="1" t="s">
        <v>512</v>
      </c>
      <c r="M2826" s="1" t="s">
        <v>512</v>
      </c>
      <c r="N2826" s="1" t="s">
        <v>512</v>
      </c>
      <c r="O2826" s="1" t="s">
        <v>512</v>
      </c>
    </row>
    <row r="2827" spans="4:15" x14ac:dyDescent="0.25">
      <c r="D2827" s="1" t="s">
        <v>512</v>
      </c>
      <c r="E2827" s="21" t="s">
        <v>512</v>
      </c>
      <c r="F2827" s="1" t="s">
        <v>512</v>
      </c>
      <c r="G2827" s="1" t="s">
        <v>512</v>
      </c>
      <c r="H2827" s="1" t="s">
        <v>512</v>
      </c>
      <c r="I2827" s="1" t="s">
        <v>512</v>
      </c>
      <c r="J2827" s="1" t="s">
        <v>512</v>
      </c>
      <c r="K2827" s="1" t="s">
        <v>512</v>
      </c>
      <c r="L2827" s="1" t="s">
        <v>512</v>
      </c>
      <c r="M2827" s="1" t="s">
        <v>512</v>
      </c>
      <c r="N2827" s="1" t="s">
        <v>512</v>
      </c>
      <c r="O2827" s="1" t="s">
        <v>512</v>
      </c>
    </row>
    <row r="2828" spans="4:15" x14ac:dyDescent="0.25">
      <c r="D2828" s="1" t="s">
        <v>512</v>
      </c>
      <c r="E2828" s="21" t="s">
        <v>512</v>
      </c>
      <c r="F2828" s="1" t="s">
        <v>512</v>
      </c>
      <c r="G2828" s="1" t="s">
        <v>512</v>
      </c>
      <c r="H2828" s="1" t="s">
        <v>512</v>
      </c>
      <c r="I2828" s="1" t="s">
        <v>512</v>
      </c>
      <c r="J2828" s="1" t="s">
        <v>512</v>
      </c>
      <c r="K2828" s="1" t="s">
        <v>512</v>
      </c>
      <c r="L2828" s="1" t="s">
        <v>512</v>
      </c>
      <c r="M2828" s="1" t="s">
        <v>512</v>
      </c>
      <c r="N2828" s="1" t="s">
        <v>512</v>
      </c>
      <c r="O2828" s="1" t="s">
        <v>512</v>
      </c>
    </row>
    <row r="2829" spans="4:15" x14ac:dyDescent="0.25">
      <c r="D2829" s="1" t="s">
        <v>512</v>
      </c>
      <c r="E2829" s="21" t="s">
        <v>512</v>
      </c>
      <c r="F2829" s="1" t="s">
        <v>512</v>
      </c>
      <c r="G2829" s="1" t="s">
        <v>512</v>
      </c>
      <c r="H2829" s="1" t="s">
        <v>512</v>
      </c>
      <c r="I2829" s="1" t="s">
        <v>512</v>
      </c>
      <c r="J2829" s="1" t="s">
        <v>512</v>
      </c>
      <c r="K2829" s="1" t="s">
        <v>512</v>
      </c>
      <c r="L2829" s="1" t="s">
        <v>512</v>
      </c>
      <c r="M2829" s="1" t="s">
        <v>512</v>
      </c>
      <c r="N2829" s="1" t="s">
        <v>512</v>
      </c>
      <c r="O2829" s="1" t="s">
        <v>512</v>
      </c>
    </row>
    <row r="2830" spans="4:15" x14ac:dyDescent="0.25">
      <c r="D2830" s="1" t="s">
        <v>512</v>
      </c>
      <c r="E2830" s="21" t="s">
        <v>512</v>
      </c>
      <c r="F2830" s="1" t="s">
        <v>512</v>
      </c>
      <c r="G2830" s="1" t="s">
        <v>512</v>
      </c>
      <c r="H2830" s="1" t="s">
        <v>512</v>
      </c>
      <c r="I2830" s="1" t="s">
        <v>512</v>
      </c>
      <c r="J2830" s="1" t="s">
        <v>512</v>
      </c>
      <c r="K2830" s="1" t="s">
        <v>512</v>
      </c>
      <c r="L2830" s="1" t="s">
        <v>512</v>
      </c>
      <c r="M2830" s="1" t="s">
        <v>512</v>
      </c>
      <c r="N2830" s="1" t="s">
        <v>512</v>
      </c>
      <c r="O2830" s="1" t="s">
        <v>512</v>
      </c>
    </row>
    <row r="2831" spans="4:15" x14ac:dyDescent="0.25">
      <c r="D2831" s="1" t="s">
        <v>512</v>
      </c>
      <c r="E2831" s="21" t="s">
        <v>512</v>
      </c>
      <c r="F2831" s="1" t="s">
        <v>512</v>
      </c>
      <c r="G2831" s="1" t="s">
        <v>512</v>
      </c>
      <c r="H2831" s="1" t="s">
        <v>512</v>
      </c>
      <c r="I2831" s="1" t="s">
        <v>512</v>
      </c>
      <c r="J2831" s="1" t="s">
        <v>512</v>
      </c>
      <c r="K2831" s="1" t="s">
        <v>512</v>
      </c>
      <c r="L2831" s="1" t="s">
        <v>512</v>
      </c>
      <c r="M2831" s="1" t="s">
        <v>512</v>
      </c>
      <c r="N2831" s="1" t="s">
        <v>512</v>
      </c>
      <c r="O2831" s="1" t="s">
        <v>512</v>
      </c>
    </row>
    <row r="2832" spans="4:15" x14ac:dyDescent="0.25">
      <c r="D2832" s="1" t="s">
        <v>512</v>
      </c>
      <c r="E2832" s="21" t="s">
        <v>512</v>
      </c>
      <c r="F2832" s="1" t="s">
        <v>512</v>
      </c>
      <c r="G2832" s="1" t="s">
        <v>512</v>
      </c>
      <c r="H2832" s="1" t="s">
        <v>512</v>
      </c>
      <c r="I2832" s="1" t="s">
        <v>512</v>
      </c>
      <c r="J2832" s="1" t="s">
        <v>512</v>
      </c>
      <c r="K2832" s="1" t="s">
        <v>512</v>
      </c>
      <c r="L2832" s="1" t="s">
        <v>512</v>
      </c>
      <c r="M2832" s="1" t="s">
        <v>512</v>
      </c>
      <c r="N2832" s="1" t="s">
        <v>512</v>
      </c>
      <c r="O2832" s="1" t="s">
        <v>512</v>
      </c>
    </row>
    <row r="2833" spans="4:15" x14ac:dyDescent="0.25">
      <c r="D2833" s="1" t="s">
        <v>512</v>
      </c>
      <c r="E2833" s="21" t="s">
        <v>512</v>
      </c>
      <c r="F2833" s="1" t="s">
        <v>512</v>
      </c>
      <c r="G2833" s="1" t="s">
        <v>512</v>
      </c>
      <c r="H2833" s="1" t="s">
        <v>512</v>
      </c>
      <c r="I2833" s="1" t="s">
        <v>512</v>
      </c>
      <c r="J2833" s="1" t="s">
        <v>512</v>
      </c>
      <c r="K2833" s="1" t="s">
        <v>512</v>
      </c>
      <c r="L2833" s="1" t="s">
        <v>512</v>
      </c>
      <c r="M2833" s="1" t="s">
        <v>512</v>
      </c>
      <c r="N2833" s="1" t="s">
        <v>512</v>
      </c>
      <c r="O2833" s="1" t="s">
        <v>512</v>
      </c>
    </row>
    <row r="2834" spans="4:15" x14ac:dyDescent="0.25">
      <c r="D2834" s="1" t="s">
        <v>512</v>
      </c>
      <c r="E2834" s="21" t="s">
        <v>512</v>
      </c>
      <c r="F2834" s="1" t="s">
        <v>512</v>
      </c>
      <c r="G2834" s="1" t="s">
        <v>512</v>
      </c>
      <c r="H2834" s="1" t="s">
        <v>512</v>
      </c>
      <c r="I2834" s="1" t="s">
        <v>512</v>
      </c>
      <c r="J2834" s="1" t="s">
        <v>512</v>
      </c>
      <c r="K2834" s="1" t="s">
        <v>512</v>
      </c>
      <c r="L2834" s="1" t="s">
        <v>512</v>
      </c>
      <c r="M2834" s="1" t="s">
        <v>512</v>
      </c>
      <c r="N2834" s="1" t="s">
        <v>512</v>
      </c>
      <c r="O2834" s="1" t="s">
        <v>512</v>
      </c>
    </row>
    <row r="2835" spans="4:15" x14ac:dyDescent="0.25">
      <c r="D2835" s="1" t="s">
        <v>512</v>
      </c>
      <c r="E2835" s="21" t="s">
        <v>512</v>
      </c>
      <c r="F2835" s="1" t="s">
        <v>512</v>
      </c>
      <c r="G2835" s="1" t="s">
        <v>512</v>
      </c>
      <c r="H2835" s="1" t="s">
        <v>512</v>
      </c>
      <c r="I2835" s="1" t="s">
        <v>512</v>
      </c>
      <c r="J2835" s="1" t="s">
        <v>512</v>
      </c>
      <c r="K2835" s="1" t="s">
        <v>512</v>
      </c>
      <c r="L2835" s="1" t="s">
        <v>512</v>
      </c>
      <c r="M2835" s="1" t="s">
        <v>512</v>
      </c>
      <c r="N2835" s="1" t="s">
        <v>512</v>
      </c>
      <c r="O2835" s="1" t="s">
        <v>512</v>
      </c>
    </row>
    <row r="2836" spans="4:15" x14ac:dyDescent="0.25">
      <c r="D2836" s="1" t="s">
        <v>512</v>
      </c>
      <c r="E2836" s="21" t="s">
        <v>512</v>
      </c>
      <c r="F2836" s="1" t="s">
        <v>512</v>
      </c>
      <c r="G2836" s="1" t="s">
        <v>512</v>
      </c>
      <c r="H2836" s="1" t="s">
        <v>512</v>
      </c>
      <c r="I2836" s="1" t="s">
        <v>512</v>
      </c>
      <c r="J2836" s="1" t="s">
        <v>512</v>
      </c>
      <c r="K2836" s="1" t="s">
        <v>512</v>
      </c>
      <c r="L2836" s="1" t="s">
        <v>512</v>
      </c>
      <c r="M2836" s="1" t="s">
        <v>512</v>
      </c>
      <c r="N2836" s="1" t="s">
        <v>512</v>
      </c>
      <c r="O2836" s="1" t="s">
        <v>512</v>
      </c>
    </row>
    <row r="2837" spans="4:15" x14ac:dyDescent="0.25">
      <c r="D2837" s="1" t="s">
        <v>512</v>
      </c>
      <c r="E2837" s="21" t="s">
        <v>512</v>
      </c>
      <c r="F2837" s="1" t="s">
        <v>512</v>
      </c>
      <c r="G2837" s="1" t="s">
        <v>512</v>
      </c>
      <c r="H2837" s="1" t="s">
        <v>512</v>
      </c>
      <c r="I2837" s="1" t="s">
        <v>512</v>
      </c>
      <c r="J2837" s="1" t="s">
        <v>512</v>
      </c>
      <c r="K2837" s="1" t="s">
        <v>512</v>
      </c>
      <c r="L2837" s="1" t="s">
        <v>512</v>
      </c>
      <c r="M2837" s="1" t="s">
        <v>512</v>
      </c>
      <c r="N2837" s="1" t="s">
        <v>512</v>
      </c>
      <c r="O2837" s="1" t="s">
        <v>512</v>
      </c>
    </row>
    <row r="2838" spans="4:15" x14ac:dyDescent="0.25">
      <c r="D2838" s="1" t="s">
        <v>512</v>
      </c>
      <c r="E2838" s="21" t="s">
        <v>512</v>
      </c>
      <c r="F2838" s="1" t="s">
        <v>512</v>
      </c>
      <c r="G2838" s="1" t="s">
        <v>512</v>
      </c>
      <c r="H2838" s="1" t="s">
        <v>512</v>
      </c>
      <c r="I2838" s="1" t="s">
        <v>512</v>
      </c>
      <c r="J2838" s="1" t="s">
        <v>512</v>
      </c>
      <c r="K2838" s="1" t="s">
        <v>512</v>
      </c>
      <c r="L2838" s="1" t="s">
        <v>512</v>
      </c>
      <c r="M2838" s="1" t="s">
        <v>512</v>
      </c>
      <c r="N2838" s="1" t="s">
        <v>512</v>
      </c>
      <c r="O2838" s="1" t="s">
        <v>512</v>
      </c>
    </row>
    <row r="2839" spans="4:15" x14ac:dyDescent="0.25">
      <c r="D2839" s="1" t="s">
        <v>512</v>
      </c>
      <c r="E2839" s="21" t="s">
        <v>512</v>
      </c>
      <c r="F2839" s="1" t="s">
        <v>512</v>
      </c>
      <c r="G2839" s="1" t="s">
        <v>512</v>
      </c>
      <c r="H2839" s="1" t="s">
        <v>512</v>
      </c>
      <c r="I2839" s="1" t="s">
        <v>512</v>
      </c>
      <c r="J2839" s="1" t="s">
        <v>512</v>
      </c>
      <c r="K2839" s="1" t="s">
        <v>512</v>
      </c>
      <c r="L2839" s="1" t="s">
        <v>512</v>
      </c>
      <c r="M2839" s="1" t="s">
        <v>512</v>
      </c>
      <c r="N2839" s="1" t="s">
        <v>512</v>
      </c>
      <c r="O2839" s="1" t="s">
        <v>512</v>
      </c>
    </row>
    <row r="2840" spans="4:15" x14ac:dyDescent="0.25">
      <c r="D2840" s="1" t="s">
        <v>512</v>
      </c>
      <c r="E2840" s="21" t="s">
        <v>512</v>
      </c>
      <c r="F2840" s="1" t="s">
        <v>512</v>
      </c>
      <c r="G2840" s="1" t="s">
        <v>512</v>
      </c>
      <c r="H2840" s="1" t="s">
        <v>512</v>
      </c>
      <c r="I2840" s="1" t="s">
        <v>512</v>
      </c>
      <c r="J2840" s="1" t="s">
        <v>512</v>
      </c>
      <c r="K2840" s="1" t="s">
        <v>512</v>
      </c>
      <c r="L2840" s="1" t="s">
        <v>512</v>
      </c>
      <c r="M2840" s="1" t="s">
        <v>512</v>
      </c>
      <c r="N2840" s="1" t="s">
        <v>512</v>
      </c>
      <c r="O2840" s="1" t="s">
        <v>512</v>
      </c>
    </row>
    <row r="2841" spans="4:15" x14ac:dyDescent="0.25">
      <c r="D2841" s="1" t="s">
        <v>512</v>
      </c>
      <c r="E2841" s="21" t="s">
        <v>512</v>
      </c>
      <c r="F2841" s="1" t="s">
        <v>512</v>
      </c>
      <c r="G2841" s="1" t="s">
        <v>512</v>
      </c>
      <c r="H2841" s="1" t="s">
        <v>512</v>
      </c>
      <c r="I2841" s="1" t="s">
        <v>512</v>
      </c>
      <c r="J2841" s="1" t="s">
        <v>512</v>
      </c>
      <c r="K2841" s="1" t="s">
        <v>512</v>
      </c>
      <c r="L2841" s="1" t="s">
        <v>512</v>
      </c>
      <c r="M2841" s="1" t="s">
        <v>512</v>
      </c>
      <c r="N2841" s="1" t="s">
        <v>512</v>
      </c>
      <c r="O2841" s="1" t="s">
        <v>512</v>
      </c>
    </row>
    <row r="2842" spans="4:15" x14ac:dyDescent="0.25">
      <c r="D2842" s="1" t="s">
        <v>512</v>
      </c>
      <c r="E2842" s="21" t="s">
        <v>512</v>
      </c>
      <c r="F2842" s="1" t="s">
        <v>512</v>
      </c>
      <c r="G2842" s="1" t="s">
        <v>512</v>
      </c>
      <c r="H2842" s="1" t="s">
        <v>512</v>
      </c>
      <c r="I2842" s="1" t="s">
        <v>512</v>
      </c>
      <c r="J2842" s="1" t="s">
        <v>512</v>
      </c>
      <c r="K2842" s="1" t="s">
        <v>512</v>
      </c>
      <c r="L2842" s="1" t="s">
        <v>512</v>
      </c>
      <c r="M2842" s="1" t="s">
        <v>512</v>
      </c>
      <c r="N2842" s="1" t="s">
        <v>512</v>
      </c>
      <c r="O2842" s="1" t="s">
        <v>512</v>
      </c>
    </row>
    <row r="2843" spans="4:15" x14ac:dyDescent="0.25">
      <c r="D2843" s="1" t="s">
        <v>512</v>
      </c>
      <c r="E2843" s="21" t="s">
        <v>512</v>
      </c>
      <c r="F2843" s="1" t="s">
        <v>512</v>
      </c>
      <c r="G2843" s="1" t="s">
        <v>512</v>
      </c>
      <c r="H2843" s="1" t="s">
        <v>512</v>
      </c>
      <c r="I2843" s="1" t="s">
        <v>512</v>
      </c>
      <c r="J2843" s="1" t="s">
        <v>512</v>
      </c>
      <c r="K2843" s="1" t="s">
        <v>512</v>
      </c>
      <c r="L2843" s="1" t="s">
        <v>512</v>
      </c>
      <c r="M2843" s="1" t="s">
        <v>512</v>
      </c>
      <c r="N2843" s="1" t="s">
        <v>512</v>
      </c>
      <c r="O2843" s="1" t="s">
        <v>512</v>
      </c>
    </row>
    <row r="2844" spans="4:15" x14ac:dyDescent="0.25">
      <c r="D2844" s="1" t="s">
        <v>512</v>
      </c>
      <c r="E2844" s="21" t="s">
        <v>512</v>
      </c>
      <c r="F2844" s="1" t="s">
        <v>512</v>
      </c>
      <c r="G2844" s="1" t="s">
        <v>512</v>
      </c>
      <c r="H2844" s="1" t="s">
        <v>512</v>
      </c>
      <c r="I2844" s="1" t="s">
        <v>512</v>
      </c>
      <c r="J2844" s="1" t="s">
        <v>512</v>
      </c>
      <c r="K2844" s="1" t="s">
        <v>512</v>
      </c>
      <c r="L2844" s="1" t="s">
        <v>512</v>
      </c>
      <c r="M2844" s="1" t="s">
        <v>512</v>
      </c>
      <c r="N2844" s="1" t="s">
        <v>512</v>
      </c>
      <c r="O2844" s="1" t="s">
        <v>512</v>
      </c>
    </row>
    <row r="2845" spans="4:15" x14ac:dyDescent="0.25">
      <c r="D2845" s="1" t="s">
        <v>512</v>
      </c>
      <c r="E2845" s="21" t="s">
        <v>512</v>
      </c>
      <c r="F2845" s="1" t="s">
        <v>512</v>
      </c>
      <c r="G2845" s="1" t="s">
        <v>512</v>
      </c>
      <c r="H2845" s="1" t="s">
        <v>512</v>
      </c>
      <c r="I2845" s="1" t="s">
        <v>512</v>
      </c>
      <c r="J2845" s="1" t="s">
        <v>512</v>
      </c>
      <c r="K2845" s="1" t="s">
        <v>512</v>
      </c>
      <c r="L2845" s="1" t="s">
        <v>512</v>
      </c>
      <c r="M2845" s="1" t="s">
        <v>512</v>
      </c>
      <c r="N2845" s="1" t="s">
        <v>512</v>
      </c>
      <c r="O2845" s="1" t="s">
        <v>512</v>
      </c>
    </row>
    <row r="2846" spans="4:15" x14ac:dyDescent="0.25">
      <c r="D2846" s="1" t="s">
        <v>512</v>
      </c>
      <c r="E2846" s="21" t="s">
        <v>512</v>
      </c>
      <c r="F2846" s="1" t="s">
        <v>512</v>
      </c>
      <c r="G2846" s="1" t="s">
        <v>512</v>
      </c>
      <c r="H2846" s="1" t="s">
        <v>512</v>
      </c>
      <c r="I2846" s="1" t="s">
        <v>512</v>
      </c>
      <c r="J2846" s="1" t="s">
        <v>512</v>
      </c>
      <c r="K2846" s="1" t="s">
        <v>512</v>
      </c>
      <c r="L2846" s="1" t="s">
        <v>512</v>
      </c>
      <c r="M2846" s="1" t="s">
        <v>512</v>
      </c>
      <c r="N2846" s="1" t="s">
        <v>512</v>
      </c>
      <c r="O2846" s="1" t="s">
        <v>512</v>
      </c>
    </row>
    <row r="2847" spans="4:15" x14ac:dyDescent="0.25">
      <c r="D2847" s="1" t="s">
        <v>512</v>
      </c>
      <c r="E2847" s="21" t="s">
        <v>512</v>
      </c>
      <c r="F2847" s="1" t="s">
        <v>512</v>
      </c>
      <c r="G2847" s="1" t="s">
        <v>512</v>
      </c>
      <c r="H2847" s="1" t="s">
        <v>512</v>
      </c>
      <c r="I2847" s="1" t="s">
        <v>512</v>
      </c>
      <c r="J2847" s="1" t="s">
        <v>512</v>
      </c>
      <c r="K2847" s="1" t="s">
        <v>512</v>
      </c>
      <c r="L2847" s="1" t="s">
        <v>512</v>
      </c>
      <c r="M2847" s="1" t="s">
        <v>512</v>
      </c>
      <c r="N2847" s="1" t="s">
        <v>512</v>
      </c>
      <c r="O2847" s="1" t="s">
        <v>512</v>
      </c>
    </row>
    <row r="2848" spans="4:15" x14ac:dyDescent="0.25">
      <c r="D2848" s="1" t="s">
        <v>512</v>
      </c>
      <c r="E2848" s="21" t="s">
        <v>512</v>
      </c>
      <c r="F2848" s="1" t="s">
        <v>512</v>
      </c>
      <c r="G2848" s="1" t="s">
        <v>512</v>
      </c>
      <c r="H2848" s="1" t="s">
        <v>512</v>
      </c>
      <c r="I2848" s="1" t="s">
        <v>512</v>
      </c>
      <c r="J2848" s="1" t="s">
        <v>512</v>
      </c>
      <c r="K2848" s="1" t="s">
        <v>512</v>
      </c>
      <c r="L2848" s="1" t="s">
        <v>512</v>
      </c>
      <c r="M2848" s="1" t="s">
        <v>512</v>
      </c>
      <c r="N2848" s="1" t="s">
        <v>512</v>
      </c>
      <c r="O2848" s="1" t="s">
        <v>512</v>
      </c>
    </row>
    <row r="2849" spans="4:15" x14ac:dyDescent="0.25">
      <c r="D2849" s="1" t="s">
        <v>512</v>
      </c>
      <c r="E2849" s="21" t="s">
        <v>512</v>
      </c>
      <c r="F2849" s="1" t="s">
        <v>512</v>
      </c>
      <c r="G2849" s="1" t="s">
        <v>512</v>
      </c>
      <c r="H2849" s="1" t="s">
        <v>512</v>
      </c>
      <c r="I2849" s="1" t="s">
        <v>512</v>
      </c>
      <c r="J2849" s="1" t="s">
        <v>512</v>
      </c>
      <c r="K2849" s="1" t="s">
        <v>512</v>
      </c>
      <c r="L2849" s="1" t="s">
        <v>512</v>
      </c>
      <c r="M2849" s="1" t="s">
        <v>512</v>
      </c>
      <c r="N2849" s="1" t="s">
        <v>512</v>
      </c>
      <c r="O2849" s="1" t="s">
        <v>512</v>
      </c>
    </row>
    <row r="2850" spans="4:15" x14ac:dyDescent="0.25">
      <c r="D2850" s="1" t="s">
        <v>512</v>
      </c>
      <c r="E2850" s="21" t="s">
        <v>512</v>
      </c>
      <c r="F2850" s="1" t="s">
        <v>512</v>
      </c>
      <c r="G2850" s="1" t="s">
        <v>512</v>
      </c>
      <c r="H2850" s="1" t="s">
        <v>512</v>
      </c>
      <c r="I2850" s="1" t="s">
        <v>512</v>
      </c>
      <c r="J2850" s="1" t="s">
        <v>512</v>
      </c>
      <c r="K2850" s="1" t="s">
        <v>512</v>
      </c>
      <c r="L2850" s="1" t="s">
        <v>512</v>
      </c>
      <c r="M2850" s="1" t="s">
        <v>512</v>
      </c>
      <c r="N2850" s="1" t="s">
        <v>512</v>
      </c>
      <c r="O2850" s="1" t="s">
        <v>512</v>
      </c>
    </row>
    <row r="2851" spans="4:15" x14ac:dyDescent="0.25">
      <c r="D2851" s="1" t="s">
        <v>512</v>
      </c>
      <c r="E2851" s="21" t="s">
        <v>512</v>
      </c>
      <c r="F2851" s="1" t="s">
        <v>512</v>
      </c>
      <c r="G2851" s="1" t="s">
        <v>512</v>
      </c>
      <c r="H2851" s="1" t="s">
        <v>512</v>
      </c>
      <c r="I2851" s="1" t="s">
        <v>512</v>
      </c>
      <c r="J2851" s="1" t="s">
        <v>512</v>
      </c>
      <c r="K2851" s="1" t="s">
        <v>512</v>
      </c>
      <c r="L2851" s="1" t="s">
        <v>512</v>
      </c>
      <c r="M2851" s="1" t="s">
        <v>512</v>
      </c>
      <c r="N2851" s="1" t="s">
        <v>512</v>
      </c>
      <c r="O2851" s="1" t="s">
        <v>512</v>
      </c>
    </row>
    <row r="2852" spans="4:15" x14ac:dyDescent="0.25">
      <c r="D2852" s="1" t="s">
        <v>512</v>
      </c>
      <c r="E2852" s="21" t="s">
        <v>512</v>
      </c>
      <c r="F2852" s="1" t="s">
        <v>512</v>
      </c>
      <c r="G2852" s="1" t="s">
        <v>512</v>
      </c>
      <c r="H2852" s="1" t="s">
        <v>512</v>
      </c>
      <c r="I2852" s="1" t="s">
        <v>512</v>
      </c>
      <c r="J2852" s="1" t="s">
        <v>512</v>
      </c>
      <c r="K2852" s="1" t="s">
        <v>512</v>
      </c>
      <c r="L2852" s="1" t="s">
        <v>512</v>
      </c>
      <c r="M2852" s="1" t="s">
        <v>512</v>
      </c>
      <c r="N2852" s="1" t="s">
        <v>512</v>
      </c>
      <c r="O2852" s="1" t="s">
        <v>512</v>
      </c>
    </row>
    <row r="2853" spans="4:15" x14ac:dyDescent="0.25">
      <c r="D2853" s="1" t="s">
        <v>512</v>
      </c>
      <c r="E2853" s="21" t="s">
        <v>512</v>
      </c>
      <c r="F2853" s="1" t="s">
        <v>512</v>
      </c>
      <c r="G2853" s="1" t="s">
        <v>512</v>
      </c>
      <c r="H2853" s="1" t="s">
        <v>512</v>
      </c>
      <c r="I2853" s="1" t="s">
        <v>512</v>
      </c>
      <c r="J2853" s="1" t="s">
        <v>512</v>
      </c>
      <c r="K2853" s="1" t="s">
        <v>512</v>
      </c>
      <c r="L2853" s="1" t="s">
        <v>512</v>
      </c>
      <c r="M2853" s="1" t="s">
        <v>512</v>
      </c>
      <c r="N2853" s="1" t="s">
        <v>512</v>
      </c>
      <c r="O2853" s="1" t="s">
        <v>512</v>
      </c>
    </row>
    <row r="2854" spans="4:15" x14ac:dyDescent="0.25">
      <c r="D2854" s="1" t="s">
        <v>512</v>
      </c>
      <c r="E2854" s="21" t="s">
        <v>512</v>
      </c>
      <c r="F2854" s="1" t="s">
        <v>512</v>
      </c>
      <c r="G2854" s="1" t="s">
        <v>512</v>
      </c>
      <c r="H2854" s="1" t="s">
        <v>512</v>
      </c>
      <c r="I2854" s="1" t="s">
        <v>512</v>
      </c>
      <c r="J2854" s="1" t="s">
        <v>512</v>
      </c>
      <c r="K2854" s="1" t="s">
        <v>512</v>
      </c>
      <c r="L2854" s="1" t="s">
        <v>512</v>
      </c>
      <c r="M2854" s="1" t="s">
        <v>512</v>
      </c>
      <c r="N2854" s="1" t="s">
        <v>512</v>
      </c>
      <c r="O2854" s="1" t="s">
        <v>512</v>
      </c>
    </row>
    <row r="2855" spans="4:15" x14ac:dyDescent="0.25">
      <c r="D2855" s="1" t="s">
        <v>512</v>
      </c>
      <c r="E2855" s="21" t="s">
        <v>512</v>
      </c>
      <c r="F2855" s="1" t="s">
        <v>512</v>
      </c>
      <c r="G2855" s="1" t="s">
        <v>512</v>
      </c>
      <c r="H2855" s="1" t="s">
        <v>512</v>
      </c>
      <c r="I2855" s="1" t="s">
        <v>512</v>
      </c>
      <c r="J2855" s="1" t="s">
        <v>512</v>
      </c>
      <c r="K2855" s="1" t="s">
        <v>512</v>
      </c>
      <c r="L2855" s="1" t="s">
        <v>512</v>
      </c>
      <c r="M2855" s="1" t="s">
        <v>512</v>
      </c>
      <c r="N2855" s="1" t="s">
        <v>512</v>
      </c>
      <c r="O2855" s="1" t="s">
        <v>512</v>
      </c>
    </row>
    <row r="2856" spans="4:15" x14ac:dyDescent="0.25">
      <c r="D2856" s="1" t="s">
        <v>512</v>
      </c>
      <c r="E2856" s="21" t="s">
        <v>512</v>
      </c>
      <c r="F2856" s="1" t="s">
        <v>512</v>
      </c>
      <c r="G2856" s="1" t="s">
        <v>512</v>
      </c>
      <c r="H2856" s="1" t="s">
        <v>512</v>
      </c>
      <c r="I2856" s="1" t="s">
        <v>512</v>
      </c>
      <c r="J2856" s="1" t="s">
        <v>512</v>
      </c>
      <c r="K2856" s="1" t="s">
        <v>512</v>
      </c>
      <c r="L2856" s="1" t="s">
        <v>512</v>
      </c>
      <c r="M2856" s="1" t="s">
        <v>512</v>
      </c>
      <c r="N2856" s="1" t="s">
        <v>512</v>
      </c>
      <c r="O2856" s="1" t="s">
        <v>512</v>
      </c>
    </row>
    <row r="2857" spans="4:15" x14ac:dyDescent="0.25">
      <c r="D2857" s="1" t="s">
        <v>512</v>
      </c>
      <c r="E2857" s="21" t="s">
        <v>512</v>
      </c>
      <c r="F2857" s="1" t="s">
        <v>512</v>
      </c>
      <c r="G2857" s="1" t="s">
        <v>512</v>
      </c>
      <c r="H2857" s="1" t="s">
        <v>512</v>
      </c>
      <c r="I2857" s="1" t="s">
        <v>512</v>
      </c>
      <c r="J2857" s="1" t="s">
        <v>512</v>
      </c>
      <c r="K2857" s="1" t="s">
        <v>512</v>
      </c>
      <c r="L2857" s="1" t="s">
        <v>512</v>
      </c>
      <c r="M2857" s="1" t="s">
        <v>512</v>
      </c>
      <c r="N2857" s="1" t="s">
        <v>512</v>
      </c>
      <c r="O2857" s="1" t="s">
        <v>512</v>
      </c>
    </row>
    <row r="2858" spans="4:15" x14ac:dyDescent="0.25">
      <c r="D2858" s="1" t="s">
        <v>512</v>
      </c>
      <c r="E2858" s="21" t="s">
        <v>512</v>
      </c>
      <c r="F2858" s="1" t="s">
        <v>512</v>
      </c>
      <c r="G2858" s="1" t="s">
        <v>512</v>
      </c>
      <c r="H2858" s="1" t="s">
        <v>512</v>
      </c>
      <c r="I2858" s="1" t="s">
        <v>512</v>
      </c>
      <c r="J2858" s="1" t="s">
        <v>512</v>
      </c>
      <c r="K2858" s="1" t="s">
        <v>512</v>
      </c>
      <c r="L2858" s="1" t="s">
        <v>512</v>
      </c>
      <c r="M2858" s="1" t="s">
        <v>512</v>
      </c>
      <c r="N2858" s="1" t="s">
        <v>512</v>
      </c>
      <c r="O2858" s="1" t="s">
        <v>512</v>
      </c>
    </row>
    <row r="2859" spans="4:15" x14ac:dyDescent="0.25">
      <c r="D2859" s="1" t="s">
        <v>512</v>
      </c>
      <c r="E2859" s="21" t="s">
        <v>512</v>
      </c>
      <c r="F2859" s="1" t="s">
        <v>512</v>
      </c>
      <c r="G2859" s="1" t="s">
        <v>512</v>
      </c>
      <c r="H2859" s="1" t="s">
        <v>512</v>
      </c>
      <c r="I2859" s="1" t="s">
        <v>512</v>
      </c>
      <c r="J2859" s="1" t="s">
        <v>512</v>
      </c>
      <c r="K2859" s="1" t="s">
        <v>512</v>
      </c>
      <c r="L2859" s="1" t="s">
        <v>512</v>
      </c>
      <c r="M2859" s="1" t="s">
        <v>512</v>
      </c>
      <c r="N2859" s="1" t="s">
        <v>512</v>
      </c>
      <c r="O2859" s="1" t="s">
        <v>512</v>
      </c>
    </row>
    <row r="2860" spans="4:15" x14ac:dyDescent="0.25">
      <c r="D2860" s="1" t="s">
        <v>512</v>
      </c>
      <c r="E2860" s="21" t="s">
        <v>512</v>
      </c>
      <c r="F2860" s="1" t="s">
        <v>512</v>
      </c>
      <c r="G2860" s="1" t="s">
        <v>512</v>
      </c>
      <c r="H2860" s="1" t="s">
        <v>512</v>
      </c>
      <c r="I2860" s="1" t="s">
        <v>512</v>
      </c>
      <c r="J2860" s="1" t="s">
        <v>512</v>
      </c>
      <c r="K2860" s="1" t="s">
        <v>512</v>
      </c>
      <c r="L2860" s="1" t="s">
        <v>512</v>
      </c>
      <c r="M2860" s="1" t="s">
        <v>512</v>
      </c>
      <c r="N2860" s="1" t="s">
        <v>512</v>
      </c>
      <c r="O2860" s="1" t="s">
        <v>512</v>
      </c>
    </row>
    <row r="2861" spans="4:15" x14ac:dyDescent="0.25">
      <c r="D2861" s="1" t="s">
        <v>512</v>
      </c>
      <c r="E2861" s="21" t="s">
        <v>512</v>
      </c>
      <c r="F2861" s="1" t="s">
        <v>512</v>
      </c>
      <c r="G2861" s="1" t="s">
        <v>512</v>
      </c>
      <c r="H2861" s="1" t="s">
        <v>512</v>
      </c>
      <c r="I2861" s="1" t="s">
        <v>512</v>
      </c>
      <c r="J2861" s="1" t="s">
        <v>512</v>
      </c>
      <c r="K2861" s="1" t="s">
        <v>512</v>
      </c>
      <c r="L2861" s="1" t="s">
        <v>512</v>
      </c>
      <c r="M2861" s="1" t="s">
        <v>512</v>
      </c>
      <c r="N2861" s="1" t="s">
        <v>512</v>
      </c>
      <c r="O2861" s="1" t="s">
        <v>512</v>
      </c>
    </row>
    <row r="2862" spans="4:15" x14ac:dyDescent="0.25">
      <c r="D2862" s="1" t="s">
        <v>512</v>
      </c>
      <c r="E2862" s="21" t="s">
        <v>512</v>
      </c>
      <c r="F2862" s="1" t="s">
        <v>512</v>
      </c>
      <c r="G2862" s="1" t="s">
        <v>512</v>
      </c>
      <c r="H2862" s="1" t="s">
        <v>512</v>
      </c>
      <c r="I2862" s="1" t="s">
        <v>512</v>
      </c>
      <c r="J2862" s="1" t="s">
        <v>512</v>
      </c>
      <c r="K2862" s="1" t="s">
        <v>512</v>
      </c>
      <c r="L2862" s="1" t="s">
        <v>512</v>
      </c>
      <c r="M2862" s="1" t="s">
        <v>512</v>
      </c>
      <c r="N2862" s="1" t="s">
        <v>512</v>
      </c>
      <c r="O2862" s="1" t="s">
        <v>512</v>
      </c>
    </row>
    <row r="2863" spans="4:15" x14ac:dyDescent="0.25">
      <c r="D2863" s="1" t="s">
        <v>512</v>
      </c>
      <c r="E2863" s="21" t="s">
        <v>512</v>
      </c>
      <c r="F2863" s="1" t="s">
        <v>512</v>
      </c>
      <c r="G2863" s="1" t="s">
        <v>512</v>
      </c>
      <c r="H2863" s="1" t="s">
        <v>512</v>
      </c>
      <c r="I2863" s="1" t="s">
        <v>512</v>
      </c>
      <c r="J2863" s="1" t="s">
        <v>512</v>
      </c>
      <c r="K2863" s="1" t="s">
        <v>512</v>
      </c>
      <c r="L2863" s="1" t="s">
        <v>512</v>
      </c>
      <c r="M2863" s="1" t="s">
        <v>512</v>
      </c>
      <c r="N2863" s="1" t="s">
        <v>512</v>
      </c>
      <c r="O2863" s="1" t="s">
        <v>512</v>
      </c>
    </row>
    <row r="2864" spans="4:15" x14ac:dyDescent="0.25">
      <c r="D2864" s="1" t="s">
        <v>512</v>
      </c>
      <c r="E2864" s="21" t="s">
        <v>512</v>
      </c>
      <c r="F2864" s="1" t="s">
        <v>512</v>
      </c>
      <c r="G2864" s="1" t="s">
        <v>512</v>
      </c>
      <c r="H2864" s="1" t="s">
        <v>512</v>
      </c>
      <c r="I2864" s="1" t="s">
        <v>512</v>
      </c>
      <c r="J2864" s="1" t="s">
        <v>512</v>
      </c>
      <c r="K2864" s="1" t="s">
        <v>512</v>
      </c>
      <c r="L2864" s="1" t="s">
        <v>512</v>
      </c>
      <c r="M2864" s="1" t="s">
        <v>512</v>
      </c>
      <c r="N2864" s="1" t="s">
        <v>512</v>
      </c>
      <c r="O2864" s="1" t="s">
        <v>512</v>
      </c>
    </row>
    <row r="2865" spans="4:15" x14ac:dyDescent="0.25">
      <c r="D2865" s="1" t="s">
        <v>512</v>
      </c>
      <c r="E2865" s="21" t="s">
        <v>512</v>
      </c>
      <c r="F2865" s="1" t="s">
        <v>512</v>
      </c>
      <c r="G2865" s="1" t="s">
        <v>512</v>
      </c>
      <c r="H2865" s="1" t="s">
        <v>512</v>
      </c>
      <c r="I2865" s="1" t="s">
        <v>512</v>
      </c>
      <c r="J2865" s="1" t="s">
        <v>512</v>
      </c>
      <c r="K2865" s="1" t="s">
        <v>512</v>
      </c>
      <c r="L2865" s="1" t="s">
        <v>512</v>
      </c>
      <c r="M2865" s="1" t="s">
        <v>512</v>
      </c>
      <c r="N2865" s="1" t="s">
        <v>512</v>
      </c>
      <c r="O2865" s="1" t="s">
        <v>512</v>
      </c>
    </row>
    <row r="2866" spans="4:15" x14ac:dyDescent="0.25">
      <c r="D2866" s="1" t="s">
        <v>512</v>
      </c>
      <c r="E2866" s="21" t="s">
        <v>512</v>
      </c>
      <c r="F2866" s="1" t="s">
        <v>512</v>
      </c>
      <c r="G2866" s="1" t="s">
        <v>512</v>
      </c>
      <c r="H2866" s="1" t="s">
        <v>512</v>
      </c>
      <c r="I2866" s="1" t="s">
        <v>512</v>
      </c>
      <c r="J2866" s="1" t="s">
        <v>512</v>
      </c>
      <c r="K2866" s="1" t="s">
        <v>512</v>
      </c>
      <c r="L2866" s="1" t="s">
        <v>512</v>
      </c>
      <c r="M2866" s="1" t="s">
        <v>512</v>
      </c>
      <c r="N2866" s="1" t="s">
        <v>512</v>
      </c>
      <c r="O2866" s="1" t="s">
        <v>512</v>
      </c>
    </row>
    <row r="2867" spans="4:15" x14ac:dyDescent="0.25">
      <c r="D2867" s="1" t="s">
        <v>512</v>
      </c>
      <c r="E2867" s="21" t="s">
        <v>512</v>
      </c>
      <c r="F2867" s="1" t="s">
        <v>512</v>
      </c>
      <c r="G2867" s="1" t="s">
        <v>512</v>
      </c>
      <c r="H2867" s="1" t="s">
        <v>512</v>
      </c>
      <c r="I2867" s="1" t="s">
        <v>512</v>
      </c>
      <c r="J2867" s="1" t="s">
        <v>512</v>
      </c>
      <c r="K2867" s="1" t="s">
        <v>512</v>
      </c>
      <c r="L2867" s="1" t="s">
        <v>512</v>
      </c>
      <c r="M2867" s="1" t="s">
        <v>512</v>
      </c>
      <c r="N2867" s="1" t="s">
        <v>512</v>
      </c>
      <c r="O2867" s="1" t="s">
        <v>512</v>
      </c>
    </row>
    <row r="2868" spans="4:15" x14ac:dyDescent="0.25">
      <c r="D2868" s="1" t="s">
        <v>512</v>
      </c>
      <c r="E2868" s="21" t="s">
        <v>512</v>
      </c>
      <c r="F2868" s="1" t="s">
        <v>512</v>
      </c>
      <c r="G2868" s="1" t="s">
        <v>512</v>
      </c>
      <c r="H2868" s="1" t="s">
        <v>512</v>
      </c>
      <c r="I2868" s="1" t="s">
        <v>512</v>
      </c>
      <c r="J2868" s="1" t="s">
        <v>512</v>
      </c>
      <c r="K2868" s="1" t="s">
        <v>512</v>
      </c>
      <c r="L2868" s="1" t="s">
        <v>512</v>
      </c>
      <c r="M2868" s="1" t="s">
        <v>512</v>
      </c>
      <c r="N2868" s="1" t="s">
        <v>512</v>
      </c>
      <c r="O2868" s="1" t="s">
        <v>512</v>
      </c>
    </row>
    <row r="2869" spans="4:15" x14ac:dyDescent="0.25">
      <c r="D2869" s="1" t="s">
        <v>512</v>
      </c>
      <c r="E2869" s="21" t="s">
        <v>512</v>
      </c>
      <c r="F2869" s="1" t="s">
        <v>512</v>
      </c>
      <c r="G2869" s="1" t="s">
        <v>512</v>
      </c>
      <c r="H2869" s="1" t="s">
        <v>512</v>
      </c>
      <c r="I2869" s="1" t="s">
        <v>512</v>
      </c>
      <c r="J2869" s="1" t="s">
        <v>512</v>
      </c>
      <c r="K2869" s="1" t="s">
        <v>512</v>
      </c>
      <c r="L2869" s="1" t="s">
        <v>512</v>
      </c>
      <c r="M2869" s="1" t="s">
        <v>512</v>
      </c>
      <c r="N2869" s="1" t="s">
        <v>512</v>
      </c>
      <c r="O2869" s="1" t="s">
        <v>512</v>
      </c>
    </row>
    <row r="2870" spans="4:15" x14ac:dyDescent="0.25">
      <c r="D2870" s="1" t="s">
        <v>512</v>
      </c>
      <c r="E2870" s="21" t="s">
        <v>512</v>
      </c>
      <c r="F2870" s="1" t="s">
        <v>512</v>
      </c>
      <c r="G2870" s="1" t="s">
        <v>512</v>
      </c>
      <c r="H2870" s="1" t="s">
        <v>512</v>
      </c>
      <c r="I2870" s="1" t="s">
        <v>512</v>
      </c>
      <c r="J2870" s="1" t="s">
        <v>512</v>
      </c>
      <c r="K2870" s="1" t="s">
        <v>512</v>
      </c>
      <c r="L2870" s="1" t="s">
        <v>512</v>
      </c>
      <c r="M2870" s="1" t="s">
        <v>512</v>
      </c>
      <c r="N2870" s="1" t="s">
        <v>512</v>
      </c>
      <c r="O2870" s="1" t="s">
        <v>512</v>
      </c>
    </row>
    <row r="2871" spans="4:15" x14ac:dyDescent="0.25">
      <c r="D2871" s="1" t="s">
        <v>512</v>
      </c>
      <c r="E2871" s="21" t="s">
        <v>512</v>
      </c>
      <c r="F2871" s="1" t="s">
        <v>512</v>
      </c>
      <c r="G2871" s="1" t="s">
        <v>512</v>
      </c>
      <c r="H2871" s="1" t="s">
        <v>512</v>
      </c>
      <c r="I2871" s="1" t="s">
        <v>512</v>
      </c>
      <c r="J2871" s="1" t="s">
        <v>512</v>
      </c>
      <c r="K2871" s="1" t="s">
        <v>512</v>
      </c>
      <c r="L2871" s="1" t="s">
        <v>512</v>
      </c>
      <c r="M2871" s="1" t="s">
        <v>512</v>
      </c>
      <c r="N2871" s="1" t="s">
        <v>512</v>
      </c>
      <c r="O2871" s="1" t="s">
        <v>512</v>
      </c>
    </row>
    <row r="2872" spans="4:15" x14ac:dyDescent="0.25">
      <c r="D2872" s="1" t="s">
        <v>512</v>
      </c>
      <c r="E2872" s="21" t="s">
        <v>512</v>
      </c>
      <c r="F2872" s="1" t="s">
        <v>512</v>
      </c>
      <c r="G2872" s="1" t="s">
        <v>512</v>
      </c>
      <c r="H2872" s="1" t="s">
        <v>512</v>
      </c>
      <c r="I2872" s="1" t="s">
        <v>512</v>
      </c>
      <c r="J2872" s="1" t="s">
        <v>512</v>
      </c>
      <c r="K2872" s="1" t="s">
        <v>512</v>
      </c>
      <c r="L2872" s="1" t="s">
        <v>512</v>
      </c>
      <c r="M2872" s="1" t="s">
        <v>512</v>
      </c>
      <c r="N2872" s="1" t="s">
        <v>512</v>
      </c>
      <c r="O2872" s="1" t="s">
        <v>512</v>
      </c>
    </row>
    <row r="2873" spans="4:15" x14ac:dyDescent="0.25">
      <c r="D2873" s="1" t="s">
        <v>512</v>
      </c>
      <c r="E2873" s="21" t="s">
        <v>512</v>
      </c>
      <c r="F2873" s="1" t="s">
        <v>512</v>
      </c>
      <c r="G2873" s="1" t="s">
        <v>512</v>
      </c>
      <c r="H2873" s="1" t="s">
        <v>512</v>
      </c>
      <c r="I2873" s="1" t="s">
        <v>512</v>
      </c>
      <c r="J2873" s="1" t="s">
        <v>512</v>
      </c>
      <c r="K2873" s="1" t="s">
        <v>512</v>
      </c>
      <c r="L2873" s="1" t="s">
        <v>512</v>
      </c>
      <c r="M2873" s="1" t="s">
        <v>512</v>
      </c>
      <c r="N2873" s="1" t="s">
        <v>512</v>
      </c>
      <c r="O2873" s="1" t="s">
        <v>512</v>
      </c>
    </row>
    <row r="2874" spans="4:15" x14ac:dyDescent="0.25">
      <c r="D2874" s="1" t="s">
        <v>512</v>
      </c>
      <c r="E2874" s="21" t="s">
        <v>512</v>
      </c>
      <c r="F2874" s="1" t="s">
        <v>512</v>
      </c>
      <c r="G2874" s="1" t="s">
        <v>512</v>
      </c>
      <c r="H2874" s="1" t="s">
        <v>512</v>
      </c>
      <c r="I2874" s="1" t="s">
        <v>512</v>
      </c>
      <c r="J2874" s="1" t="s">
        <v>512</v>
      </c>
      <c r="K2874" s="1" t="s">
        <v>512</v>
      </c>
      <c r="L2874" s="1" t="s">
        <v>512</v>
      </c>
      <c r="M2874" s="1" t="s">
        <v>512</v>
      </c>
      <c r="N2874" s="1" t="s">
        <v>512</v>
      </c>
      <c r="O2874" s="1" t="s">
        <v>512</v>
      </c>
    </row>
    <row r="2875" spans="4:15" x14ac:dyDescent="0.25">
      <c r="D2875" s="1" t="s">
        <v>512</v>
      </c>
      <c r="E2875" s="21" t="s">
        <v>512</v>
      </c>
      <c r="F2875" s="1" t="s">
        <v>512</v>
      </c>
      <c r="G2875" s="1" t="s">
        <v>512</v>
      </c>
      <c r="H2875" s="1" t="s">
        <v>512</v>
      </c>
      <c r="I2875" s="1" t="s">
        <v>512</v>
      </c>
      <c r="J2875" s="1" t="s">
        <v>512</v>
      </c>
      <c r="K2875" s="1" t="s">
        <v>512</v>
      </c>
      <c r="L2875" s="1" t="s">
        <v>512</v>
      </c>
      <c r="M2875" s="1" t="s">
        <v>512</v>
      </c>
      <c r="N2875" s="1" t="s">
        <v>512</v>
      </c>
      <c r="O2875" s="1" t="s">
        <v>512</v>
      </c>
    </row>
    <row r="2876" spans="4:15" x14ac:dyDescent="0.25">
      <c r="D2876" s="1" t="s">
        <v>512</v>
      </c>
      <c r="E2876" s="21" t="s">
        <v>512</v>
      </c>
      <c r="F2876" s="1" t="s">
        <v>512</v>
      </c>
      <c r="G2876" s="1" t="s">
        <v>512</v>
      </c>
      <c r="H2876" s="1" t="s">
        <v>512</v>
      </c>
      <c r="I2876" s="1" t="s">
        <v>512</v>
      </c>
      <c r="J2876" s="1" t="s">
        <v>512</v>
      </c>
      <c r="K2876" s="1" t="s">
        <v>512</v>
      </c>
      <c r="L2876" s="1" t="s">
        <v>512</v>
      </c>
      <c r="M2876" s="1" t="s">
        <v>512</v>
      </c>
      <c r="N2876" s="1" t="s">
        <v>512</v>
      </c>
      <c r="O2876" s="1" t="s">
        <v>512</v>
      </c>
    </row>
    <row r="2877" spans="4:15" x14ac:dyDescent="0.25">
      <c r="D2877" s="1" t="s">
        <v>512</v>
      </c>
      <c r="E2877" s="21" t="s">
        <v>512</v>
      </c>
      <c r="F2877" s="1" t="s">
        <v>512</v>
      </c>
      <c r="G2877" s="1" t="s">
        <v>512</v>
      </c>
      <c r="H2877" s="1" t="s">
        <v>512</v>
      </c>
      <c r="I2877" s="1" t="s">
        <v>512</v>
      </c>
      <c r="J2877" s="1" t="s">
        <v>512</v>
      </c>
      <c r="K2877" s="1" t="s">
        <v>512</v>
      </c>
      <c r="L2877" s="1" t="s">
        <v>512</v>
      </c>
      <c r="M2877" s="1" t="s">
        <v>512</v>
      </c>
      <c r="N2877" s="1" t="s">
        <v>512</v>
      </c>
      <c r="O2877" s="1" t="s">
        <v>512</v>
      </c>
    </row>
    <row r="2878" spans="4:15" x14ac:dyDescent="0.25">
      <c r="D2878" s="1" t="s">
        <v>512</v>
      </c>
      <c r="E2878" s="21" t="s">
        <v>512</v>
      </c>
      <c r="F2878" s="1" t="s">
        <v>512</v>
      </c>
      <c r="G2878" s="1" t="s">
        <v>512</v>
      </c>
      <c r="H2878" s="1" t="s">
        <v>512</v>
      </c>
      <c r="I2878" s="1" t="s">
        <v>512</v>
      </c>
      <c r="J2878" s="1" t="s">
        <v>512</v>
      </c>
      <c r="K2878" s="1" t="s">
        <v>512</v>
      </c>
      <c r="L2878" s="1" t="s">
        <v>512</v>
      </c>
      <c r="M2878" s="1" t="s">
        <v>512</v>
      </c>
      <c r="N2878" s="1" t="s">
        <v>512</v>
      </c>
      <c r="O2878" s="1" t="s">
        <v>512</v>
      </c>
    </row>
    <row r="2879" spans="4:15" x14ac:dyDescent="0.25">
      <c r="D2879" s="1" t="s">
        <v>512</v>
      </c>
      <c r="E2879" s="21" t="s">
        <v>512</v>
      </c>
      <c r="F2879" s="1" t="s">
        <v>512</v>
      </c>
      <c r="G2879" s="1" t="s">
        <v>512</v>
      </c>
      <c r="H2879" s="1" t="s">
        <v>512</v>
      </c>
      <c r="I2879" s="1" t="s">
        <v>512</v>
      </c>
      <c r="J2879" s="1" t="s">
        <v>512</v>
      </c>
      <c r="K2879" s="1" t="s">
        <v>512</v>
      </c>
      <c r="L2879" s="1" t="s">
        <v>512</v>
      </c>
      <c r="M2879" s="1" t="s">
        <v>512</v>
      </c>
      <c r="N2879" s="1" t="s">
        <v>512</v>
      </c>
      <c r="O2879" s="1" t="s">
        <v>512</v>
      </c>
    </row>
    <row r="2880" spans="4:15" x14ac:dyDescent="0.25">
      <c r="D2880" s="1" t="s">
        <v>512</v>
      </c>
      <c r="E2880" s="21" t="s">
        <v>512</v>
      </c>
      <c r="F2880" s="1" t="s">
        <v>512</v>
      </c>
      <c r="G2880" s="1" t="s">
        <v>512</v>
      </c>
      <c r="H2880" s="1" t="s">
        <v>512</v>
      </c>
      <c r="I2880" s="1" t="s">
        <v>512</v>
      </c>
      <c r="J2880" s="1" t="s">
        <v>512</v>
      </c>
      <c r="K2880" s="1" t="s">
        <v>512</v>
      </c>
      <c r="L2880" s="1" t="s">
        <v>512</v>
      </c>
      <c r="M2880" s="1" t="s">
        <v>512</v>
      </c>
      <c r="N2880" s="1" t="s">
        <v>512</v>
      </c>
      <c r="O2880" s="1" t="s">
        <v>512</v>
      </c>
    </row>
    <row r="2881" spans="4:15" x14ac:dyDescent="0.25">
      <c r="D2881" s="1" t="s">
        <v>512</v>
      </c>
      <c r="E2881" s="21" t="s">
        <v>512</v>
      </c>
      <c r="F2881" s="1" t="s">
        <v>512</v>
      </c>
      <c r="G2881" s="1" t="s">
        <v>512</v>
      </c>
      <c r="H2881" s="1" t="s">
        <v>512</v>
      </c>
      <c r="I2881" s="1" t="s">
        <v>512</v>
      </c>
      <c r="J2881" s="1" t="s">
        <v>512</v>
      </c>
      <c r="K2881" s="1" t="s">
        <v>512</v>
      </c>
      <c r="L2881" s="1" t="s">
        <v>512</v>
      </c>
      <c r="M2881" s="1" t="s">
        <v>512</v>
      </c>
      <c r="N2881" s="1" t="s">
        <v>512</v>
      </c>
      <c r="O2881" s="1" t="s">
        <v>512</v>
      </c>
    </row>
    <row r="2882" spans="4:15" x14ac:dyDescent="0.25">
      <c r="D2882" s="1" t="s">
        <v>512</v>
      </c>
      <c r="E2882" s="21" t="s">
        <v>512</v>
      </c>
      <c r="F2882" s="1" t="s">
        <v>512</v>
      </c>
      <c r="G2882" s="1" t="s">
        <v>512</v>
      </c>
      <c r="H2882" s="1" t="s">
        <v>512</v>
      </c>
      <c r="I2882" s="1" t="s">
        <v>512</v>
      </c>
      <c r="J2882" s="1" t="s">
        <v>512</v>
      </c>
      <c r="K2882" s="1" t="s">
        <v>512</v>
      </c>
      <c r="L2882" s="1" t="s">
        <v>512</v>
      </c>
      <c r="M2882" s="1" t="s">
        <v>512</v>
      </c>
      <c r="N2882" s="1" t="s">
        <v>512</v>
      </c>
      <c r="O2882" s="1" t="s">
        <v>512</v>
      </c>
    </row>
    <row r="2883" spans="4:15" x14ac:dyDescent="0.25">
      <c r="D2883" s="1" t="s">
        <v>512</v>
      </c>
      <c r="E2883" s="21" t="s">
        <v>512</v>
      </c>
      <c r="F2883" s="1" t="s">
        <v>512</v>
      </c>
      <c r="G2883" s="1" t="s">
        <v>512</v>
      </c>
      <c r="H2883" s="1" t="s">
        <v>512</v>
      </c>
      <c r="I2883" s="1" t="s">
        <v>512</v>
      </c>
      <c r="J2883" s="1" t="s">
        <v>512</v>
      </c>
      <c r="K2883" s="1" t="s">
        <v>512</v>
      </c>
      <c r="L2883" s="1" t="s">
        <v>512</v>
      </c>
      <c r="M2883" s="1" t="s">
        <v>512</v>
      </c>
      <c r="N2883" s="1" t="s">
        <v>512</v>
      </c>
      <c r="O2883" s="1" t="s">
        <v>512</v>
      </c>
    </row>
    <row r="2884" spans="4:15" x14ac:dyDescent="0.25">
      <c r="D2884" s="1" t="s">
        <v>512</v>
      </c>
      <c r="E2884" s="21" t="s">
        <v>512</v>
      </c>
      <c r="F2884" s="1" t="s">
        <v>512</v>
      </c>
      <c r="G2884" s="1" t="s">
        <v>512</v>
      </c>
      <c r="H2884" s="1" t="s">
        <v>512</v>
      </c>
      <c r="I2884" s="1" t="s">
        <v>512</v>
      </c>
      <c r="J2884" s="1" t="s">
        <v>512</v>
      </c>
      <c r="K2884" s="1" t="s">
        <v>512</v>
      </c>
      <c r="L2884" s="1" t="s">
        <v>512</v>
      </c>
      <c r="M2884" s="1" t="s">
        <v>512</v>
      </c>
      <c r="N2884" s="1" t="s">
        <v>512</v>
      </c>
      <c r="O2884" s="1" t="s">
        <v>512</v>
      </c>
    </row>
    <row r="2885" spans="4:15" x14ac:dyDescent="0.25">
      <c r="D2885" s="1" t="s">
        <v>512</v>
      </c>
      <c r="E2885" s="21" t="s">
        <v>512</v>
      </c>
      <c r="F2885" s="1" t="s">
        <v>512</v>
      </c>
      <c r="G2885" s="1" t="s">
        <v>512</v>
      </c>
      <c r="H2885" s="1" t="s">
        <v>512</v>
      </c>
      <c r="I2885" s="1" t="s">
        <v>512</v>
      </c>
      <c r="J2885" s="1" t="s">
        <v>512</v>
      </c>
      <c r="K2885" s="1" t="s">
        <v>512</v>
      </c>
      <c r="L2885" s="1" t="s">
        <v>512</v>
      </c>
      <c r="M2885" s="1" t="s">
        <v>512</v>
      </c>
      <c r="N2885" s="1" t="s">
        <v>512</v>
      </c>
      <c r="O2885" s="1" t="s">
        <v>512</v>
      </c>
    </row>
    <row r="2886" spans="4:15" x14ac:dyDescent="0.25">
      <c r="D2886" s="1" t="s">
        <v>512</v>
      </c>
      <c r="E2886" s="21" t="s">
        <v>512</v>
      </c>
      <c r="F2886" s="1" t="s">
        <v>512</v>
      </c>
      <c r="G2886" s="1" t="s">
        <v>512</v>
      </c>
      <c r="H2886" s="1" t="s">
        <v>512</v>
      </c>
      <c r="I2886" s="1" t="s">
        <v>512</v>
      </c>
      <c r="J2886" s="1" t="s">
        <v>512</v>
      </c>
      <c r="K2886" s="1" t="s">
        <v>512</v>
      </c>
      <c r="L2886" s="1" t="s">
        <v>512</v>
      </c>
      <c r="M2886" s="1" t="s">
        <v>512</v>
      </c>
      <c r="N2886" s="1" t="s">
        <v>512</v>
      </c>
      <c r="O2886" s="1" t="s">
        <v>512</v>
      </c>
    </row>
    <row r="2887" spans="4:15" x14ac:dyDescent="0.25">
      <c r="D2887" s="1" t="s">
        <v>512</v>
      </c>
      <c r="E2887" s="21" t="s">
        <v>512</v>
      </c>
      <c r="F2887" s="1" t="s">
        <v>512</v>
      </c>
      <c r="G2887" s="1" t="s">
        <v>512</v>
      </c>
      <c r="H2887" s="1" t="s">
        <v>512</v>
      </c>
      <c r="I2887" s="1" t="s">
        <v>512</v>
      </c>
      <c r="J2887" s="1" t="s">
        <v>512</v>
      </c>
      <c r="K2887" s="1" t="s">
        <v>512</v>
      </c>
      <c r="L2887" s="1" t="s">
        <v>512</v>
      </c>
      <c r="M2887" s="1" t="s">
        <v>512</v>
      </c>
      <c r="N2887" s="1" t="s">
        <v>512</v>
      </c>
      <c r="O2887" s="1" t="s">
        <v>512</v>
      </c>
    </row>
    <row r="2888" spans="4:15" x14ac:dyDescent="0.25">
      <c r="D2888" s="1" t="s">
        <v>512</v>
      </c>
      <c r="E2888" s="21" t="s">
        <v>512</v>
      </c>
      <c r="F2888" s="1" t="s">
        <v>512</v>
      </c>
      <c r="G2888" s="1" t="s">
        <v>512</v>
      </c>
      <c r="H2888" s="1" t="s">
        <v>512</v>
      </c>
      <c r="I2888" s="1" t="s">
        <v>512</v>
      </c>
      <c r="J2888" s="1" t="s">
        <v>512</v>
      </c>
      <c r="K2888" s="1" t="s">
        <v>512</v>
      </c>
      <c r="L2888" s="1" t="s">
        <v>512</v>
      </c>
      <c r="M2888" s="1" t="s">
        <v>512</v>
      </c>
      <c r="N2888" s="1" t="s">
        <v>512</v>
      </c>
      <c r="O2888" s="1" t="s">
        <v>512</v>
      </c>
    </row>
    <row r="2889" spans="4:15" x14ac:dyDescent="0.25">
      <c r="D2889" s="1" t="s">
        <v>512</v>
      </c>
      <c r="E2889" s="21" t="s">
        <v>512</v>
      </c>
      <c r="F2889" s="1" t="s">
        <v>512</v>
      </c>
      <c r="G2889" s="1" t="s">
        <v>512</v>
      </c>
      <c r="H2889" s="1" t="s">
        <v>512</v>
      </c>
      <c r="I2889" s="1" t="s">
        <v>512</v>
      </c>
      <c r="J2889" s="1" t="s">
        <v>512</v>
      </c>
      <c r="K2889" s="1" t="s">
        <v>512</v>
      </c>
      <c r="L2889" s="1" t="s">
        <v>512</v>
      </c>
      <c r="M2889" s="1" t="s">
        <v>512</v>
      </c>
      <c r="N2889" s="1" t="s">
        <v>512</v>
      </c>
      <c r="O2889" s="1" t="s">
        <v>512</v>
      </c>
    </row>
    <row r="2890" spans="4:15" x14ac:dyDescent="0.25">
      <c r="D2890" s="1" t="s">
        <v>512</v>
      </c>
      <c r="E2890" s="21" t="s">
        <v>512</v>
      </c>
      <c r="F2890" s="1" t="s">
        <v>512</v>
      </c>
      <c r="G2890" s="1" t="s">
        <v>512</v>
      </c>
      <c r="H2890" s="1" t="s">
        <v>512</v>
      </c>
      <c r="I2890" s="1" t="s">
        <v>512</v>
      </c>
      <c r="J2890" s="1" t="s">
        <v>512</v>
      </c>
      <c r="K2890" s="1" t="s">
        <v>512</v>
      </c>
      <c r="L2890" s="1" t="s">
        <v>512</v>
      </c>
      <c r="M2890" s="1" t="s">
        <v>512</v>
      </c>
      <c r="N2890" s="1" t="s">
        <v>512</v>
      </c>
      <c r="O2890" s="1" t="s">
        <v>512</v>
      </c>
    </row>
    <row r="2891" spans="4:15" x14ac:dyDescent="0.25">
      <c r="D2891" s="1" t="s">
        <v>512</v>
      </c>
      <c r="E2891" s="21" t="s">
        <v>512</v>
      </c>
      <c r="F2891" s="1" t="s">
        <v>512</v>
      </c>
      <c r="G2891" s="1" t="s">
        <v>512</v>
      </c>
      <c r="H2891" s="1" t="s">
        <v>512</v>
      </c>
      <c r="I2891" s="1" t="s">
        <v>512</v>
      </c>
      <c r="J2891" s="1" t="s">
        <v>512</v>
      </c>
      <c r="K2891" s="1" t="s">
        <v>512</v>
      </c>
      <c r="L2891" s="1" t="s">
        <v>512</v>
      </c>
      <c r="M2891" s="1" t="s">
        <v>512</v>
      </c>
      <c r="N2891" s="1" t="s">
        <v>512</v>
      </c>
      <c r="O2891" s="1" t="s">
        <v>512</v>
      </c>
    </row>
    <row r="2892" spans="4:15" x14ac:dyDescent="0.25">
      <c r="D2892" s="1" t="s">
        <v>512</v>
      </c>
      <c r="E2892" s="21" t="s">
        <v>512</v>
      </c>
      <c r="F2892" s="1" t="s">
        <v>512</v>
      </c>
      <c r="G2892" s="1" t="s">
        <v>512</v>
      </c>
      <c r="H2892" s="1" t="s">
        <v>512</v>
      </c>
      <c r="I2892" s="1" t="s">
        <v>512</v>
      </c>
      <c r="J2892" s="1" t="s">
        <v>512</v>
      </c>
      <c r="K2892" s="1" t="s">
        <v>512</v>
      </c>
      <c r="L2892" s="1" t="s">
        <v>512</v>
      </c>
      <c r="M2892" s="1" t="s">
        <v>512</v>
      </c>
      <c r="N2892" s="1" t="s">
        <v>512</v>
      </c>
      <c r="O2892" s="1" t="s">
        <v>512</v>
      </c>
    </row>
    <row r="2893" spans="4:15" x14ac:dyDescent="0.25">
      <c r="D2893" s="1" t="s">
        <v>512</v>
      </c>
      <c r="E2893" s="21" t="s">
        <v>512</v>
      </c>
      <c r="F2893" s="1" t="s">
        <v>512</v>
      </c>
      <c r="G2893" s="1" t="s">
        <v>512</v>
      </c>
      <c r="H2893" s="1" t="s">
        <v>512</v>
      </c>
      <c r="I2893" s="1" t="s">
        <v>512</v>
      </c>
      <c r="J2893" s="1" t="s">
        <v>512</v>
      </c>
      <c r="K2893" s="1" t="s">
        <v>512</v>
      </c>
      <c r="L2893" s="1" t="s">
        <v>512</v>
      </c>
      <c r="M2893" s="1" t="s">
        <v>512</v>
      </c>
      <c r="N2893" s="1" t="s">
        <v>512</v>
      </c>
      <c r="O2893" s="1" t="s">
        <v>512</v>
      </c>
    </row>
    <row r="2894" spans="4:15" x14ac:dyDescent="0.25">
      <c r="D2894" s="1" t="s">
        <v>512</v>
      </c>
      <c r="E2894" s="21" t="s">
        <v>512</v>
      </c>
      <c r="F2894" s="1" t="s">
        <v>512</v>
      </c>
      <c r="G2894" s="1" t="s">
        <v>512</v>
      </c>
      <c r="H2894" s="1" t="s">
        <v>512</v>
      </c>
      <c r="I2894" s="1" t="s">
        <v>512</v>
      </c>
      <c r="J2894" s="1" t="s">
        <v>512</v>
      </c>
      <c r="K2894" s="1" t="s">
        <v>512</v>
      </c>
      <c r="L2894" s="1" t="s">
        <v>512</v>
      </c>
      <c r="M2894" s="1" t="s">
        <v>512</v>
      </c>
      <c r="N2894" s="1" t="s">
        <v>512</v>
      </c>
      <c r="O2894" s="1" t="s">
        <v>512</v>
      </c>
    </row>
    <row r="2895" spans="4:15" x14ac:dyDescent="0.25">
      <c r="D2895" s="1" t="s">
        <v>512</v>
      </c>
      <c r="E2895" s="21" t="s">
        <v>512</v>
      </c>
      <c r="F2895" s="1" t="s">
        <v>512</v>
      </c>
      <c r="G2895" s="1" t="s">
        <v>512</v>
      </c>
      <c r="H2895" s="1" t="s">
        <v>512</v>
      </c>
      <c r="I2895" s="1" t="s">
        <v>512</v>
      </c>
      <c r="J2895" s="1" t="s">
        <v>512</v>
      </c>
      <c r="K2895" s="1" t="s">
        <v>512</v>
      </c>
      <c r="L2895" s="1" t="s">
        <v>512</v>
      </c>
      <c r="M2895" s="1" t="s">
        <v>512</v>
      </c>
      <c r="N2895" s="1" t="s">
        <v>512</v>
      </c>
      <c r="O2895" s="1" t="s">
        <v>512</v>
      </c>
    </row>
    <row r="2896" spans="4:15" x14ac:dyDescent="0.25">
      <c r="D2896" s="1" t="s">
        <v>512</v>
      </c>
      <c r="E2896" s="21" t="s">
        <v>512</v>
      </c>
      <c r="F2896" s="1" t="s">
        <v>512</v>
      </c>
      <c r="G2896" s="1" t="s">
        <v>512</v>
      </c>
      <c r="H2896" s="1" t="s">
        <v>512</v>
      </c>
      <c r="I2896" s="1" t="s">
        <v>512</v>
      </c>
      <c r="J2896" s="1" t="s">
        <v>512</v>
      </c>
      <c r="K2896" s="1" t="s">
        <v>512</v>
      </c>
      <c r="L2896" s="1" t="s">
        <v>512</v>
      </c>
      <c r="M2896" s="1" t="s">
        <v>512</v>
      </c>
      <c r="N2896" s="1" t="s">
        <v>512</v>
      </c>
      <c r="O2896" s="1" t="s">
        <v>512</v>
      </c>
    </row>
    <row r="2897" spans="4:15" x14ac:dyDescent="0.25">
      <c r="D2897" s="1" t="s">
        <v>512</v>
      </c>
      <c r="E2897" s="21" t="s">
        <v>512</v>
      </c>
      <c r="F2897" s="1" t="s">
        <v>512</v>
      </c>
      <c r="G2897" s="1" t="s">
        <v>512</v>
      </c>
      <c r="H2897" s="1" t="s">
        <v>512</v>
      </c>
      <c r="I2897" s="1" t="s">
        <v>512</v>
      </c>
      <c r="J2897" s="1" t="s">
        <v>512</v>
      </c>
      <c r="K2897" s="1" t="s">
        <v>512</v>
      </c>
      <c r="L2897" s="1" t="s">
        <v>512</v>
      </c>
      <c r="M2897" s="1" t="s">
        <v>512</v>
      </c>
      <c r="N2897" s="1" t="s">
        <v>512</v>
      </c>
      <c r="O2897" s="1" t="s">
        <v>512</v>
      </c>
    </row>
    <row r="2898" spans="4:15" x14ac:dyDescent="0.25">
      <c r="D2898" s="1" t="s">
        <v>512</v>
      </c>
      <c r="E2898" s="21" t="s">
        <v>512</v>
      </c>
      <c r="F2898" s="1" t="s">
        <v>512</v>
      </c>
      <c r="G2898" s="1" t="s">
        <v>512</v>
      </c>
      <c r="H2898" s="1" t="s">
        <v>512</v>
      </c>
      <c r="I2898" s="1" t="s">
        <v>512</v>
      </c>
      <c r="J2898" s="1" t="s">
        <v>512</v>
      </c>
      <c r="K2898" s="1" t="s">
        <v>512</v>
      </c>
      <c r="L2898" s="1" t="s">
        <v>512</v>
      </c>
      <c r="M2898" s="1" t="s">
        <v>512</v>
      </c>
      <c r="N2898" s="1" t="s">
        <v>512</v>
      </c>
      <c r="O2898" s="1" t="s">
        <v>512</v>
      </c>
    </row>
    <row r="2899" spans="4:15" x14ac:dyDescent="0.25">
      <c r="D2899" s="1" t="s">
        <v>512</v>
      </c>
      <c r="E2899" s="21" t="s">
        <v>512</v>
      </c>
      <c r="F2899" s="1" t="s">
        <v>512</v>
      </c>
      <c r="G2899" s="1" t="s">
        <v>512</v>
      </c>
      <c r="H2899" s="1" t="s">
        <v>512</v>
      </c>
      <c r="I2899" s="1" t="s">
        <v>512</v>
      </c>
      <c r="J2899" s="1" t="s">
        <v>512</v>
      </c>
      <c r="K2899" s="1" t="s">
        <v>512</v>
      </c>
      <c r="L2899" s="1" t="s">
        <v>512</v>
      </c>
      <c r="M2899" s="1" t="s">
        <v>512</v>
      </c>
      <c r="N2899" s="1" t="s">
        <v>512</v>
      </c>
      <c r="O2899" s="1" t="s">
        <v>512</v>
      </c>
    </row>
    <row r="2900" spans="4:15" x14ac:dyDescent="0.25">
      <c r="D2900" s="1" t="s">
        <v>512</v>
      </c>
      <c r="E2900" s="21" t="s">
        <v>512</v>
      </c>
      <c r="F2900" s="1" t="s">
        <v>512</v>
      </c>
      <c r="G2900" s="1" t="s">
        <v>512</v>
      </c>
      <c r="H2900" s="1" t="s">
        <v>512</v>
      </c>
      <c r="I2900" s="1" t="s">
        <v>512</v>
      </c>
      <c r="J2900" s="1" t="s">
        <v>512</v>
      </c>
      <c r="K2900" s="1" t="s">
        <v>512</v>
      </c>
      <c r="L2900" s="1" t="s">
        <v>512</v>
      </c>
      <c r="M2900" s="1" t="s">
        <v>512</v>
      </c>
      <c r="N2900" s="1" t="s">
        <v>512</v>
      </c>
      <c r="O2900" s="1" t="s">
        <v>512</v>
      </c>
    </row>
    <row r="2901" spans="4:15" x14ac:dyDescent="0.25">
      <c r="D2901" s="1" t="s">
        <v>512</v>
      </c>
      <c r="E2901" s="21" t="s">
        <v>512</v>
      </c>
      <c r="F2901" s="1" t="s">
        <v>512</v>
      </c>
      <c r="G2901" s="1" t="s">
        <v>512</v>
      </c>
      <c r="H2901" s="1" t="s">
        <v>512</v>
      </c>
      <c r="I2901" s="1" t="s">
        <v>512</v>
      </c>
      <c r="J2901" s="1" t="s">
        <v>512</v>
      </c>
      <c r="K2901" s="1" t="s">
        <v>512</v>
      </c>
      <c r="L2901" s="1" t="s">
        <v>512</v>
      </c>
      <c r="M2901" s="1" t="s">
        <v>512</v>
      </c>
      <c r="N2901" s="1" t="s">
        <v>512</v>
      </c>
      <c r="O2901" s="1" t="s">
        <v>512</v>
      </c>
    </row>
    <row r="2902" spans="4:15" x14ac:dyDescent="0.25">
      <c r="D2902" s="1" t="s">
        <v>512</v>
      </c>
      <c r="E2902" s="21" t="s">
        <v>512</v>
      </c>
      <c r="F2902" s="1" t="s">
        <v>512</v>
      </c>
      <c r="G2902" s="1" t="s">
        <v>512</v>
      </c>
      <c r="H2902" s="1" t="s">
        <v>512</v>
      </c>
      <c r="I2902" s="1" t="s">
        <v>512</v>
      </c>
      <c r="J2902" s="1" t="s">
        <v>512</v>
      </c>
      <c r="K2902" s="1" t="s">
        <v>512</v>
      </c>
      <c r="L2902" s="1" t="s">
        <v>512</v>
      </c>
      <c r="M2902" s="1" t="s">
        <v>512</v>
      </c>
      <c r="N2902" s="1" t="s">
        <v>512</v>
      </c>
      <c r="O2902" s="1" t="s">
        <v>512</v>
      </c>
    </row>
    <row r="2903" spans="4:15" x14ac:dyDescent="0.25">
      <c r="D2903" s="1" t="s">
        <v>512</v>
      </c>
      <c r="E2903" s="21" t="s">
        <v>512</v>
      </c>
      <c r="F2903" s="1" t="s">
        <v>512</v>
      </c>
      <c r="G2903" s="1" t="s">
        <v>512</v>
      </c>
      <c r="H2903" s="1" t="s">
        <v>512</v>
      </c>
      <c r="I2903" s="1" t="s">
        <v>512</v>
      </c>
      <c r="J2903" s="1" t="s">
        <v>512</v>
      </c>
      <c r="K2903" s="1" t="s">
        <v>512</v>
      </c>
      <c r="L2903" s="1" t="s">
        <v>512</v>
      </c>
      <c r="M2903" s="1" t="s">
        <v>512</v>
      </c>
      <c r="N2903" s="1" t="s">
        <v>512</v>
      </c>
      <c r="O2903" s="1" t="s">
        <v>512</v>
      </c>
    </row>
    <row r="2904" spans="4:15" x14ac:dyDescent="0.25">
      <c r="D2904" s="1" t="s">
        <v>512</v>
      </c>
      <c r="E2904" s="21" t="s">
        <v>512</v>
      </c>
      <c r="F2904" s="1" t="s">
        <v>512</v>
      </c>
      <c r="G2904" s="1" t="s">
        <v>512</v>
      </c>
      <c r="H2904" s="1" t="s">
        <v>512</v>
      </c>
      <c r="I2904" s="1" t="s">
        <v>512</v>
      </c>
      <c r="J2904" s="1" t="s">
        <v>512</v>
      </c>
      <c r="K2904" s="1" t="s">
        <v>512</v>
      </c>
      <c r="L2904" s="1" t="s">
        <v>512</v>
      </c>
      <c r="M2904" s="1" t="s">
        <v>512</v>
      </c>
      <c r="N2904" s="1" t="s">
        <v>512</v>
      </c>
      <c r="O2904" s="1" t="s">
        <v>512</v>
      </c>
    </row>
    <row r="2905" spans="4:15" x14ac:dyDescent="0.25">
      <c r="D2905" s="1" t="s">
        <v>512</v>
      </c>
      <c r="E2905" s="21" t="s">
        <v>512</v>
      </c>
      <c r="F2905" s="1" t="s">
        <v>512</v>
      </c>
      <c r="G2905" s="1" t="s">
        <v>512</v>
      </c>
      <c r="H2905" s="1" t="s">
        <v>512</v>
      </c>
      <c r="I2905" s="1" t="s">
        <v>512</v>
      </c>
      <c r="J2905" s="1" t="s">
        <v>512</v>
      </c>
      <c r="K2905" s="1" t="s">
        <v>512</v>
      </c>
      <c r="L2905" s="1" t="s">
        <v>512</v>
      </c>
      <c r="M2905" s="1" t="s">
        <v>512</v>
      </c>
      <c r="N2905" s="1" t="s">
        <v>512</v>
      </c>
      <c r="O2905" s="1" t="s">
        <v>512</v>
      </c>
    </row>
    <row r="2906" spans="4:15" x14ac:dyDescent="0.25">
      <c r="D2906" s="1" t="s">
        <v>512</v>
      </c>
      <c r="E2906" s="21" t="s">
        <v>512</v>
      </c>
      <c r="F2906" s="1" t="s">
        <v>512</v>
      </c>
      <c r="G2906" s="1" t="s">
        <v>512</v>
      </c>
      <c r="H2906" s="1" t="s">
        <v>512</v>
      </c>
      <c r="I2906" s="1" t="s">
        <v>512</v>
      </c>
      <c r="J2906" s="1" t="s">
        <v>512</v>
      </c>
      <c r="K2906" s="1" t="s">
        <v>512</v>
      </c>
      <c r="L2906" s="1" t="s">
        <v>512</v>
      </c>
      <c r="M2906" s="1" t="s">
        <v>512</v>
      </c>
      <c r="N2906" s="1" t="s">
        <v>512</v>
      </c>
      <c r="O2906" s="1" t="s">
        <v>512</v>
      </c>
    </row>
    <row r="2907" spans="4:15" x14ac:dyDescent="0.25">
      <c r="D2907" s="1" t="s">
        <v>512</v>
      </c>
      <c r="E2907" s="21" t="s">
        <v>512</v>
      </c>
      <c r="F2907" s="1" t="s">
        <v>512</v>
      </c>
      <c r="G2907" s="1" t="s">
        <v>512</v>
      </c>
      <c r="H2907" s="1" t="s">
        <v>512</v>
      </c>
      <c r="I2907" s="1" t="s">
        <v>512</v>
      </c>
      <c r="J2907" s="1" t="s">
        <v>512</v>
      </c>
      <c r="K2907" s="1" t="s">
        <v>512</v>
      </c>
      <c r="L2907" s="1" t="s">
        <v>512</v>
      </c>
      <c r="M2907" s="1" t="s">
        <v>512</v>
      </c>
      <c r="N2907" s="1" t="s">
        <v>512</v>
      </c>
      <c r="O2907" s="1" t="s">
        <v>512</v>
      </c>
    </row>
    <row r="2908" spans="4:15" x14ac:dyDescent="0.25">
      <c r="D2908" s="1" t="s">
        <v>512</v>
      </c>
      <c r="E2908" s="21" t="s">
        <v>512</v>
      </c>
      <c r="F2908" s="1" t="s">
        <v>512</v>
      </c>
      <c r="G2908" s="1" t="s">
        <v>512</v>
      </c>
      <c r="H2908" s="1" t="s">
        <v>512</v>
      </c>
      <c r="I2908" s="1" t="s">
        <v>512</v>
      </c>
      <c r="J2908" s="1" t="s">
        <v>512</v>
      </c>
      <c r="K2908" s="1" t="s">
        <v>512</v>
      </c>
      <c r="L2908" s="1" t="s">
        <v>512</v>
      </c>
      <c r="M2908" s="1" t="s">
        <v>512</v>
      </c>
      <c r="N2908" s="1" t="s">
        <v>512</v>
      </c>
      <c r="O2908" s="1" t="s">
        <v>512</v>
      </c>
    </row>
    <row r="2909" spans="4:15" x14ac:dyDescent="0.25">
      <c r="D2909" s="1" t="s">
        <v>512</v>
      </c>
      <c r="E2909" s="21" t="s">
        <v>512</v>
      </c>
      <c r="F2909" s="1" t="s">
        <v>512</v>
      </c>
      <c r="G2909" s="1" t="s">
        <v>512</v>
      </c>
      <c r="H2909" s="1" t="s">
        <v>512</v>
      </c>
      <c r="I2909" s="1" t="s">
        <v>512</v>
      </c>
      <c r="J2909" s="1" t="s">
        <v>512</v>
      </c>
      <c r="K2909" s="1" t="s">
        <v>512</v>
      </c>
      <c r="L2909" s="1" t="s">
        <v>512</v>
      </c>
      <c r="M2909" s="1" t="s">
        <v>512</v>
      </c>
      <c r="N2909" s="1" t="s">
        <v>512</v>
      </c>
      <c r="O2909" s="1" t="s">
        <v>512</v>
      </c>
    </row>
    <row r="2910" spans="4:15" x14ac:dyDescent="0.25">
      <c r="D2910" s="1" t="s">
        <v>512</v>
      </c>
      <c r="E2910" s="21" t="s">
        <v>512</v>
      </c>
      <c r="F2910" s="1" t="s">
        <v>512</v>
      </c>
      <c r="G2910" s="1" t="s">
        <v>512</v>
      </c>
      <c r="H2910" s="1" t="s">
        <v>512</v>
      </c>
      <c r="I2910" s="1" t="s">
        <v>512</v>
      </c>
      <c r="J2910" s="1" t="s">
        <v>512</v>
      </c>
      <c r="K2910" s="1" t="s">
        <v>512</v>
      </c>
      <c r="L2910" s="1" t="s">
        <v>512</v>
      </c>
      <c r="M2910" s="1" t="s">
        <v>512</v>
      </c>
      <c r="N2910" s="1" t="s">
        <v>512</v>
      </c>
      <c r="O2910" s="1" t="s">
        <v>512</v>
      </c>
    </row>
    <row r="2911" spans="4:15" x14ac:dyDescent="0.25">
      <c r="D2911" s="1" t="s">
        <v>512</v>
      </c>
      <c r="E2911" s="21" t="s">
        <v>512</v>
      </c>
      <c r="F2911" s="1" t="s">
        <v>512</v>
      </c>
      <c r="G2911" s="1" t="s">
        <v>512</v>
      </c>
      <c r="H2911" s="1" t="s">
        <v>512</v>
      </c>
      <c r="I2911" s="1" t="s">
        <v>512</v>
      </c>
      <c r="J2911" s="1" t="s">
        <v>512</v>
      </c>
      <c r="K2911" s="1" t="s">
        <v>512</v>
      </c>
      <c r="L2911" s="1" t="s">
        <v>512</v>
      </c>
      <c r="M2911" s="1" t="s">
        <v>512</v>
      </c>
      <c r="N2911" s="1" t="s">
        <v>512</v>
      </c>
      <c r="O2911" s="1" t="s">
        <v>512</v>
      </c>
    </row>
    <row r="2912" spans="4:15" x14ac:dyDescent="0.25">
      <c r="D2912" s="1" t="s">
        <v>512</v>
      </c>
      <c r="E2912" s="21" t="s">
        <v>512</v>
      </c>
      <c r="F2912" s="1" t="s">
        <v>512</v>
      </c>
      <c r="G2912" s="1" t="s">
        <v>512</v>
      </c>
      <c r="H2912" s="1" t="s">
        <v>512</v>
      </c>
      <c r="I2912" s="1" t="s">
        <v>512</v>
      </c>
      <c r="J2912" s="1" t="s">
        <v>512</v>
      </c>
      <c r="K2912" s="1" t="s">
        <v>512</v>
      </c>
      <c r="L2912" s="1" t="s">
        <v>512</v>
      </c>
      <c r="M2912" s="1" t="s">
        <v>512</v>
      </c>
      <c r="N2912" s="1" t="s">
        <v>512</v>
      </c>
      <c r="O2912" s="1" t="s">
        <v>512</v>
      </c>
    </row>
    <row r="2913" spans="4:15" x14ac:dyDescent="0.25">
      <c r="D2913" s="1" t="s">
        <v>512</v>
      </c>
      <c r="E2913" s="21" t="s">
        <v>512</v>
      </c>
      <c r="F2913" s="1" t="s">
        <v>512</v>
      </c>
      <c r="G2913" s="1" t="s">
        <v>512</v>
      </c>
      <c r="H2913" s="1" t="s">
        <v>512</v>
      </c>
      <c r="I2913" s="1" t="s">
        <v>512</v>
      </c>
      <c r="J2913" s="1" t="s">
        <v>512</v>
      </c>
      <c r="K2913" s="1" t="s">
        <v>512</v>
      </c>
      <c r="L2913" s="1" t="s">
        <v>512</v>
      </c>
      <c r="M2913" s="1" t="s">
        <v>512</v>
      </c>
      <c r="N2913" s="1" t="s">
        <v>512</v>
      </c>
      <c r="O2913" s="1" t="s">
        <v>512</v>
      </c>
    </row>
    <row r="2914" spans="4:15" x14ac:dyDescent="0.25">
      <c r="D2914" s="1" t="s">
        <v>512</v>
      </c>
      <c r="E2914" s="21" t="s">
        <v>512</v>
      </c>
      <c r="F2914" s="1" t="s">
        <v>512</v>
      </c>
      <c r="G2914" s="1" t="s">
        <v>512</v>
      </c>
      <c r="H2914" s="1" t="s">
        <v>512</v>
      </c>
      <c r="I2914" s="1" t="s">
        <v>512</v>
      </c>
      <c r="J2914" s="1" t="s">
        <v>512</v>
      </c>
      <c r="K2914" s="1" t="s">
        <v>512</v>
      </c>
      <c r="L2914" s="1" t="s">
        <v>512</v>
      </c>
      <c r="M2914" s="1" t="s">
        <v>512</v>
      </c>
      <c r="N2914" s="1" t="s">
        <v>512</v>
      </c>
      <c r="O2914" s="1" t="s">
        <v>512</v>
      </c>
    </row>
    <row r="2915" spans="4:15" x14ac:dyDescent="0.25">
      <c r="D2915" s="1" t="s">
        <v>512</v>
      </c>
      <c r="E2915" s="21" t="s">
        <v>512</v>
      </c>
      <c r="F2915" s="1" t="s">
        <v>512</v>
      </c>
      <c r="G2915" s="1" t="s">
        <v>512</v>
      </c>
      <c r="H2915" s="1" t="s">
        <v>512</v>
      </c>
      <c r="I2915" s="1" t="s">
        <v>512</v>
      </c>
      <c r="J2915" s="1" t="s">
        <v>512</v>
      </c>
      <c r="K2915" s="1" t="s">
        <v>512</v>
      </c>
      <c r="L2915" s="1" t="s">
        <v>512</v>
      </c>
      <c r="M2915" s="1" t="s">
        <v>512</v>
      </c>
      <c r="N2915" s="1" t="s">
        <v>512</v>
      </c>
      <c r="O2915" s="1" t="s">
        <v>512</v>
      </c>
    </row>
    <row r="2916" spans="4:15" x14ac:dyDescent="0.25">
      <c r="D2916" s="1" t="s">
        <v>512</v>
      </c>
      <c r="E2916" s="21" t="s">
        <v>512</v>
      </c>
      <c r="F2916" s="1" t="s">
        <v>512</v>
      </c>
      <c r="G2916" s="1" t="s">
        <v>512</v>
      </c>
      <c r="H2916" s="1" t="s">
        <v>512</v>
      </c>
      <c r="I2916" s="1" t="s">
        <v>512</v>
      </c>
      <c r="J2916" s="1" t="s">
        <v>512</v>
      </c>
      <c r="K2916" s="1" t="s">
        <v>512</v>
      </c>
      <c r="L2916" s="1" t="s">
        <v>512</v>
      </c>
      <c r="M2916" s="1" t="s">
        <v>512</v>
      </c>
      <c r="N2916" s="1" t="s">
        <v>512</v>
      </c>
      <c r="O2916" s="1" t="s">
        <v>512</v>
      </c>
    </row>
    <row r="2917" spans="4:15" x14ac:dyDescent="0.25">
      <c r="D2917" s="1" t="s">
        <v>512</v>
      </c>
      <c r="E2917" s="21" t="s">
        <v>512</v>
      </c>
      <c r="F2917" s="1" t="s">
        <v>512</v>
      </c>
      <c r="G2917" s="1" t="s">
        <v>512</v>
      </c>
      <c r="H2917" s="1" t="s">
        <v>512</v>
      </c>
      <c r="I2917" s="1" t="s">
        <v>512</v>
      </c>
      <c r="J2917" s="1" t="s">
        <v>512</v>
      </c>
      <c r="K2917" s="1" t="s">
        <v>512</v>
      </c>
      <c r="L2917" s="1" t="s">
        <v>512</v>
      </c>
      <c r="M2917" s="1" t="s">
        <v>512</v>
      </c>
      <c r="N2917" s="1" t="s">
        <v>512</v>
      </c>
      <c r="O2917" s="1" t="s">
        <v>512</v>
      </c>
    </row>
    <row r="2918" spans="4:15" x14ac:dyDescent="0.25">
      <c r="D2918" s="1" t="s">
        <v>512</v>
      </c>
      <c r="E2918" s="21" t="s">
        <v>512</v>
      </c>
      <c r="F2918" s="1" t="s">
        <v>512</v>
      </c>
      <c r="G2918" s="1" t="s">
        <v>512</v>
      </c>
      <c r="H2918" s="1" t="s">
        <v>512</v>
      </c>
      <c r="I2918" s="1" t="s">
        <v>512</v>
      </c>
      <c r="J2918" s="1" t="s">
        <v>512</v>
      </c>
      <c r="K2918" s="1" t="s">
        <v>512</v>
      </c>
      <c r="L2918" s="1" t="s">
        <v>512</v>
      </c>
      <c r="M2918" s="1" t="s">
        <v>512</v>
      </c>
      <c r="N2918" s="1" t="s">
        <v>512</v>
      </c>
      <c r="O2918" s="1" t="s">
        <v>512</v>
      </c>
    </row>
    <row r="2919" spans="4:15" x14ac:dyDescent="0.25">
      <c r="D2919" s="1" t="s">
        <v>512</v>
      </c>
      <c r="E2919" s="21" t="s">
        <v>512</v>
      </c>
      <c r="F2919" s="1" t="s">
        <v>512</v>
      </c>
      <c r="G2919" s="1" t="s">
        <v>512</v>
      </c>
      <c r="H2919" s="1" t="s">
        <v>512</v>
      </c>
      <c r="I2919" s="1" t="s">
        <v>512</v>
      </c>
      <c r="J2919" s="1" t="s">
        <v>512</v>
      </c>
      <c r="K2919" s="1" t="s">
        <v>512</v>
      </c>
      <c r="L2919" s="1" t="s">
        <v>512</v>
      </c>
      <c r="M2919" s="1" t="s">
        <v>512</v>
      </c>
      <c r="N2919" s="1" t="s">
        <v>512</v>
      </c>
      <c r="O2919" s="1" t="s">
        <v>512</v>
      </c>
    </row>
    <row r="2920" spans="4:15" x14ac:dyDescent="0.25">
      <c r="D2920" s="1" t="s">
        <v>512</v>
      </c>
      <c r="E2920" s="21" t="s">
        <v>512</v>
      </c>
      <c r="F2920" s="1" t="s">
        <v>512</v>
      </c>
      <c r="G2920" s="1" t="s">
        <v>512</v>
      </c>
      <c r="H2920" s="1" t="s">
        <v>512</v>
      </c>
      <c r="I2920" s="1" t="s">
        <v>512</v>
      </c>
      <c r="J2920" s="1" t="s">
        <v>512</v>
      </c>
      <c r="K2920" s="1" t="s">
        <v>512</v>
      </c>
      <c r="L2920" s="1" t="s">
        <v>512</v>
      </c>
      <c r="M2920" s="1" t="s">
        <v>512</v>
      </c>
      <c r="N2920" s="1" t="s">
        <v>512</v>
      </c>
      <c r="O2920" s="1" t="s">
        <v>512</v>
      </c>
    </row>
    <row r="2921" spans="4:15" x14ac:dyDescent="0.25">
      <c r="D2921" s="1" t="s">
        <v>512</v>
      </c>
      <c r="E2921" s="21" t="s">
        <v>512</v>
      </c>
      <c r="F2921" s="1" t="s">
        <v>512</v>
      </c>
      <c r="G2921" s="1" t="s">
        <v>512</v>
      </c>
      <c r="H2921" s="1" t="s">
        <v>512</v>
      </c>
      <c r="I2921" s="1" t="s">
        <v>512</v>
      </c>
      <c r="J2921" s="1" t="s">
        <v>512</v>
      </c>
      <c r="K2921" s="1" t="s">
        <v>512</v>
      </c>
      <c r="L2921" s="1" t="s">
        <v>512</v>
      </c>
      <c r="M2921" s="1" t="s">
        <v>512</v>
      </c>
      <c r="N2921" s="1" t="s">
        <v>512</v>
      </c>
      <c r="O2921" s="1" t="s">
        <v>512</v>
      </c>
    </row>
    <row r="2922" spans="4:15" x14ac:dyDescent="0.25">
      <c r="D2922" s="1" t="s">
        <v>512</v>
      </c>
      <c r="E2922" s="21" t="s">
        <v>512</v>
      </c>
      <c r="F2922" s="1" t="s">
        <v>512</v>
      </c>
      <c r="G2922" s="1" t="s">
        <v>512</v>
      </c>
      <c r="H2922" s="1" t="s">
        <v>512</v>
      </c>
      <c r="I2922" s="1" t="s">
        <v>512</v>
      </c>
      <c r="J2922" s="1" t="s">
        <v>512</v>
      </c>
      <c r="K2922" s="1" t="s">
        <v>512</v>
      </c>
      <c r="L2922" s="1" t="s">
        <v>512</v>
      </c>
      <c r="M2922" s="1" t="s">
        <v>512</v>
      </c>
      <c r="N2922" s="1" t="s">
        <v>512</v>
      </c>
      <c r="O2922" s="1" t="s">
        <v>512</v>
      </c>
    </row>
    <row r="2923" spans="4:15" x14ac:dyDescent="0.25">
      <c r="D2923" s="1" t="s">
        <v>512</v>
      </c>
      <c r="E2923" s="21" t="s">
        <v>512</v>
      </c>
      <c r="F2923" s="1" t="s">
        <v>512</v>
      </c>
      <c r="G2923" s="1" t="s">
        <v>512</v>
      </c>
      <c r="H2923" s="1" t="s">
        <v>512</v>
      </c>
      <c r="I2923" s="1" t="s">
        <v>512</v>
      </c>
      <c r="J2923" s="1" t="s">
        <v>512</v>
      </c>
      <c r="K2923" s="1" t="s">
        <v>512</v>
      </c>
      <c r="L2923" s="1" t="s">
        <v>512</v>
      </c>
      <c r="M2923" s="1" t="s">
        <v>512</v>
      </c>
      <c r="N2923" s="1" t="s">
        <v>512</v>
      </c>
      <c r="O2923" s="1" t="s">
        <v>512</v>
      </c>
    </row>
    <row r="2924" spans="4:15" x14ac:dyDescent="0.25">
      <c r="D2924" s="1" t="s">
        <v>512</v>
      </c>
      <c r="E2924" s="21" t="s">
        <v>512</v>
      </c>
      <c r="F2924" s="1" t="s">
        <v>512</v>
      </c>
      <c r="G2924" s="1" t="s">
        <v>512</v>
      </c>
      <c r="H2924" s="1" t="s">
        <v>512</v>
      </c>
      <c r="I2924" s="1" t="s">
        <v>512</v>
      </c>
      <c r="J2924" s="1" t="s">
        <v>512</v>
      </c>
      <c r="K2924" s="1" t="s">
        <v>512</v>
      </c>
      <c r="L2924" s="1" t="s">
        <v>512</v>
      </c>
      <c r="M2924" s="1" t="s">
        <v>512</v>
      </c>
      <c r="N2924" s="1" t="s">
        <v>512</v>
      </c>
      <c r="O2924" s="1" t="s">
        <v>512</v>
      </c>
    </row>
    <row r="2925" spans="4:15" x14ac:dyDescent="0.25">
      <c r="D2925" s="1" t="s">
        <v>512</v>
      </c>
      <c r="E2925" s="21" t="s">
        <v>512</v>
      </c>
      <c r="F2925" s="1" t="s">
        <v>512</v>
      </c>
      <c r="G2925" s="1" t="s">
        <v>512</v>
      </c>
      <c r="H2925" s="1" t="s">
        <v>512</v>
      </c>
      <c r="I2925" s="1" t="s">
        <v>512</v>
      </c>
      <c r="J2925" s="1" t="s">
        <v>512</v>
      </c>
      <c r="K2925" s="1" t="s">
        <v>512</v>
      </c>
      <c r="L2925" s="1" t="s">
        <v>512</v>
      </c>
      <c r="M2925" s="1" t="s">
        <v>512</v>
      </c>
      <c r="N2925" s="1" t="s">
        <v>512</v>
      </c>
      <c r="O2925" s="1" t="s">
        <v>512</v>
      </c>
    </row>
    <row r="2926" spans="4:15" x14ac:dyDescent="0.25">
      <c r="D2926" s="1" t="s">
        <v>512</v>
      </c>
      <c r="E2926" s="21" t="s">
        <v>512</v>
      </c>
      <c r="F2926" s="1" t="s">
        <v>512</v>
      </c>
      <c r="G2926" s="1" t="s">
        <v>512</v>
      </c>
      <c r="H2926" s="1" t="s">
        <v>512</v>
      </c>
      <c r="I2926" s="1" t="s">
        <v>512</v>
      </c>
      <c r="J2926" s="1" t="s">
        <v>512</v>
      </c>
      <c r="K2926" s="1" t="s">
        <v>512</v>
      </c>
      <c r="L2926" s="1" t="s">
        <v>512</v>
      </c>
      <c r="M2926" s="1" t="s">
        <v>512</v>
      </c>
      <c r="N2926" s="1" t="s">
        <v>512</v>
      </c>
      <c r="O2926" s="1" t="s">
        <v>512</v>
      </c>
    </row>
    <row r="2927" spans="4:15" x14ac:dyDescent="0.25">
      <c r="D2927" s="1" t="s">
        <v>512</v>
      </c>
      <c r="E2927" s="21" t="s">
        <v>512</v>
      </c>
      <c r="F2927" s="1" t="s">
        <v>512</v>
      </c>
      <c r="G2927" s="1" t="s">
        <v>512</v>
      </c>
      <c r="H2927" s="1" t="s">
        <v>512</v>
      </c>
      <c r="I2927" s="1" t="s">
        <v>512</v>
      </c>
      <c r="J2927" s="1" t="s">
        <v>512</v>
      </c>
      <c r="K2927" s="1" t="s">
        <v>512</v>
      </c>
      <c r="L2927" s="1" t="s">
        <v>512</v>
      </c>
      <c r="M2927" s="1" t="s">
        <v>512</v>
      </c>
      <c r="N2927" s="1" t="s">
        <v>512</v>
      </c>
      <c r="O2927" s="1" t="s">
        <v>512</v>
      </c>
    </row>
    <row r="2928" spans="4:15" x14ac:dyDescent="0.25">
      <c r="D2928" s="1" t="s">
        <v>512</v>
      </c>
      <c r="E2928" s="21" t="s">
        <v>512</v>
      </c>
      <c r="F2928" s="1" t="s">
        <v>512</v>
      </c>
      <c r="G2928" s="1" t="s">
        <v>512</v>
      </c>
      <c r="H2928" s="1" t="s">
        <v>512</v>
      </c>
      <c r="I2928" s="1" t="s">
        <v>512</v>
      </c>
      <c r="J2928" s="1" t="s">
        <v>512</v>
      </c>
      <c r="K2928" s="1" t="s">
        <v>512</v>
      </c>
      <c r="L2928" s="1" t="s">
        <v>512</v>
      </c>
      <c r="M2928" s="1" t="s">
        <v>512</v>
      </c>
      <c r="N2928" s="1" t="s">
        <v>512</v>
      </c>
      <c r="O2928" s="1" t="s">
        <v>512</v>
      </c>
    </row>
    <row r="2929" spans="4:15" x14ac:dyDescent="0.25">
      <c r="D2929" s="1" t="s">
        <v>512</v>
      </c>
      <c r="E2929" s="21" t="s">
        <v>512</v>
      </c>
      <c r="F2929" s="1" t="s">
        <v>512</v>
      </c>
      <c r="G2929" s="1" t="s">
        <v>512</v>
      </c>
      <c r="H2929" s="1" t="s">
        <v>512</v>
      </c>
      <c r="I2929" s="1" t="s">
        <v>512</v>
      </c>
      <c r="J2929" s="1" t="s">
        <v>512</v>
      </c>
      <c r="K2929" s="1" t="s">
        <v>512</v>
      </c>
      <c r="L2929" s="1" t="s">
        <v>512</v>
      </c>
      <c r="M2929" s="1" t="s">
        <v>512</v>
      </c>
      <c r="N2929" s="1" t="s">
        <v>512</v>
      </c>
      <c r="O2929" s="1" t="s">
        <v>512</v>
      </c>
    </row>
    <row r="2930" spans="4:15" x14ac:dyDescent="0.25">
      <c r="D2930" s="1" t="s">
        <v>512</v>
      </c>
      <c r="E2930" s="21" t="s">
        <v>512</v>
      </c>
      <c r="F2930" s="1" t="s">
        <v>512</v>
      </c>
      <c r="G2930" s="1" t="s">
        <v>512</v>
      </c>
      <c r="H2930" s="1" t="s">
        <v>512</v>
      </c>
      <c r="I2930" s="1" t="s">
        <v>512</v>
      </c>
      <c r="J2930" s="1" t="s">
        <v>512</v>
      </c>
      <c r="K2930" s="1" t="s">
        <v>512</v>
      </c>
      <c r="L2930" s="1" t="s">
        <v>512</v>
      </c>
      <c r="M2930" s="1" t="s">
        <v>512</v>
      </c>
      <c r="N2930" s="1" t="s">
        <v>512</v>
      </c>
      <c r="O2930" s="1" t="s">
        <v>512</v>
      </c>
    </row>
    <row r="2931" spans="4:15" x14ac:dyDescent="0.25">
      <c r="D2931" s="1" t="s">
        <v>512</v>
      </c>
      <c r="E2931" s="21" t="s">
        <v>512</v>
      </c>
      <c r="F2931" s="1" t="s">
        <v>512</v>
      </c>
      <c r="G2931" s="1" t="s">
        <v>512</v>
      </c>
      <c r="H2931" s="1" t="s">
        <v>512</v>
      </c>
      <c r="I2931" s="1" t="s">
        <v>512</v>
      </c>
      <c r="J2931" s="1" t="s">
        <v>512</v>
      </c>
      <c r="K2931" s="1" t="s">
        <v>512</v>
      </c>
      <c r="L2931" s="1" t="s">
        <v>512</v>
      </c>
      <c r="M2931" s="1" t="s">
        <v>512</v>
      </c>
      <c r="N2931" s="1" t="s">
        <v>512</v>
      </c>
      <c r="O2931" s="1" t="s">
        <v>512</v>
      </c>
    </row>
    <row r="2932" spans="4:15" x14ac:dyDescent="0.25">
      <c r="D2932" s="1" t="s">
        <v>512</v>
      </c>
      <c r="E2932" s="21" t="s">
        <v>512</v>
      </c>
      <c r="F2932" s="1" t="s">
        <v>512</v>
      </c>
      <c r="G2932" s="1" t="s">
        <v>512</v>
      </c>
      <c r="H2932" s="1" t="s">
        <v>512</v>
      </c>
      <c r="I2932" s="1" t="s">
        <v>512</v>
      </c>
      <c r="J2932" s="1" t="s">
        <v>512</v>
      </c>
      <c r="K2932" s="1" t="s">
        <v>512</v>
      </c>
      <c r="L2932" s="1" t="s">
        <v>512</v>
      </c>
      <c r="M2932" s="1" t="s">
        <v>512</v>
      </c>
      <c r="N2932" s="1" t="s">
        <v>512</v>
      </c>
      <c r="O2932" s="1" t="s">
        <v>512</v>
      </c>
    </row>
    <row r="2933" spans="4:15" x14ac:dyDescent="0.25">
      <c r="D2933" s="1" t="s">
        <v>512</v>
      </c>
      <c r="E2933" s="21" t="s">
        <v>512</v>
      </c>
      <c r="F2933" s="1" t="s">
        <v>512</v>
      </c>
      <c r="G2933" s="1" t="s">
        <v>512</v>
      </c>
      <c r="H2933" s="1" t="s">
        <v>512</v>
      </c>
      <c r="I2933" s="1" t="s">
        <v>512</v>
      </c>
      <c r="J2933" s="1" t="s">
        <v>512</v>
      </c>
      <c r="K2933" s="1" t="s">
        <v>512</v>
      </c>
      <c r="L2933" s="1" t="s">
        <v>512</v>
      </c>
      <c r="M2933" s="1" t="s">
        <v>512</v>
      </c>
      <c r="N2933" s="1" t="s">
        <v>512</v>
      </c>
      <c r="O2933" s="1" t="s">
        <v>512</v>
      </c>
    </row>
    <row r="2934" spans="4:15" x14ac:dyDescent="0.25">
      <c r="D2934" s="1" t="s">
        <v>512</v>
      </c>
      <c r="E2934" s="21" t="s">
        <v>512</v>
      </c>
      <c r="F2934" s="1" t="s">
        <v>512</v>
      </c>
      <c r="G2934" s="1" t="s">
        <v>512</v>
      </c>
      <c r="H2934" s="1" t="s">
        <v>512</v>
      </c>
      <c r="I2934" s="1" t="s">
        <v>512</v>
      </c>
      <c r="J2934" s="1" t="s">
        <v>512</v>
      </c>
      <c r="K2934" s="1" t="s">
        <v>512</v>
      </c>
      <c r="L2934" s="1" t="s">
        <v>512</v>
      </c>
      <c r="M2934" s="1" t="s">
        <v>512</v>
      </c>
      <c r="N2934" s="1" t="s">
        <v>512</v>
      </c>
      <c r="O2934" s="1" t="s">
        <v>512</v>
      </c>
    </row>
    <row r="2935" spans="4:15" x14ac:dyDescent="0.25">
      <c r="D2935" s="1" t="s">
        <v>512</v>
      </c>
      <c r="E2935" s="21" t="s">
        <v>512</v>
      </c>
      <c r="F2935" s="1" t="s">
        <v>512</v>
      </c>
      <c r="G2935" s="1" t="s">
        <v>512</v>
      </c>
      <c r="H2935" s="1" t="s">
        <v>512</v>
      </c>
      <c r="I2935" s="1" t="s">
        <v>512</v>
      </c>
      <c r="J2935" s="1" t="s">
        <v>512</v>
      </c>
      <c r="K2935" s="1" t="s">
        <v>512</v>
      </c>
      <c r="L2935" s="1" t="s">
        <v>512</v>
      </c>
      <c r="M2935" s="1" t="s">
        <v>512</v>
      </c>
      <c r="N2935" s="1" t="s">
        <v>512</v>
      </c>
      <c r="O2935" s="1" t="s">
        <v>512</v>
      </c>
    </row>
    <row r="2936" spans="4:15" x14ac:dyDescent="0.25">
      <c r="D2936" s="1" t="s">
        <v>512</v>
      </c>
      <c r="E2936" s="21" t="s">
        <v>512</v>
      </c>
      <c r="F2936" s="1" t="s">
        <v>512</v>
      </c>
      <c r="G2936" s="1" t="s">
        <v>512</v>
      </c>
      <c r="H2936" s="1" t="s">
        <v>512</v>
      </c>
      <c r="I2936" s="1" t="s">
        <v>512</v>
      </c>
      <c r="J2936" s="1" t="s">
        <v>512</v>
      </c>
      <c r="K2936" s="1" t="s">
        <v>512</v>
      </c>
      <c r="L2936" s="1" t="s">
        <v>512</v>
      </c>
      <c r="M2936" s="1" t="s">
        <v>512</v>
      </c>
      <c r="N2936" s="1" t="s">
        <v>512</v>
      </c>
      <c r="O2936" s="1" t="s">
        <v>512</v>
      </c>
    </row>
    <row r="2937" spans="4:15" x14ac:dyDescent="0.25">
      <c r="D2937" s="1" t="s">
        <v>512</v>
      </c>
      <c r="E2937" s="21" t="s">
        <v>512</v>
      </c>
      <c r="F2937" s="1" t="s">
        <v>512</v>
      </c>
      <c r="G2937" s="1" t="s">
        <v>512</v>
      </c>
      <c r="H2937" s="1" t="s">
        <v>512</v>
      </c>
      <c r="I2937" s="1" t="s">
        <v>512</v>
      </c>
      <c r="J2937" s="1" t="s">
        <v>512</v>
      </c>
      <c r="K2937" s="1" t="s">
        <v>512</v>
      </c>
      <c r="L2937" s="1" t="s">
        <v>512</v>
      </c>
      <c r="M2937" s="1" t="s">
        <v>512</v>
      </c>
      <c r="N2937" s="1" t="s">
        <v>512</v>
      </c>
      <c r="O2937" s="1" t="s">
        <v>512</v>
      </c>
    </row>
    <row r="2938" spans="4:15" x14ac:dyDescent="0.25">
      <c r="D2938" s="1" t="s">
        <v>512</v>
      </c>
      <c r="E2938" s="21" t="s">
        <v>512</v>
      </c>
      <c r="F2938" s="1" t="s">
        <v>512</v>
      </c>
      <c r="G2938" s="1" t="s">
        <v>512</v>
      </c>
      <c r="H2938" s="1" t="s">
        <v>512</v>
      </c>
      <c r="I2938" s="1" t="s">
        <v>512</v>
      </c>
      <c r="J2938" s="1" t="s">
        <v>512</v>
      </c>
      <c r="K2938" s="1" t="s">
        <v>512</v>
      </c>
      <c r="L2938" s="1" t="s">
        <v>512</v>
      </c>
      <c r="M2938" s="1" t="s">
        <v>512</v>
      </c>
      <c r="N2938" s="1" t="s">
        <v>512</v>
      </c>
      <c r="O2938" s="1" t="s">
        <v>512</v>
      </c>
    </row>
    <row r="2939" spans="4:15" x14ac:dyDescent="0.25">
      <c r="D2939" s="1" t="s">
        <v>512</v>
      </c>
      <c r="E2939" s="21" t="s">
        <v>512</v>
      </c>
      <c r="F2939" s="1" t="s">
        <v>512</v>
      </c>
      <c r="G2939" s="1" t="s">
        <v>512</v>
      </c>
      <c r="H2939" s="1" t="s">
        <v>512</v>
      </c>
      <c r="I2939" s="1" t="s">
        <v>512</v>
      </c>
      <c r="J2939" s="1" t="s">
        <v>512</v>
      </c>
      <c r="K2939" s="1" t="s">
        <v>512</v>
      </c>
      <c r="L2939" s="1" t="s">
        <v>512</v>
      </c>
      <c r="M2939" s="1" t="s">
        <v>512</v>
      </c>
      <c r="N2939" s="1" t="s">
        <v>512</v>
      </c>
      <c r="O2939" s="1" t="s">
        <v>512</v>
      </c>
    </row>
    <row r="2940" spans="4:15" x14ac:dyDescent="0.25">
      <c r="D2940" s="1" t="s">
        <v>512</v>
      </c>
      <c r="E2940" s="21" t="s">
        <v>512</v>
      </c>
      <c r="F2940" s="1" t="s">
        <v>512</v>
      </c>
      <c r="G2940" s="1" t="s">
        <v>512</v>
      </c>
      <c r="H2940" s="1" t="s">
        <v>512</v>
      </c>
      <c r="I2940" s="1" t="s">
        <v>512</v>
      </c>
      <c r="J2940" s="1" t="s">
        <v>512</v>
      </c>
      <c r="K2940" s="1" t="s">
        <v>512</v>
      </c>
      <c r="L2940" s="1" t="s">
        <v>512</v>
      </c>
      <c r="M2940" s="1" t="s">
        <v>512</v>
      </c>
      <c r="N2940" s="1" t="s">
        <v>512</v>
      </c>
      <c r="O2940" s="1" t="s">
        <v>512</v>
      </c>
    </row>
    <row r="2941" spans="4:15" x14ac:dyDescent="0.25">
      <c r="D2941" s="1" t="s">
        <v>512</v>
      </c>
      <c r="E2941" s="21" t="s">
        <v>512</v>
      </c>
      <c r="F2941" s="1" t="s">
        <v>512</v>
      </c>
      <c r="G2941" s="1" t="s">
        <v>512</v>
      </c>
      <c r="H2941" s="1" t="s">
        <v>512</v>
      </c>
      <c r="I2941" s="1" t="s">
        <v>512</v>
      </c>
      <c r="J2941" s="1" t="s">
        <v>512</v>
      </c>
      <c r="K2941" s="1" t="s">
        <v>512</v>
      </c>
      <c r="L2941" s="1" t="s">
        <v>512</v>
      </c>
      <c r="M2941" s="1" t="s">
        <v>512</v>
      </c>
      <c r="N2941" s="1" t="s">
        <v>512</v>
      </c>
      <c r="O2941" s="1" t="s">
        <v>512</v>
      </c>
    </row>
    <row r="2942" spans="4:15" x14ac:dyDescent="0.25">
      <c r="D2942" s="1" t="s">
        <v>512</v>
      </c>
      <c r="E2942" s="21" t="s">
        <v>512</v>
      </c>
      <c r="F2942" s="1" t="s">
        <v>512</v>
      </c>
      <c r="G2942" s="1" t="s">
        <v>512</v>
      </c>
      <c r="H2942" s="1" t="s">
        <v>512</v>
      </c>
      <c r="I2942" s="1" t="s">
        <v>512</v>
      </c>
      <c r="J2942" s="1" t="s">
        <v>512</v>
      </c>
      <c r="K2942" s="1" t="s">
        <v>512</v>
      </c>
      <c r="L2942" s="1" t="s">
        <v>512</v>
      </c>
      <c r="M2942" s="1" t="s">
        <v>512</v>
      </c>
      <c r="N2942" s="1" t="s">
        <v>512</v>
      </c>
      <c r="O2942" s="1" t="s">
        <v>512</v>
      </c>
    </row>
    <row r="2943" spans="4:15" x14ac:dyDescent="0.25">
      <c r="D2943" s="1" t="s">
        <v>512</v>
      </c>
      <c r="E2943" s="21" t="s">
        <v>512</v>
      </c>
      <c r="F2943" s="1" t="s">
        <v>512</v>
      </c>
      <c r="G2943" s="1" t="s">
        <v>512</v>
      </c>
      <c r="H2943" s="1" t="s">
        <v>512</v>
      </c>
      <c r="I2943" s="1" t="s">
        <v>512</v>
      </c>
      <c r="J2943" s="1" t="s">
        <v>512</v>
      </c>
      <c r="K2943" s="1" t="s">
        <v>512</v>
      </c>
      <c r="L2943" s="1" t="s">
        <v>512</v>
      </c>
      <c r="M2943" s="1" t="s">
        <v>512</v>
      </c>
      <c r="N2943" s="1" t="s">
        <v>512</v>
      </c>
      <c r="O2943" s="1" t="s">
        <v>512</v>
      </c>
    </row>
    <row r="2944" spans="4:15" x14ac:dyDescent="0.25">
      <c r="D2944" s="1" t="s">
        <v>512</v>
      </c>
      <c r="E2944" s="21" t="s">
        <v>512</v>
      </c>
      <c r="F2944" s="1" t="s">
        <v>512</v>
      </c>
      <c r="G2944" s="1" t="s">
        <v>512</v>
      </c>
      <c r="H2944" s="1" t="s">
        <v>512</v>
      </c>
      <c r="I2944" s="1" t="s">
        <v>512</v>
      </c>
      <c r="J2944" s="1" t="s">
        <v>512</v>
      </c>
      <c r="K2944" s="1" t="s">
        <v>512</v>
      </c>
      <c r="L2944" s="1" t="s">
        <v>512</v>
      </c>
      <c r="M2944" s="1" t="s">
        <v>512</v>
      </c>
      <c r="N2944" s="1" t="s">
        <v>512</v>
      </c>
      <c r="O2944" s="1" t="s">
        <v>512</v>
      </c>
    </row>
    <row r="2945" spans="4:15" x14ac:dyDescent="0.25">
      <c r="D2945" s="1" t="s">
        <v>512</v>
      </c>
      <c r="E2945" s="21" t="s">
        <v>512</v>
      </c>
      <c r="F2945" s="1" t="s">
        <v>512</v>
      </c>
      <c r="G2945" s="1" t="s">
        <v>512</v>
      </c>
      <c r="H2945" s="1" t="s">
        <v>512</v>
      </c>
      <c r="I2945" s="1" t="s">
        <v>512</v>
      </c>
      <c r="J2945" s="1" t="s">
        <v>512</v>
      </c>
      <c r="K2945" s="1" t="s">
        <v>512</v>
      </c>
      <c r="L2945" s="1" t="s">
        <v>512</v>
      </c>
      <c r="M2945" s="1" t="s">
        <v>512</v>
      </c>
      <c r="N2945" s="1" t="s">
        <v>512</v>
      </c>
      <c r="O2945" s="1" t="s">
        <v>512</v>
      </c>
    </row>
    <row r="2946" spans="4:15" x14ac:dyDescent="0.25">
      <c r="D2946" s="1" t="s">
        <v>512</v>
      </c>
      <c r="E2946" s="21" t="s">
        <v>512</v>
      </c>
      <c r="F2946" s="1" t="s">
        <v>512</v>
      </c>
      <c r="G2946" s="1" t="s">
        <v>512</v>
      </c>
      <c r="H2946" s="1" t="s">
        <v>512</v>
      </c>
      <c r="I2946" s="1" t="s">
        <v>512</v>
      </c>
      <c r="J2946" s="1" t="s">
        <v>512</v>
      </c>
      <c r="K2946" s="1" t="s">
        <v>512</v>
      </c>
      <c r="L2946" s="1" t="s">
        <v>512</v>
      </c>
      <c r="M2946" s="1" t="s">
        <v>512</v>
      </c>
      <c r="N2946" s="1" t="s">
        <v>512</v>
      </c>
      <c r="O2946" s="1" t="s">
        <v>512</v>
      </c>
    </row>
    <row r="2947" spans="4:15" x14ac:dyDescent="0.25">
      <c r="D2947" s="1" t="s">
        <v>512</v>
      </c>
      <c r="E2947" s="21" t="s">
        <v>512</v>
      </c>
      <c r="F2947" s="1" t="s">
        <v>512</v>
      </c>
      <c r="G2947" s="1" t="s">
        <v>512</v>
      </c>
      <c r="H2947" s="1" t="s">
        <v>512</v>
      </c>
      <c r="I2947" s="1" t="s">
        <v>512</v>
      </c>
      <c r="J2947" s="1" t="s">
        <v>512</v>
      </c>
      <c r="K2947" s="1" t="s">
        <v>512</v>
      </c>
      <c r="L2947" s="1" t="s">
        <v>512</v>
      </c>
      <c r="M2947" s="1" t="s">
        <v>512</v>
      </c>
      <c r="N2947" s="1" t="s">
        <v>512</v>
      </c>
      <c r="O2947" s="1" t="s">
        <v>512</v>
      </c>
    </row>
    <row r="2948" spans="4:15" x14ac:dyDescent="0.25">
      <c r="D2948" s="1" t="s">
        <v>512</v>
      </c>
      <c r="E2948" s="21" t="s">
        <v>512</v>
      </c>
      <c r="F2948" s="1" t="s">
        <v>512</v>
      </c>
      <c r="G2948" s="1" t="s">
        <v>512</v>
      </c>
      <c r="H2948" s="1" t="s">
        <v>512</v>
      </c>
      <c r="I2948" s="1" t="s">
        <v>512</v>
      </c>
      <c r="J2948" s="1" t="s">
        <v>512</v>
      </c>
      <c r="K2948" s="1" t="s">
        <v>512</v>
      </c>
      <c r="L2948" s="1" t="s">
        <v>512</v>
      </c>
      <c r="M2948" s="1" t="s">
        <v>512</v>
      </c>
      <c r="N2948" s="1" t="s">
        <v>512</v>
      </c>
      <c r="O2948" s="1" t="s">
        <v>512</v>
      </c>
    </row>
    <row r="2949" spans="4:15" x14ac:dyDescent="0.25">
      <c r="D2949" s="1" t="s">
        <v>512</v>
      </c>
      <c r="E2949" s="21" t="s">
        <v>512</v>
      </c>
      <c r="F2949" s="1" t="s">
        <v>512</v>
      </c>
      <c r="G2949" s="1" t="s">
        <v>512</v>
      </c>
      <c r="H2949" s="1" t="s">
        <v>512</v>
      </c>
      <c r="I2949" s="1" t="s">
        <v>512</v>
      </c>
      <c r="J2949" s="1" t="s">
        <v>512</v>
      </c>
      <c r="K2949" s="1" t="s">
        <v>512</v>
      </c>
      <c r="L2949" s="1" t="s">
        <v>512</v>
      </c>
      <c r="M2949" s="1" t="s">
        <v>512</v>
      </c>
      <c r="N2949" s="1" t="s">
        <v>512</v>
      </c>
      <c r="O2949" s="1" t="s">
        <v>512</v>
      </c>
    </row>
    <row r="2950" spans="4:15" x14ac:dyDescent="0.25">
      <c r="D2950" s="1" t="s">
        <v>512</v>
      </c>
      <c r="E2950" s="21" t="s">
        <v>512</v>
      </c>
      <c r="F2950" s="1" t="s">
        <v>512</v>
      </c>
      <c r="G2950" s="1" t="s">
        <v>512</v>
      </c>
      <c r="H2950" s="1" t="s">
        <v>512</v>
      </c>
      <c r="I2950" s="1" t="s">
        <v>512</v>
      </c>
      <c r="J2950" s="1" t="s">
        <v>512</v>
      </c>
      <c r="K2950" s="1" t="s">
        <v>512</v>
      </c>
      <c r="L2950" s="1" t="s">
        <v>512</v>
      </c>
      <c r="M2950" s="1" t="s">
        <v>512</v>
      </c>
      <c r="N2950" s="1" t="s">
        <v>512</v>
      </c>
      <c r="O2950" s="1" t="s">
        <v>512</v>
      </c>
    </row>
    <row r="2951" spans="4:15" x14ac:dyDescent="0.25">
      <c r="D2951" s="1" t="s">
        <v>512</v>
      </c>
      <c r="E2951" s="21" t="s">
        <v>512</v>
      </c>
      <c r="F2951" s="1" t="s">
        <v>512</v>
      </c>
      <c r="G2951" s="1" t="s">
        <v>512</v>
      </c>
      <c r="H2951" s="1" t="s">
        <v>512</v>
      </c>
      <c r="I2951" s="1" t="s">
        <v>512</v>
      </c>
      <c r="J2951" s="1" t="s">
        <v>512</v>
      </c>
      <c r="K2951" s="1" t="s">
        <v>512</v>
      </c>
      <c r="L2951" s="1" t="s">
        <v>512</v>
      </c>
      <c r="M2951" s="1" t="s">
        <v>512</v>
      </c>
      <c r="N2951" s="1" t="s">
        <v>512</v>
      </c>
      <c r="O2951" s="1" t="s">
        <v>512</v>
      </c>
    </row>
    <row r="2952" spans="4:15" x14ac:dyDescent="0.25">
      <c r="D2952" s="1" t="s">
        <v>512</v>
      </c>
      <c r="E2952" s="21" t="s">
        <v>512</v>
      </c>
      <c r="F2952" s="1" t="s">
        <v>512</v>
      </c>
      <c r="G2952" s="1" t="s">
        <v>512</v>
      </c>
      <c r="H2952" s="1" t="s">
        <v>512</v>
      </c>
      <c r="I2952" s="1" t="s">
        <v>512</v>
      </c>
      <c r="J2952" s="1" t="s">
        <v>512</v>
      </c>
      <c r="K2952" s="1" t="s">
        <v>512</v>
      </c>
      <c r="L2952" s="1" t="s">
        <v>512</v>
      </c>
      <c r="M2952" s="1" t="s">
        <v>512</v>
      </c>
      <c r="N2952" s="1" t="s">
        <v>512</v>
      </c>
      <c r="O2952" s="1" t="s">
        <v>512</v>
      </c>
    </row>
    <row r="2953" spans="4:15" x14ac:dyDescent="0.25">
      <c r="D2953" s="1" t="s">
        <v>512</v>
      </c>
      <c r="E2953" s="21" t="s">
        <v>512</v>
      </c>
      <c r="F2953" s="1" t="s">
        <v>512</v>
      </c>
      <c r="G2953" s="1" t="s">
        <v>512</v>
      </c>
      <c r="H2953" s="1" t="s">
        <v>512</v>
      </c>
      <c r="I2953" s="1" t="s">
        <v>512</v>
      </c>
      <c r="J2953" s="1" t="s">
        <v>512</v>
      </c>
      <c r="K2953" s="1" t="s">
        <v>512</v>
      </c>
      <c r="L2953" s="1" t="s">
        <v>512</v>
      </c>
      <c r="M2953" s="1" t="s">
        <v>512</v>
      </c>
      <c r="N2953" s="1" t="s">
        <v>512</v>
      </c>
      <c r="O2953" s="1" t="s">
        <v>512</v>
      </c>
    </row>
    <row r="2954" spans="4:15" x14ac:dyDescent="0.25">
      <c r="D2954" s="1" t="s">
        <v>512</v>
      </c>
      <c r="E2954" s="21" t="s">
        <v>512</v>
      </c>
      <c r="F2954" s="1" t="s">
        <v>512</v>
      </c>
      <c r="G2954" s="1" t="s">
        <v>512</v>
      </c>
      <c r="H2954" s="1" t="s">
        <v>512</v>
      </c>
      <c r="I2954" s="1" t="s">
        <v>512</v>
      </c>
      <c r="J2954" s="1" t="s">
        <v>512</v>
      </c>
      <c r="K2954" s="1" t="s">
        <v>512</v>
      </c>
      <c r="L2954" s="1" t="s">
        <v>512</v>
      </c>
      <c r="M2954" s="1" t="s">
        <v>512</v>
      </c>
      <c r="N2954" s="1" t="s">
        <v>512</v>
      </c>
      <c r="O2954" s="1" t="s">
        <v>512</v>
      </c>
    </row>
    <row r="2955" spans="4:15" x14ac:dyDescent="0.25">
      <c r="D2955" s="1" t="s">
        <v>512</v>
      </c>
      <c r="E2955" s="21" t="s">
        <v>512</v>
      </c>
      <c r="F2955" s="1" t="s">
        <v>512</v>
      </c>
      <c r="G2955" s="1" t="s">
        <v>512</v>
      </c>
      <c r="H2955" s="1" t="s">
        <v>512</v>
      </c>
      <c r="I2955" s="1" t="s">
        <v>512</v>
      </c>
      <c r="J2955" s="1" t="s">
        <v>512</v>
      </c>
      <c r="K2955" s="1" t="s">
        <v>512</v>
      </c>
      <c r="L2955" s="1" t="s">
        <v>512</v>
      </c>
      <c r="M2955" s="1" t="s">
        <v>512</v>
      </c>
      <c r="N2955" s="1" t="s">
        <v>512</v>
      </c>
      <c r="O2955" s="1" t="s">
        <v>512</v>
      </c>
    </row>
    <row r="2956" spans="4:15" x14ac:dyDescent="0.25">
      <c r="D2956" s="1" t="s">
        <v>512</v>
      </c>
      <c r="E2956" s="21" t="s">
        <v>512</v>
      </c>
      <c r="F2956" s="1" t="s">
        <v>512</v>
      </c>
      <c r="G2956" s="1" t="s">
        <v>512</v>
      </c>
      <c r="H2956" s="1" t="s">
        <v>512</v>
      </c>
      <c r="I2956" s="1" t="s">
        <v>512</v>
      </c>
      <c r="J2956" s="1" t="s">
        <v>512</v>
      </c>
      <c r="K2956" s="1" t="s">
        <v>512</v>
      </c>
      <c r="L2956" s="1" t="s">
        <v>512</v>
      </c>
      <c r="M2956" s="1" t="s">
        <v>512</v>
      </c>
      <c r="N2956" s="1" t="s">
        <v>512</v>
      </c>
      <c r="O2956" s="1" t="s">
        <v>512</v>
      </c>
    </row>
    <row r="2957" spans="4:15" x14ac:dyDescent="0.25">
      <c r="D2957" s="1" t="s">
        <v>512</v>
      </c>
      <c r="E2957" s="21" t="s">
        <v>512</v>
      </c>
      <c r="F2957" s="1" t="s">
        <v>512</v>
      </c>
      <c r="G2957" s="1" t="s">
        <v>512</v>
      </c>
      <c r="H2957" s="1" t="s">
        <v>512</v>
      </c>
      <c r="I2957" s="1" t="s">
        <v>512</v>
      </c>
      <c r="J2957" s="1" t="s">
        <v>512</v>
      </c>
      <c r="K2957" s="1" t="s">
        <v>512</v>
      </c>
      <c r="L2957" s="1" t="s">
        <v>512</v>
      </c>
      <c r="M2957" s="1" t="s">
        <v>512</v>
      </c>
      <c r="N2957" s="1" t="s">
        <v>512</v>
      </c>
      <c r="O2957" s="1" t="s">
        <v>512</v>
      </c>
    </row>
    <row r="2958" spans="4:15" x14ac:dyDescent="0.25">
      <c r="D2958" s="1" t="s">
        <v>512</v>
      </c>
      <c r="E2958" s="21" t="s">
        <v>512</v>
      </c>
      <c r="F2958" s="1" t="s">
        <v>512</v>
      </c>
      <c r="G2958" s="1" t="s">
        <v>512</v>
      </c>
      <c r="H2958" s="1" t="s">
        <v>512</v>
      </c>
      <c r="I2958" s="1" t="s">
        <v>512</v>
      </c>
      <c r="J2958" s="1" t="s">
        <v>512</v>
      </c>
      <c r="K2958" s="1" t="s">
        <v>512</v>
      </c>
      <c r="L2958" s="1" t="s">
        <v>512</v>
      </c>
      <c r="M2958" s="1" t="s">
        <v>512</v>
      </c>
      <c r="N2958" s="1" t="s">
        <v>512</v>
      </c>
      <c r="O2958" s="1" t="s">
        <v>512</v>
      </c>
    </row>
    <row r="2959" spans="4:15" x14ac:dyDescent="0.25">
      <c r="D2959" s="1" t="s">
        <v>512</v>
      </c>
      <c r="E2959" s="21" t="s">
        <v>512</v>
      </c>
      <c r="F2959" s="1" t="s">
        <v>512</v>
      </c>
      <c r="G2959" s="1" t="s">
        <v>512</v>
      </c>
      <c r="H2959" s="1" t="s">
        <v>512</v>
      </c>
      <c r="I2959" s="1" t="s">
        <v>512</v>
      </c>
      <c r="J2959" s="1" t="s">
        <v>512</v>
      </c>
      <c r="K2959" s="1" t="s">
        <v>512</v>
      </c>
      <c r="L2959" s="1" t="s">
        <v>512</v>
      </c>
      <c r="M2959" s="1" t="s">
        <v>512</v>
      </c>
      <c r="N2959" s="1" t="s">
        <v>512</v>
      </c>
      <c r="O2959" s="1" t="s">
        <v>512</v>
      </c>
    </row>
    <row r="2960" spans="4:15" x14ac:dyDescent="0.25">
      <c r="D2960" s="1" t="s">
        <v>512</v>
      </c>
      <c r="E2960" s="21" t="s">
        <v>512</v>
      </c>
      <c r="F2960" s="1" t="s">
        <v>512</v>
      </c>
      <c r="G2960" s="1" t="s">
        <v>512</v>
      </c>
      <c r="H2960" s="1" t="s">
        <v>512</v>
      </c>
      <c r="I2960" s="1" t="s">
        <v>512</v>
      </c>
      <c r="J2960" s="1" t="s">
        <v>512</v>
      </c>
      <c r="K2960" s="1" t="s">
        <v>512</v>
      </c>
      <c r="L2960" s="1" t="s">
        <v>512</v>
      </c>
      <c r="M2960" s="1" t="s">
        <v>512</v>
      </c>
      <c r="N2960" s="1" t="s">
        <v>512</v>
      </c>
      <c r="O2960" s="1" t="s">
        <v>512</v>
      </c>
    </row>
    <row r="2961" spans="4:15" x14ac:dyDescent="0.25">
      <c r="D2961" s="1" t="s">
        <v>512</v>
      </c>
      <c r="E2961" s="21" t="s">
        <v>512</v>
      </c>
      <c r="F2961" s="1" t="s">
        <v>512</v>
      </c>
      <c r="G2961" s="1" t="s">
        <v>512</v>
      </c>
      <c r="H2961" s="1" t="s">
        <v>512</v>
      </c>
      <c r="I2961" s="1" t="s">
        <v>512</v>
      </c>
      <c r="J2961" s="1" t="s">
        <v>512</v>
      </c>
      <c r="K2961" s="1" t="s">
        <v>512</v>
      </c>
      <c r="L2961" s="1" t="s">
        <v>512</v>
      </c>
      <c r="M2961" s="1" t="s">
        <v>512</v>
      </c>
      <c r="N2961" s="1" t="s">
        <v>512</v>
      </c>
      <c r="O2961" s="1" t="s">
        <v>512</v>
      </c>
    </row>
    <row r="2962" spans="4:15" x14ac:dyDescent="0.25">
      <c r="D2962" s="1" t="s">
        <v>512</v>
      </c>
      <c r="E2962" s="21" t="s">
        <v>512</v>
      </c>
      <c r="F2962" s="1" t="s">
        <v>512</v>
      </c>
      <c r="G2962" s="1" t="s">
        <v>512</v>
      </c>
      <c r="H2962" s="1" t="s">
        <v>512</v>
      </c>
      <c r="I2962" s="1" t="s">
        <v>512</v>
      </c>
      <c r="J2962" s="1" t="s">
        <v>512</v>
      </c>
      <c r="K2962" s="1" t="s">
        <v>512</v>
      </c>
      <c r="L2962" s="1" t="s">
        <v>512</v>
      </c>
      <c r="M2962" s="1" t="s">
        <v>512</v>
      </c>
      <c r="N2962" s="1" t="s">
        <v>512</v>
      </c>
      <c r="O2962" s="1" t="s">
        <v>512</v>
      </c>
    </row>
    <row r="2963" spans="4:15" x14ac:dyDescent="0.25">
      <c r="D2963" s="1" t="s">
        <v>512</v>
      </c>
      <c r="E2963" s="21" t="s">
        <v>512</v>
      </c>
      <c r="F2963" s="1" t="s">
        <v>512</v>
      </c>
      <c r="G2963" s="1" t="s">
        <v>512</v>
      </c>
      <c r="H2963" s="1" t="s">
        <v>512</v>
      </c>
      <c r="I2963" s="1" t="s">
        <v>512</v>
      </c>
      <c r="J2963" s="1" t="s">
        <v>512</v>
      </c>
      <c r="K2963" s="1" t="s">
        <v>512</v>
      </c>
      <c r="L2963" s="1" t="s">
        <v>512</v>
      </c>
      <c r="M2963" s="1" t="s">
        <v>512</v>
      </c>
      <c r="N2963" s="1" t="s">
        <v>512</v>
      </c>
      <c r="O2963" s="1" t="s">
        <v>512</v>
      </c>
    </row>
    <row r="2964" spans="4:15" x14ac:dyDescent="0.25">
      <c r="D2964" s="1" t="s">
        <v>512</v>
      </c>
      <c r="E2964" s="21" t="s">
        <v>512</v>
      </c>
      <c r="F2964" s="1" t="s">
        <v>512</v>
      </c>
      <c r="G2964" s="1" t="s">
        <v>512</v>
      </c>
      <c r="H2964" s="1" t="s">
        <v>512</v>
      </c>
      <c r="I2964" s="1" t="s">
        <v>512</v>
      </c>
      <c r="J2964" s="1" t="s">
        <v>512</v>
      </c>
      <c r="K2964" s="1" t="s">
        <v>512</v>
      </c>
      <c r="L2964" s="1" t="s">
        <v>512</v>
      </c>
      <c r="M2964" s="1" t="s">
        <v>512</v>
      </c>
      <c r="N2964" s="1" t="s">
        <v>512</v>
      </c>
      <c r="O2964" s="1" t="s">
        <v>512</v>
      </c>
    </row>
    <row r="2965" spans="4:15" x14ac:dyDescent="0.25">
      <c r="D2965" s="1" t="s">
        <v>512</v>
      </c>
      <c r="E2965" s="21" t="s">
        <v>512</v>
      </c>
      <c r="F2965" s="1" t="s">
        <v>512</v>
      </c>
      <c r="G2965" s="1" t="s">
        <v>512</v>
      </c>
      <c r="H2965" s="1" t="s">
        <v>512</v>
      </c>
      <c r="I2965" s="1" t="s">
        <v>512</v>
      </c>
      <c r="J2965" s="1" t="s">
        <v>512</v>
      </c>
      <c r="K2965" s="1" t="s">
        <v>512</v>
      </c>
      <c r="L2965" s="1" t="s">
        <v>512</v>
      </c>
      <c r="M2965" s="1" t="s">
        <v>512</v>
      </c>
      <c r="N2965" s="1" t="s">
        <v>512</v>
      </c>
      <c r="O2965" s="1" t="s">
        <v>512</v>
      </c>
    </row>
    <row r="2966" spans="4:15" x14ac:dyDescent="0.25">
      <c r="D2966" s="1" t="s">
        <v>512</v>
      </c>
      <c r="E2966" s="21" t="s">
        <v>512</v>
      </c>
      <c r="F2966" s="1" t="s">
        <v>512</v>
      </c>
      <c r="G2966" s="1" t="s">
        <v>512</v>
      </c>
      <c r="H2966" s="1" t="s">
        <v>512</v>
      </c>
      <c r="I2966" s="1" t="s">
        <v>512</v>
      </c>
      <c r="J2966" s="1" t="s">
        <v>512</v>
      </c>
      <c r="K2966" s="1" t="s">
        <v>512</v>
      </c>
      <c r="L2966" s="1" t="s">
        <v>512</v>
      </c>
      <c r="M2966" s="1" t="s">
        <v>512</v>
      </c>
      <c r="N2966" s="1" t="s">
        <v>512</v>
      </c>
      <c r="O2966" s="1" t="s">
        <v>512</v>
      </c>
    </row>
    <row r="2967" spans="4:15" x14ac:dyDescent="0.25">
      <c r="D2967" s="1" t="s">
        <v>512</v>
      </c>
      <c r="E2967" s="21" t="s">
        <v>512</v>
      </c>
      <c r="F2967" s="1" t="s">
        <v>512</v>
      </c>
      <c r="G2967" s="1" t="s">
        <v>512</v>
      </c>
      <c r="H2967" s="1" t="s">
        <v>512</v>
      </c>
      <c r="I2967" s="1" t="s">
        <v>512</v>
      </c>
      <c r="J2967" s="1" t="s">
        <v>512</v>
      </c>
      <c r="K2967" s="1" t="s">
        <v>512</v>
      </c>
      <c r="L2967" s="1" t="s">
        <v>512</v>
      </c>
      <c r="M2967" s="1" t="s">
        <v>512</v>
      </c>
      <c r="N2967" s="1" t="s">
        <v>512</v>
      </c>
      <c r="O2967" s="1" t="s">
        <v>512</v>
      </c>
    </row>
    <row r="2968" spans="4:15" x14ac:dyDescent="0.25">
      <c r="D2968" s="1" t="s">
        <v>512</v>
      </c>
      <c r="E2968" s="21" t="s">
        <v>512</v>
      </c>
      <c r="F2968" s="1" t="s">
        <v>512</v>
      </c>
      <c r="G2968" s="1" t="s">
        <v>512</v>
      </c>
      <c r="H2968" s="1" t="s">
        <v>512</v>
      </c>
      <c r="I2968" s="1" t="s">
        <v>512</v>
      </c>
      <c r="J2968" s="1" t="s">
        <v>512</v>
      </c>
      <c r="K2968" s="1" t="s">
        <v>512</v>
      </c>
      <c r="L2968" s="1" t="s">
        <v>512</v>
      </c>
      <c r="M2968" s="1" t="s">
        <v>512</v>
      </c>
      <c r="N2968" s="1" t="s">
        <v>512</v>
      </c>
      <c r="O2968" s="1" t="s">
        <v>512</v>
      </c>
    </row>
    <row r="2969" spans="4:15" x14ac:dyDescent="0.25">
      <c r="D2969" s="1" t="s">
        <v>512</v>
      </c>
      <c r="E2969" s="21" t="s">
        <v>512</v>
      </c>
      <c r="F2969" s="1" t="s">
        <v>512</v>
      </c>
      <c r="G2969" s="1" t="s">
        <v>512</v>
      </c>
      <c r="H2969" s="1" t="s">
        <v>512</v>
      </c>
      <c r="I2969" s="1" t="s">
        <v>512</v>
      </c>
      <c r="J2969" s="1" t="s">
        <v>512</v>
      </c>
      <c r="K2969" s="1" t="s">
        <v>512</v>
      </c>
      <c r="L2969" s="1" t="s">
        <v>512</v>
      </c>
      <c r="M2969" s="1" t="s">
        <v>512</v>
      </c>
      <c r="N2969" s="1" t="s">
        <v>512</v>
      </c>
      <c r="O2969" s="1" t="s">
        <v>512</v>
      </c>
    </row>
    <row r="2970" spans="4:15" x14ac:dyDescent="0.25">
      <c r="D2970" s="1" t="s">
        <v>512</v>
      </c>
      <c r="E2970" s="21" t="s">
        <v>512</v>
      </c>
      <c r="F2970" s="1" t="s">
        <v>512</v>
      </c>
      <c r="G2970" s="1" t="s">
        <v>512</v>
      </c>
      <c r="H2970" s="1" t="s">
        <v>512</v>
      </c>
      <c r="I2970" s="1" t="s">
        <v>512</v>
      </c>
      <c r="J2970" s="1" t="s">
        <v>512</v>
      </c>
      <c r="K2970" s="1" t="s">
        <v>512</v>
      </c>
      <c r="L2970" s="1" t="s">
        <v>512</v>
      </c>
      <c r="M2970" s="1" t="s">
        <v>512</v>
      </c>
      <c r="N2970" s="1" t="s">
        <v>512</v>
      </c>
      <c r="O2970" s="1" t="s">
        <v>512</v>
      </c>
    </row>
    <row r="2971" spans="4:15" x14ac:dyDescent="0.25">
      <c r="D2971" s="1" t="s">
        <v>512</v>
      </c>
      <c r="E2971" s="21" t="s">
        <v>512</v>
      </c>
      <c r="F2971" s="1" t="s">
        <v>512</v>
      </c>
      <c r="G2971" s="1" t="s">
        <v>512</v>
      </c>
      <c r="H2971" s="1" t="s">
        <v>512</v>
      </c>
      <c r="I2971" s="1" t="s">
        <v>512</v>
      </c>
      <c r="J2971" s="1" t="s">
        <v>512</v>
      </c>
      <c r="K2971" s="1" t="s">
        <v>512</v>
      </c>
      <c r="L2971" s="1" t="s">
        <v>512</v>
      </c>
      <c r="M2971" s="1" t="s">
        <v>512</v>
      </c>
      <c r="N2971" s="1" t="s">
        <v>512</v>
      </c>
      <c r="O2971" s="1" t="s">
        <v>512</v>
      </c>
    </row>
    <row r="2972" spans="4:15" x14ac:dyDescent="0.25">
      <c r="D2972" s="1" t="s">
        <v>512</v>
      </c>
      <c r="E2972" s="21" t="s">
        <v>512</v>
      </c>
      <c r="F2972" s="1" t="s">
        <v>512</v>
      </c>
      <c r="G2972" s="1" t="s">
        <v>512</v>
      </c>
      <c r="H2972" s="1" t="s">
        <v>512</v>
      </c>
      <c r="I2972" s="1" t="s">
        <v>512</v>
      </c>
      <c r="J2972" s="1" t="s">
        <v>512</v>
      </c>
      <c r="K2972" s="1" t="s">
        <v>512</v>
      </c>
      <c r="L2972" s="1" t="s">
        <v>512</v>
      </c>
      <c r="M2972" s="1" t="s">
        <v>512</v>
      </c>
      <c r="N2972" s="1" t="s">
        <v>512</v>
      </c>
      <c r="O2972" s="1" t="s">
        <v>512</v>
      </c>
    </row>
    <row r="2973" spans="4:15" x14ac:dyDescent="0.25">
      <c r="D2973" s="1" t="s">
        <v>512</v>
      </c>
      <c r="E2973" s="21" t="s">
        <v>512</v>
      </c>
      <c r="F2973" s="1" t="s">
        <v>512</v>
      </c>
      <c r="G2973" s="1" t="s">
        <v>512</v>
      </c>
      <c r="H2973" s="1" t="s">
        <v>512</v>
      </c>
      <c r="I2973" s="1" t="s">
        <v>512</v>
      </c>
      <c r="J2973" s="1" t="s">
        <v>512</v>
      </c>
      <c r="K2973" s="1" t="s">
        <v>512</v>
      </c>
      <c r="L2973" s="1" t="s">
        <v>512</v>
      </c>
      <c r="M2973" s="1" t="s">
        <v>512</v>
      </c>
      <c r="N2973" s="1" t="s">
        <v>512</v>
      </c>
      <c r="O2973" s="1" t="s">
        <v>512</v>
      </c>
    </row>
    <row r="2974" spans="4:15" x14ac:dyDescent="0.25">
      <c r="D2974" s="1" t="s">
        <v>512</v>
      </c>
      <c r="E2974" s="21" t="s">
        <v>512</v>
      </c>
      <c r="F2974" s="1" t="s">
        <v>512</v>
      </c>
      <c r="G2974" s="1" t="s">
        <v>512</v>
      </c>
      <c r="H2974" s="1" t="s">
        <v>512</v>
      </c>
      <c r="I2974" s="1" t="s">
        <v>512</v>
      </c>
      <c r="J2974" s="1" t="s">
        <v>512</v>
      </c>
      <c r="K2974" s="1" t="s">
        <v>512</v>
      </c>
      <c r="L2974" s="1" t="s">
        <v>512</v>
      </c>
      <c r="M2974" s="1" t="s">
        <v>512</v>
      </c>
      <c r="N2974" s="1" t="s">
        <v>512</v>
      </c>
      <c r="O2974" s="1" t="s">
        <v>512</v>
      </c>
    </row>
    <row r="2975" spans="4:15" x14ac:dyDescent="0.25">
      <c r="D2975" s="1" t="s">
        <v>512</v>
      </c>
      <c r="E2975" s="21" t="s">
        <v>512</v>
      </c>
      <c r="F2975" s="1" t="s">
        <v>512</v>
      </c>
      <c r="G2975" s="1" t="s">
        <v>512</v>
      </c>
      <c r="H2975" s="1" t="s">
        <v>512</v>
      </c>
      <c r="I2975" s="1" t="s">
        <v>512</v>
      </c>
      <c r="J2975" s="1" t="s">
        <v>512</v>
      </c>
      <c r="K2975" s="1" t="s">
        <v>512</v>
      </c>
      <c r="L2975" s="1" t="s">
        <v>512</v>
      </c>
      <c r="M2975" s="1" t="s">
        <v>512</v>
      </c>
      <c r="N2975" s="1" t="s">
        <v>512</v>
      </c>
      <c r="O2975" s="1" t="s">
        <v>512</v>
      </c>
    </row>
    <row r="2976" spans="4:15" x14ac:dyDescent="0.25">
      <c r="D2976" s="1" t="s">
        <v>512</v>
      </c>
      <c r="E2976" s="21" t="s">
        <v>512</v>
      </c>
      <c r="F2976" s="1" t="s">
        <v>512</v>
      </c>
      <c r="G2976" s="1" t="s">
        <v>512</v>
      </c>
      <c r="H2976" s="1" t="s">
        <v>512</v>
      </c>
      <c r="I2976" s="1" t="s">
        <v>512</v>
      </c>
      <c r="J2976" s="1" t="s">
        <v>512</v>
      </c>
      <c r="K2976" s="1" t="s">
        <v>512</v>
      </c>
      <c r="L2976" s="1" t="s">
        <v>512</v>
      </c>
      <c r="M2976" s="1" t="s">
        <v>512</v>
      </c>
      <c r="N2976" s="1" t="s">
        <v>512</v>
      </c>
      <c r="O2976" s="1" t="s">
        <v>512</v>
      </c>
    </row>
    <row r="2977" spans="4:15" x14ac:dyDescent="0.25">
      <c r="D2977" s="1" t="s">
        <v>512</v>
      </c>
      <c r="E2977" s="21" t="s">
        <v>512</v>
      </c>
      <c r="F2977" s="1" t="s">
        <v>512</v>
      </c>
      <c r="G2977" s="1" t="s">
        <v>512</v>
      </c>
      <c r="H2977" s="1" t="s">
        <v>512</v>
      </c>
      <c r="I2977" s="1" t="s">
        <v>512</v>
      </c>
      <c r="J2977" s="1" t="s">
        <v>512</v>
      </c>
      <c r="K2977" s="1" t="s">
        <v>512</v>
      </c>
      <c r="L2977" s="1" t="s">
        <v>512</v>
      </c>
      <c r="M2977" s="1" t="s">
        <v>512</v>
      </c>
      <c r="N2977" s="1" t="s">
        <v>512</v>
      </c>
      <c r="O2977" s="1" t="s">
        <v>512</v>
      </c>
    </row>
    <row r="2978" spans="4:15" x14ac:dyDescent="0.25">
      <c r="D2978" s="1" t="s">
        <v>512</v>
      </c>
      <c r="E2978" s="21" t="s">
        <v>512</v>
      </c>
      <c r="F2978" s="1" t="s">
        <v>512</v>
      </c>
      <c r="G2978" s="1" t="s">
        <v>512</v>
      </c>
      <c r="H2978" s="1" t="s">
        <v>512</v>
      </c>
      <c r="I2978" s="1" t="s">
        <v>512</v>
      </c>
      <c r="J2978" s="1" t="s">
        <v>512</v>
      </c>
      <c r="K2978" s="1" t="s">
        <v>512</v>
      </c>
      <c r="L2978" s="1" t="s">
        <v>512</v>
      </c>
      <c r="M2978" s="1" t="s">
        <v>512</v>
      </c>
      <c r="N2978" s="1" t="s">
        <v>512</v>
      </c>
      <c r="O2978" s="1" t="s">
        <v>512</v>
      </c>
    </row>
    <row r="2979" spans="4:15" x14ac:dyDescent="0.25">
      <c r="D2979" s="1" t="s">
        <v>512</v>
      </c>
      <c r="E2979" s="21" t="s">
        <v>512</v>
      </c>
      <c r="F2979" s="1" t="s">
        <v>512</v>
      </c>
      <c r="G2979" s="1" t="s">
        <v>512</v>
      </c>
      <c r="H2979" s="1" t="s">
        <v>512</v>
      </c>
      <c r="I2979" s="1" t="s">
        <v>512</v>
      </c>
      <c r="J2979" s="1" t="s">
        <v>512</v>
      </c>
      <c r="K2979" s="1" t="s">
        <v>512</v>
      </c>
      <c r="L2979" s="1" t="s">
        <v>512</v>
      </c>
      <c r="M2979" s="1" t="s">
        <v>512</v>
      </c>
      <c r="N2979" s="1" t="s">
        <v>512</v>
      </c>
      <c r="O2979" s="1" t="s">
        <v>512</v>
      </c>
    </row>
    <row r="2980" spans="4:15" x14ac:dyDescent="0.25">
      <c r="D2980" s="1" t="s">
        <v>512</v>
      </c>
      <c r="E2980" s="21" t="s">
        <v>512</v>
      </c>
      <c r="F2980" s="1" t="s">
        <v>512</v>
      </c>
      <c r="G2980" s="1" t="s">
        <v>512</v>
      </c>
      <c r="H2980" s="1" t="s">
        <v>512</v>
      </c>
      <c r="I2980" s="1" t="s">
        <v>512</v>
      </c>
      <c r="J2980" s="1" t="s">
        <v>512</v>
      </c>
      <c r="K2980" s="1" t="s">
        <v>512</v>
      </c>
      <c r="L2980" s="1" t="s">
        <v>512</v>
      </c>
      <c r="M2980" s="1" t="s">
        <v>512</v>
      </c>
      <c r="N2980" s="1" t="s">
        <v>512</v>
      </c>
      <c r="O2980" s="1" t="s">
        <v>512</v>
      </c>
    </row>
    <row r="2981" spans="4:15" x14ac:dyDescent="0.25">
      <c r="D2981" s="1" t="s">
        <v>512</v>
      </c>
      <c r="E2981" s="21" t="s">
        <v>512</v>
      </c>
      <c r="F2981" s="1" t="s">
        <v>512</v>
      </c>
      <c r="G2981" s="1" t="s">
        <v>512</v>
      </c>
      <c r="H2981" s="1" t="s">
        <v>512</v>
      </c>
      <c r="I2981" s="1" t="s">
        <v>512</v>
      </c>
      <c r="J2981" s="1" t="s">
        <v>512</v>
      </c>
      <c r="K2981" s="1" t="s">
        <v>512</v>
      </c>
      <c r="L2981" s="1" t="s">
        <v>512</v>
      </c>
      <c r="M2981" s="1" t="s">
        <v>512</v>
      </c>
      <c r="N2981" s="1" t="s">
        <v>512</v>
      </c>
      <c r="O2981" s="1" t="s">
        <v>512</v>
      </c>
    </row>
    <row r="2982" spans="4:15" x14ac:dyDescent="0.25">
      <c r="D2982" s="1" t="s">
        <v>512</v>
      </c>
      <c r="E2982" s="21" t="s">
        <v>512</v>
      </c>
      <c r="F2982" s="1" t="s">
        <v>512</v>
      </c>
      <c r="G2982" s="1" t="s">
        <v>512</v>
      </c>
      <c r="H2982" s="1" t="s">
        <v>512</v>
      </c>
      <c r="I2982" s="1" t="s">
        <v>512</v>
      </c>
      <c r="J2982" s="1" t="s">
        <v>512</v>
      </c>
      <c r="K2982" s="1" t="s">
        <v>512</v>
      </c>
      <c r="L2982" s="1" t="s">
        <v>512</v>
      </c>
      <c r="M2982" s="1" t="s">
        <v>512</v>
      </c>
      <c r="N2982" s="1" t="s">
        <v>512</v>
      </c>
      <c r="O2982" s="1" t="s">
        <v>512</v>
      </c>
    </row>
    <row r="2983" spans="4:15" x14ac:dyDescent="0.25">
      <c r="D2983" s="1" t="s">
        <v>512</v>
      </c>
      <c r="E2983" s="21" t="s">
        <v>512</v>
      </c>
      <c r="F2983" s="1" t="s">
        <v>512</v>
      </c>
      <c r="G2983" s="1" t="s">
        <v>512</v>
      </c>
      <c r="H2983" s="1" t="s">
        <v>512</v>
      </c>
      <c r="I2983" s="1" t="s">
        <v>512</v>
      </c>
      <c r="J2983" s="1" t="s">
        <v>512</v>
      </c>
      <c r="K2983" s="1" t="s">
        <v>512</v>
      </c>
      <c r="L2983" s="1" t="s">
        <v>512</v>
      </c>
      <c r="M2983" s="1" t="s">
        <v>512</v>
      </c>
      <c r="N2983" s="1" t="s">
        <v>512</v>
      </c>
      <c r="O2983" s="1" t="s">
        <v>512</v>
      </c>
    </row>
    <row r="2984" spans="4:15" x14ac:dyDescent="0.25">
      <c r="D2984" s="1" t="s">
        <v>512</v>
      </c>
      <c r="E2984" s="21" t="s">
        <v>512</v>
      </c>
      <c r="F2984" s="1" t="s">
        <v>512</v>
      </c>
      <c r="G2984" s="1" t="s">
        <v>512</v>
      </c>
      <c r="H2984" s="1" t="s">
        <v>512</v>
      </c>
      <c r="I2984" s="1" t="s">
        <v>512</v>
      </c>
      <c r="J2984" s="1" t="s">
        <v>512</v>
      </c>
      <c r="K2984" s="1" t="s">
        <v>512</v>
      </c>
      <c r="L2984" s="1" t="s">
        <v>512</v>
      </c>
      <c r="M2984" s="1" t="s">
        <v>512</v>
      </c>
      <c r="N2984" s="1" t="s">
        <v>512</v>
      </c>
      <c r="O2984" s="1" t="s">
        <v>512</v>
      </c>
    </row>
    <row r="2985" spans="4:15" x14ac:dyDescent="0.25">
      <c r="D2985" s="1" t="s">
        <v>512</v>
      </c>
      <c r="E2985" s="21" t="s">
        <v>512</v>
      </c>
      <c r="F2985" s="1" t="s">
        <v>512</v>
      </c>
      <c r="G2985" s="1" t="s">
        <v>512</v>
      </c>
      <c r="H2985" s="1" t="s">
        <v>512</v>
      </c>
      <c r="I2985" s="1" t="s">
        <v>512</v>
      </c>
      <c r="J2985" s="1" t="s">
        <v>512</v>
      </c>
      <c r="K2985" s="1" t="s">
        <v>512</v>
      </c>
      <c r="L2985" s="1" t="s">
        <v>512</v>
      </c>
      <c r="M2985" s="1" t="s">
        <v>512</v>
      </c>
      <c r="N2985" s="1" t="s">
        <v>512</v>
      </c>
      <c r="O2985" s="1" t="s">
        <v>512</v>
      </c>
    </row>
    <row r="2986" spans="4:15" x14ac:dyDescent="0.25">
      <c r="D2986" s="1" t="s">
        <v>512</v>
      </c>
      <c r="E2986" s="21" t="s">
        <v>512</v>
      </c>
      <c r="F2986" s="1" t="s">
        <v>512</v>
      </c>
      <c r="G2986" s="1" t="s">
        <v>512</v>
      </c>
      <c r="H2986" s="1" t="s">
        <v>512</v>
      </c>
      <c r="I2986" s="1" t="s">
        <v>512</v>
      </c>
      <c r="J2986" s="1" t="s">
        <v>512</v>
      </c>
      <c r="K2986" s="1" t="s">
        <v>512</v>
      </c>
      <c r="L2986" s="1" t="s">
        <v>512</v>
      </c>
      <c r="M2986" s="1" t="s">
        <v>512</v>
      </c>
      <c r="N2986" s="1" t="s">
        <v>512</v>
      </c>
      <c r="O2986" s="1" t="s">
        <v>512</v>
      </c>
    </row>
    <row r="2987" spans="4:15" x14ac:dyDescent="0.25">
      <c r="D2987" s="1" t="s">
        <v>512</v>
      </c>
      <c r="E2987" s="21" t="s">
        <v>512</v>
      </c>
      <c r="F2987" s="1" t="s">
        <v>512</v>
      </c>
      <c r="G2987" s="1" t="s">
        <v>512</v>
      </c>
      <c r="H2987" s="1" t="s">
        <v>512</v>
      </c>
      <c r="I2987" s="1" t="s">
        <v>512</v>
      </c>
      <c r="J2987" s="1" t="s">
        <v>512</v>
      </c>
      <c r="K2987" s="1" t="s">
        <v>512</v>
      </c>
      <c r="L2987" s="1" t="s">
        <v>512</v>
      </c>
      <c r="M2987" s="1" t="s">
        <v>512</v>
      </c>
      <c r="N2987" s="1" t="s">
        <v>512</v>
      </c>
      <c r="O2987" s="1" t="s">
        <v>512</v>
      </c>
    </row>
    <row r="2988" spans="4:15" x14ac:dyDescent="0.25">
      <c r="D2988" s="1" t="s">
        <v>512</v>
      </c>
      <c r="E2988" s="21" t="s">
        <v>512</v>
      </c>
      <c r="F2988" s="1" t="s">
        <v>512</v>
      </c>
      <c r="G2988" s="1" t="s">
        <v>512</v>
      </c>
      <c r="H2988" s="1" t="s">
        <v>512</v>
      </c>
      <c r="I2988" s="1" t="s">
        <v>512</v>
      </c>
      <c r="J2988" s="1" t="s">
        <v>512</v>
      </c>
      <c r="K2988" s="1" t="s">
        <v>512</v>
      </c>
      <c r="L2988" s="1" t="s">
        <v>512</v>
      </c>
      <c r="M2988" s="1" t="s">
        <v>512</v>
      </c>
      <c r="N2988" s="1" t="s">
        <v>512</v>
      </c>
      <c r="O2988" s="1" t="s">
        <v>512</v>
      </c>
    </row>
    <row r="2989" spans="4:15" x14ac:dyDescent="0.25">
      <c r="D2989" s="1" t="s">
        <v>512</v>
      </c>
      <c r="E2989" s="21" t="s">
        <v>512</v>
      </c>
      <c r="F2989" s="1" t="s">
        <v>512</v>
      </c>
      <c r="G2989" s="1" t="s">
        <v>512</v>
      </c>
      <c r="H2989" s="1" t="s">
        <v>512</v>
      </c>
      <c r="I2989" s="1" t="s">
        <v>512</v>
      </c>
      <c r="J2989" s="1" t="s">
        <v>512</v>
      </c>
      <c r="K2989" s="1" t="s">
        <v>512</v>
      </c>
      <c r="L2989" s="1" t="s">
        <v>512</v>
      </c>
      <c r="M2989" s="1" t="s">
        <v>512</v>
      </c>
      <c r="N2989" s="1" t="s">
        <v>512</v>
      </c>
      <c r="O2989" s="1" t="s">
        <v>512</v>
      </c>
    </row>
    <row r="2990" spans="4:15" x14ac:dyDescent="0.25">
      <c r="D2990" s="1" t="s">
        <v>512</v>
      </c>
      <c r="E2990" s="21" t="s">
        <v>512</v>
      </c>
      <c r="F2990" s="1" t="s">
        <v>512</v>
      </c>
      <c r="G2990" s="1" t="s">
        <v>512</v>
      </c>
      <c r="H2990" s="1" t="s">
        <v>512</v>
      </c>
      <c r="I2990" s="1" t="s">
        <v>512</v>
      </c>
      <c r="J2990" s="1" t="s">
        <v>512</v>
      </c>
      <c r="K2990" s="1" t="s">
        <v>512</v>
      </c>
      <c r="L2990" s="1" t="s">
        <v>512</v>
      </c>
      <c r="M2990" s="1" t="s">
        <v>512</v>
      </c>
      <c r="N2990" s="1" t="s">
        <v>512</v>
      </c>
      <c r="O2990" s="1" t="s">
        <v>512</v>
      </c>
    </row>
    <row r="2991" spans="4:15" x14ac:dyDescent="0.25">
      <c r="D2991" s="1" t="s">
        <v>512</v>
      </c>
      <c r="E2991" s="21" t="s">
        <v>512</v>
      </c>
      <c r="F2991" s="1" t="s">
        <v>512</v>
      </c>
      <c r="G2991" s="1" t="s">
        <v>512</v>
      </c>
      <c r="H2991" s="1" t="s">
        <v>512</v>
      </c>
      <c r="I2991" s="1" t="s">
        <v>512</v>
      </c>
      <c r="J2991" s="1" t="s">
        <v>512</v>
      </c>
      <c r="K2991" s="1" t="s">
        <v>512</v>
      </c>
      <c r="L2991" s="1" t="s">
        <v>512</v>
      </c>
      <c r="M2991" s="1" t="s">
        <v>512</v>
      </c>
      <c r="N2991" s="1" t="s">
        <v>512</v>
      </c>
      <c r="O2991" s="1" t="s">
        <v>512</v>
      </c>
    </row>
    <row r="2992" spans="4:15" x14ac:dyDescent="0.25">
      <c r="D2992" s="1" t="s">
        <v>512</v>
      </c>
      <c r="E2992" s="21" t="s">
        <v>512</v>
      </c>
      <c r="F2992" s="1" t="s">
        <v>512</v>
      </c>
      <c r="G2992" s="1" t="s">
        <v>512</v>
      </c>
      <c r="H2992" s="1" t="s">
        <v>512</v>
      </c>
      <c r="I2992" s="1" t="s">
        <v>512</v>
      </c>
      <c r="J2992" s="1" t="s">
        <v>512</v>
      </c>
      <c r="K2992" s="1" t="s">
        <v>512</v>
      </c>
      <c r="L2992" s="1" t="s">
        <v>512</v>
      </c>
      <c r="M2992" s="1" t="s">
        <v>512</v>
      </c>
      <c r="N2992" s="1" t="s">
        <v>512</v>
      </c>
      <c r="O2992" s="1" t="s">
        <v>512</v>
      </c>
    </row>
    <row r="2993" spans="4:15" x14ac:dyDescent="0.25">
      <c r="D2993" s="1" t="s">
        <v>512</v>
      </c>
      <c r="E2993" s="21" t="s">
        <v>512</v>
      </c>
      <c r="F2993" s="1" t="s">
        <v>512</v>
      </c>
      <c r="G2993" s="1" t="s">
        <v>512</v>
      </c>
      <c r="H2993" s="1" t="s">
        <v>512</v>
      </c>
      <c r="I2993" s="1" t="s">
        <v>512</v>
      </c>
      <c r="J2993" s="1" t="s">
        <v>512</v>
      </c>
      <c r="K2993" s="1" t="s">
        <v>512</v>
      </c>
      <c r="L2993" s="1" t="s">
        <v>512</v>
      </c>
      <c r="M2993" s="1" t="s">
        <v>512</v>
      </c>
      <c r="N2993" s="1" t="s">
        <v>512</v>
      </c>
      <c r="O2993" s="1" t="s">
        <v>512</v>
      </c>
    </row>
    <row r="2994" spans="4:15" x14ac:dyDescent="0.25">
      <c r="D2994" s="1" t="s">
        <v>512</v>
      </c>
      <c r="E2994" s="21" t="s">
        <v>512</v>
      </c>
      <c r="F2994" s="1" t="s">
        <v>512</v>
      </c>
      <c r="G2994" s="1" t="s">
        <v>512</v>
      </c>
      <c r="H2994" s="1" t="s">
        <v>512</v>
      </c>
      <c r="I2994" s="1" t="s">
        <v>512</v>
      </c>
      <c r="J2994" s="1" t="s">
        <v>512</v>
      </c>
      <c r="K2994" s="1" t="s">
        <v>512</v>
      </c>
      <c r="L2994" s="1" t="s">
        <v>512</v>
      </c>
      <c r="M2994" s="1" t="s">
        <v>512</v>
      </c>
      <c r="N2994" s="1" t="s">
        <v>512</v>
      </c>
      <c r="O2994" s="1" t="s">
        <v>512</v>
      </c>
    </row>
    <row r="2995" spans="4:15" x14ac:dyDescent="0.25">
      <c r="D2995" s="1" t="s">
        <v>512</v>
      </c>
      <c r="E2995" s="21" t="s">
        <v>512</v>
      </c>
      <c r="F2995" s="1" t="s">
        <v>512</v>
      </c>
      <c r="G2995" s="1" t="s">
        <v>512</v>
      </c>
      <c r="H2995" s="1" t="s">
        <v>512</v>
      </c>
      <c r="I2995" s="1" t="s">
        <v>512</v>
      </c>
      <c r="J2995" s="1" t="s">
        <v>512</v>
      </c>
      <c r="K2995" s="1" t="s">
        <v>512</v>
      </c>
      <c r="L2995" s="1" t="s">
        <v>512</v>
      </c>
      <c r="M2995" s="1" t="s">
        <v>512</v>
      </c>
      <c r="N2995" s="1" t="s">
        <v>512</v>
      </c>
      <c r="O2995" s="1" t="s">
        <v>512</v>
      </c>
    </row>
    <row r="2996" spans="4:15" x14ac:dyDescent="0.25">
      <c r="D2996" s="1" t="s">
        <v>512</v>
      </c>
      <c r="E2996" s="21" t="s">
        <v>512</v>
      </c>
      <c r="F2996" s="1" t="s">
        <v>512</v>
      </c>
      <c r="G2996" s="1" t="s">
        <v>512</v>
      </c>
      <c r="H2996" s="1" t="s">
        <v>512</v>
      </c>
      <c r="I2996" s="1" t="s">
        <v>512</v>
      </c>
      <c r="J2996" s="1" t="s">
        <v>512</v>
      </c>
      <c r="K2996" s="1" t="s">
        <v>512</v>
      </c>
      <c r="L2996" s="1" t="s">
        <v>512</v>
      </c>
      <c r="M2996" s="1" t="s">
        <v>512</v>
      </c>
      <c r="N2996" s="1" t="s">
        <v>512</v>
      </c>
      <c r="O2996" s="1" t="s">
        <v>512</v>
      </c>
    </row>
    <row r="2997" spans="4:15" x14ac:dyDescent="0.25">
      <c r="D2997" s="1" t="s">
        <v>512</v>
      </c>
      <c r="E2997" s="21" t="s">
        <v>512</v>
      </c>
      <c r="F2997" s="1" t="s">
        <v>512</v>
      </c>
      <c r="G2997" s="1" t="s">
        <v>512</v>
      </c>
      <c r="H2997" s="1" t="s">
        <v>512</v>
      </c>
      <c r="I2997" s="1" t="s">
        <v>512</v>
      </c>
      <c r="J2997" s="1" t="s">
        <v>512</v>
      </c>
      <c r="K2997" s="1" t="s">
        <v>512</v>
      </c>
      <c r="L2997" s="1" t="s">
        <v>512</v>
      </c>
      <c r="M2997" s="1" t="s">
        <v>512</v>
      </c>
      <c r="N2997" s="1" t="s">
        <v>512</v>
      </c>
      <c r="O2997" s="1" t="s">
        <v>512</v>
      </c>
    </row>
    <row r="2998" spans="4:15" x14ac:dyDescent="0.25">
      <c r="D2998" s="1" t="s">
        <v>512</v>
      </c>
      <c r="E2998" s="21" t="s">
        <v>512</v>
      </c>
      <c r="F2998" s="1" t="s">
        <v>512</v>
      </c>
      <c r="G2998" s="1" t="s">
        <v>512</v>
      </c>
      <c r="H2998" s="1" t="s">
        <v>512</v>
      </c>
      <c r="I2998" s="1" t="s">
        <v>512</v>
      </c>
      <c r="J2998" s="1" t="s">
        <v>512</v>
      </c>
      <c r="K2998" s="1" t="s">
        <v>512</v>
      </c>
      <c r="L2998" s="1" t="s">
        <v>512</v>
      </c>
      <c r="M2998" s="1" t="s">
        <v>512</v>
      </c>
      <c r="N2998" s="1" t="s">
        <v>512</v>
      </c>
      <c r="O2998" s="1" t="s">
        <v>512</v>
      </c>
    </row>
    <row r="2999" spans="4:15" x14ac:dyDescent="0.25">
      <c r="D2999" s="1" t="s">
        <v>512</v>
      </c>
      <c r="E2999" s="21" t="s">
        <v>512</v>
      </c>
      <c r="F2999" s="1" t="s">
        <v>512</v>
      </c>
      <c r="G2999" s="1" t="s">
        <v>512</v>
      </c>
      <c r="H2999" s="1" t="s">
        <v>512</v>
      </c>
      <c r="I2999" s="1" t="s">
        <v>512</v>
      </c>
      <c r="J2999" s="1" t="s">
        <v>512</v>
      </c>
      <c r="K2999" s="1" t="s">
        <v>512</v>
      </c>
      <c r="L2999" s="1" t="s">
        <v>512</v>
      </c>
      <c r="M2999" s="1" t="s">
        <v>512</v>
      </c>
      <c r="N2999" s="1" t="s">
        <v>512</v>
      </c>
      <c r="O2999" s="1" t="s">
        <v>512</v>
      </c>
    </row>
    <row r="3000" spans="4:15" x14ac:dyDescent="0.25">
      <c r="D3000" s="1" t="s">
        <v>512</v>
      </c>
      <c r="E3000" s="21" t="s">
        <v>512</v>
      </c>
      <c r="F3000" s="1" t="s">
        <v>512</v>
      </c>
      <c r="G3000" s="1" t="s">
        <v>512</v>
      </c>
      <c r="H3000" s="1" t="s">
        <v>512</v>
      </c>
      <c r="I3000" s="1" t="s">
        <v>512</v>
      </c>
      <c r="J3000" s="1" t="s">
        <v>512</v>
      </c>
      <c r="K3000" s="1" t="s">
        <v>512</v>
      </c>
      <c r="L3000" s="1" t="s">
        <v>512</v>
      </c>
      <c r="M3000" s="1" t="s">
        <v>512</v>
      </c>
      <c r="N3000" s="1" t="s">
        <v>512</v>
      </c>
      <c r="O3000" s="1" t="s">
        <v>512</v>
      </c>
    </row>
    <row r="3001" spans="4:15" x14ac:dyDescent="0.25">
      <c r="D3001" s="1" t="s">
        <v>512</v>
      </c>
      <c r="E3001" s="21" t="s">
        <v>512</v>
      </c>
      <c r="F3001" s="1" t="s">
        <v>512</v>
      </c>
      <c r="G3001" s="1" t="s">
        <v>512</v>
      </c>
      <c r="H3001" s="1" t="s">
        <v>512</v>
      </c>
      <c r="I3001" s="1" t="s">
        <v>512</v>
      </c>
      <c r="J3001" s="1" t="s">
        <v>512</v>
      </c>
      <c r="K3001" s="1" t="s">
        <v>512</v>
      </c>
      <c r="L3001" s="1" t="s">
        <v>512</v>
      </c>
      <c r="M3001" s="1" t="s">
        <v>512</v>
      </c>
      <c r="N3001" s="1" t="s">
        <v>512</v>
      </c>
      <c r="O3001" s="1" t="s">
        <v>512</v>
      </c>
    </row>
    <row r="3002" spans="4:15" x14ac:dyDescent="0.25">
      <c r="D3002" s="1" t="s">
        <v>512</v>
      </c>
      <c r="E3002" s="21" t="s">
        <v>512</v>
      </c>
      <c r="F3002" s="1" t="s">
        <v>512</v>
      </c>
      <c r="G3002" s="1" t="s">
        <v>512</v>
      </c>
      <c r="H3002" s="1" t="s">
        <v>512</v>
      </c>
      <c r="I3002" s="1" t="s">
        <v>512</v>
      </c>
      <c r="J3002" s="1" t="s">
        <v>512</v>
      </c>
      <c r="K3002" s="1" t="s">
        <v>512</v>
      </c>
      <c r="L3002" s="1" t="s">
        <v>512</v>
      </c>
      <c r="M3002" s="1" t="s">
        <v>512</v>
      </c>
      <c r="N3002" s="1" t="s">
        <v>512</v>
      </c>
      <c r="O3002" s="1" t="s">
        <v>512</v>
      </c>
    </row>
    <row r="3003" spans="4:15" x14ac:dyDescent="0.25">
      <c r="D3003" s="1" t="s">
        <v>512</v>
      </c>
      <c r="E3003" s="21" t="s">
        <v>512</v>
      </c>
      <c r="F3003" s="1" t="s">
        <v>512</v>
      </c>
      <c r="G3003" s="1" t="s">
        <v>512</v>
      </c>
      <c r="H3003" s="1" t="s">
        <v>512</v>
      </c>
      <c r="I3003" s="1" t="s">
        <v>512</v>
      </c>
      <c r="J3003" s="1" t="s">
        <v>512</v>
      </c>
      <c r="K3003" s="1" t="s">
        <v>512</v>
      </c>
      <c r="L3003" s="1" t="s">
        <v>512</v>
      </c>
      <c r="M3003" s="1" t="s">
        <v>512</v>
      </c>
      <c r="N3003" s="1" t="s">
        <v>512</v>
      </c>
      <c r="O3003" s="1" t="s">
        <v>512</v>
      </c>
    </row>
    <row r="3004" spans="4:15" x14ac:dyDescent="0.25">
      <c r="D3004" s="1" t="s">
        <v>512</v>
      </c>
      <c r="E3004" s="21" t="s">
        <v>512</v>
      </c>
      <c r="F3004" s="1" t="s">
        <v>512</v>
      </c>
      <c r="G3004" s="1" t="s">
        <v>512</v>
      </c>
      <c r="H3004" s="1" t="s">
        <v>512</v>
      </c>
      <c r="I3004" s="1" t="s">
        <v>512</v>
      </c>
      <c r="J3004" s="1" t="s">
        <v>512</v>
      </c>
      <c r="K3004" s="1" t="s">
        <v>512</v>
      </c>
      <c r="L3004" s="1" t="s">
        <v>512</v>
      </c>
      <c r="M3004" s="1" t="s">
        <v>512</v>
      </c>
      <c r="N3004" s="1" t="s">
        <v>512</v>
      </c>
      <c r="O3004" s="1" t="s">
        <v>512</v>
      </c>
    </row>
    <row r="3005" spans="4:15" x14ac:dyDescent="0.25">
      <c r="D3005" s="1" t="s">
        <v>512</v>
      </c>
      <c r="E3005" s="21" t="s">
        <v>512</v>
      </c>
      <c r="F3005" s="1" t="s">
        <v>512</v>
      </c>
      <c r="G3005" s="1" t="s">
        <v>512</v>
      </c>
      <c r="H3005" s="1" t="s">
        <v>512</v>
      </c>
      <c r="I3005" s="1" t="s">
        <v>512</v>
      </c>
      <c r="J3005" s="1" t="s">
        <v>512</v>
      </c>
      <c r="K3005" s="1" t="s">
        <v>512</v>
      </c>
      <c r="L3005" s="1" t="s">
        <v>512</v>
      </c>
      <c r="M3005" s="1" t="s">
        <v>512</v>
      </c>
      <c r="N3005" s="1" t="s">
        <v>512</v>
      </c>
      <c r="O3005" s="1" t="s">
        <v>512</v>
      </c>
    </row>
    <row r="3006" spans="4:15" x14ac:dyDescent="0.25">
      <c r="D3006" s="1" t="s">
        <v>512</v>
      </c>
      <c r="E3006" s="21" t="s">
        <v>512</v>
      </c>
      <c r="F3006" s="1" t="s">
        <v>512</v>
      </c>
      <c r="G3006" s="1" t="s">
        <v>512</v>
      </c>
      <c r="H3006" s="1" t="s">
        <v>512</v>
      </c>
      <c r="I3006" s="1" t="s">
        <v>512</v>
      </c>
      <c r="J3006" s="1" t="s">
        <v>512</v>
      </c>
      <c r="K3006" s="1" t="s">
        <v>512</v>
      </c>
      <c r="L3006" s="1" t="s">
        <v>512</v>
      </c>
      <c r="M3006" s="1" t="s">
        <v>512</v>
      </c>
      <c r="N3006" s="1" t="s">
        <v>512</v>
      </c>
      <c r="O3006" s="1" t="s">
        <v>512</v>
      </c>
    </row>
    <row r="3007" spans="4:15" x14ac:dyDescent="0.25">
      <c r="D3007" s="1" t="s">
        <v>512</v>
      </c>
      <c r="E3007" s="21" t="s">
        <v>512</v>
      </c>
      <c r="F3007" s="1" t="s">
        <v>512</v>
      </c>
      <c r="G3007" s="1" t="s">
        <v>512</v>
      </c>
      <c r="H3007" s="1" t="s">
        <v>512</v>
      </c>
      <c r="I3007" s="1" t="s">
        <v>512</v>
      </c>
      <c r="J3007" s="1" t="s">
        <v>512</v>
      </c>
      <c r="K3007" s="1" t="s">
        <v>512</v>
      </c>
      <c r="L3007" s="1" t="s">
        <v>512</v>
      </c>
      <c r="M3007" s="1" t="s">
        <v>512</v>
      </c>
      <c r="N3007" s="1" t="s">
        <v>512</v>
      </c>
      <c r="O3007" s="1" t="s">
        <v>512</v>
      </c>
    </row>
    <row r="3008" spans="4:15" x14ac:dyDescent="0.25">
      <c r="D3008" s="1" t="s">
        <v>512</v>
      </c>
      <c r="E3008" s="21" t="s">
        <v>512</v>
      </c>
      <c r="F3008" s="1" t="s">
        <v>512</v>
      </c>
      <c r="G3008" s="1" t="s">
        <v>512</v>
      </c>
      <c r="H3008" s="1" t="s">
        <v>512</v>
      </c>
      <c r="I3008" s="1" t="s">
        <v>512</v>
      </c>
      <c r="J3008" s="1" t="s">
        <v>512</v>
      </c>
      <c r="K3008" s="1" t="s">
        <v>512</v>
      </c>
      <c r="L3008" s="1" t="s">
        <v>512</v>
      </c>
      <c r="M3008" s="1" t="s">
        <v>512</v>
      </c>
      <c r="N3008" s="1" t="s">
        <v>512</v>
      </c>
      <c r="O3008" s="1" t="s">
        <v>512</v>
      </c>
    </row>
    <row r="3009" spans="4:15" x14ac:dyDescent="0.25">
      <c r="D3009" s="1" t="s">
        <v>512</v>
      </c>
      <c r="E3009" s="21" t="s">
        <v>512</v>
      </c>
      <c r="F3009" s="1" t="s">
        <v>512</v>
      </c>
      <c r="G3009" s="1" t="s">
        <v>512</v>
      </c>
      <c r="H3009" s="1" t="s">
        <v>512</v>
      </c>
      <c r="I3009" s="1" t="s">
        <v>512</v>
      </c>
      <c r="J3009" s="1" t="s">
        <v>512</v>
      </c>
      <c r="K3009" s="1" t="s">
        <v>512</v>
      </c>
      <c r="L3009" s="1" t="s">
        <v>512</v>
      </c>
      <c r="M3009" s="1" t="s">
        <v>512</v>
      </c>
      <c r="N3009" s="1" t="s">
        <v>512</v>
      </c>
      <c r="O3009" s="1" t="s">
        <v>512</v>
      </c>
    </row>
    <row r="3010" spans="4:15" x14ac:dyDescent="0.25">
      <c r="D3010" s="1" t="s">
        <v>512</v>
      </c>
      <c r="E3010" s="21" t="s">
        <v>512</v>
      </c>
      <c r="F3010" s="1" t="s">
        <v>512</v>
      </c>
      <c r="G3010" s="1" t="s">
        <v>512</v>
      </c>
      <c r="H3010" s="1" t="s">
        <v>512</v>
      </c>
      <c r="I3010" s="1" t="s">
        <v>512</v>
      </c>
      <c r="J3010" s="1" t="s">
        <v>512</v>
      </c>
      <c r="K3010" s="1" t="s">
        <v>512</v>
      </c>
      <c r="L3010" s="1" t="s">
        <v>512</v>
      </c>
      <c r="M3010" s="1" t="s">
        <v>512</v>
      </c>
      <c r="N3010" s="1" t="s">
        <v>512</v>
      </c>
      <c r="O3010" s="1" t="s">
        <v>512</v>
      </c>
    </row>
    <row r="3011" spans="4:15" x14ac:dyDescent="0.25">
      <c r="D3011" s="1" t="s">
        <v>512</v>
      </c>
      <c r="E3011" s="21" t="s">
        <v>512</v>
      </c>
      <c r="F3011" s="1" t="s">
        <v>512</v>
      </c>
      <c r="G3011" s="1" t="s">
        <v>512</v>
      </c>
      <c r="H3011" s="1" t="s">
        <v>512</v>
      </c>
      <c r="I3011" s="1" t="s">
        <v>512</v>
      </c>
      <c r="J3011" s="1" t="s">
        <v>512</v>
      </c>
      <c r="K3011" s="1" t="s">
        <v>512</v>
      </c>
      <c r="L3011" s="1" t="s">
        <v>512</v>
      </c>
      <c r="M3011" s="1" t="s">
        <v>512</v>
      </c>
      <c r="N3011" s="1" t="s">
        <v>512</v>
      </c>
      <c r="O3011" s="1" t="s">
        <v>512</v>
      </c>
    </row>
    <row r="3012" spans="4:15" x14ac:dyDescent="0.25">
      <c r="D3012" s="1" t="s">
        <v>512</v>
      </c>
      <c r="E3012" s="21" t="s">
        <v>512</v>
      </c>
      <c r="F3012" s="1" t="s">
        <v>512</v>
      </c>
      <c r="G3012" s="1" t="s">
        <v>512</v>
      </c>
      <c r="H3012" s="1" t="s">
        <v>512</v>
      </c>
      <c r="I3012" s="1" t="s">
        <v>512</v>
      </c>
      <c r="J3012" s="1" t="s">
        <v>512</v>
      </c>
      <c r="K3012" s="1" t="s">
        <v>512</v>
      </c>
      <c r="L3012" s="1" t="s">
        <v>512</v>
      </c>
      <c r="M3012" s="1" t="s">
        <v>512</v>
      </c>
      <c r="N3012" s="1" t="s">
        <v>512</v>
      </c>
      <c r="O3012" s="1" t="s">
        <v>512</v>
      </c>
    </row>
    <row r="3013" spans="4:15" x14ac:dyDescent="0.25">
      <c r="D3013" s="1" t="s">
        <v>512</v>
      </c>
      <c r="E3013" s="21" t="s">
        <v>512</v>
      </c>
      <c r="F3013" s="1" t="s">
        <v>512</v>
      </c>
      <c r="G3013" s="1" t="s">
        <v>512</v>
      </c>
      <c r="H3013" s="1" t="s">
        <v>512</v>
      </c>
      <c r="I3013" s="1" t="s">
        <v>512</v>
      </c>
      <c r="J3013" s="1" t="s">
        <v>512</v>
      </c>
      <c r="K3013" s="1" t="s">
        <v>512</v>
      </c>
      <c r="L3013" s="1" t="s">
        <v>512</v>
      </c>
      <c r="M3013" s="1" t="s">
        <v>512</v>
      </c>
      <c r="N3013" s="1" t="s">
        <v>512</v>
      </c>
      <c r="O3013" s="1" t="s">
        <v>512</v>
      </c>
    </row>
    <row r="3014" spans="4:15" x14ac:dyDescent="0.25">
      <c r="D3014" s="1" t="s">
        <v>512</v>
      </c>
      <c r="E3014" s="21" t="s">
        <v>512</v>
      </c>
      <c r="F3014" s="1" t="s">
        <v>512</v>
      </c>
      <c r="G3014" s="1" t="s">
        <v>512</v>
      </c>
      <c r="H3014" s="1" t="s">
        <v>512</v>
      </c>
      <c r="I3014" s="1" t="s">
        <v>512</v>
      </c>
      <c r="J3014" s="1" t="s">
        <v>512</v>
      </c>
      <c r="K3014" s="1" t="s">
        <v>512</v>
      </c>
      <c r="L3014" s="1" t="s">
        <v>512</v>
      </c>
      <c r="M3014" s="1" t="s">
        <v>512</v>
      </c>
      <c r="N3014" s="1" t="s">
        <v>512</v>
      </c>
      <c r="O3014" s="1" t="s">
        <v>512</v>
      </c>
    </row>
    <row r="3015" spans="4:15" x14ac:dyDescent="0.25">
      <c r="D3015" s="1" t="s">
        <v>512</v>
      </c>
      <c r="E3015" s="21" t="s">
        <v>512</v>
      </c>
      <c r="F3015" s="1" t="s">
        <v>512</v>
      </c>
      <c r="G3015" s="1" t="s">
        <v>512</v>
      </c>
      <c r="H3015" s="1" t="s">
        <v>512</v>
      </c>
      <c r="I3015" s="1" t="s">
        <v>512</v>
      </c>
      <c r="J3015" s="1" t="s">
        <v>512</v>
      </c>
      <c r="K3015" s="1" t="s">
        <v>512</v>
      </c>
      <c r="L3015" s="1" t="s">
        <v>512</v>
      </c>
      <c r="M3015" s="1" t="s">
        <v>512</v>
      </c>
      <c r="N3015" s="1" t="s">
        <v>512</v>
      </c>
      <c r="O3015" s="1" t="s">
        <v>512</v>
      </c>
    </row>
    <row r="3016" spans="4:15" x14ac:dyDescent="0.25">
      <c r="D3016" s="1" t="s">
        <v>512</v>
      </c>
      <c r="E3016" s="21" t="s">
        <v>512</v>
      </c>
      <c r="F3016" s="1" t="s">
        <v>512</v>
      </c>
      <c r="G3016" s="1" t="s">
        <v>512</v>
      </c>
      <c r="H3016" s="1" t="s">
        <v>512</v>
      </c>
      <c r="I3016" s="1" t="s">
        <v>512</v>
      </c>
      <c r="J3016" s="1" t="s">
        <v>512</v>
      </c>
      <c r="K3016" s="1" t="s">
        <v>512</v>
      </c>
      <c r="L3016" s="1" t="s">
        <v>512</v>
      </c>
      <c r="M3016" s="1" t="s">
        <v>512</v>
      </c>
      <c r="N3016" s="1" t="s">
        <v>512</v>
      </c>
      <c r="O3016" s="1" t="s">
        <v>512</v>
      </c>
    </row>
    <row r="3017" spans="4:15" x14ac:dyDescent="0.25">
      <c r="D3017" s="1" t="s">
        <v>512</v>
      </c>
      <c r="E3017" s="21" t="s">
        <v>512</v>
      </c>
      <c r="F3017" s="1" t="s">
        <v>512</v>
      </c>
      <c r="G3017" s="1" t="s">
        <v>512</v>
      </c>
      <c r="H3017" s="1" t="s">
        <v>512</v>
      </c>
      <c r="I3017" s="1" t="s">
        <v>512</v>
      </c>
      <c r="J3017" s="1" t="s">
        <v>512</v>
      </c>
      <c r="K3017" s="1" t="s">
        <v>512</v>
      </c>
      <c r="L3017" s="1" t="s">
        <v>512</v>
      </c>
      <c r="M3017" s="1" t="s">
        <v>512</v>
      </c>
      <c r="N3017" s="1" t="s">
        <v>512</v>
      </c>
      <c r="O3017" s="1" t="s">
        <v>512</v>
      </c>
    </row>
    <row r="3018" spans="4:15" x14ac:dyDescent="0.25">
      <c r="D3018" s="1" t="s">
        <v>512</v>
      </c>
      <c r="E3018" s="21" t="s">
        <v>512</v>
      </c>
      <c r="F3018" s="1" t="s">
        <v>512</v>
      </c>
      <c r="G3018" s="1" t="s">
        <v>512</v>
      </c>
      <c r="H3018" s="1" t="s">
        <v>512</v>
      </c>
      <c r="I3018" s="1" t="s">
        <v>512</v>
      </c>
      <c r="J3018" s="1" t="s">
        <v>512</v>
      </c>
      <c r="K3018" s="1" t="s">
        <v>512</v>
      </c>
      <c r="L3018" s="1" t="s">
        <v>512</v>
      </c>
      <c r="M3018" s="1" t="s">
        <v>512</v>
      </c>
      <c r="N3018" s="1" t="s">
        <v>512</v>
      </c>
      <c r="O3018" s="1" t="s">
        <v>512</v>
      </c>
    </row>
    <row r="3019" spans="4:15" x14ac:dyDescent="0.25">
      <c r="D3019" s="1" t="s">
        <v>512</v>
      </c>
      <c r="E3019" s="21" t="s">
        <v>512</v>
      </c>
      <c r="F3019" s="1" t="s">
        <v>512</v>
      </c>
      <c r="G3019" s="1" t="s">
        <v>512</v>
      </c>
      <c r="H3019" s="1" t="s">
        <v>512</v>
      </c>
      <c r="I3019" s="1" t="s">
        <v>512</v>
      </c>
      <c r="J3019" s="1" t="s">
        <v>512</v>
      </c>
      <c r="K3019" s="1" t="s">
        <v>512</v>
      </c>
      <c r="L3019" s="1" t="s">
        <v>512</v>
      </c>
      <c r="M3019" s="1" t="s">
        <v>512</v>
      </c>
      <c r="N3019" s="1" t="s">
        <v>512</v>
      </c>
      <c r="O3019" s="1" t="s">
        <v>512</v>
      </c>
    </row>
    <row r="3020" spans="4:15" x14ac:dyDescent="0.25">
      <c r="D3020" s="1" t="s">
        <v>512</v>
      </c>
      <c r="E3020" s="21" t="s">
        <v>512</v>
      </c>
      <c r="F3020" s="1" t="s">
        <v>512</v>
      </c>
      <c r="G3020" s="1" t="s">
        <v>512</v>
      </c>
      <c r="H3020" s="1" t="s">
        <v>512</v>
      </c>
      <c r="I3020" s="1" t="s">
        <v>512</v>
      </c>
      <c r="J3020" s="1" t="s">
        <v>512</v>
      </c>
      <c r="K3020" s="1" t="s">
        <v>512</v>
      </c>
      <c r="L3020" s="1" t="s">
        <v>512</v>
      </c>
      <c r="M3020" s="1" t="s">
        <v>512</v>
      </c>
      <c r="N3020" s="1" t="s">
        <v>512</v>
      </c>
      <c r="O3020" s="1" t="s">
        <v>512</v>
      </c>
    </row>
    <row r="3021" spans="4:15" x14ac:dyDescent="0.25">
      <c r="D3021" s="1" t="s">
        <v>512</v>
      </c>
      <c r="E3021" s="21" t="s">
        <v>512</v>
      </c>
      <c r="F3021" s="1" t="s">
        <v>512</v>
      </c>
      <c r="G3021" s="1" t="s">
        <v>512</v>
      </c>
      <c r="H3021" s="1" t="s">
        <v>512</v>
      </c>
      <c r="I3021" s="1" t="s">
        <v>512</v>
      </c>
      <c r="J3021" s="1" t="s">
        <v>512</v>
      </c>
      <c r="K3021" s="1" t="s">
        <v>512</v>
      </c>
      <c r="L3021" s="1" t="s">
        <v>512</v>
      </c>
      <c r="M3021" s="1" t="s">
        <v>512</v>
      </c>
      <c r="N3021" s="1" t="s">
        <v>512</v>
      </c>
      <c r="O3021" s="1" t="s">
        <v>512</v>
      </c>
    </row>
    <row r="3022" spans="4:15" x14ac:dyDescent="0.25">
      <c r="D3022" s="1" t="s">
        <v>512</v>
      </c>
      <c r="E3022" s="21" t="s">
        <v>512</v>
      </c>
      <c r="F3022" s="1" t="s">
        <v>512</v>
      </c>
      <c r="G3022" s="1" t="s">
        <v>512</v>
      </c>
      <c r="H3022" s="1" t="s">
        <v>512</v>
      </c>
      <c r="I3022" s="1" t="s">
        <v>512</v>
      </c>
      <c r="J3022" s="1" t="s">
        <v>512</v>
      </c>
      <c r="K3022" s="1" t="s">
        <v>512</v>
      </c>
      <c r="L3022" s="1" t="s">
        <v>512</v>
      </c>
      <c r="M3022" s="1" t="s">
        <v>512</v>
      </c>
      <c r="N3022" s="1" t="s">
        <v>512</v>
      </c>
      <c r="O3022" s="1" t="s">
        <v>512</v>
      </c>
    </row>
    <row r="3023" spans="4:15" x14ac:dyDescent="0.25">
      <c r="D3023" s="1" t="s">
        <v>512</v>
      </c>
      <c r="E3023" s="21" t="s">
        <v>512</v>
      </c>
      <c r="F3023" s="1" t="s">
        <v>512</v>
      </c>
      <c r="G3023" s="1" t="s">
        <v>512</v>
      </c>
      <c r="H3023" s="1" t="s">
        <v>512</v>
      </c>
      <c r="I3023" s="1" t="s">
        <v>512</v>
      </c>
      <c r="J3023" s="1" t="s">
        <v>512</v>
      </c>
      <c r="K3023" s="1" t="s">
        <v>512</v>
      </c>
      <c r="L3023" s="1" t="s">
        <v>512</v>
      </c>
      <c r="M3023" s="1" t="s">
        <v>512</v>
      </c>
      <c r="N3023" s="1" t="s">
        <v>512</v>
      </c>
      <c r="O3023" s="1" t="s">
        <v>512</v>
      </c>
    </row>
    <row r="3024" spans="4:15" x14ac:dyDescent="0.25">
      <c r="D3024" s="1" t="s">
        <v>512</v>
      </c>
      <c r="E3024" s="21" t="s">
        <v>512</v>
      </c>
      <c r="F3024" s="1" t="s">
        <v>512</v>
      </c>
      <c r="G3024" s="1" t="s">
        <v>512</v>
      </c>
      <c r="H3024" s="1" t="s">
        <v>512</v>
      </c>
      <c r="I3024" s="1" t="s">
        <v>512</v>
      </c>
      <c r="J3024" s="1" t="s">
        <v>512</v>
      </c>
      <c r="K3024" s="1" t="s">
        <v>512</v>
      </c>
      <c r="L3024" s="1" t="s">
        <v>512</v>
      </c>
      <c r="M3024" s="1" t="s">
        <v>512</v>
      </c>
      <c r="N3024" s="1" t="s">
        <v>512</v>
      </c>
      <c r="O3024" s="1" t="s">
        <v>512</v>
      </c>
    </row>
    <row r="3025" spans="4:15" x14ac:dyDescent="0.25">
      <c r="D3025" s="1" t="s">
        <v>512</v>
      </c>
      <c r="E3025" s="21" t="s">
        <v>512</v>
      </c>
      <c r="F3025" s="1" t="s">
        <v>512</v>
      </c>
      <c r="G3025" s="1" t="s">
        <v>512</v>
      </c>
      <c r="H3025" s="1" t="s">
        <v>512</v>
      </c>
      <c r="I3025" s="1" t="s">
        <v>512</v>
      </c>
      <c r="J3025" s="1" t="s">
        <v>512</v>
      </c>
      <c r="K3025" s="1" t="s">
        <v>512</v>
      </c>
      <c r="L3025" s="1" t="s">
        <v>512</v>
      </c>
      <c r="M3025" s="1" t="s">
        <v>512</v>
      </c>
      <c r="N3025" s="1" t="s">
        <v>512</v>
      </c>
      <c r="O3025" s="1" t="s">
        <v>512</v>
      </c>
    </row>
    <row r="3026" spans="4:15" x14ac:dyDescent="0.25">
      <c r="D3026" s="1" t="s">
        <v>512</v>
      </c>
      <c r="E3026" s="21" t="s">
        <v>512</v>
      </c>
      <c r="F3026" s="1" t="s">
        <v>512</v>
      </c>
      <c r="G3026" s="1" t="s">
        <v>512</v>
      </c>
      <c r="H3026" s="1" t="s">
        <v>512</v>
      </c>
      <c r="I3026" s="1" t="s">
        <v>512</v>
      </c>
      <c r="J3026" s="1" t="s">
        <v>512</v>
      </c>
      <c r="K3026" s="1" t="s">
        <v>512</v>
      </c>
      <c r="L3026" s="1" t="s">
        <v>512</v>
      </c>
      <c r="M3026" s="1" t="s">
        <v>512</v>
      </c>
      <c r="N3026" s="1" t="s">
        <v>512</v>
      </c>
      <c r="O3026" s="1" t="s">
        <v>512</v>
      </c>
    </row>
    <row r="3027" spans="4:15" x14ac:dyDescent="0.25">
      <c r="D3027" s="1" t="s">
        <v>512</v>
      </c>
      <c r="E3027" s="21" t="s">
        <v>512</v>
      </c>
      <c r="F3027" s="1" t="s">
        <v>512</v>
      </c>
      <c r="G3027" s="1" t="s">
        <v>512</v>
      </c>
      <c r="H3027" s="1" t="s">
        <v>512</v>
      </c>
      <c r="I3027" s="1" t="s">
        <v>512</v>
      </c>
      <c r="J3027" s="1" t="s">
        <v>512</v>
      </c>
      <c r="K3027" s="1" t="s">
        <v>512</v>
      </c>
      <c r="L3027" s="1" t="s">
        <v>512</v>
      </c>
      <c r="M3027" s="1" t="s">
        <v>512</v>
      </c>
      <c r="N3027" s="1" t="s">
        <v>512</v>
      </c>
      <c r="O3027" s="1" t="s">
        <v>512</v>
      </c>
    </row>
    <row r="3028" spans="4:15" x14ac:dyDescent="0.25">
      <c r="D3028" s="1" t="s">
        <v>512</v>
      </c>
      <c r="E3028" s="21" t="s">
        <v>512</v>
      </c>
      <c r="F3028" s="1" t="s">
        <v>512</v>
      </c>
      <c r="G3028" s="1" t="s">
        <v>512</v>
      </c>
      <c r="H3028" s="1" t="s">
        <v>512</v>
      </c>
      <c r="I3028" s="1" t="s">
        <v>512</v>
      </c>
      <c r="J3028" s="1" t="s">
        <v>512</v>
      </c>
      <c r="K3028" s="1" t="s">
        <v>512</v>
      </c>
      <c r="L3028" s="1" t="s">
        <v>512</v>
      </c>
      <c r="M3028" s="1" t="s">
        <v>512</v>
      </c>
      <c r="N3028" s="1" t="s">
        <v>512</v>
      </c>
      <c r="O3028" s="1" t="s">
        <v>512</v>
      </c>
    </row>
    <row r="3029" spans="4:15" x14ac:dyDescent="0.25">
      <c r="D3029" s="1" t="s">
        <v>512</v>
      </c>
      <c r="E3029" s="21" t="s">
        <v>512</v>
      </c>
      <c r="F3029" s="1" t="s">
        <v>512</v>
      </c>
      <c r="G3029" s="1" t="s">
        <v>512</v>
      </c>
      <c r="H3029" s="1" t="s">
        <v>512</v>
      </c>
      <c r="I3029" s="1" t="s">
        <v>512</v>
      </c>
      <c r="J3029" s="1" t="s">
        <v>512</v>
      </c>
      <c r="K3029" s="1" t="s">
        <v>512</v>
      </c>
      <c r="L3029" s="1" t="s">
        <v>512</v>
      </c>
      <c r="M3029" s="1" t="s">
        <v>512</v>
      </c>
      <c r="N3029" s="1" t="s">
        <v>512</v>
      </c>
      <c r="O3029" s="1" t="s">
        <v>512</v>
      </c>
    </row>
    <row r="3030" spans="4:15" x14ac:dyDescent="0.25">
      <c r="D3030" s="1" t="s">
        <v>512</v>
      </c>
      <c r="E3030" s="21" t="s">
        <v>512</v>
      </c>
      <c r="F3030" s="1" t="s">
        <v>512</v>
      </c>
      <c r="G3030" s="1" t="s">
        <v>512</v>
      </c>
      <c r="H3030" s="1" t="s">
        <v>512</v>
      </c>
      <c r="I3030" s="1" t="s">
        <v>512</v>
      </c>
      <c r="J3030" s="1" t="s">
        <v>512</v>
      </c>
      <c r="K3030" s="1" t="s">
        <v>512</v>
      </c>
      <c r="L3030" s="1" t="s">
        <v>512</v>
      </c>
      <c r="M3030" s="1" t="s">
        <v>512</v>
      </c>
      <c r="N3030" s="1" t="s">
        <v>512</v>
      </c>
      <c r="O3030" s="1" t="s">
        <v>512</v>
      </c>
    </row>
    <row r="3031" spans="4:15" x14ac:dyDescent="0.25">
      <c r="D3031" s="1" t="s">
        <v>512</v>
      </c>
      <c r="E3031" s="21" t="s">
        <v>512</v>
      </c>
      <c r="F3031" s="1" t="s">
        <v>512</v>
      </c>
      <c r="G3031" s="1" t="s">
        <v>512</v>
      </c>
      <c r="H3031" s="1" t="s">
        <v>512</v>
      </c>
      <c r="I3031" s="1" t="s">
        <v>512</v>
      </c>
      <c r="J3031" s="1" t="s">
        <v>512</v>
      </c>
      <c r="K3031" s="1" t="s">
        <v>512</v>
      </c>
      <c r="L3031" s="1" t="s">
        <v>512</v>
      </c>
      <c r="M3031" s="1" t="s">
        <v>512</v>
      </c>
      <c r="N3031" s="1" t="s">
        <v>512</v>
      </c>
      <c r="O3031" s="1" t="s">
        <v>512</v>
      </c>
    </row>
    <row r="3032" spans="4:15" x14ac:dyDescent="0.25">
      <c r="D3032" s="1" t="s">
        <v>512</v>
      </c>
      <c r="E3032" s="21" t="s">
        <v>512</v>
      </c>
      <c r="F3032" s="1" t="s">
        <v>512</v>
      </c>
      <c r="G3032" s="1" t="s">
        <v>512</v>
      </c>
      <c r="H3032" s="1" t="s">
        <v>512</v>
      </c>
      <c r="I3032" s="1" t="s">
        <v>512</v>
      </c>
      <c r="J3032" s="1" t="s">
        <v>512</v>
      </c>
      <c r="K3032" s="1" t="s">
        <v>512</v>
      </c>
      <c r="L3032" s="1" t="s">
        <v>512</v>
      </c>
      <c r="M3032" s="1" t="s">
        <v>512</v>
      </c>
      <c r="N3032" s="1" t="s">
        <v>512</v>
      </c>
      <c r="O3032" s="1" t="s">
        <v>512</v>
      </c>
    </row>
    <row r="3033" spans="4:15" x14ac:dyDescent="0.25">
      <c r="D3033" s="1" t="s">
        <v>512</v>
      </c>
      <c r="E3033" s="21" t="s">
        <v>512</v>
      </c>
      <c r="F3033" s="1" t="s">
        <v>512</v>
      </c>
      <c r="G3033" s="1" t="s">
        <v>512</v>
      </c>
      <c r="H3033" s="1" t="s">
        <v>512</v>
      </c>
      <c r="I3033" s="1" t="s">
        <v>512</v>
      </c>
      <c r="J3033" s="1" t="s">
        <v>512</v>
      </c>
      <c r="K3033" s="1" t="s">
        <v>512</v>
      </c>
      <c r="L3033" s="1" t="s">
        <v>512</v>
      </c>
      <c r="M3033" s="1" t="s">
        <v>512</v>
      </c>
      <c r="N3033" s="1" t="s">
        <v>512</v>
      </c>
      <c r="O3033" s="1" t="s">
        <v>512</v>
      </c>
    </row>
    <row r="3034" spans="4:15" x14ac:dyDescent="0.25">
      <c r="D3034" s="1" t="s">
        <v>512</v>
      </c>
      <c r="E3034" s="21" t="s">
        <v>512</v>
      </c>
      <c r="F3034" s="1" t="s">
        <v>512</v>
      </c>
      <c r="G3034" s="1" t="s">
        <v>512</v>
      </c>
      <c r="H3034" s="1" t="s">
        <v>512</v>
      </c>
      <c r="I3034" s="1" t="s">
        <v>512</v>
      </c>
      <c r="J3034" s="1" t="s">
        <v>512</v>
      </c>
      <c r="K3034" s="1" t="s">
        <v>512</v>
      </c>
      <c r="L3034" s="1" t="s">
        <v>512</v>
      </c>
      <c r="M3034" s="1" t="s">
        <v>512</v>
      </c>
      <c r="N3034" s="1" t="s">
        <v>512</v>
      </c>
      <c r="O3034" s="1" t="s">
        <v>512</v>
      </c>
    </row>
    <row r="3035" spans="4:15" x14ac:dyDescent="0.25">
      <c r="D3035" s="1" t="s">
        <v>512</v>
      </c>
      <c r="E3035" s="21" t="s">
        <v>512</v>
      </c>
      <c r="F3035" s="1" t="s">
        <v>512</v>
      </c>
      <c r="G3035" s="1" t="s">
        <v>512</v>
      </c>
      <c r="H3035" s="1" t="s">
        <v>512</v>
      </c>
      <c r="I3035" s="1" t="s">
        <v>512</v>
      </c>
      <c r="J3035" s="1" t="s">
        <v>512</v>
      </c>
      <c r="K3035" s="1" t="s">
        <v>512</v>
      </c>
      <c r="L3035" s="1" t="s">
        <v>512</v>
      </c>
      <c r="M3035" s="1" t="s">
        <v>512</v>
      </c>
      <c r="N3035" s="1" t="s">
        <v>512</v>
      </c>
      <c r="O3035" s="1" t="s">
        <v>512</v>
      </c>
    </row>
    <row r="3036" spans="4:15" x14ac:dyDescent="0.25">
      <c r="D3036" s="1" t="s">
        <v>512</v>
      </c>
      <c r="E3036" s="21" t="s">
        <v>512</v>
      </c>
      <c r="F3036" s="1" t="s">
        <v>512</v>
      </c>
      <c r="G3036" s="1" t="s">
        <v>512</v>
      </c>
      <c r="H3036" s="1" t="s">
        <v>512</v>
      </c>
      <c r="I3036" s="1" t="s">
        <v>512</v>
      </c>
      <c r="J3036" s="1" t="s">
        <v>512</v>
      </c>
      <c r="K3036" s="1" t="s">
        <v>512</v>
      </c>
      <c r="L3036" s="1" t="s">
        <v>512</v>
      </c>
      <c r="M3036" s="1" t="s">
        <v>512</v>
      </c>
      <c r="N3036" s="1" t="s">
        <v>512</v>
      </c>
      <c r="O3036" s="1" t="s">
        <v>512</v>
      </c>
    </row>
    <row r="3037" spans="4:15" x14ac:dyDescent="0.25">
      <c r="D3037" s="1" t="s">
        <v>512</v>
      </c>
      <c r="E3037" s="21" t="s">
        <v>512</v>
      </c>
      <c r="F3037" s="1" t="s">
        <v>512</v>
      </c>
      <c r="G3037" s="1" t="s">
        <v>512</v>
      </c>
      <c r="H3037" s="1" t="s">
        <v>512</v>
      </c>
      <c r="I3037" s="1" t="s">
        <v>512</v>
      </c>
      <c r="J3037" s="1" t="s">
        <v>512</v>
      </c>
      <c r="K3037" s="1" t="s">
        <v>512</v>
      </c>
      <c r="L3037" s="1" t="s">
        <v>512</v>
      </c>
      <c r="M3037" s="1" t="s">
        <v>512</v>
      </c>
      <c r="N3037" s="1" t="s">
        <v>512</v>
      </c>
      <c r="O3037" s="1" t="s">
        <v>512</v>
      </c>
    </row>
    <row r="3038" spans="4:15" x14ac:dyDescent="0.25">
      <c r="D3038" s="1" t="s">
        <v>512</v>
      </c>
      <c r="E3038" s="21" t="s">
        <v>512</v>
      </c>
      <c r="F3038" s="1" t="s">
        <v>512</v>
      </c>
      <c r="G3038" s="1" t="s">
        <v>512</v>
      </c>
      <c r="H3038" s="1" t="s">
        <v>512</v>
      </c>
      <c r="I3038" s="1" t="s">
        <v>512</v>
      </c>
      <c r="J3038" s="1" t="s">
        <v>512</v>
      </c>
      <c r="K3038" s="1" t="s">
        <v>512</v>
      </c>
      <c r="L3038" s="1" t="s">
        <v>512</v>
      </c>
      <c r="M3038" s="1" t="s">
        <v>512</v>
      </c>
      <c r="N3038" s="1" t="s">
        <v>512</v>
      </c>
      <c r="O3038" s="1" t="s">
        <v>512</v>
      </c>
    </row>
    <row r="3039" spans="4:15" x14ac:dyDescent="0.25">
      <c r="D3039" s="1" t="s">
        <v>512</v>
      </c>
      <c r="E3039" s="21" t="s">
        <v>512</v>
      </c>
      <c r="F3039" s="1" t="s">
        <v>512</v>
      </c>
      <c r="G3039" s="1" t="s">
        <v>512</v>
      </c>
      <c r="H3039" s="1" t="s">
        <v>512</v>
      </c>
      <c r="I3039" s="1" t="s">
        <v>512</v>
      </c>
      <c r="J3039" s="1" t="s">
        <v>512</v>
      </c>
      <c r="K3039" s="1" t="s">
        <v>512</v>
      </c>
      <c r="L3039" s="1" t="s">
        <v>512</v>
      </c>
      <c r="M3039" s="1" t="s">
        <v>512</v>
      </c>
      <c r="N3039" s="1" t="s">
        <v>512</v>
      </c>
      <c r="O3039" s="1" t="s">
        <v>512</v>
      </c>
    </row>
    <row r="3040" spans="4:15" x14ac:dyDescent="0.25">
      <c r="D3040" s="1" t="s">
        <v>512</v>
      </c>
      <c r="E3040" s="21" t="s">
        <v>512</v>
      </c>
      <c r="F3040" s="1" t="s">
        <v>512</v>
      </c>
      <c r="G3040" s="1" t="s">
        <v>512</v>
      </c>
      <c r="H3040" s="1" t="s">
        <v>512</v>
      </c>
      <c r="I3040" s="1" t="s">
        <v>512</v>
      </c>
      <c r="J3040" s="1" t="s">
        <v>512</v>
      </c>
      <c r="K3040" s="1" t="s">
        <v>512</v>
      </c>
      <c r="L3040" s="1" t="s">
        <v>512</v>
      </c>
      <c r="M3040" s="1" t="s">
        <v>512</v>
      </c>
      <c r="N3040" s="1" t="s">
        <v>512</v>
      </c>
      <c r="O3040" s="1" t="s">
        <v>512</v>
      </c>
    </row>
    <row r="3041" spans="4:15" x14ac:dyDescent="0.25">
      <c r="D3041" s="1" t="s">
        <v>512</v>
      </c>
      <c r="E3041" s="21" t="s">
        <v>512</v>
      </c>
      <c r="F3041" s="1" t="s">
        <v>512</v>
      </c>
      <c r="G3041" s="1" t="s">
        <v>512</v>
      </c>
      <c r="H3041" s="1" t="s">
        <v>512</v>
      </c>
      <c r="I3041" s="1" t="s">
        <v>512</v>
      </c>
      <c r="J3041" s="1" t="s">
        <v>512</v>
      </c>
      <c r="K3041" s="1" t="s">
        <v>512</v>
      </c>
      <c r="L3041" s="1" t="s">
        <v>512</v>
      </c>
      <c r="M3041" s="1" t="s">
        <v>512</v>
      </c>
      <c r="N3041" s="1" t="s">
        <v>512</v>
      </c>
      <c r="O3041" s="1" t="s">
        <v>512</v>
      </c>
    </row>
    <row r="3042" spans="4:15" x14ac:dyDescent="0.25">
      <c r="D3042" s="1" t="s">
        <v>512</v>
      </c>
      <c r="E3042" s="21" t="s">
        <v>512</v>
      </c>
      <c r="F3042" s="1" t="s">
        <v>512</v>
      </c>
      <c r="G3042" s="1" t="s">
        <v>512</v>
      </c>
      <c r="H3042" s="1" t="s">
        <v>512</v>
      </c>
      <c r="I3042" s="1" t="s">
        <v>512</v>
      </c>
      <c r="J3042" s="1" t="s">
        <v>512</v>
      </c>
      <c r="K3042" s="1" t="s">
        <v>512</v>
      </c>
      <c r="L3042" s="1" t="s">
        <v>512</v>
      </c>
      <c r="M3042" s="1" t="s">
        <v>512</v>
      </c>
      <c r="N3042" s="1" t="s">
        <v>512</v>
      </c>
      <c r="O3042" s="1" t="s">
        <v>512</v>
      </c>
    </row>
    <row r="3043" spans="4:15" x14ac:dyDescent="0.25">
      <c r="D3043" s="1" t="s">
        <v>512</v>
      </c>
      <c r="E3043" s="21" t="s">
        <v>512</v>
      </c>
      <c r="F3043" s="1" t="s">
        <v>512</v>
      </c>
      <c r="G3043" s="1" t="s">
        <v>512</v>
      </c>
      <c r="H3043" s="1" t="s">
        <v>512</v>
      </c>
      <c r="I3043" s="1" t="s">
        <v>512</v>
      </c>
      <c r="J3043" s="1" t="s">
        <v>512</v>
      </c>
      <c r="K3043" s="1" t="s">
        <v>512</v>
      </c>
      <c r="L3043" s="1" t="s">
        <v>512</v>
      </c>
      <c r="M3043" s="1" t="s">
        <v>512</v>
      </c>
      <c r="N3043" s="1" t="s">
        <v>512</v>
      </c>
      <c r="O3043" s="1" t="s">
        <v>512</v>
      </c>
    </row>
    <row r="3044" spans="4:15" x14ac:dyDescent="0.25">
      <c r="D3044" s="1" t="s">
        <v>512</v>
      </c>
      <c r="E3044" s="21" t="s">
        <v>512</v>
      </c>
      <c r="F3044" s="1" t="s">
        <v>512</v>
      </c>
      <c r="G3044" s="1" t="s">
        <v>512</v>
      </c>
      <c r="H3044" s="1" t="s">
        <v>512</v>
      </c>
      <c r="I3044" s="1" t="s">
        <v>512</v>
      </c>
      <c r="J3044" s="1" t="s">
        <v>512</v>
      </c>
      <c r="K3044" s="1" t="s">
        <v>512</v>
      </c>
      <c r="L3044" s="1" t="s">
        <v>512</v>
      </c>
      <c r="M3044" s="1" t="s">
        <v>512</v>
      </c>
      <c r="N3044" s="1" t="s">
        <v>512</v>
      </c>
      <c r="O3044" s="1" t="s">
        <v>512</v>
      </c>
    </row>
    <row r="3045" spans="4:15" x14ac:dyDescent="0.25">
      <c r="D3045" s="1" t="s">
        <v>512</v>
      </c>
      <c r="E3045" s="21" t="s">
        <v>512</v>
      </c>
      <c r="F3045" s="1" t="s">
        <v>512</v>
      </c>
      <c r="G3045" s="1" t="s">
        <v>512</v>
      </c>
      <c r="H3045" s="1" t="s">
        <v>512</v>
      </c>
      <c r="I3045" s="1" t="s">
        <v>512</v>
      </c>
      <c r="J3045" s="1" t="s">
        <v>512</v>
      </c>
      <c r="K3045" s="1" t="s">
        <v>512</v>
      </c>
      <c r="L3045" s="1" t="s">
        <v>512</v>
      </c>
      <c r="M3045" s="1" t="s">
        <v>512</v>
      </c>
      <c r="N3045" s="1" t="s">
        <v>512</v>
      </c>
      <c r="O3045" s="1" t="s">
        <v>512</v>
      </c>
    </row>
    <row r="3046" spans="4:15" x14ac:dyDescent="0.25">
      <c r="D3046" s="1" t="s">
        <v>512</v>
      </c>
      <c r="E3046" s="21" t="s">
        <v>512</v>
      </c>
      <c r="F3046" s="1" t="s">
        <v>512</v>
      </c>
      <c r="G3046" s="1" t="s">
        <v>512</v>
      </c>
      <c r="H3046" s="1" t="s">
        <v>512</v>
      </c>
      <c r="I3046" s="1" t="s">
        <v>512</v>
      </c>
      <c r="J3046" s="1" t="s">
        <v>512</v>
      </c>
      <c r="K3046" s="1" t="s">
        <v>512</v>
      </c>
      <c r="L3046" s="1" t="s">
        <v>512</v>
      </c>
      <c r="M3046" s="1" t="s">
        <v>512</v>
      </c>
      <c r="N3046" s="1" t="s">
        <v>512</v>
      </c>
      <c r="O3046" s="1" t="s">
        <v>512</v>
      </c>
    </row>
    <row r="3047" spans="4:15" x14ac:dyDescent="0.25">
      <c r="D3047" s="1" t="s">
        <v>512</v>
      </c>
      <c r="E3047" s="21" t="s">
        <v>512</v>
      </c>
      <c r="F3047" s="1" t="s">
        <v>512</v>
      </c>
      <c r="G3047" s="1" t="s">
        <v>512</v>
      </c>
      <c r="H3047" s="1" t="s">
        <v>512</v>
      </c>
      <c r="I3047" s="1" t="s">
        <v>512</v>
      </c>
      <c r="J3047" s="1" t="s">
        <v>512</v>
      </c>
      <c r="K3047" s="1" t="s">
        <v>512</v>
      </c>
      <c r="L3047" s="1" t="s">
        <v>512</v>
      </c>
      <c r="M3047" s="1" t="s">
        <v>512</v>
      </c>
      <c r="N3047" s="1" t="s">
        <v>512</v>
      </c>
      <c r="O3047" s="1" t="s">
        <v>512</v>
      </c>
    </row>
    <row r="3048" spans="4:15" x14ac:dyDescent="0.25">
      <c r="D3048" s="1" t="s">
        <v>512</v>
      </c>
      <c r="E3048" s="21" t="s">
        <v>512</v>
      </c>
      <c r="F3048" s="1" t="s">
        <v>512</v>
      </c>
      <c r="G3048" s="1" t="s">
        <v>512</v>
      </c>
      <c r="H3048" s="1" t="s">
        <v>512</v>
      </c>
      <c r="I3048" s="1" t="s">
        <v>512</v>
      </c>
      <c r="J3048" s="1" t="s">
        <v>512</v>
      </c>
      <c r="K3048" s="1" t="s">
        <v>512</v>
      </c>
      <c r="L3048" s="1" t="s">
        <v>512</v>
      </c>
      <c r="M3048" s="1" t="s">
        <v>512</v>
      </c>
      <c r="N3048" s="1" t="s">
        <v>512</v>
      </c>
      <c r="O3048" s="1" t="s">
        <v>512</v>
      </c>
    </row>
    <row r="3049" spans="4:15" x14ac:dyDescent="0.25">
      <c r="D3049" s="1" t="s">
        <v>512</v>
      </c>
      <c r="E3049" s="21" t="s">
        <v>512</v>
      </c>
      <c r="F3049" s="1" t="s">
        <v>512</v>
      </c>
      <c r="G3049" s="1" t="s">
        <v>512</v>
      </c>
      <c r="H3049" s="1" t="s">
        <v>512</v>
      </c>
      <c r="I3049" s="1" t="s">
        <v>512</v>
      </c>
      <c r="J3049" s="1" t="s">
        <v>512</v>
      </c>
      <c r="K3049" s="1" t="s">
        <v>512</v>
      </c>
      <c r="L3049" s="1" t="s">
        <v>512</v>
      </c>
      <c r="M3049" s="1" t="s">
        <v>512</v>
      </c>
      <c r="N3049" s="1" t="s">
        <v>512</v>
      </c>
      <c r="O3049" s="1" t="s">
        <v>512</v>
      </c>
    </row>
    <row r="3050" spans="4:15" x14ac:dyDescent="0.25">
      <c r="D3050" s="1" t="s">
        <v>512</v>
      </c>
      <c r="E3050" s="21" t="s">
        <v>512</v>
      </c>
      <c r="F3050" s="1" t="s">
        <v>512</v>
      </c>
      <c r="G3050" s="1" t="s">
        <v>512</v>
      </c>
      <c r="H3050" s="1" t="s">
        <v>512</v>
      </c>
      <c r="I3050" s="1" t="s">
        <v>512</v>
      </c>
      <c r="J3050" s="1" t="s">
        <v>512</v>
      </c>
      <c r="K3050" s="1" t="s">
        <v>512</v>
      </c>
      <c r="L3050" s="1" t="s">
        <v>512</v>
      </c>
      <c r="M3050" s="1" t="s">
        <v>512</v>
      </c>
      <c r="N3050" s="1" t="s">
        <v>512</v>
      </c>
      <c r="O3050" s="1" t="s">
        <v>512</v>
      </c>
    </row>
    <row r="3051" spans="4:15" x14ac:dyDescent="0.25">
      <c r="D3051" s="1" t="s">
        <v>512</v>
      </c>
      <c r="E3051" s="21" t="s">
        <v>512</v>
      </c>
      <c r="F3051" s="1" t="s">
        <v>512</v>
      </c>
      <c r="G3051" s="1" t="s">
        <v>512</v>
      </c>
      <c r="H3051" s="1" t="s">
        <v>512</v>
      </c>
      <c r="I3051" s="1" t="s">
        <v>512</v>
      </c>
      <c r="J3051" s="1" t="s">
        <v>512</v>
      </c>
      <c r="K3051" s="1" t="s">
        <v>512</v>
      </c>
      <c r="L3051" s="1" t="s">
        <v>512</v>
      </c>
      <c r="M3051" s="1" t="s">
        <v>512</v>
      </c>
      <c r="N3051" s="1" t="s">
        <v>512</v>
      </c>
      <c r="O3051" s="1" t="s">
        <v>512</v>
      </c>
    </row>
    <row r="3052" spans="4:15" x14ac:dyDescent="0.25">
      <c r="D3052" s="1" t="s">
        <v>512</v>
      </c>
      <c r="E3052" s="21" t="s">
        <v>512</v>
      </c>
      <c r="F3052" s="1" t="s">
        <v>512</v>
      </c>
      <c r="G3052" s="1" t="s">
        <v>512</v>
      </c>
      <c r="H3052" s="1" t="s">
        <v>512</v>
      </c>
      <c r="I3052" s="1" t="s">
        <v>512</v>
      </c>
      <c r="J3052" s="1" t="s">
        <v>512</v>
      </c>
      <c r="K3052" s="1" t="s">
        <v>512</v>
      </c>
      <c r="L3052" s="1" t="s">
        <v>512</v>
      </c>
      <c r="M3052" s="1" t="s">
        <v>512</v>
      </c>
      <c r="N3052" s="1" t="s">
        <v>512</v>
      </c>
      <c r="O3052" s="1" t="s">
        <v>512</v>
      </c>
    </row>
    <row r="3053" spans="4:15" x14ac:dyDescent="0.25">
      <c r="D3053" s="1" t="s">
        <v>512</v>
      </c>
      <c r="E3053" s="21" t="s">
        <v>512</v>
      </c>
      <c r="F3053" s="1" t="s">
        <v>512</v>
      </c>
      <c r="G3053" s="1" t="s">
        <v>512</v>
      </c>
      <c r="H3053" s="1" t="s">
        <v>512</v>
      </c>
      <c r="I3053" s="1" t="s">
        <v>512</v>
      </c>
      <c r="J3053" s="1" t="s">
        <v>512</v>
      </c>
      <c r="K3053" s="1" t="s">
        <v>512</v>
      </c>
      <c r="L3053" s="1" t="s">
        <v>512</v>
      </c>
      <c r="M3053" s="1" t="s">
        <v>512</v>
      </c>
      <c r="N3053" s="1" t="s">
        <v>512</v>
      </c>
      <c r="O3053" s="1" t="s">
        <v>512</v>
      </c>
    </row>
    <row r="3054" spans="4:15" x14ac:dyDescent="0.25">
      <c r="D3054" s="1" t="s">
        <v>512</v>
      </c>
      <c r="E3054" s="21" t="s">
        <v>512</v>
      </c>
      <c r="F3054" s="1" t="s">
        <v>512</v>
      </c>
      <c r="G3054" s="1" t="s">
        <v>512</v>
      </c>
      <c r="H3054" s="1" t="s">
        <v>512</v>
      </c>
      <c r="I3054" s="1" t="s">
        <v>512</v>
      </c>
      <c r="J3054" s="1" t="s">
        <v>512</v>
      </c>
      <c r="K3054" s="1" t="s">
        <v>512</v>
      </c>
      <c r="L3054" s="1" t="s">
        <v>512</v>
      </c>
      <c r="M3054" s="1" t="s">
        <v>512</v>
      </c>
      <c r="N3054" s="1" t="s">
        <v>512</v>
      </c>
      <c r="O3054" s="1" t="s">
        <v>512</v>
      </c>
    </row>
    <row r="3055" spans="4:15" x14ac:dyDescent="0.25">
      <c r="D3055" s="1" t="s">
        <v>512</v>
      </c>
      <c r="E3055" s="21" t="s">
        <v>512</v>
      </c>
      <c r="F3055" s="1" t="s">
        <v>512</v>
      </c>
      <c r="G3055" s="1" t="s">
        <v>512</v>
      </c>
      <c r="H3055" s="1" t="s">
        <v>512</v>
      </c>
      <c r="I3055" s="1" t="s">
        <v>512</v>
      </c>
      <c r="J3055" s="1" t="s">
        <v>512</v>
      </c>
      <c r="K3055" s="1" t="s">
        <v>512</v>
      </c>
      <c r="L3055" s="1" t="s">
        <v>512</v>
      </c>
      <c r="M3055" s="1" t="s">
        <v>512</v>
      </c>
      <c r="N3055" s="1" t="s">
        <v>512</v>
      </c>
      <c r="O3055" s="1" t="s">
        <v>512</v>
      </c>
    </row>
    <row r="3056" spans="4:15" x14ac:dyDescent="0.25">
      <c r="D3056" s="1" t="s">
        <v>512</v>
      </c>
      <c r="E3056" s="21" t="s">
        <v>512</v>
      </c>
      <c r="F3056" s="1" t="s">
        <v>512</v>
      </c>
      <c r="G3056" s="1" t="s">
        <v>512</v>
      </c>
      <c r="H3056" s="1" t="s">
        <v>512</v>
      </c>
      <c r="I3056" s="1" t="s">
        <v>512</v>
      </c>
      <c r="J3056" s="1" t="s">
        <v>512</v>
      </c>
      <c r="K3056" s="1" t="s">
        <v>512</v>
      </c>
      <c r="L3056" s="1" t="s">
        <v>512</v>
      </c>
      <c r="M3056" s="1" t="s">
        <v>512</v>
      </c>
      <c r="N3056" s="1" t="s">
        <v>512</v>
      </c>
      <c r="O3056" s="1" t="s">
        <v>512</v>
      </c>
    </row>
    <row r="3057" spans="4:15" x14ac:dyDescent="0.25">
      <c r="D3057" s="1" t="s">
        <v>512</v>
      </c>
      <c r="E3057" s="21" t="s">
        <v>512</v>
      </c>
      <c r="F3057" s="1" t="s">
        <v>512</v>
      </c>
      <c r="G3057" s="1" t="s">
        <v>512</v>
      </c>
      <c r="H3057" s="1" t="s">
        <v>512</v>
      </c>
      <c r="I3057" s="1" t="s">
        <v>512</v>
      </c>
      <c r="J3057" s="1" t="s">
        <v>512</v>
      </c>
      <c r="K3057" s="1" t="s">
        <v>512</v>
      </c>
      <c r="L3057" s="1" t="s">
        <v>512</v>
      </c>
      <c r="M3057" s="1" t="s">
        <v>512</v>
      </c>
      <c r="N3057" s="1" t="s">
        <v>512</v>
      </c>
      <c r="O3057" s="1" t="s">
        <v>512</v>
      </c>
    </row>
    <row r="3058" spans="4:15" x14ac:dyDescent="0.25">
      <c r="D3058" s="1" t="s">
        <v>512</v>
      </c>
      <c r="E3058" s="21" t="s">
        <v>512</v>
      </c>
      <c r="F3058" s="1" t="s">
        <v>512</v>
      </c>
      <c r="G3058" s="1" t="s">
        <v>512</v>
      </c>
      <c r="H3058" s="1" t="s">
        <v>512</v>
      </c>
      <c r="I3058" s="1" t="s">
        <v>512</v>
      </c>
      <c r="J3058" s="1" t="s">
        <v>512</v>
      </c>
      <c r="K3058" s="1" t="s">
        <v>512</v>
      </c>
      <c r="L3058" s="1" t="s">
        <v>512</v>
      </c>
      <c r="M3058" s="1" t="s">
        <v>512</v>
      </c>
      <c r="N3058" s="1" t="s">
        <v>512</v>
      </c>
      <c r="O3058" s="1" t="s">
        <v>512</v>
      </c>
    </row>
    <row r="3059" spans="4:15" x14ac:dyDescent="0.25">
      <c r="D3059" s="1" t="s">
        <v>512</v>
      </c>
      <c r="E3059" s="21" t="s">
        <v>512</v>
      </c>
      <c r="F3059" s="1" t="s">
        <v>512</v>
      </c>
      <c r="G3059" s="1" t="s">
        <v>512</v>
      </c>
      <c r="H3059" s="1" t="s">
        <v>512</v>
      </c>
      <c r="I3059" s="1" t="s">
        <v>512</v>
      </c>
      <c r="J3059" s="1" t="s">
        <v>512</v>
      </c>
      <c r="K3059" s="1" t="s">
        <v>512</v>
      </c>
      <c r="L3059" s="1" t="s">
        <v>512</v>
      </c>
      <c r="M3059" s="1" t="s">
        <v>512</v>
      </c>
      <c r="N3059" s="1" t="s">
        <v>512</v>
      </c>
      <c r="O3059" s="1" t="s">
        <v>512</v>
      </c>
    </row>
    <row r="3060" spans="4:15" x14ac:dyDescent="0.25">
      <c r="D3060" s="1" t="s">
        <v>512</v>
      </c>
      <c r="E3060" s="21" t="s">
        <v>512</v>
      </c>
      <c r="F3060" s="1" t="s">
        <v>512</v>
      </c>
      <c r="G3060" s="1" t="s">
        <v>512</v>
      </c>
      <c r="H3060" s="1" t="s">
        <v>512</v>
      </c>
      <c r="I3060" s="1" t="s">
        <v>512</v>
      </c>
      <c r="J3060" s="1" t="s">
        <v>512</v>
      </c>
      <c r="K3060" s="1" t="s">
        <v>512</v>
      </c>
      <c r="L3060" s="1" t="s">
        <v>512</v>
      </c>
      <c r="M3060" s="1" t="s">
        <v>512</v>
      </c>
      <c r="N3060" s="1" t="s">
        <v>512</v>
      </c>
      <c r="O3060" s="1" t="s">
        <v>512</v>
      </c>
    </row>
    <row r="3061" spans="4:15" x14ac:dyDescent="0.25">
      <c r="D3061" s="1" t="s">
        <v>512</v>
      </c>
      <c r="E3061" s="21" t="s">
        <v>512</v>
      </c>
      <c r="F3061" s="1" t="s">
        <v>512</v>
      </c>
      <c r="G3061" s="1" t="s">
        <v>512</v>
      </c>
      <c r="H3061" s="1" t="s">
        <v>512</v>
      </c>
      <c r="I3061" s="1" t="s">
        <v>512</v>
      </c>
      <c r="J3061" s="1" t="s">
        <v>512</v>
      </c>
      <c r="K3061" s="1" t="s">
        <v>512</v>
      </c>
      <c r="L3061" s="1" t="s">
        <v>512</v>
      </c>
      <c r="M3061" s="1" t="s">
        <v>512</v>
      </c>
      <c r="N3061" s="1" t="s">
        <v>512</v>
      </c>
      <c r="O3061" s="1" t="s">
        <v>512</v>
      </c>
    </row>
    <row r="3062" spans="4:15" x14ac:dyDescent="0.25">
      <c r="D3062" s="1" t="s">
        <v>512</v>
      </c>
      <c r="E3062" s="21" t="s">
        <v>512</v>
      </c>
      <c r="F3062" s="1" t="s">
        <v>512</v>
      </c>
      <c r="G3062" s="1" t="s">
        <v>512</v>
      </c>
      <c r="H3062" s="1" t="s">
        <v>512</v>
      </c>
      <c r="I3062" s="1" t="s">
        <v>512</v>
      </c>
      <c r="J3062" s="1" t="s">
        <v>512</v>
      </c>
      <c r="K3062" s="1" t="s">
        <v>512</v>
      </c>
      <c r="L3062" s="1" t="s">
        <v>512</v>
      </c>
      <c r="M3062" s="1" t="s">
        <v>512</v>
      </c>
      <c r="N3062" s="1" t="s">
        <v>512</v>
      </c>
      <c r="O3062" s="1" t="s">
        <v>512</v>
      </c>
    </row>
    <row r="3063" spans="4:15" x14ac:dyDescent="0.25">
      <c r="D3063" s="1" t="s">
        <v>512</v>
      </c>
      <c r="E3063" s="21" t="s">
        <v>512</v>
      </c>
      <c r="F3063" s="1" t="s">
        <v>512</v>
      </c>
      <c r="G3063" s="1" t="s">
        <v>512</v>
      </c>
      <c r="H3063" s="1" t="s">
        <v>512</v>
      </c>
      <c r="I3063" s="1" t="s">
        <v>512</v>
      </c>
      <c r="J3063" s="1" t="s">
        <v>512</v>
      </c>
      <c r="K3063" s="1" t="s">
        <v>512</v>
      </c>
      <c r="L3063" s="1" t="s">
        <v>512</v>
      </c>
      <c r="M3063" s="1" t="s">
        <v>512</v>
      </c>
      <c r="N3063" s="1" t="s">
        <v>512</v>
      </c>
      <c r="O3063" s="1" t="s">
        <v>512</v>
      </c>
    </row>
    <row r="3064" spans="4:15" x14ac:dyDescent="0.25">
      <c r="D3064" s="1" t="s">
        <v>512</v>
      </c>
      <c r="E3064" s="21" t="s">
        <v>512</v>
      </c>
      <c r="F3064" s="1" t="s">
        <v>512</v>
      </c>
      <c r="G3064" s="1" t="s">
        <v>512</v>
      </c>
      <c r="H3064" s="1" t="s">
        <v>512</v>
      </c>
      <c r="I3064" s="1" t="s">
        <v>512</v>
      </c>
      <c r="J3064" s="1" t="s">
        <v>512</v>
      </c>
      <c r="K3064" s="1" t="s">
        <v>512</v>
      </c>
      <c r="L3064" s="1" t="s">
        <v>512</v>
      </c>
      <c r="M3064" s="1" t="s">
        <v>512</v>
      </c>
      <c r="N3064" s="1" t="s">
        <v>512</v>
      </c>
      <c r="O3064" s="1" t="s">
        <v>512</v>
      </c>
    </row>
    <row r="3065" spans="4:15" x14ac:dyDescent="0.25">
      <c r="D3065" s="1" t="s">
        <v>512</v>
      </c>
      <c r="E3065" s="21" t="s">
        <v>512</v>
      </c>
      <c r="F3065" s="1" t="s">
        <v>512</v>
      </c>
      <c r="G3065" s="1" t="s">
        <v>512</v>
      </c>
      <c r="H3065" s="1" t="s">
        <v>512</v>
      </c>
      <c r="I3065" s="1" t="s">
        <v>512</v>
      </c>
      <c r="J3065" s="1" t="s">
        <v>512</v>
      </c>
      <c r="K3065" s="1" t="s">
        <v>512</v>
      </c>
      <c r="L3065" s="1" t="s">
        <v>512</v>
      </c>
      <c r="M3065" s="1" t="s">
        <v>512</v>
      </c>
      <c r="N3065" s="1" t="s">
        <v>512</v>
      </c>
      <c r="O3065" s="1" t="s">
        <v>512</v>
      </c>
    </row>
    <row r="3066" spans="4:15" x14ac:dyDescent="0.25">
      <c r="D3066" s="1" t="s">
        <v>512</v>
      </c>
      <c r="E3066" s="21" t="s">
        <v>512</v>
      </c>
      <c r="F3066" s="1" t="s">
        <v>512</v>
      </c>
      <c r="G3066" s="1" t="s">
        <v>512</v>
      </c>
      <c r="H3066" s="1" t="s">
        <v>512</v>
      </c>
      <c r="I3066" s="1" t="s">
        <v>512</v>
      </c>
      <c r="J3066" s="1" t="s">
        <v>512</v>
      </c>
      <c r="K3066" s="1" t="s">
        <v>512</v>
      </c>
      <c r="L3066" s="1" t="s">
        <v>512</v>
      </c>
      <c r="M3066" s="1" t="s">
        <v>512</v>
      </c>
      <c r="N3066" s="1" t="s">
        <v>512</v>
      </c>
      <c r="O3066" s="1" t="s">
        <v>512</v>
      </c>
    </row>
    <row r="3067" spans="4:15" x14ac:dyDescent="0.25">
      <c r="D3067" s="1" t="s">
        <v>512</v>
      </c>
      <c r="E3067" s="21" t="s">
        <v>512</v>
      </c>
      <c r="F3067" s="1" t="s">
        <v>512</v>
      </c>
      <c r="G3067" s="1" t="s">
        <v>512</v>
      </c>
      <c r="H3067" s="1" t="s">
        <v>512</v>
      </c>
      <c r="I3067" s="1" t="s">
        <v>512</v>
      </c>
      <c r="J3067" s="1" t="s">
        <v>512</v>
      </c>
      <c r="K3067" s="1" t="s">
        <v>512</v>
      </c>
      <c r="L3067" s="1" t="s">
        <v>512</v>
      </c>
      <c r="M3067" s="1" t="s">
        <v>512</v>
      </c>
      <c r="N3067" s="1" t="s">
        <v>512</v>
      </c>
      <c r="O3067" s="1" t="s">
        <v>512</v>
      </c>
    </row>
  </sheetData>
  <autoFilter ref="A1:S3067" xr:uid="{937AF3BB-8C27-4E37-AFFE-5A1FEC72BD7B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D942-13D3-4D9D-B448-B4C6800A095E}">
  <sheetPr codeName="Sheet16">
    <tabColor rgb="FFFF0000"/>
  </sheetPr>
  <dimension ref="A1:AX31"/>
  <sheetViews>
    <sheetView zoomScale="70" zoomScaleNormal="70" workbookViewId="0">
      <pane xSplit="1" topLeftCell="B1" activePane="topRight" state="frozen"/>
      <selection pane="topRight" activeCell="E10" sqref="E10"/>
    </sheetView>
  </sheetViews>
  <sheetFormatPr defaultColWidth="19.5703125" defaultRowHeight="15" x14ac:dyDescent="0.25"/>
  <cols>
    <col min="1" max="1" width="15.85546875" style="120" bestFit="1" customWidth="1"/>
    <col min="2" max="2" width="6.7109375" style="1" bestFit="1" customWidth="1"/>
    <col min="3" max="3" width="18.7109375" style="12" bestFit="1" customWidth="1"/>
    <col min="4" max="4" width="58.140625" style="86" bestFit="1" customWidth="1"/>
    <col min="5" max="5" width="19.140625" style="86" bestFit="1" customWidth="1"/>
    <col min="6" max="6" width="36" style="86" bestFit="1" customWidth="1"/>
    <col min="7" max="7" width="19.140625" style="86" bestFit="1" customWidth="1"/>
    <col min="8" max="8" width="24.85546875" style="86" bestFit="1" customWidth="1"/>
    <col min="9" max="9" width="19.140625" style="86" bestFit="1" customWidth="1"/>
    <col min="10" max="10" width="22.5703125" style="86" bestFit="1" customWidth="1"/>
    <col min="11" max="11" width="19.140625" style="86" bestFit="1" customWidth="1"/>
    <col min="12" max="12" width="24.85546875" style="86" bestFit="1" customWidth="1"/>
    <col min="13" max="13" width="19.140625" style="86" bestFit="1" customWidth="1"/>
    <col min="14" max="14" width="22.5703125" style="86" bestFit="1" customWidth="1"/>
    <col min="15" max="15" width="19.140625" style="86" bestFit="1" customWidth="1"/>
    <col min="16" max="16" width="58.85546875" style="86" bestFit="1" customWidth="1"/>
    <col min="17" max="17" width="19.140625" style="86" bestFit="1" customWidth="1"/>
    <col min="18" max="18" width="22.5703125" style="86" bestFit="1" customWidth="1"/>
    <col min="19" max="19" width="19.140625" style="86" bestFit="1" customWidth="1"/>
    <col min="20" max="20" width="17.85546875" style="86" bestFit="1" customWidth="1"/>
    <col min="21" max="21" width="8.7109375" style="87" bestFit="1" customWidth="1"/>
    <col min="22" max="22" width="11.42578125" style="87" bestFit="1" customWidth="1"/>
    <col min="23" max="23" width="7.140625" style="87" bestFit="1" customWidth="1"/>
    <col min="24" max="24" width="9.7109375" style="87" bestFit="1" customWidth="1"/>
    <col min="25" max="25" width="22" style="85" hidden="1" customWidth="1"/>
    <col min="26" max="26" width="20.140625" style="85" bestFit="1" customWidth="1"/>
    <col min="27" max="27" width="24.5703125" style="85" bestFit="1" customWidth="1"/>
    <col min="28" max="28" width="24.28515625" style="85" hidden="1" customWidth="1"/>
    <col min="29" max="29" width="21.5703125" style="85" hidden="1" customWidth="1"/>
    <col min="30" max="30" width="43.85546875" style="85" bestFit="1" customWidth="1"/>
    <col min="31" max="31" width="52.5703125" style="85" hidden="1" customWidth="1"/>
    <col min="32" max="32" width="26.85546875" style="85" hidden="1" customWidth="1"/>
    <col min="33" max="33" width="12.5703125" style="85" bestFit="1" customWidth="1"/>
    <col min="34" max="41" width="13" style="85" bestFit="1" customWidth="1"/>
    <col min="42" max="42" width="20.140625" style="85" bestFit="1" customWidth="1"/>
    <col min="43" max="43" width="18.85546875" style="85" bestFit="1" customWidth="1"/>
    <col min="44" max="44" width="14" style="85" bestFit="1" customWidth="1"/>
    <col min="45" max="45" width="19.7109375" style="85" bestFit="1" customWidth="1"/>
    <col min="46" max="46" width="18.5703125" style="85" bestFit="1" customWidth="1"/>
    <col min="47" max="47" width="13.5703125" style="85" bestFit="1" customWidth="1"/>
    <col min="48" max="48" width="20.140625" style="85" bestFit="1" customWidth="1"/>
    <col min="49" max="49" width="22.5703125" style="85" bestFit="1" customWidth="1"/>
    <col min="50" max="50" width="14" style="85" bestFit="1" customWidth="1"/>
    <col min="51" max="16384" width="19.5703125" style="85"/>
  </cols>
  <sheetData>
    <row r="1" spans="1:50" s="98" customFormat="1" x14ac:dyDescent="0.25">
      <c r="A1" s="93" t="s">
        <v>9583</v>
      </c>
      <c r="B1" s="17" t="s">
        <v>9004</v>
      </c>
      <c r="C1" s="112" t="s">
        <v>9005</v>
      </c>
      <c r="D1" s="88" t="s">
        <v>9006</v>
      </c>
      <c r="E1" s="88" t="s">
        <v>9007</v>
      </c>
      <c r="F1" s="88" t="s">
        <v>9008</v>
      </c>
      <c r="G1" s="88" t="s">
        <v>9009</v>
      </c>
      <c r="H1" s="88" t="s">
        <v>9010</v>
      </c>
      <c r="I1" s="88" t="s">
        <v>9011</v>
      </c>
      <c r="J1" s="88" t="s">
        <v>9012</v>
      </c>
      <c r="K1" s="88" t="s">
        <v>9013</v>
      </c>
      <c r="L1" s="88" t="s">
        <v>9014</v>
      </c>
      <c r="M1" s="88" t="s">
        <v>9015</v>
      </c>
      <c r="N1" s="88" t="s">
        <v>9016</v>
      </c>
      <c r="O1" s="88" t="s">
        <v>9584</v>
      </c>
      <c r="P1" s="88" t="s">
        <v>9585</v>
      </c>
      <c r="Q1" s="88" t="s">
        <v>9586</v>
      </c>
      <c r="R1" s="88" t="s">
        <v>9587</v>
      </c>
      <c r="S1" s="88" t="s">
        <v>9588</v>
      </c>
      <c r="T1" s="88" t="s">
        <v>9589</v>
      </c>
      <c r="U1" s="92" t="s">
        <v>9590</v>
      </c>
      <c r="V1" s="92" t="s">
        <v>9591</v>
      </c>
      <c r="W1" s="92" t="s">
        <v>9592</v>
      </c>
      <c r="X1" s="92" t="s">
        <v>9593</v>
      </c>
      <c r="Y1" s="92" t="s">
        <v>9665</v>
      </c>
      <c r="Z1" s="92" t="s">
        <v>9666</v>
      </c>
      <c r="AA1" s="92" t="s">
        <v>9667</v>
      </c>
      <c r="AB1" s="92" t="s">
        <v>9668</v>
      </c>
      <c r="AC1" s="92" t="s">
        <v>9669</v>
      </c>
      <c r="AD1" s="92" t="s">
        <v>9741</v>
      </c>
      <c r="AE1" s="92" t="s">
        <v>9742</v>
      </c>
      <c r="AF1" s="92" t="s">
        <v>9743</v>
      </c>
      <c r="AG1" s="92" t="s">
        <v>9744</v>
      </c>
      <c r="AH1" s="92" t="s">
        <v>9745</v>
      </c>
      <c r="AI1" s="92" t="s">
        <v>9746</v>
      </c>
      <c r="AJ1" s="92" t="s">
        <v>9747</v>
      </c>
      <c r="AK1" s="92" t="s">
        <v>9748</v>
      </c>
      <c r="AL1" s="92" t="s">
        <v>9749</v>
      </c>
      <c r="AM1" s="92" t="s">
        <v>9750</v>
      </c>
      <c r="AN1" s="92" t="s">
        <v>9751</v>
      </c>
      <c r="AO1" s="92" t="s">
        <v>9752</v>
      </c>
      <c r="AP1" s="92" t="s">
        <v>9753</v>
      </c>
      <c r="AQ1" s="92" t="s">
        <v>9754</v>
      </c>
      <c r="AR1" s="92" t="s">
        <v>9755</v>
      </c>
      <c r="AS1" s="92" t="s">
        <v>9756</v>
      </c>
      <c r="AT1" s="92" t="s">
        <v>9757</v>
      </c>
      <c r="AU1" s="92" t="s">
        <v>9758</v>
      </c>
      <c r="AV1" s="92" t="s">
        <v>9759</v>
      </c>
      <c r="AW1" s="92" t="s">
        <v>9760</v>
      </c>
      <c r="AX1" s="92" t="s">
        <v>9761</v>
      </c>
    </row>
    <row r="2" spans="1:50" x14ac:dyDescent="0.25">
      <c r="A2" s="120" t="s">
        <v>9762</v>
      </c>
      <c r="B2" s="1">
        <v>1</v>
      </c>
      <c r="C2" s="86" t="s">
        <v>3744</v>
      </c>
      <c r="D2" s="86" t="s">
        <v>8785</v>
      </c>
      <c r="E2" s="86" t="s">
        <v>309</v>
      </c>
      <c r="F2" s="86" t="s">
        <v>8878</v>
      </c>
      <c r="G2" s="86" t="s">
        <v>8781</v>
      </c>
      <c r="H2" s="86" t="s">
        <v>8797</v>
      </c>
      <c r="I2" s="86" t="s">
        <v>8781</v>
      </c>
      <c r="J2" s="86" t="s">
        <v>8616</v>
      </c>
      <c r="K2" s="86" t="s">
        <v>3744</v>
      </c>
      <c r="L2" s="86" t="s">
        <v>8804</v>
      </c>
      <c r="M2" s="86" t="s">
        <v>309</v>
      </c>
      <c r="N2" s="86" t="s">
        <v>8878</v>
      </c>
      <c r="O2" s="86" t="s">
        <v>3744</v>
      </c>
      <c r="P2" s="86" t="s">
        <v>8785</v>
      </c>
      <c r="Q2" s="86" t="s">
        <v>309</v>
      </c>
      <c r="R2" s="86" t="s">
        <v>8878</v>
      </c>
      <c r="S2" s="86" t="s">
        <v>8781</v>
      </c>
      <c r="T2" s="86" t="s">
        <v>8797</v>
      </c>
      <c r="U2" s="87">
        <v>2</v>
      </c>
      <c r="V2" s="87">
        <v>6</v>
      </c>
      <c r="W2" s="87">
        <v>0</v>
      </c>
      <c r="X2" s="87">
        <v>0</v>
      </c>
      <c r="Y2" s="85" t="s">
        <v>9762</v>
      </c>
      <c r="Z2" s="85" t="s">
        <v>9670</v>
      </c>
      <c r="AB2" s="85" t="s">
        <v>9610</v>
      </c>
      <c r="AC2" s="85" t="s">
        <v>9671</v>
      </c>
      <c r="AD2" s="85" t="s">
        <v>9763</v>
      </c>
      <c r="AE2" s="85" t="s">
        <v>9764</v>
      </c>
      <c r="AF2" s="85">
        <v>4</v>
      </c>
      <c r="AG2" s="85">
        <v>1</v>
      </c>
      <c r="AH2" s="85">
        <v>1</v>
      </c>
      <c r="AI2" s="85">
        <v>1</v>
      </c>
      <c r="AJ2" s="85">
        <v>1</v>
      </c>
      <c r="AK2" s="85">
        <v>1</v>
      </c>
      <c r="AL2" s="85">
        <v>1</v>
      </c>
      <c r="AM2" s="85">
        <v>1</v>
      </c>
      <c r="AN2" s="85">
        <v>1</v>
      </c>
      <c r="AO2" s="85">
        <v>1</v>
      </c>
      <c r="AP2" s="85" t="s">
        <v>8781</v>
      </c>
      <c r="AQ2" s="85" t="s">
        <v>8616</v>
      </c>
      <c r="AR2" s="85">
        <v>1</v>
      </c>
      <c r="AS2" s="85" t="s">
        <v>3744</v>
      </c>
      <c r="AT2" s="85" t="s">
        <v>8804</v>
      </c>
      <c r="AU2" s="85">
        <v>1</v>
      </c>
      <c r="AV2" s="85" t="s">
        <v>309</v>
      </c>
      <c r="AW2" s="85" t="s">
        <v>8878</v>
      </c>
      <c r="AX2" s="85">
        <v>1</v>
      </c>
    </row>
    <row r="3" spans="1:50" x14ac:dyDescent="0.25">
      <c r="A3" s="120" t="s">
        <v>9765</v>
      </c>
      <c r="B3" s="1">
        <v>1</v>
      </c>
      <c r="C3" s="23" t="s">
        <v>3744</v>
      </c>
      <c r="D3" s="33" t="s">
        <v>8787</v>
      </c>
      <c r="E3" s="119" t="s">
        <v>309</v>
      </c>
      <c r="F3" s="119" t="s">
        <v>8878</v>
      </c>
      <c r="G3" s="119" t="s">
        <v>8781</v>
      </c>
      <c r="H3" s="119" t="s">
        <v>8797</v>
      </c>
      <c r="I3" s="86" t="s">
        <v>8781</v>
      </c>
      <c r="J3" s="86" t="s">
        <v>8616</v>
      </c>
      <c r="K3" s="86" t="s">
        <v>3744</v>
      </c>
      <c r="L3" s="86" t="s">
        <v>8595</v>
      </c>
      <c r="M3" s="86" t="s">
        <v>309</v>
      </c>
      <c r="N3" s="86" t="s">
        <v>8878</v>
      </c>
      <c r="U3" s="87">
        <v>1</v>
      </c>
      <c r="V3" s="87">
        <v>2</v>
      </c>
      <c r="W3" s="87">
        <v>0</v>
      </c>
      <c r="X3" s="87">
        <v>0</v>
      </c>
      <c r="Y3" s="85" t="s">
        <v>9765</v>
      </c>
      <c r="Z3" s="85" t="s">
        <v>9672</v>
      </c>
      <c r="AB3" s="85" t="s">
        <v>9610</v>
      </c>
      <c r="AC3" s="85" t="s">
        <v>9671</v>
      </c>
      <c r="AD3" s="85" t="s">
        <v>9766</v>
      </c>
      <c r="AE3" s="85" t="s">
        <v>9767</v>
      </c>
      <c r="AF3" s="85">
        <v>2</v>
      </c>
      <c r="AG3" s="85">
        <v>1</v>
      </c>
      <c r="AH3" s="85">
        <v>1</v>
      </c>
      <c r="AI3" s="85">
        <v>1</v>
      </c>
      <c r="AJ3" s="85">
        <v>1</v>
      </c>
      <c r="AK3" s="85">
        <v>1</v>
      </c>
      <c r="AL3" s="85">
        <v>1</v>
      </c>
    </row>
    <row r="4" spans="1:50" x14ac:dyDescent="0.25">
      <c r="A4" s="121" t="s">
        <v>9768</v>
      </c>
      <c r="B4" s="1">
        <v>1</v>
      </c>
      <c r="C4" s="23" t="s">
        <v>3744</v>
      </c>
      <c r="D4" s="33" t="s">
        <v>8785</v>
      </c>
      <c r="E4" s="119" t="s">
        <v>309</v>
      </c>
      <c r="F4" s="119" t="s">
        <v>8878</v>
      </c>
      <c r="G4" s="119" t="s">
        <v>8781</v>
      </c>
      <c r="H4" s="119" t="s">
        <v>8797</v>
      </c>
      <c r="I4" s="86" t="s">
        <v>8781</v>
      </c>
      <c r="J4" s="86" t="s">
        <v>8616</v>
      </c>
      <c r="K4" s="86" t="s">
        <v>3744</v>
      </c>
      <c r="L4" s="86" t="s">
        <v>8791</v>
      </c>
      <c r="M4" s="86" t="s">
        <v>309</v>
      </c>
      <c r="N4" s="86" t="s">
        <v>8835</v>
      </c>
      <c r="O4" s="86" t="s">
        <v>309</v>
      </c>
      <c r="P4" s="86" t="s">
        <v>8791</v>
      </c>
      <c r="U4" s="87">
        <v>1</v>
      </c>
      <c r="V4" s="87">
        <v>2</v>
      </c>
      <c r="W4" s="87">
        <v>2</v>
      </c>
      <c r="X4" s="87">
        <v>0</v>
      </c>
      <c r="Y4" s="85" t="s">
        <v>9768</v>
      </c>
      <c r="Z4" s="85" t="s">
        <v>9673</v>
      </c>
      <c r="AB4" s="85" t="s">
        <v>9610</v>
      </c>
      <c r="AC4" s="85" t="s">
        <v>9671</v>
      </c>
      <c r="AD4" s="85" t="s">
        <v>9769</v>
      </c>
      <c r="AE4" s="85" t="s">
        <v>9770</v>
      </c>
      <c r="AF4" s="85">
        <v>2</v>
      </c>
      <c r="AG4" s="85">
        <v>1</v>
      </c>
      <c r="AH4" s="85">
        <v>1</v>
      </c>
      <c r="AI4" s="85">
        <v>1</v>
      </c>
      <c r="AJ4" s="85">
        <v>1</v>
      </c>
      <c r="AK4" s="85">
        <v>1</v>
      </c>
      <c r="AL4" s="85">
        <v>1</v>
      </c>
      <c r="AM4" s="85">
        <v>1</v>
      </c>
    </row>
    <row r="5" spans="1:50" x14ac:dyDescent="0.25">
      <c r="A5" s="121" t="s">
        <v>9692</v>
      </c>
      <c r="B5" s="1">
        <v>1</v>
      </c>
      <c r="C5" s="86" t="s">
        <v>8856</v>
      </c>
      <c r="D5" s="86" t="s">
        <v>8855</v>
      </c>
      <c r="E5" s="86" t="s">
        <v>8753</v>
      </c>
      <c r="F5" s="86" t="s">
        <v>8757</v>
      </c>
      <c r="G5" s="86" t="s">
        <v>8753</v>
      </c>
      <c r="H5" s="86" t="s">
        <v>8759</v>
      </c>
      <c r="I5" s="86" t="s">
        <v>8753</v>
      </c>
      <c r="J5" s="86" t="s">
        <v>8761</v>
      </c>
      <c r="U5" s="87">
        <v>0</v>
      </c>
      <c r="V5" s="87">
        <v>0</v>
      </c>
      <c r="W5" s="87">
        <v>0</v>
      </c>
      <c r="X5" s="87">
        <v>0</v>
      </c>
      <c r="Y5" s="85" t="s">
        <v>9692</v>
      </c>
      <c r="Z5" s="85" t="s">
        <v>9674</v>
      </c>
      <c r="AB5" s="85" t="s">
        <v>9610</v>
      </c>
      <c r="AC5" s="85" t="s">
        <v>9671</v>
      </c>
      <c r="AD5" s="85" t="s">
        <v>8855</v>
      </c>
      <c r="AE5" s="85" t="s">
        <v>9771</v>
      </c>
      <c r="AF5" s="85">
        <v>1</v>
      </c>
      <c r="AG5" s="85">
        <v>1</v>
      </c>
      <c r="AH5" s="85">
        <v>1</v>
      </c>
      <c r="AI5" s="85">
        <v>1</v>
      </c>
      <c r="AJ5" s="85">
        <v>1</v>
      </c>
    </row>
    <row r="6" spans="1:50" x14ac:dyDescent="0.25">
      <c r="A6" s="120" t="s">
        <v>9772</v>
      </c>
      <c r="B6" s="1">
        <v>1</v>
      </c>
      <c r="C6" s="23"/>
      <c r="D6" s="33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U6" s="87">
        <v>0</v>
      </c>
      <c r="V6" s="87">
        <v>0</v>
      </c>
      <c r="W6" s="87">
        <v>0</v>
      </c>
      <c r="X6" s="87">
        <v>0</v>
      </c>
      <c r="Y6" s="85" t="s">
        <v>9772</v>
      </c>
      <c r="Z6" s="85" t="s">
        <v>9676</v>
      </c>
      <c r="AB6" s="85" t="s">
        <v>9610</v>
      </c>
      <c r="AC6" s="85" t="s">
        <v>9671</v>
      </c>
      <c r="AD6" s="85" t="s">
        <v>9773</v>
      </c>
      <c r="AE6" s="85" t="s">
        <v>9774</v>
      </c>
      <c r="AF6" s="85">
        <v>1</v>
      </c>
    </row>
    <row r="7" spans="1:50" x14ac:dyDescent="0.25">
      <c r="A7" s="120" t="s">
        <v>9775</v>
      </c>
      <c r="B7" s="1">
        <v>1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23"/>
      <c r="P7" s="33"/>
      <c r="U7" s="87">
        <v>0</v>
      </c>
      <c r="V7" s="87">
        <v>0</v>
      </c>
      <c r="W7" s="87">
        <v>0</v>
      </c>
      <c r="X7" s="87">
        <v>0</v>
      </c>
      <c r="Y7" s="85" t="s">
        <v>9775</v>
      </c>
      <c r="Z7" s="85" t="s">
        <v>9678</v>
      </c>
      <c r="AB7" s="85" t="s">
        <v>9610</v>
      </c>
      <c r="AC7" s="85" t="s">
        <v>9671</v>
      </c>
      <c r="AD7" s="85" t="s">
        <v>9776</v>
      </c>
      <c r="AE7" s="85" t="s">
        <v>9777</v>
      </c>
      <c r="AF7" s="85">
        <v>1</v>
      </c>
    </row>
    <row r="8" spans="1:50" x14ac:dyDescent="0.25">
      <c r="A8" s="120" t="s">
        <v>9675</v>
      </c>
      <c r="B8" s="1">
        <v>1</v>
      </c>
      <c r="C8" s="23" t="s">
        <v>8781</v>
      </c>
      <c r="D8" s="33" t="s">
        <v>8657</v>
      </c>
      <c r="E8" s="119" t="s">
        <v>3744</v>
      </c>
      <c r="F8" s="119" t="s">
        <v>8780</v>
      </c>
      <c r="G8" s="119" t="s">
        <v>309</v>
      </c>
      <c r="H8" s="119" t="s">
        <v>8835</v>
      </c>
      <c r="I8" s="119" t="s">
        <v>309</v>
      </c>
      <c r="J8" s="119" t="s">
        <v>8884</v>
      </c>
      <c r="K8" s="86" t="s">
        <v>3744</v>
      </c>
      <c r="L8" s="86" t="s">
        <v>8677</v>
      </c>
      <c r="M8" s="86" t="s">
        <v>3744</v>
      </c>
      <c r="N8" s="86" t="s">
        <v>8783</v>
      </c>
      <c r="O8" s="86" t="s">
        <v>3744</v>
      </c>
      <c r="P8" s="86" t="s">
        <v>8785</v>
      </c>
      <c r="Q8" s="86" t="s">
        <v>309</v>
      </c>
      <c r="R8" s="86" t="s">
        <v>8878</v>
      </c>
      <c r="S8" s="86" t="s">
        <v>8781</v>
      </c>
      <c r="T8" s="86" t="s">
        <v>8797</v>
      </c>
      <c r="U8" s="87">
        <v>1</v>
      </c>
      <c r="V8" s="87">
        <v>2</v>
      </c>
      <c r="W8" s="87">
        <v>2</v>
      </c>
      <c r="X8" s="87">
        <v>0</v>
      </c>
      <c r="Y8" s="85" t="s">
        <v>9675</v>
      </c>
      <c r="Z8" s="85" t="s">
        <v>9679</v>
      </c>
      <c r="AB8" s="85" t="s">
        <v>9610</v>
      </c>
      <c r="AC8" s="85" t="s">
        <v>9671</v>
      </c>
      <c r="AD8" s="85" t="s">
        <v>9778</v>
      </c>
      <c r="AE8" s="85" t="s">
        <v>9779</v>
      </c>
      <c r="AF8" s="85">
        <v>2</v>
      </c>
      <c r="AG8" s="85">
        <v>1</v>
      </c>
      <c r="AH8" s="85">
        <v>1</v>
      </c>
      <c r="AI8" s="85">
        <v>1</v>
      </c>
      <c r="AJ8" s="85">
        <v>1</v>
      </c>
      <c r="AK8" s="85">
        <v>1</v>
      </c>
      <c r="AL8" s="85">
        <v>1</v>
      </c>
      <c r="AM8" s="85">
        <v>1</v>
      </c>
      <c r="AN8" s="85">
        <v>1</v>
      </c>
      <c r="AO8" s="85">
        <v>1</v>
      </c>
      <c r="AP8" s="85" t="s">
        <v>8781</v>
      </c>
      <c r="AQ8" s="85" t="s">
        <v>8616</v>
      </c>
      <c r="AR8" s="85">
        <v>1</v>
      </c>
    </row>
    <row r="9" spans="1:50" x14ac:dyDescent="0.25">
      <c r="A9" s="120" t="s">
        <v>9695</v>
      </c>
      <c r="B9" s="1">
        <v>1</v>
      </c>
      <c r="C9" s="23" t="s">
        <v>106</v>
      </c>
      <c r="D9" s="33" t="s">
        <v>8810</v>
      </c>
      <c r="E9" s="119" t="s">
        <v>309</v>
      </c>
      <c r="F9" s="119" t="s">
        <v>8880</v>
      </c>
      <c r="G9" s="119" t="s">
        <v>8826</v>
      </c>
      <c r="H9" s="119" t="s">
        <v>8820</v>
      </c>
      <c r="U9" s="87">
        <v>0</v>
      </c>
      <c r="V9" s="87">
        <v>0</v>
      </c>
      <c r="W9" s="87">
        <v>0</v>
      </c>
      <c r="X9" s="87">
        <v>0</v>
      </c>
      <c r="Y9" s="85" t="s">
        <v>9695</v>
      </c>
      <c r="Z9" s="85" t="s">
        <v>9681</v>
      </c>
      <c r="AB9" s="85" t="s">
        <v>9610</v>
      </c>
      <c r="AC9" s="85" t="s">
        <v>9671</v>
      </c>
      <c r="AD9" s="85" t="s">
        <v>9780</v>
      </c>
      <c r="AE9" s="85" t="s">
        <v>9781</v>
      </c>
      <c r="AF9" s="85">
        <v>1</v>
      </c>
      <c r="AG9" s="85">
        <v>1</v>
      </c>
      <c r="AH9" s="85">
        <v>1</v>
      </c>
      <c r="AI9" s="85">
        <v>1</v>
      </c>
    </row>
    <row r="10" spans="1:50" x14ac:dyDescent="0.25">
      <c r="A10" s="120" t="s">
        <v>9697</v>
      </c>
      <c r="B10" s="1">
        <v>1</v>
      </c>
      <c r="C10" s="23" t="s">
        <v>106</v>
      </c>
      <c r="D10" s="33" t="s">
        <v>8806</v>
      </c>
      <c r="E10" s="119" t="s">
        <v>309</v>
      </c>
      <c r="F10" s="119" t="s">
        <v>8882</v>
      </c>
      <c r="G10" s="119" t="s">
        <v>8826</v>
      </c>
      <c r="H10" s="119" t="s">
        <v>8822</v>
      </c>
      <c r="U10" s="87">
        <v>0</v>
      </c>
      <c r="V10" s="87">
        <v>0</v>
      </c>
      <c r="W10" s="87">
        <v>0</v>
      </c>
      <c r="X10" s="87">
        <v>0</v>
      </c>
      <c r="Y10" s="85" t="s">
        <v>9697</v>
      </c>
      <c r="Z10" s="85" t="s">
        <v>9683</v>
      </c>
      <c r="AB10" s="85" t="s">
        <v>9610</v>
      </c>
      <c r="AC10" s="85" t="s">
        <v>9671</v>
      </c>
      <c r="AD10" s="85" t="s">
        <v>9782</v>
      </c>
      <c r="AE10" s="85" t="s">
        <v>9783</v>
      </c>
      <c r="AF10" s="85">
        <v>1</v>
      </c>
      <c r="AG10" s="85">
        <v>1</v>
      </c>
      <c r="AH10" s="85">
        <v>1</v>
      </c>
      <c r="AI10" s="85">
        <v>1</v>
      </c>
    </row>
    <row r="11" spans="1:50" x14ac:dyDescent="0.25">
      <c r="A11" s="120" t="s">
        <v>9785</v>
      </c>
      <c r="B11" s="1">
        <v>1</v>
      </c>
      <c r="C11" s="119" t="s">
        <v>309</v>
      </c>
      <c r="D11" s="119" t="s">
        <v>9628</v>
      </c>
      <c r="E11" s="119" t="s">
        <v>8812</v>
      </c>
      <c r="F11" s="119" t="s">
        <v>9629</v>
      </c>
      <c r="G11" s="119" t="s">
        <v>309</v>
      </c>
      <c r="H11" s="119" t="s">
        <v>9784</v>
      </c>
      <c r="I11" s="119" t="s">
        <v>8843</v>
      </c>
      <c r="J11" s="119" t="s">
        <v>8851</v>
      </c>
      <c r="K11" s="119"/>
      <c r="L11" s="119"/>
      <c r="M11" s="119"/>
      <c r="N11" s="119"/>
      <c r="O11" s="23"/>
      <c r="P11" s="33"/>
      <c r="U11" s="87">
        <v>8</v>
      </c>
      <c r="V11" s="87">
        <v>8</v>
      </c>
      <c r="W11" s="87">
        <v>4</v>
      </c>
      <c r="X11" s="87">
        <v>0</v>
      </c>
      <c r="Y11" s="85" t="s">
        <v>9785</v>
      </c>
      <c r="Z11" s="85" t="s">
        <v>9685</v>
      </c>
      <c r="AB11" s="85" t="s">
        <v>9610</v>
      </c>
      <c r="AC11" s="85" t="s">
        <v>9671</v>
      </c>
      <c r="AD11" s="85" t="s">
        <v>9786</v>
      </c>
      <c r="AE11" s="85" t="s">
        <v>9787</v>
      </c>
      <c r="AF11" s="85">
        <v>2</v>
      </c>
      <c r="AG11" s="85">
        <v>1</v>
      </c>
      <c r="AH11" s="85">
        <v>1</v>
      </c>
      <c r="AI11" s="85">
        <v>1</v>
      </c>
      <c r="AJ11" s="85">
        <v>1</v>
      </c>
    </row>
    <row r="12" spans="1:50" x14ac:dyDescent="0.25">
      <c r="A12" s="120" t="s">
        <v>9788</v>
      </c>
      <c r="B12" s="1">
        <v>1</v>
      </c>
      <c r="C12" s="119" t="s">
        <v>3744</v>
      </c>
      <c r="D12" s="119" t="s">
        <v>8787</v>
      </c>
      <c r="E12" s="119" t="s">
        <v>309</v>
      </c>
      <c r="F12" s="119" t="s">
        <v>8878</v>
      </c>
      <c r="G12" s="119" t="s">
        <v>8781</v>
      </c>
      <c r="H12" s="119" t="s">
        <v>8797</v>
      </c>
      <c r="I12" s="119"/>
      <c r="J12" s="119"/>
      <c r="K12" s="119"/>
      <c r="L12" s="119"/>
      <c r="M12" s="119"/>
      <c r="N12" s="119"/>
      <c r="O12" s="23"/>
      <c r="P12" s="33"/>
      <c r="U12" s="87">
        <v>0</v>
      </c>
      <c r="V12" s="87">
        <v>1</v>
      </c>
      <c r="W12" s="87">
        <v>0</v>
      </c>
      <c r="X12" s="87">
        <v>0</v>
      </c>
      <c r="Y12" s="85" t="s">
        <v>9788</v>
      </c>
      <c r="Z12" s="85" t="s">
        <v>9687</v>
      </c>
      <c r="AB12" s="85" t="s">
        <v>9610</v>
      </c>
      <c r="AC12" s="85" t="s">
        <v>9671</v>
      </c>
      <c r="AD12" s="85" t="s">
        <v>9789</v>
      </c>
      <c r="AE12" s="85" t="s">
        <v>9790</v>
      </c>
      <c r="AF12" s="85">
        <v>1</v>
      </c>
      <c r="AG12" s="85">
        <v>1</v>
      </c>
      <c r="AH12" s="85">
        <v>1</v>
      </c>
      <c r="AI12" s="85">
        <v>1</v>
      </c>
    </row>
    <row r="13" spans="1:50" x14ac:dyDescent="0.25">
      <c r="A13" s="120" t="s">
        <v>9791</v>
      </c>
      <c r="B13" s="1">
        <v>1</v>
      </c>
      <c r="C13" s="119" t="s">
        <v>3744</v>
      </c>
      <c r="D13" s="119" t="s">
        <v>8804</v>
      </c>
      <c r="E13" s="119" t="s">
        <v>309</v>
      </c>
      <c r="F13" s="119" t="s">
        <v>8878</v>
      </c>
      <c r="G13" s="119" t="s">
        <v>8781</v>
      </c>
      <c r="H13" s="119" t="s">
        <v>8618</v>
      </c>
      <c r="I13" s="119" t="s">
        <v>8781</v>
      </c>
      <c r="J13" s="119" t="s">
        <v>8616</v>
      </c>
      <c r="K13" s="119"/>
      <c r="L13" s="119"/>
      <c r="M13" s="119"/>
      <c r="N13" s="119"/>
      <c r="O13" s="23"/>
      <c r="P13" s="33"/>
      <c r="U13" s="87">
        <v>1</v>
      </c>
      <c r="V13" s="87">
        <v>1</v>
      </c>
      <c r="W13" s="87">
        <v>0</v>
      </c>
      <c r="X13" s="87">
        <v>0</v>
      </c>
      <c r="Y13" s="85" t="s">
        <v>9791</v>
      </c>
      <c r="Z13" s="85" t="s">
        <v>9689</v>
      </c>
      <c r="AB13" s="85" t="s">
        <v>9610</v>
      </c>
      <c r="AC13" s="85" t="s">
        <v>9671</v>
      </c>
      <c r="AD13" s="85" t="s">
        <v>9792</v>
      </c>
      <c r="AE13" s="85" t="s">
        <v>9793</v>
      </c>
      <c r="AF13" s="85">
        <v>1</v>
      </c>
      <c r="AG13" s="85">
        <v>1</v>
      </c>
      <c r="AH13" s="85">
        <v>1</v>
      </c>
      <c r="AI13" s="85">
        <v>1</v>
      </c>
      <c r="AJ13" s="85">
        <v>1</v>
      </c>
    </row>
    <row r="14" spans="1:50" x14ac:dyDescent="0.25">
      <c r="A14" s="120" t="s">
        <v>9794</v>
      </c>
      <c r="B14" s="1">
        <v>1</v>
      </c>
      <c r="C14" s="119" t="s">
        <v>3744</v>
      </c>
      <c r="D14" s="119" t="s">
        <v>8791</v>
      </c>
      <c r="E14" s="119" t="s">
        <v>309</v>
      </c>
      <c r="F14" s="119" t="s">
        <v>8835</v>
      </c>
      <c r="G14" s="119" t="s">
        <v>309</v>
      </c>
      <c r="H14" s="119" t="s">
        <v>8791</v>
      </c>
      <c r="I14" s="119" t="s">
        <v>8781</v>
      </c>
      <c r="J14" s="119" t="s">
        <v>8618</v>
      </c>
      <c r="K14" s="119"/>
      <c r="L14" s="119"/>
      <c r="M14" s="119"/>
      <c r="N14" s="119"/>
      <c r="O14" s="23"/>
      <c r="P14" s="33"/>
      <c r="U14" s="87">
        <v>0</v>
      </c>
      <c r="V14" s="87">
        <v>1</v>
      </c>
      <c r="W14" s="87">
        <v>2</v>
      </c>
      <c r="X14" s="87">
        <v>0</v>
      </c>
      <c r="Y14" s="85" t="s">
        <v>9794</v>
      </c>
      <c r="Z14" s="85" t="s">
        <v>9691</v>
      </c>
      <c r="AB14" s="85" t="s">
        <v>9610</v>
      </c>
      <c r="AC14" s="85" t="s">
        <v>9671</v>
      </c>
      <c r="AD14" s="85" t="s">
        <v>9795</v>
      </c>
      <c r="AE14" s="85" t="s">
        <v>9796</v>
      </c>
      <c r="AF14" s="85">
        <v>1</v>
      </c>
      <c r="AG14" s="85">
        <v>1</v>
      </c>
      <c r="AH14" s="85">
        <v>1</v>
      </c>
      <c r="AI14" s="85">
        <v>1</v>
      </c>
      <c r="AJ14" s="85">
        <v>1</v>
      </c>
    </row>
    <row r="15" spans="1:50" x14ac:dyDescent="0.25">
      <c r="A15" s="120" t="s">
        <v>9797</v>
      </c>
      <c r="B15" s="1">
        <v>1</v>
      </c>
      <c r="C15" s="23" t="s">
        <v>3744</v>
      </c>
      <c r="D15" s="33" t="s">
        <v>8787</v>
      </c>
      <c r="E15" s="119" t="s">
        <v>309</v>
      </c>
      <c r="F15" s="119" t="s">
        <v>8878</v>
      </c>
      <c r="G15" s="119" t="s">
        <v>8781</v>
      </c>
      <c r="H15" s="119" t="s">
        <v>8797</v>
      </c>
      <c r="I15" s="119" t="s">
        <v>8781</v>
      </c>
      <c r="J15" s="119" t="s">
        <v>8618</v>
      </c>
      <c r="U15" s="87">
        <v>0</v>
      </c>
      <c r="V15" s="87">
        <v>1</v>
      </c>
      <c r="W15" s="87">
        <v>0</v>
      </c>
      <c r="X15" s="87">
        <v>0</v>
      </c>
      <c r="Y15" s="85" t="s">
        <v>9797</v>
      </c>
      <c r="Z15" s="85" t="s">
        <v>9693</v>
      </c>
      <c r="AB15" s="85" t="s">
        <v>9610</v>
      </c>
      <c r="AC15" s="85" t="s">
        <v>9671</v>
      </c>
      <c r="AD15" s="85" t="s">
        <v>9798</v>
      </c>
      <c r="AE15" s="85" t="s">
        <v>9799</v>
      </c>
      <c r="AF15" s="85">
        <v>1</v>
      </c>
      <c r="AG15" s="85">
        <v>1</v>
      </c>
      <c r="AH15" s="85">
        <v>1</v>
      </c>
      <c r="AI15" s="85">
        <v>1</v>
      </c>
      <c r="AJ15" s="85">
        <v>1</v>
      </c>
    </row>
    <row r="16" spans="1:50" x14ac:dyDescent="0.25">
      <c r="A16" s="120" t="s">
        <v>9680</v>
      </c>
      <c r="B16" s="1">
        <v>1</v>
      </c>
      <c r="C16" s="23" t="s">
        <v>3744</v>
      </c>
      <c r="D16" s="33" t="s">
        <v>8785</v>
      </c>
      <c r="E16" s="86" t="s">
        <v>309</v>
      </c>
      <c r="F16" s="86" t="s">
        <v>8878</v>
      </c>
      <c r="G16" s="86" t="s">
        <v>8781</v>
      </c>
      <c r="H16" s="86" t="s">
        <v>8797</v>
      </c>
      <c r="I16" s="86" t="s">
        <v>309</v>
      </c>
      <c r="J16" s="86" t="s">
        <v>9663</v>
      </c>
      <c r="U16" s="87">
        <v>0</v>
      </c>
      <c r="V16" s="87">
        <v>2</v>
      </c>
      <c r="W16" s="87">
        <v>0</v>
      </c>
      <c r="X16" s="87">
        <v>0</v>
      </c>
      <c r="Y16" s="85" t="s">
        <v>9680</v>
      </c>
      <c r="Z16" s="85" t="s">
        <v>9694</v>
      </c>
      <c r="AB16" s="85" t="s">
        <v>9610</v>
      </c>
      <c r="AC16" s="85" t="s">
        <v>9671</v>
      </c>
      <c r="AD16" s="85" t="s">
        <v>9800</v>
      </c>
      <c r="AE16" s="85" t="s">
        <v>9801</v>
      </c>
      <c r="AF16" s="85">
        <v>1</v>
      </c>
      <c r="AG16" s="85">
        <v>1</v>
      </c>
      <c r="AH16" s="85">
        <v>1</v>
      </c>
      <c r="AI16" s="85">
        <v>1</v>
      </c>
      <c r="AJ16" s="85">
        <v>1</v>
      </c>
    </row>
    <row r="17" spans="1:39" x14ac:dyDescent="0.25">
      <c r="A17" s="120" t="s">
        <v>9802</v>
      </c>
      <c r="B17" s="1">
        <v>1</v>
      </c>
      <c r="C17" s="86" t="s">
        <v>3744</v>
      </c>
      <c r="D17" s="86" t="s">
        <v>8787</v>
      </c>
      <c r="E17" s="86" t="s">
        <v>309</v>
      </c>
      <c r="F17" s="86" t="s">
        <v>8878</v>
      </c>
      <c r="G17" s="86" t="s">
        <v>8781</v>
      </c>
      <c r="H17" s="86" t="s">
        <v>8797</v>
      </c>
      <c r="I17" s="86" t="s">
        <v>8781</v>
      </c>
      <c r="J17" s="86" t="s">
        <v>8618</v>
      </c>
      <c r="U17" s="87">
        <v>0</v>
      </c>
      <c r="V17" s="87">
        <v>1</v>
      </c>
      <c r="W17" s="87">
        <v>0</v>
      </c>
      <c r="X17" s="87">
        <v>0</v>
      </c>
      <c r="Y17" s="85" t="s">
        <v>9802</v>
      </c>
      <c r="Z17" s="85" t="s">
        <v>9696</v>
      </c>
      <c r="AB17" s="85" t="s">
        <v>9610</v>
      </c>
      <c r="AC17" s="85" t="s">
        <v>9671</v>
      </c>
      <c r="AD17" s="85" t="s">
        <v>9803</v>
      </c>
      <c r="AE17" s="85" t="s">
        <v>9804</v>
      </c>
      <c r="AF17" s="85">
        <v>1</v>
      </c>
      <c r="AG17" s="85">
        <v>1</v>
      </c>
      <c r="AH17" s="85">
        <v>1</v>
      </c>
      <c r="AI17" s="85">
        <v>1</v>
      </c>
      <c r="AJ17" s="85">
        <v>1</v>
      </c>
    </row>
    <row r="18" spans="1:39" x14ac:dyDescent="0.25">
      <c r="A18" s="120" t="s">
        <v>9699</v>
      </c>
      <c r="B18" s="1">
        <v>1</v>
      </c>
      <c r="C18" s="86" t="s">
        <v>3744</v>
      </c>
      <c r="D18" s="86" t="s">
        <v>8804</v>
      </c>
      <c r="E18" s="86" t="s">
        <v>8781</v>
      </c>
      <c r="F18" s="86" t="s">
        <v>8618</v>
      </c>
      <c r="G18" s="86" t="s">
        <v>309</v>
      </c>
      <c r="H18" s="86" t="s">
        <v>8878</v>
      </c>
      <c r="I18" s="86" t="s">
        <v>309</v>
      </c>
      <c r="J18" s="86" t="s">
        <v>8828</v>
      </c>
      <c r="K18" s="86" t="s">
        <v>8826</v>
      </c>
      <c r="L18" s="86" t="s">
        <v>9640</v>
      </c>
      <c r="U18" s="87">
        <v>1</v>
      </c>
      <c r="V18" s="87">
        <v>1</v>
      </c>
      <c r="W18" s="87">
        <v>0</v>
      </c>
      <c r="X18" s="87">
        <v>0</v>
      </c>
      <c r="Y18" s="85" t="s">
        <v>9699</v>
      </c>
      <c r="Z18" s="85" t="s">
        <v>9698</v>
      </c>
      <c r="AB18" s="85" t="s">
        <v>9610</v>
      </c>
      <c r="AC18" s="85" t="s">
        <v>9671</v>
      </c>
      <c r="AD18" s="85" t="s">
        <v>9805</v>
      </c>
      <c r="AE18" s="85" t="s">
        <v>9806</v>
      </c>
      <c r="AF18" s="85">
        <v>2</v>
      </c>
      <c r="AG18" s="85">
        <v>1</v>
      </c>
      <c r="AH18" s="85">
        <v>1</v>
      </c>
      <c r="AI18" s="85">
        <v>1</v>
      </c>
      <c r="AJ18" s="85">
        <v>1</v>
      </c>
      <c r="AK18" s="85">
        <v>1</v>
      </c>
    </row>
    <row r="19" spans="1:39" x14ac:dyDescent="0.25">
      <c r="A19" s="120" t="s">
        <v>9807</v>
      </c>
      <c r="B19" s="1">
        <v>1</v>
      </c>
      <c r="C19" s="86" t="s">
        <v>309</v>
      </c>
      <c r="D19" s="86" t="s">
        <v>8828</v>
      </c>
      <c r="E19" s="86" t="s">
        <v>309</v>
      </c>
      <c r="F19" s="86" t="s">
        <v>8971</v>
      </c>
      <c r="G19" s="86" t="s">
        <v>309</v>
      </c>
      <c r="H19" s="86" t="s">
        <v>8886</v>
      </c>
      <c r="I19" s="86" t="s">
        <v>344</v>
      </c>
      <c r="J19" s="86" t="s">
        <v>8898</v>
      </c>
      <c r="U19" s="87">
        <v>0</v>
      </c>
      <c r="V19" s="87">
        <v>0</v>
      </c>
      <c r="W19" s="87">
        <v>0</v>
      </c>
      <c r="X19" s="87">
        <v>0</v>
      </c>
      <c r="Y19" s="85" t="s">
        <v>9807</v>
      </c>
      <c r="Z19" s="85" t="s">
        <v>9700</v>
      </c>
      <c r="AB19" s="85" t="s">
        <v>9610</v>
      </c>
      <c r="AC19" s="85" t="s">
        <v>9671</v>
      </c>
      <c r="AD19" s="85" t="s">
        <v>9808</v>
      </c>
      <c r="AE19" s="85" t="s">
        <v>9809</v>
      </c>
      <c r="AF19" s="85">
        <v>1</v>
      </c>
      <c r="AG19" s="85">
        <v>1</v>
      </c>
      <c r="AH19" s="85">
        <v>1</v>
      </c>
      <c r="AI19" s="85">
        <v>1</v>
      </c>
      <c r="AJ19" s="85">
        <v>1</v>
      </c>
    </row>
    <row r="20" spans="1:39" x14ac:dyDescent="0.25">
      <c r="A20" s="120" t="s">
        <v>9701</v>
      </c>
      <c r="B20" s="1">
        <v>1</v>
      </c>
      <c r="C20" s="86" t="s">
        <v>309</v>
      </c>
      <c r="D20" s="86" t="s">
        <v>9628</v>
      </c>
      <c r="E20" s="86" t="s">
        <v>8812</v>
      </c>
      <c r="F20" s="86" t="s">
        <v>9629</v>
      </c>
      <c r="U20" s="87">
        <v>4</v>
      </c>
      <c r="V20" s="87">
        <v>6</v>
      </c>
      <c r="W20" s="87">
        <v>4</v>
      </c>
      <c r="X20" s="87">
        <v>0</v>
      </c>
      <c r="Y20" s="85" t="s">
        <v>9701</v>
      </c>
      <c r="Z20" s="85" t="s">
        <v>9702</v>
      </c>
      <c r="AB20" s="85" t="s">
        <v>9610</v>
      </c>
      <c r="AC20" s="85" t="s">
        <v>9671</v>
      </c>
      <c r="AD20" s="85" t="s">
        <v>9810</v>
      </c>
      <c r="AE20" s="85" t="s">
        <v>9811</v>
      </c>
      <c r="AF20" s="85">
        <v>1</v>
      </c>
      <c r="AG20" s="85">
        <v>1</v>
      </c>
      <c r="AH20" s="85">
        <v>1</v>
      </c>
    </row>
    <row r="21" spans="1:39" x14ac:dyDescent="0.25">
      <c r="A21" s="120" t="s">
        <v>9703</v>
      </c>
      <c r="B21" s="1">
        <v>1</v>
      </c>
      <c r="C21" s="23" t="s">
        <v>8843</v>
      </c>
      <c r="D21" s="23" t="s">
        <v>8851</v>
      </c>
      <c r="U21" s="87">
        <v>4</v>
      </c>
      <c r="V21" s="87">
        <v>2</v>
      </c>
      <c r="W21" s="87">
        <v>0</v>
      </c>
      <c r="X21" s="87">
        <v>0</v>
      </c>
      <c r="Y21" s="85" t="s">
        <v>9703</v>
      </c>
      <c r="Z21" s="85" t="s">
        <v>9704</v>
      </c>
      <c r="AB21" s="85" t="s">
        <v>9610</v>
      </c>
      <c r="AC21" s="85" t="s">
        <v>9671</v>
      </c>
      <c r="AD21" s="85" t="s">
        <v>9812</v>
      </c>
      <c r="AE21" s="85" t="s">
        <v>9813</v>
      </c>
      <c r="AF21" s="85">
        <v>1</v>
      </c>
      <c r="AG21" s="85">
        <v>1</v>
      </c>
    </row>
    <row r="22" spans="1:39" x14ac:dyDescent="0.25">
      <c r="A22" s="120" t="s">
        <v>9682</v>
      </c>
      <c r="B22" s="1">
        <v>1</v>
      </c>
      <c r="U22" s="87">
        <v>0</v>
      </c>
      <c r="V22" s="87">
        <v>3</v>
      </c>
      <c r="W22" s="87">
        <v>0</v>
      </c>
      <c r="X22" s="87">
        <v>0</v>
      </c>
      <c r="Y22" s="85" t="s">
        <v>9682</v>
      </c>
      <c r="Z22" s="85" t="s">
        <v>9705</v>
      </c>
      <c r="AB22" s="85" t="s">
        <v>9610</v>
      </c>
      <c r="AC22" s="85" t="s">
        <v>9671</v>
      </c>
      <c r="AD22" s="85" t="s">
        <v>9814</v>
      </c>
      <c r="AE22" s="85" t="s">
        <v>9815</v>
      </c>
      <c r="AF22" s="85">
        <v>1</v>
      </c>
    </row>
    <row r="23" spans="1:39" x14ac:dyDescent="0.25">
      <c r="A23" s="120" t="s">
        <v>9677</v>
      </c>
      <c r="B23" s="1">
        <v>1</v>
      </c>
      <c r="C23" s="12" t="s">
        <v>405</v>
      </c>
      <c r="D23" s="86">
        <v>1830600</v>
      </c>
      <c r="E23" s="86" t="s">
        <v>405</v>
      </c>
      <c r="F23" s="86">
        <v>28231449</v>
      </c>
      <c r="G23" s="86" t="s">
        <v>405</v>
      </c>
      <c r="H23" s="86">
        <v>18123864</v>
      </c>
      <c r="I23" s="86" t="s">
        <v>405</v>
      </c>
      <c r="J23" s="86">
        <v>25643517</v>
      </c>
      <c r="K23" s="86" t="s">
        <v>405</v>
      </c>
      <c r="L23" s="86" t="s">
        <v>8916</v>
      </c>
      <c r="M23" s="86" t="s">
        <v>405</v>
      </c>
      <c r="N23" s="86" t="s">
        <v>8913</v>
      </c>
      <c r="O23" s="86" t="s">
        <v>405</v>
      </c>
      <c r="P23" s="86" t="s">
        <v>8907</v>
      </c>
      <c r="U23" s="87">
        <v>0</v>
      </c>
      <c r="V23" s="87">
        <v>0</v>
      </c>
      <c r="W23" s="87">
        <v>0</v>
      </c>
      <c r="X23" s="87">
        <v>2</v>
      </c>
      <c r="Y23" s="85" t="s">
        <v>9677</v>
      </c>
      <c r="AB23" s="85" t="s">
        <v>9610</v>
      </c>
      <c r="AC23" s="85" t="s">
        <v>9671</v>
      </c>
      <c r="AD23" s="85" t="s">
        <v>9816</v>
      </c>
      <c r="AE23" s="85" t="s">
        <v>9817</v>
      </c>
      <c r="AF23" s="85">
        <v>1</v>
      </c>
      <c r="AG23" s="85">
        <v>1</v>
      </c>
      <c r="AH23" s="85">
        <v>1</v>
      </c>
      <c r="AI23" s="85">
        <v>1</v>
      </c>
      <c r="AJ23" s="85">
        <v>1</v>
      </c>
      <c r="AK23" s="85">
        <v>1</v>
      </c>
      <c r="AL23" s="85">
        <v>1</v>
      </c>
      <c r="AM23" s="85">
        <v>1</v>
      </c>
    </row>
    <row r="24" spans="1:39" x14ac:dyDescent="0.25">
      <c r="A24" s="120" t="s">
        <v>9684</v>
      </c>
      <c r="B24" s="1">
        <v>1</v>
      </c>
      <c r="C24" s="12" t="s">
        <v>405</v>
      </c>
      <c r="D24" s="86">
        <v>1830600</v>
      </c>
      <c r="E24" s="86" t="s">
        <v>405</v>
      </c>
      <c r="F24" s="86">
        <v>28231449</v>
      </c>
      <c r="G24" s="86" t="s">
        <v>405</v>
      </c>
      <c r="H24" s="86">
        <v>18123864</v>
      </c>
      <c r="I24" s="86" t="s">
        <v>405</v>
      </c>
      <c r="J24" s="86">
        <v>25643517</v>
      </c>
      <c r="K24" s="86" t="s">
        <v>405</v>
      </c>
      <c r="L24" s="86" t="s">
        <v>8916</v>
      </c>
      <c r="M24" s="86" t="s">
        <v>405</v>
      </c>
      <c r="N24" s="86" t="s">
        <v>8913</v>
      </c>
      <c r="O24" s="86" t="s">
        <v>405</v>
      </c>
      <c r="P24" s="86" t="s">
        <v>8987</v>
      </c>
      <c r="U24" s="87">
        <v>0</v>
      </c>
      <c r="V24" s="87">
        <v>0</v>
      </c>
      <c r="W24" s="87">
        <v>0</v>
      </c>
      <c r="X24" s="87">
        <v>2</v>
      </c>
      <c r="Y24" s="85" t="s">
        <v>9684</v>
      </c>
      <c r="AB24" s="85" t="s">
        <v>9610</v>
      </c>
      <c r="AC24" s="85" t="s">
        <v>9671</v>
      </c>
      <c r="AD24" s="85" t="s">
        <v>9818</v>
      </c>
      <c r="AE24" s="85" t="s">
        <v>9819</v>
      </c>
      <c r="AF24" s="85">
        <v>1</v>
      </c>
      <c r="AG24" s="85">
        <v>1</v>
      </c>
      <c r="AH24" s="85">
        <v>1</v>
      </c>
      <c r="AI24" s="85">
        <v>1</v>
      </c>
      <c r="AJ24" s="85">
        <v>1</v>
      </c>
      <c r="AK24" s="85">
        <v>1</v>
      </c>
      <c r="AL24" s="85">
        <v>1</v>
      </c>
      <c r="AM24" s="85">
        <v>1</v>
      </c>
    </row>
    <row r="25" spans="1:39" x14ac:dyDescent="0.25">
      <c r="A25" s="120" t="s">
        <v>9686</v>
      </c>
      <c r="B25" s="1">
        <v>1</v>
      </c>
      <c r="C25" s="12" t="s">
        <v>405</v>
      </c>
      <c r="D25" s="86">
        <v>1830600</v>
      </c>
      <c r="E25" s="86" t="s">
        <v>405</v>
      </c>
      <c r="F25" s="86">
        <v>28231449</v>
      </c>
      <c r="G25" s="86" t="s">
        <v>405</v>
      </c>
      <c r="H25" s="86">
        <v>18123864</v>
      </c>
      <c r="I25" s="86" t="s">
        <v>405</v>
      </c>
      <c r="J25" s="86">
        <v>25643517</v>
      </c>
      <c r="K25" s="86" t="s">
        <v>405</v>
      </c>
      <c r="L25" s="86" t="s">
        <v>8916</v>
      </c>
      <c r="M25" s="86" t="s">
        <v>405</v>
      </c>
      <c r="N25" s="86" t="s">
        <v>8913</v>
      </c>
      <c r="O25" s="86" t="s">
        <v>405</v>
      </c>
      <c r="P25" s="86" t="s">
        <v>8985</v>
      </c>
      <c r="U25" s="87">
        <v>0</v>
      </c>
      <c r="V25" s="87">
        <v>0</v>
      </c>
      <c r="W25" s="87">
        <v>0</v>
      </c>
      <c r="X25" s="87">
        <v>2</v>
      </c>
      <c r="Y25" s="85" t="s">
        <v>9686</v>
      </c>
      <c r="AB25" s="85" t="s">
        <v>9610</v>
      </c>
      <c r="AC25" s="85" t="s">
        <v>9671</v>
      </c>
      <c r="AD25" s="85" t="s">
        <v>9820</v>
      </c>
      <c r="AE25" s="85" t="s">
        <v>9821</v>
      </c>
      <c r="AF25" s="85">
        <v>1</v>
      </c>
      <c r="AG25" s="85">
        <v>1</v>
      </c>
      <c r="AH25" s="85">
        <v>1</v>
      </c>
      <c r="AI25" s="85">
        <v>1</v>
      </c>
      <c r="AJ25" s="85">
        <v>1</v>
      </c>
      <c r="AK25" s="85">
        <v>1</v>
      </c>
      <c r="AL25" s="85">
        <v>1</v>
      </c>
      <c r="AM25" s="85">
        <v>1</v>
      </c>
    </row>
    <row r="26" spans="1:39" x14ac:dyDescent="0.25">
      <c r="A26" s="120" t="s">
        <v>9688</v>
      </c>
      <c r="B26" s="1">
        <v>1</v>
      </c>
      <c r="C26" s="12" t="s">
        <v>405</v>
      </c>
      <c r="D26" s="86">
        <v>1830600</v>
      </c>
      <c r="E26" s="86" t="s">
        <v>405</v>
      </c>
      <c r="F26" s="86">
        <v>28231449</v>
      </c>
      <c r="G26" s="86" t="s">
        <v>405</v>
      </c>
      <c r="H26" s="86">
        <v>18123864</v>
      </c>
      <c r="I26" s="86" t="s">
        <v>405</v>
      </c>
      <c r="J26" s="86">
        <v>25643517</v>
      </c>
      <c r="K26" s="86" t="s">
        <v>405</v>
      </c>
      <c r="L26" s="86" t="s">
        <v>8916</v>
      </c>
      <c r="M26" s="86" t="s">
        <v>405</v>
      </c>
      <c r="N26" s="86" t="s">
        <v>8913</v>
      </c>
      <c r="O26" s="86" t="s">
        <v>405</v>
      </c>
      <c r="P26" s="86" t="s">
        <v>9626</v>
      </c>
      <c r="U26" s="87">
        <v>0</v>
      </c>
      <c r="V26" s="87">
        <v>0</v>
      </c>
      <c r="W26" s="87">
        <v>0</v>
      </c>
      <c r="X26" s="87">
        <v>2</v>
      </c>
      <c r="Y26" s="85" t="s">
        <v>9688</v>
      </c>
      <c r="AB26" s="85" t="s">
        <v>9610</v>
      </c>
      <c r="AC26" s="85" t="s">
        <v>9671</v>
      </c>
      <c r="AD26" s="85" t="s">
        <v>9822</v>
      </c>
      <c r="AE26" s="85" t="s">
        <v>9823</v>
      </c>
      <c r="AF26" s="85">
        <v>1</v>
      </c>
      <c r="AG26" s="85">
        <v>1</v>
      </c>
      <c r="AH26" s="85">
        <v>1</v>
      </c>
      <c r="AI26" s="85">
        <v>1</v>
      </c>
      <c r="AJ26" s="85">
        <v>1</v>
      </c>
      <c r="AK26" s="85">
        <v>1</v>
      </c>
      <c r="AL26" s="85">
        <v>1</v>
      </c>
      <c r="AM26" s="85">
        <v>1</v>
      </c>
    </row>
    <row r="27" spans="1:39" x14ac:dyDescent="0.25">
      <c r="A27" s="120" t="s">
        <v>9690</v>
      </c>
      <c r="B27" s="1">
        <v>1</v>
      </c>
      <c r="C27" s="12" t="s">
        <v>405</v>
      </c>
      <c r="D27" s="86">
        <v>1830600</v>
      </c>
      <c r="E27" s="86" t="s">
        <v>405</v>
      </c>
      <c r="F27" s="86">
        <v>28231449</v>
      </c>
      <c r="G27" s="86" t="s">
        <v>405</v>
      </c>
      <c r="H27" s="86">
        <v>18123864</v>
      </c>
      <c r="I27" s="86" t="s">
        <v>405</v>
      </c>
      <c r="J27" s="86">
        <v>25643517</v>
      </c>
      <c r="K27" s="86" t="s">
        <v>405</v>
      </c>
      <c r="L27" s="86" t="s">
        <v>8916</v>
      </c>
      <c r="M27" s="86" t="s">
        <v>405</v>
      </c>
      <c r="N27" s="86" t="s">
        <v>8913</v>
      </c>
      <c r="O27" s="86" t="s">
        <v>405</v>
      </c>
      <c r="P27" s="86" t="s">
        <v>9627</v>
      </c>
      <c r="U27" s="87">
        <v>0</v>
      </c>
      <c r="V27" s="87">
        <v>0</v>
      </c>
      <c r="W27" s="87">
        <v>0</v>
      </c>
      <c r="X27" s="87">
        <v>2</v>
      </c>
      <c r="Y27" s="85" t="s">
        <v>9690</v>
      </c>
      <c r="AB27" s="85" t="s">
        <v>9610</v>
      </c>
      <c r="AC27" s="85" t="s">
        <v>9671</v>
      </c>
      <c r="AD27" s="85" t="s">
        <v>9824</v>
      </c>
      <c r="AE27" s="85" t="s">
        <v>9825</v>
      </c>
      <c r="AF27" s="85">
        <v>1</v>
      </c>
      <c r="AG27" s="85">
        <v>1</v>
      </c>
      <c r="AH27" s="85">
        <v>1</v>
      </c>
      <c r="AI27" s="85">
        <v>1</v>
      </c>
      <c r="AJ27" s="85">
        <v>1</v>
      </c>
      <c r="AK27" s="85">
        <v>1</v>
      </c>
      <c r="AL27" s="85">
        <v>1</v>
      </c>
      <c r="AM27" s="85">
        <v>1</v>
      </c>
    </row>
    <row r="28" spans="1:39" x14ac:dyDescent="0.25">
      <c r="A28" s="120" t="s">
        <v>9828</v>
      </c>
      <c r="B28" s="1">
        <v>1</v>
      </c>
      <c r="C28" s="12" t="s">
        <v>405</v>
      </c>
      <c r="D28" s="86" t="s">
        <v>9826</v>
      </c>
      <c r="E28" s="86" t="s">
        <v>405</v>
      </c>
      <c r="F28" s="86" t="s">
        <v>8916</v>
      </c>
      <c r="G28" s="86" t="s">
        <v>405</v>
      </c>
      <c r="H28" s="86" t="s">
        <v>9827</v>
      </c>
      <c r="I28" s="86" t="s">
        <v>405</v>
      </c>
      <c r="J28" s="86">
        <v>25643517</v>
      </c>
      <c r="K28" s="86" t="s">
        <v>405</v>
      </c>
      <c r="L28" s="86">
        <v>28231449</v>
      </c>
      <c r="M28" s="86" t="s">
        <v>8977</v>
      </c>
      <c r="N28" s="86">
        <v>28238133</v>
      </c>
      <c r="O28" s="86" t="s">
        <v>405</v>
      </c>
      <c r="P28" s="86">
        <v>18123864</v>
      </c>
      <c r="U28" s="87">
        <v>0</v>
      </c>
      <c r="V28" s="87">
        <v>0</v>
      </c>
      <c r="W28" s="87">
        <v>0</v>
      </c>
      <c r="X28" s="87">
        <v>2</v>
      </c>
      <c r="Y28" s="85" t="s">
        <v>9828</v>
      </c>
      <c r="AB28" s="85" t="s">
        <v>9610</v>
      </c>
      <c r="AC28" s="85" t="s">
        <v>9671</v>
      </c>
      <c r="AD28" s="85" t="s">
        <v>9829</v>
      </c>
      <c r="AE28" s="85" t="s">
        <v>9830</v>
      </c>
      <c r="AF28" s="85">
        <v>1</v>
      </c>
      <c r="AG28" s="85">
        <v>1</v>
      </c>
      <c r="AH28" s="85">
        <v>1</v>
      </c>
      <c r="AI28" s="85">
        <v>1</v>
      </c>
      <c r="AJ28" s="85">
        <v>1</v>
      </c>
      <c r="AK28" s="85">
        <v>1</v>
      </c>
      <c r="AL28" s="85">
        <v>1</v>
      </c>
      <c r="AM28" s="85">
        <v>1</v>
      </c>
    </row>
    <row r="29" spans="1:39" x14ac:dyDescent="0.25">
      <c r="A29" s="120" t="s">
        <v>9832</v>
      </c>
      <c r="B29" s="1">
        <v>1</v>
      </c>
      <c r="C29" s="12" t="s">
        <v>405</v>
      </c>
      <c r="D29" s="86" t="s">
        <v>8916</v>
      </c>
      <c r="E29" s="86" t="s">
        <v>405</v>
      </c>
      <c r="F29" s="86" t="s">
        <v>9827</v>
      </c>
      <c r="G29" s="86" t="s">
        <v>405</v>
      </c>
      <c r="H29" s="86">
        <v>25643517</v>
      </c>
      <c r="I29" s="86" t="s">
        <v>405</v>
      </c>
      <c r="J29" s="86">
        <v>28231449</v>
      </c>
      <c r="K29" s="86" t="s">
        <v>8977</v>
      </c>
      <c r="L29" s="86">
        <v>28238133</v>
      </c>
      <c r="M29" s="86" t="s">
        <v>405</v>
      </c>
      <c r="N29" s="86">
        <v>18123864</v>
      </c>
      <c r="O29" s="86" t="s">
        <v>405</v>
      </c>
      <c r="P29" s="86" t="s">
        <v>9831</v>
      </c>
      <c r="U29" s="87">
        <v>0</v>
      </c>
      <c r="V29" s="87">
        <v>0</v>
      </c>
      <c r="W29" s="87">
        <v>0</v>
      </c>
      <c r="X29" s="87">
        <v>0</v>
      </c>
      <c r="Y29" s="85" t="s">
        <v>9832</v>
      </c>
      <c r="AB29" s="85" t="s">
        <v>9610</v>
      </c>
      <c r="AC29" s="85" t="s">
        <v>9671</v>
      </c>
      <c r="AD29" s="85" t="s">
        <v>9833</v>
      </c>
      <c r="AE29" s="85" t="s">
        <v>9834</v>
      </c>
      <c r="AF29" s="85">
        <v>1</v>
      </c>
      <c r="AG29" s="85">
        <v>1</v>
      </c>
      <c r="AH29" s="85">
        <v>1</v>
      </c>
      <c r="AI29" s="85">
        <v>1</v>
      </c>
      <c r="AJ29" s="85">
        <v>1</v>
      </c>
      <c r="AK29" s="85">
        <v>1</v>
      </c>
      <c r="AL29" s="85">
        <v>1</v>
      </c>
      <c r="AM29" s="85">
        <v>1</v>
      </c>
    </row>
    <row r="30" spans="1:39" x14ac:dyDescent="0.25">
      <c r="A30" s="120" t="s">
        <v>9836</v>
      </c>
      <c r="B30" s="1">
        <v>1</v>
      </c>
      <c r="C30" s="12" t="s">
        <v>405</v>
      </c>
      <c r="D30" s="86" t="s">
        <v>8916</v>
      </c>
      <c r="E30" s="86" t="s">
        <v>405</v>
      </c>
      <c r="F30" s="86" t="s">
        <v>9827</v>
      </c>
      <c r="G30" s="86" t="s">
        <v>405</v>
      </c>
      <c r="H30" s="86">
        <v>25643517</v>
      </c>
      <c r="I30" s="86" t="s">
        <v>405</v>
      </c>
      <c r="J30" s="86">
        <v>28231449</v>
      </c>
      <c r="K30" s="86" t="s">
        <v>8977</v>
      </c>
      <c r="L30" s="86">
        <v>28238133</v>
      </c>
      <c r="M30" s="86" t="s">
        <v>405</v>
      </c>
      <c r="N30" s="86">
        <v>18123864</v>
      </c>
      <c r="O30" s="86" t="s">
        <v>405</v>
      </c>
      <c r="P30" s="86" t="s">
        <v>9835</v>
      </c>
      <c r="U30" s="87">
        <v>0</v>
      </c>
      <c r="V30" s="87">
        <v>0</v>
      </c>
      <c r="W30" s="87">
        <v>0</v>
      </c>
      <c r="X30" s="87">
        <v>0</v>
      </c>
      <c r="Y30" s="85" t="s">
        <v>9836</v>
      </c>
      <c r="AB30" s="85" t="s">
        <v>9610</v>
      </c>
      <c r="AC30" s="85" t="s">
        <v>9671</v>
      </c>
      <c r="AD30" s="85" t="s">
        <v>9837</v>
      </c>
      <c r="AE30" s="85" t="s">
        <v>9838</v>
      </c>
      <c r="AF30" s="85">
        <v>1</v>
      </c>
      <c r="AG30" s="85">
        <v>1</v>
      </c>
      <c r="AH30" s="85">
        <v>1</v>
      </c>
      <c r="AI30" s="85">
        <v>1</v>
      </c>
      <c r="AJ30" s="85">
        <v>1</v>
      </c>
      <c r="AK30" s="85">
        <v>1</v>
      </c>
      <c r="AL30" s="85">
        <v>1</v>
      </c>
      <c r="AM30" s="85">
        <v>1</v>
      </c>
    </row>
    <row r="31" spans="1:39" x14ac:dyDescent="0.25">
      <c r="A31" s="120" t="s">
        <v>9840</v>
      </c>
      <c r="B31" s="1">
        <v>1</v>
      </c>
      <c r="C31" s="12" t="s">
        <v>405</v>
      </c>
      <c r="D31" s="86" t="s">
        <v>8916</v>
      </c>
      <c r="E31" s="86" t="s">
        <v>405</v>
      </c>
      <c r="F31" s="86" t="s">
        <v>9827</v>
      </c>
      <c r="G31" s="86" t="s">
        <v>405</v>
      </c>
      <c r="H31" s="86">
        <v>25643517</v>
      </c>
      <c r="I31" s="86" t="s">
        <v>405</v>
      </c>
      <c r="J31" s="86">
        <v>28231449</v>
      </c>
      <c r="K31" s="86" t="s">
        <v>8977</v>
      </c>
      <c r="L31" s="86">
        <v>28238133</v>
      </c>
      <c r="M31" s="86" t="s">
        <v>405</v>
      </c>
      <c r="N31" s="86">
        <v>18123864</v>
      </c>
      <c r="O31" s="86" t="s">
        <v>405</v>
      </c>
      <c r="P31" s="86" t="s">
        <v>9839</v>
      </c>
      <c r="U31" s="87">
        <v>0</v>
      </c>
      <c r="V31" s="87">
        <v>0</v>
      </c>
      <c r="W31" s="87">
        <v>0</v>
      </c>
      <c r="X31" s="87">
        <v>0</v>
      </c>
      <c r="Y31" s="85" t="s">
        <v>9840</v>
      </c>
      <c r="AB31" s="85" t="s">
        <v>9610</v>
      </c>
      <c r="AC31" s="85" t="s">
        <v>9671</v>
      </c>
      <c r="AD31" s="85" t="s">
        <v>9841</v>
      </c>
      <c r="AE31" s="85" t="s">
        <v>9842</v>
      </c>
      <c r="AF31" s="85">
        <v>1</v>
      </c>
      <c r="AG31" s="85">
        <v>1</v>
      </c>
      <c r="AH31" s="85">
        <v>1</v>
      </c>
      <c r="AI31" s="85">
        <v>1</v>
      </c>
      <c r="AJ31" s="85">
        <v>1</v>
      </c>
      <c r="AK31" s="85">
        <v>1</v>
      </c>
      <c r="AL31" s="85">
        <v>1</v>
      </c>
      <c r="AM31" s="85">
        <v>1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03F7-2C3D-4CB4-AD20-AAB35842A50B}">
  <sheetPr codeName="Sheet15"/>
  <dimension ref="A1:Z1"/>
  <sheetViews>
    <sheetView zoomScale="85" zoomScaleNormal="85" workbookViewId="0">
      <selection activeCell="F35" sqref="F35"/>
    </sheetView>
  </sheetViews>
  <sheetFormatPr defaultColWidth="14.140625" defaultRowHeight="15" x14ac:dyDescent="0.25"/>
  <cols>
    <col min="1" max="1" width="18.140625" style="110" customWidth="1"/>
    <col min="2" max="2" width="15.5703125" style="110" customWidth="1"/>
    <col min="3" max="3" width="9.7109375" style="38" bestFit="1" customWidth="1"/>
    <col min="4" max="4" width="8" style="1" customWidth="1"/>
    <col min="5" max="5" width="16" style="1" bestFit="1" customWidth="1"/>
    <col min="6" max="6" width="15.28515625" style="21" bestFit="1" customWidth="1"/>
    <col min="7" max="7" width="16" style="1" bestFit="1" customWidth="1"/>
    <col min="8" max="8" width="15.28515625" style="1" bestFit="1" customWidth="1"/>
    <col min="9" max="9" width="16" style="1" bestFit="1" customWidth="1"/>
    <col min="10" max="10" width="15.28515625" style="1" bestFit="1" customWidth="1"/>
    <col min="11" max="11" width="16" style="1" bestFit="1" customWidth="1"/>
    <col min="12" max="12" width="15.28515625" style="1" bestFit="1" customWidth="1"/>
    <col min="13" max="13" width="16" style="1" bestFit="1" customWidth="1"/>
    <col min="14" max="14" width="15.28515625" style="1" bestFit="1" customWidth="1"/>
    <col min="15" max="15" width="16" style="1" bestFit="1" customWidth="1"/>
    <col min="16" max="16" width="15.28515625" style="1" bestFit="1" customWidth="1"/>
    <col min="17" max="17" width="16" style="1" bestFit="1" customWidth="1"/>
    <col min="18" max="18" width="15.28515625" style="1" bestFit="1" customWidth="1"/>
    <col min="19" max="19" width="16" style="1" bestFit="1" customWidth="1"/>
    <col min="20" max="20" width="15.28515625" style="1" bestFit="1" customWidth="1"/>
    <col min="21" max="21" width="16" style="86" bestFit="1" customWidth="1"/>
    <col min="22" max="22" width="15.28515625" style="86" bestFit="1" customWidth="1"/>
    <col min="23" max="23" width="6.42578125" style="87" bestFit="1" customWidth="1"/>
    <col min="24" max="24" width="8.140625" style="87" bestFit="1" customWidth="1"/>
    <col min="25" max="25" width="5" style="87" bestFit="1" customWidth="1"/>
    <col min="26" max="26" width="6.7109375" style="87" bestFit="1" customWidth="1"/>
    <col min="27" max="16384" width="14.140625" style="1"/>
  </cols>
  <sheetData>
    <row r="1" spans="1:26" ht="15.75" x14ac:dyDescent="0.25">
      <c r="A1" s="19" t="s">
        <v>9596</v>
      </c>
      <c r="B1" s="19" t="s">
        <v>9597</v>
      </c>
      <c r="C1" s="19" t="s">
        <v>9595</v>
      </c>
      <c r="D1" s="19" t="s">
        <v>9004</v>
      </c>
      <c r="E1" s="19" t="s">
        <v>9005</v>
      </c>
      <c r="F1" s="62" t="s">
        <v>9006</v>
      </c>
      <c r="G1" s="19" t="s">
        <v>9007</v>
      </c>
      <c r="H1" s="19" t="s">
        <v>9008</v>
      </c>
      <c r="I1" s="19" t="s">
        <v>9009</v>
      </c>
      <c r="J1" s="19" t="s">
        <v>9010</v>
      </c>
      <c r="K1" s="19" t="s">
        <v>9011</v>
      </c>
      <c r="L1" s="19" t="s">
        <v>9012</v>
      </c>
      <c r="M1" s="19" t="s">
        <v>9013</v>
      </c>
      <c r="N1" s="19" t="s">
        <v>9014</v>
      </c>
      <c r="O1" s="19" t="s">
        <v>9015</v>
      </c>
      <c r="P1" s="19" t="s">
        <v>9016</v>
      </c>
      <c r="Q1" s="19" t="s">
        <v>9584</v>
      </c>
      <c r="R1" s="19" t="s">
        <v>9585</v>
      </c>
      <c r="S1" s="19" t="s">
        <v>9586</v>
      </c>
      <c r="T1" s="19" t="s">
        <v>9587</v>
      </c>
      <c r="U1" s="19" t="s">
        <v>9588</v>
      </c>
      <c r="V1" s="19" t="s">
        <v>9589</v>
      </c>
      <c r="W1" s="92" t="s">
        <v>9590</v>
      </c>
      <c r="X1" s="92" t="s">
        <v>9591</v>
      </c>
      <c r="Y1" s="92" t="s">
        <v>9592</v>
      </c>
      <c r="Z1" s="92" t="s">
        <v>9593</v>
      </c>
    </row>
  </sheetData>
  <phoneticPr fontId="8" type="noConversion"/>
  <dataValidations count="1">
    <dataValidation type="list" allowBlank="1" showInputMessage="1" showErrorMessage="1" sqref="C2:C250" xr:uid="{A7F9D66A-FBC5-4374-A90E-E7C66C790412}">
      <formula1>ONGEN_VARIANT_CODES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BF1453-F16A-4C26-B101-9BFC5B20C948}">
          <x14:formula1>
            <xm:f>'VARIANT LIST'!$A$2:$A$1680</xm:f>
          </x14:formula1>
          <xm:sqref>C251:C1048576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B576-4585-4090-8D8E-829891A38447}">
  <sheetPr codeName="Sheet7">
    <tabColor theme="4" tint="0.39997558519241921"/>
  </sheetPr>
  <dimension ref="A1:R250"/>
  <sheetViews>
    <sheetView zoomScale="80" zoomScaleNormal="80" workbookViewId="0">
      <selection activeCell="F16" sqref="F16"/>
    </sheetView>
  </sheetViews>
  <sheetFormatPr defaultColWidth="0" defaultRowHeight="15" x14ac:dyDescent="0.25"/>
  <cols>
    <col min="1" max="1" width="18.7109375" style="128" bestFit="1" customWidth="1"/>
    <col min="2" max="2" width="25.85546875" style="128" bestFit="1" customWidth="1"/>
    <col min="3" max="3" width="13.140625" style="132" bestFit="1" customWidth="1"/>
    <col min="4" max="4" width="20.28515625" style="128" bestFit="1" customWidth="1"/>
    <col min="5" max="5" width="57.7109375" style="133" bestFit="1" customWidth="1"/>
    <col min="6" max="6" width="91.7109375" style="133" bestFit="1" customWidth="1"/>
    <col min="7" max="7" width="18.85546875" style="38" bestFit="1" customWidth="1"/>
    <col min="8" max="8" width="22" style="120" bestFit="1" customWidth="1"/>
    <col min="9" max="9" width="22.5703125" style="38" bestFit="1" customWidth="1"/>
    <col min="10" max="10" width="45.28515625" style="137" bestFit="1" customWidth="1"/>
    <col min="11" max="11" width="17.28515625" style="137" bestFit="1" customWidth="1"/>
    <col min="12" max="12" width="52.85546875" style="134" bestFit="1" customWidth="1"/>
    <col min="13" max="13" width="52.85546875" style="134" customWidth="1"/>
    <col min="14" max="14" width="21.7109375" style="129" bestFit="1" customWidth="1"/>
    <col min="15" max="15" width="20" style="129" bestFit="1" customWidth="1"/>
    <col min="16" max="16" width="20" style="129" customWidth="1"/>
    <col min="17" max="17" width="73" style="23" hidden="1" customWidth="1"/>
    <col min="18" max="18" width="10.140625" style="23" hidden="1" customWidth="1"/>
    <col min="19" max="16384" width="16.5703125" style="23" hidden="1"/>
  </cols>
  <sheetData>
    <row r="1" spans="1:18" ht="15.75" x14ac:dyDescent="0.25">
      <c r="A1" s="80" t="s">
        <v>9596</v>
      </c>
      <c r="B1" s="80" t="s">
        <v>9597</v>
      </c>
      <c r="C1" s="80" t="s">
        <v>9004</v>
      </c>
      <c r="D1" s="80" t="s">
        <v>8586</v>
      </c>
      <c r="E1" s="80" t="s">
        <v>9598</v>
      </c>
      <c r="F1" s="80" t="s">
        <v>13</v>
      </c>
      <c r="G1" s="58" t="s">
        <v>9599</v>
      </c>
      <c r="H1" s="78" t="s">
        <v>9600</v>
      </c>
      <c r="I1" s="18" t="s">
        <v>9601</v>
      </c>
      <c r="J1" s="136" t="s">
        <v>9602</v>
      </c>
      <c r="K1" s="136" t="s">
        <v>9603</v>
      </c>
      <c r="L1" s="80" t="s">
        <v>8588</v>
      </c>
      <c r="M1" s="80" t="s">
        <v>8589</v>
      </c>
      <c r="N1" s="80" t="s">
        <v>9605</v>
      </c>
      <c r="O1" s="80" t="s">
        <v>9632</v>
      </c>
      <c r="P1" s="80" t="s">
        <v>9606</v>
      </c>
      <c r="Q1" s="23" t="s">
        <v>9607</v>
      </c>
      <c r="R1" s="23" t="s">
        <v>9608</v>
      </c>
    </row>
    <row r="2" spans="1:18" x14ac:dyDescent="0.25">
      <c r="I2" s="127" t="str">
        <f>IF(A2="","",'START-HERE'!$C$15)</f>
        <v/>
      </c>
      <c r="J2" s="137" t="str">
        <f>IF(A2="","",'START-HERE'!$C$15)</f>
        <v/>
      </c>
      <c r="K2" s="138" t="str">
        <f>IF(A2="","",'START-HERE'!$C$16)</f>
        <v/>
      </c>
      <c r="P2" s="130"/>
      <c r="Q2" s="23" t="str">
        <f t="shared" ref="Q2:Q65" si="0">IF(A2="","",R2&amp;"-"&amp;E2&amp;A2)</f>
        <v/>
      </c>
      <c r="R2" s="23">
        <f t="shared" ref="R2:R65" si="1">ROW()-1</f>
        <v>1</v>
      </c>
    </row>
    <row r="3" spans="1:18" x14ac:dyDescent="0.25">
      <c r="I3" s="127" t="str">
        <f>IF(A3="","",'START-HERE'!$C$15)</f>
        <v/>
      </c>
      <c r="J3" s="137" t="str">
        <f>IF(A3="","",'START-HERE'!$C$15)</f>
        <v/>
      </c>
      <c r="K3" s="138" t="str">
        <f>IF(A3="","",'START-HERE'!$C$16)</f>
        <v/>
      </c>
      <c r="P3" s="130"/>
      <c r="Q3" s="23" t="str">
        <f t="shared" si="0"/>
        <v/>
      </c>
      <c r="R3" s="23">
        <f t="shared" si="1"/>
        <v>2</v>
      </c>
    </row>
    <row r="4" spans="1:18" x14ac:dyDescent="0.25">
      <c r="I4" s="127" t="str">
        <f>IF(A4="","",'START-HERE'!$C$15)</f>
        <v/>
      </c>
      <c r="J4" s="137" t="str">
        <f>IF(A4="","",'START-HERE'!$C$15)</f>
        <v/>
      </c>
      <c r="K4" s="138" t="str">
        <f>IF(A4="","",'START-HERE'!$C$16)</f>
        <v/>
      </c>
      <c r="P4" s="130"/>
      <c r="Q4" s="23" t="str">
        <f t="shared" si="0"/>
        <v/>
      </c>
      <c r="R4" s="23">
        <f t="shared" si="1"/>
        <v>3</v>
      </c>
    </row>
    <row r="5" spans="1:18" x14ac:dyDescent="0.25">
      <c r="I5" s="127" t="str">
        <f>IF(A5="","",'START-HERE'!$C$15)</f>
        <v/>
      </c>
      <c r="J5" s="137" t="str">
        <f>IF(A5="","",'START-HERE'!$C$15)</f>
        <v/>
      </c>
      <c r="K5" s="138" t="str">
        <f>IF(A5="","",'START-HERE'!$C$16)</f>
        <v/>
      </c>
      <c r="P5" s="130"/>
      <c r="Q5" s="23" t="str">
        <f t="shared" si="0"/>
        <v/>
      </c>
      <c r="R5" s="23">
        <f t="shared" si="1"/>
        <v>4</v>
      </c>
    </row>
    <row r="6" spans="1:18" x14ac:dyDescent="0.25">
      <c r="I6" s="127" t="str">
        <f>IF(A6="","",'START-HERE'!$C$15)</f>
        <v/>
      </c>
      <c r="J6" s="137" t="str">
        <f>IF(A6="","",'START-HERE'!$C$15)</f>
        <v/>
      </c>
      <c r="K6" s="138" t="str">
        <f>IF(A6="","",'START-HERE'!$C$16)</f>
        <v/>
      </c>
      <c r="P6" s="130"/>
      <c r="Q6" s="23" t="str">
        <f t="shared" si="0"/>
        <v/>
      </c>
      <c r="R6" s="23">
        <f t="shared" si="1"/>
        <v>5</v>
      </c>
    </row>
    <row r="7" spans="1:18" x14ac:dyDescent="0.25">
      <c r="I7" s="127" t="str">
        <f>IF(A7="","",'START-HERE'!$C$15)</f>
        <v/>
      </c>
      <c r="J7" s="137" t="str">
        <f>IF(A7="","",'START-HERE'!$C$15)</f>
        <v/>
      </c>
      <c r="K7" s="138" t="str">
        <f>IF(A7="","",'START-HERE'!$C$16)</f>
        <v/>
      </c>
      <c r="P7" s="130"/>
      <c r="Q7" s="23" t="str">
        <f t="shared" si="0"/>
        <v/>
      </c>
      <c r="R7" s="23">
        <f t="shared" si="1"/>
        <v>6</v>
      </c>
    </row>
    <row r="8" spans="1:18" x14ac:dyDescent="0.25">
      <c r="I8" s="127" t="str">
        <f>IF(A8="","",'START-HERE'!$C$15)</f>
        <v/>
      </c>
      <c r="J8" s="137" t="str">
        <f>IF(A8="","",'START-HERE'!$C$15)</f>
        <v/>
      </c>
      <c r="K8" s="138" t="str">
        <f>IF(A8="","",'START-HERE'!$C$16)</f>
        <v/>
      </c>
      <c r="L8" s="135"/>
      <c r="M8" s="135"/>
      <c r="N8" s="131"/>
      <c r="P8" s="130"/>
      <c r="Q8" s="23" t="str">
        <f t="shared" si="0"/>
        <v/>
      </c>
      <c r="R8" s="23">
        <f t="shared" si="1"/>
        <v>7</v>
      </c>
    </row>
    <row r="9" spans="1:18" x14ac:dyDescent="0.25">
      <c r="I9" s="127" t="str">
        <f>IF(A9="","",'START-HERE'!$C$15)</f>
        <v/>
      </c>
      <c r="J9" s="137" t="str">
        <f>IF(A9="","",'START-HERE'!$C$15)</f>
        <v/>
      </c>
      <c r="K9" s="138" t="str">
        <f>IF(A9="","",'START-HERE'!$C$16)</f>
        <v/>
      </c>
      <c r="L9" s="135"/>
      <c r="M9" s="135"/>
      <c r="N9" s="131"/>
      <c r="P9" s="130"/>
      <c r="Q9" s="23" t="str">
        <f t="shared" si="0"/>
        <v/>
      </c>
      <c r="R9" s="23">
        <f t="shared" si="1"/>
        <v>8</v>
      </c>
    </row>
    <row r="10" spans="1:18" x14ac:dyDescent="0.25">
      <c r="I10" s="127" t="str">
        <f>IF(A10="","",'START-HERE'!$C$15)</f>
        <v/>
      </c>
      <c r="J10" s="137" t="str">
        <f>IF(A10="","",'START-HERE'!$C$15)</f>
        <v/>
      </c>
      <c r="K10" s="138" t="str">
        <f>IF(A10="","",'START-HERE'!$C$16)</f>
        <v/>
      </c>
      <c r="L10" s="135"/>
      <c r="M10" s="135"/>
      <c r="N10" s="131"/>
      <c r="P10" s="130"/>
      <c r="Q10" s="23" t="str">
        <f t="shared" si="0"/>
        <v/>
      </c>
      <c r="R10" s="23">
        <f t="shared" si="1"/>
        <v>9</v>
      </c>
    </row>
    <row r="11" spans="1:18" x14ac:dyDescent="0.25">
      <c r="I11" s="127" t="str">
        <f>IF(A11="","",'START-HERE'!$C$15)</f>
        <v/>
      </c>
      <c r="J11" s="137" t="str">
        <f>IF(A11="","",'START-HERE'!$C$15)</f>
        <v/>
      </c>
      <c r="K11" s="138" t="str">
        <f>IF(A11="","",'START-HERE'!$C$16)</f>
        <v/>
      </c>
      <c r="L11" s="135"/>
      <c r="M11" s="135"/>
      <c r="N11" s="131"/>
      <c r="P11" s="130"/>
      <c r="Q11" s="23" t="str">
        <f t="shared" si="0"/>
        <v/>
      </c>
      <c r="R11" s="23">
        <f t="shared" si="1"/>
        <v>10</v>
      </c>
    </row>
    <row r="12" spans="1:18" x14ac:dyDescent="0.25">
      <c r="I12" s="127" t="str">
        <f>IF(A12="","",'START-HERE'!$C$15)</f>
        <v/>
      </c>
      <c r="J12" s="137" t="str">
        <f>IF(A12="","",'START-HERE'!$C$15)</f>
        <v/>
      </c>
      <c r="K12" s="138" t="str">
        <f>IF(A12="","",'START-HERE'!$C$16)</f>
        <v/>
      </c>
      <c r="L12" s="135"/>
      <c r="M12" s="135"/>
      <c r="N12" s="131"/>
      <c r="P12" s="130"/>
      <c r="Q12" s="23" t="str">
        <f t="shared" si="0"/>
        <v/>
      </c>
      <c r="R12" s="23">
        <f t="shared" si="1"/>
        <v>11</v>
      </c>
    </row>
    <row r="13" spans="1:18" x14ac:dyDescent="0.25">
      <c r="I13" s="127" t="str">
        <f>IF(A13="","",'START-HERE'!$C$15)</f>
        <v/>
      </c>
      <c r="J13" s="137" t="str">
        <f>IF(A13="","",'START-HERE'!$C$15)</f>
        <v/>
      </c>
      <c r="K13" s="138" t="str">
        <f>IF(A13="","",'START-HERE'!$C$16)</f>
        <v/>
      </c>
      <c r="L13" s="135"/>
      <c r="M13" s="135"/>
      <c r="N13" s="131"/>
      <c r="P13" s="130"/>
      <c r="Q13" s="23" t="str">
        <f t="shared" si="0"/>
        <v/>
      </c>
      <c r="R13" s="23">
        <f t="shared" si="1"/>
        <v>12</v>
      </c>
    </row>
    <row r="14" spans="1:18" x14ac:dyDescent="0.25">
      <c r="I14" s="127" t="str">
        <f>IF(A14="","",'START-HERE'!$C$15)</f>
        <v/>
      </c>
      <c r="J14" s="137" t="str">
        <f>IF(A14="","",'START-HERE'!$C$15)</f>
        <v/>
      </c>
      <c r="K14" s="138" t="str">
        <f>IF(A14="","",'START-HERE'!$C$16)</f>
        <v/>
      </c>
      <c r="P14" s="130"/>
      <c r="Q14" s="23" t="str">
        <f t="shared" si="0"/>
        <v/>
      </c>
      <c r="R14" s="23">
        <f t="shared" si="1"/>
        <v>13</v>
      </c>
    </row>
    <row r="15" spans="1:18" x14ac:dyDescent="0.25">
      <c r="I15" s="127" t="str">
        <f>IF(A15="","",'START-HERE'!$C$15)</f>
        <v/>
      </c>
      <c r="J15" s="137" t="str">
        <f>IF(A15="","",'START-HERE'!$C$15)</f>
        <v/>
      </c>
      <c r="K15" s="138" t="str">
        <f>IF(A15="","",'START-HERE'!$C$16)</f>
        <v/>
      </c>
      <c r="P15" s="130"/>
      <c r="Q15" s="23" t="str">
        <f t="shared" si="0"/>
        <v/>
      </c>
      <c r="R15" s="23">
        <f t="shared" si="1"/>
        <v>14</v>
      </c>
    </row>
    <row r="16" spans="1:18" x14ac:dyDescent="0.25">
      <c r="I16" s="127" t="str">
        <f>IF(A16="","",'START-HERE'!$C$15)</f>
        <v/>
      </c>
      <c r="J16" s="137" t="str">
        <f>IF(A16="","",'START-HERE'!$C$15)</f>
        <v/>
      </c>
      <c r="K16" s="138" t="str">
        <f>IF(A16="","",'START-HERE'!$C$16)</f>
        <v/>
      </c>
      <c r="P16" s="130"/>
      <c r="Q16" s="23" t="str">
        <f t="shared" si="0"/>
        <v/>
      </c>
      <c r="R16" s="23">
        <f t="shared" si="1"/>
        <v>15</v>
      </c>
    </row>
    <row r="17" spans="9:18" x14ac:dyDescent="0.25">
      <c r="I17" s="127" t="str">
        <f>IF(A17="","",'START-HERE'!$C$15)</f>
        <v/>
      </c>
      <c r="J17" s="137" t="str">
        <f>IF(A17="","",'START-HERE'!$C$15)</f>
        <v/>
      </c>
      <c r="K17" s="138" t="str">
        <f>IF(A17="","",'START-HERE'!$C$16)</f>
        <v/>
      </c>
      <c r="P17" s="130"/>
      <c r="Q17" s="23" t="str">
        <f t="shared" si="0"/>
        <v/>
      </c>
      <c r="R17" s="23">
        <f t="shared" si="1"/>
        <v>16</v>
      </c>
    </row>
    <row r="18" spans="9:18" x14ac:dyDescent="0.25">
      <c r="I18" s="127" t="str">
        <f>IF(A18="","",'START-HERE'!$C$15)</f>
        <v/>
      </c>
      <c r="J18" s="137" t="str">
        <f>IF(A18="","",'START-HERE'!$C$15)</f>
        <v/>
      </c>
      <c r="K18" s="138" t="str">
        <f>IF(A18="","",'START-HERE'!$C$16)</f>
        <v/>
      </c>
      <c r="P18" s="130"/>
      <c r="Q18" s="23" t="str">
        <f t="shared" si="0"/>
        <v/>
      </c>
      <c r="R18" s="23">
        <f t="shared" si="1"/>
        <v>17</v>
      </c>
    </row>
    <row r="19" spans="9:18" x14ac:dyDescent="0.25">
      <c r="I19" s="127" t="str">
        <f>IF(A19="","",'START-HERE'!$C$15)</f>
        <v/>
      </c>
      <c r="J19" s="137" t="str">
        <f>IF(A19="","",'START-HERE'!$C$15)</f>
        <v/>
      </c>
      <c r="K19" s="138" t="str">
        <f>IF(A19="","",'START-HERE'!$C$16)</f>
        <v/>
      </c>
      <c r="P19" s="130"/>
      <c r="Q19" s="23" t="str">
        <f t="shared" si="0"/>
        <v/>
      </c>
      <c r="R19" s="23">
        <f t="shared" si="1"/>
        <v>18</v>
      </c>
    </row>
    <row r="20" spans="9:18" x14ac:dyDescent="0.25">
      <c r="I20" s="127" t="str">
        <f>IF(A20="","",'START-HERE'!$C$15)</f>
        <v/>
      </c>
      <c r="J20" s="137" t="str">
        <f>IF(A20="","",'START-HERE'!$C$15)</f>
        <v/>
      </c>
      <c r="K20" s="138" t="str">
        <f>IF(A20="","",'START-HERE'!$C$16)</f>
        <v/>
      </c>
      <c r="L20" s="135"/>
      <c r="M20" s="135"/>
      <c r="N20" s="131"/>
      <c r="P20" s="130"/>
      <c r="Q20" s="23" t="str">
        <f t="shared" si="0"/>
        <v/>
      </c>
      <c r="R20" s="23">
        <f t="shared" si="1"/>
        <v>19</v>
      </c>
    </row>
    <row r="21" spans="9:18" x14ac:dyDescent="0.25">
      <c r="I21" s="127" t="str">
        <f>IF(A21="","",'START-HERE'!$C$15)</f>
        <v/>
      </c>
      <c r="J21" s="137" t="str">
        <f>IF(A21="","",'START-HERE'!$C$15)</f>
        <v/>
      </c>
      <c r="K21" s="138" t="str">
        <f>IF(A21="","",'START-HERE'!$C$16)</f>
        <v/>
      </c>
      <c r="L21" s="135"/>
      <c r="M21" s="135"/>
      <c r="N21" s="131"/>
      <c r="P21" s="130"/>
      <c r="Q21" s="23" t="str">
        <f t="shared" si="0"/>
        <v/>
      </c>
      <c r="R21" s="23">
        <f t="shared" si="1"/>
        <v>20</v>
      </c>
    </row>
    <row r="22" spans="9:18" x14ac:dyDescent="0.25">
      <c r="I22" s="127" t="str">
        <f>IF(A22="","",'START-HERE'!$C$15)</f>
        <v/>
      </c>
      <c r="J22" s="137" t="str">
        <f>IF(A22="","",'START-HERE'!$C$15)</f>
        <v/>
      </c>
      <c r="K22" s="138" t="str">
        <f>IF(A22="","",'START-HERE'!$C$16)</f>
        <v/>
      </c>
      <c r="L22" s="135"/>
      <c r="M22" s="135"/>
      <c r="N22" s="131"/>
      <c r="P22" s="130"/>
      <c r="Q22" s="23" t="str">
        <f t="shared" si="0"/>
        <v/>
      </c>
      <c r="R22" s="23">
        <f t="shared" si="1"/>
        <v>21</v>
      </c>
    </row>
    <row r="23" spans="9:18" x14ac:dyDescent="0.25">
      <c r="I23" s="127" t="str">
        <f>IF(A23="","",'START-HERE'!$C$15)</f>
        <v/>
      </c>
      <c r="J23" s="137" t="str">
        <f>IF(A23="","",'START-HERE'!$C$15)</f>
        <v/>
      </c>
      <c r="K23" s="138" t="str">
        <f>IF(A23="","",'START-HERE'!$C$16)</f>
        <v/>
      </c>
      <c r="L23" s="135"/>
      <c r="M23" s="135"/>
      <c r="N23" s="131"/>
      <c r="P23" s="130"/>
      <c r="Q23" s="23" t="str">
        <f t="shared" si="0"/>
        <v/>
      </c>
      <c r="R23" s="23">
        <f t="shared" si="1"/>
        <v>22</v>
      </c>
    </row>
    <row r="24" spans="9:18" x14ac:dyDescent="0.25">
      <c r="I24" s="127" t="str">
        <f>IF(A24="","",'START-HERE'!$C$15)</f>
        <v/>
      </c>
      <c r="J24" s="137" t="str">
        <f>IF(A24="","",'START-HERE'!$C$15)</f>
        <v/>
      </c>
      <c r="K24" s="138" t="str">
        <f>IF(A24="","",'START-HERE'!$C$16)</f>
        <v/>
      </c>
      <c r="L24" s="135"/>
      <c r="M24" s="135"/>
      <c r="N24" s="131"/>
      <c r="P24" s="130"/>
      <c r="Q24" s="23" t="str">
        <f t="shared" si="0"/>
        <v/>
      </c>
      <c r="R24" s="23">
        <f t="shared" si="1"/>
        <v>23</v>
      </c>
    </row>
    <row r="25" spans="9:18" x14ac:dyDescent="0.25">
      <c r="I25" s="127" t="str">
        <f>IF(A25="","",'START-HERE'!$C$15)</f>
        <v/>
      </c>
      <c r="J25" s="137" t="str">
        <f>IF(A25="","",'START-HERE'!$C$15)</f>
        <v/>
      </c>
      <c r="K25" s="138" t="str">
        <f>IF(A25="","",'START-HERE'!$C$16)</f>
        <v/>
      </c>
      <c r="L25" s="135"/>
      <c r="M25" s="135"/>
      <c r="N25" s="131"/>
      <c r="P25" s="130"/>
      <c r="Q25" s="23" t="str">
        <f t="shared" si="0"/>
        <v/>
      </c>
      <c r="R25" s="23">
        <f t="shared" si="1"/>
        <v>24</v>
      </c>
    </row>
    <row r="26" spans="9:18" x14ac:dyDescent="0.25">
      <c r="I26" s="127" t="str">
        <f>IF(A26="","",'START-HERE'!$C$15)</f>
        <v/>
      </c>
      <c r="J26" s="137" t="str">
        <f>IF(A26="","",'START-HERE'!$C$15)</f>
        <v/>
      </c>
      <c r="K26" s="138" t="str">
        <f>IF(A26="","",'START-HERE'!$C$16)</f>
        <v/>
      </c>
      <c r="L26" s="135"/>
      <c r="M26" s="135"/>
      <c r="N26" s="131"/>
      <c r="P26" s="130"/>
      <c r="Q26" s="23" t="str">
        <f t="shared" si="0"/>
        <v/>
      </c>
      <c r="R26" s="23">
        <f t="shared" si="1"/>
        <v>25</v>
      </c>
    </row>
    <row r="27" spans="9:18" x14ac:dyDescent="0.25">
      <c r="I27" s="127" t="str">
        <f>IF(A27="","",'START-HERE'!$C$15)</f>
        <v/>
      </c>
      <c r="J27" s="137" t="str">
        <f>IF(A27="","",'START-HERE'!$C$15)</f>
        <v/>
      </c>
      <c r="K27" s="138" t="str">
        <f>IF(A27="","",'START-HERE'!$C$16)</f>
        <v/>
      </c>
      <c r="L27" s="135"/>
      <c r="M27" s="135"/>
      <c r="N27" s="131"/>
      <c r="P27" s="130"/>
      <c r="Q27" s="23" t="str">
        <f t="shared" si="0"/>
        <v/>
      </c>
      <c r="R27" s="23">
        <f t="shared" si="1"/>
        <v>26</v>
      </c>
    </row>
    <row r="28" spans="9:18" x14ac:dyDescent="0.25">
      <c r="I28" s="127" t="str">
        <f>IF(A28="","",'START-HERE'!$C$15)</f>
        <v/>
      </c>
      <c r="J28" s="137" t="str">
        <f>IF(A28="","",'START-HERE'!$C$15)</f>
        <v/>
      </c>
      <c r="K28" s="138" t="str">
        <f>IF(A28="","",'START-HERE'!$C$16)</f>
        <v/>
      </c>
      <c r="L28" s="135"/>
      <c r="M28" s="135"/>
      <c r="N28" s="131"/>
      <c r="P28" s="130"/>
      <c r="Q28" s="23" t="str">
        <f t="shared" si="0"/>
        <v/>
      </c>
      <c r="R28" s="23">
        <f t="shared" si="1"/>
        <v>27</v>
      </c>
    </row>
    <row r="29" spans="9:18" x14ac:dyDescent="0.25">
      <c r="I29" s="127" t="str">
        <f>IF(A29="","",'START-HERE'!$C$15)</f>
        <v/>
      </c>
      <c r="J29" s="137" t="str">
        <f>IF(A29="","",'START-HERE'!$C$15)</f>
        <v/>
      </c>
      <c r="K29" s="138" t="str">
        <f>IF(A29="","",'START-HERE'!$C$16)</f>
        <v/>
      </c>
      <c r="L29" s="135"/>
      <c r="M29" s="135"/>
      <c r="N29" s="131"/>
      <c r="P29" s="130"/>
      <c r="Q29" s="23" t="str">
        <f t="shared" si="0"/>
        <v/>
      </c>
      <c r="R29" s="23">
        <f t="shared" si="1"/>
        <v>28</v>
      </c>
    </row>
    <row r="30" spans="9:18" x14ac:dyDescent="0.25">
      <c r="I30" s="127" t="str">
        <f>IF(A30="","",'START-HERE'!$C$15)</f>
        <v/>
      </c>
      <c r="J30" s="137" t="str">
        <f>IF(A30="","",'START-HERE'!$C$15)</f>
        <v/>
      </c>
      <c r="K30" s="138" t="str">
        <f>IF(A30="","",'START-HERE'!$C$16)</f>
        <v/>
      </c>
      <c r="L30" s="135"/>
      <c r="M30" s="135"/>
      <c r="N30" s="131"/>
      <c r="P30" s="130"/>
      <c r="Q30" s="23" t="str">
        <f t="shared" si="0"/>
        <v/>
      </c>
      <c r="R30" s="23">
        <f t="shared" si="1"/>
        <v>29</v>
      </c>
    </row>
    <row r="31" spans="9:18" x14ac:dyDescent="0.25">
      <c r="I31" s="127" t="str">
        <f>IF(A31="","",'START-HERE'!$C$15)</f>
        <v/>
      </c>
      <c r="J31" s="137" t="str">
        <f>IF(A31="","",'START-HERE'!$C$15)</f>
        <v/>
      </c>
      <c r="K31" s="138" t="str">
        <f>IF(A31="","",'START-HERE'!$C$16)</f>
        <v/>
      </c>
      <c r="L31" s="135"/>
      <c r="M31" s="135"/>
      <c r="N31" s="131"/>
      <c r="P31" s="130"/>
      <c r="Q31" s="23" t="str">
        <f t="shared" si="0"/>
        <v/>
      </c>
      <c r="R31" s="23">
        <f t="shared" si="1"/>
        <v>30</v>
      </c>
    </row>
    <row r="32" spans="9:18" x14ac:dyDescent="0.25">
      <c r="I32" s="127" t="str">
        <f>IF(A32="","",'START-HERE'!$C$15)</f>
        <v/>
      </c>
      <c r="J32" s="137" t="str">
        <f>IF(A32="","",'START-HERE'!$C$15)</f>
        <v/>
      </c>
      <c r="K32" s="138" t="str">
        <f>IF(A32="","",'START-HERE'!$C$16)</f>
        <v/>
      </c>
      <c r="L32" s="135"/>
      <c r="M32" s="135"/>
      <c r="N32" s="131"/>
      <c r="P32" s="130"/>
      <c r="Q32" s="23" t="str">
        <f t="shared" si="0"/>
        <v/>
      </c>
      <c r="R32" s="23">
        <f t="shared" si="1"/>
        <v>31</v>
      </c>
    </row>
    <row r="33" spans="9:18" x14ac:dyDescent="0.25">
      <c r="I33" s="127" t="str">
        <f>IF(A33="","",'START-HERE'!$C$15)</f>
        <v/>
      </c>
      <c r="J33" s="137" t="str">
        <f>IF(A33="","",'START-HERE'!$C$15)</f>
        <v/>
      </c>
      <c r="K33" s="138" t="str">
        <f>IF(A33="","",'START-HERE'!$C$16)</f>
        <v/>
      </c>
      <c r="L33" s="135"/>
      <c r="M33" s="135"/>
      <c r="N33" s="131"/>
      <c r="P33" s="130"/>
      <c r="Q33" s="23" t="str">
        <f t="shared" si="0"/>
        <v/>
      </c>
      <c r="R33" s="23">
        <f t="shared" si="1"/>
        <v>32</v>
      </c>
    </row>
    <row r="34" spans="9:18" x14ac:dyDescent="0.25">
      <c r="I34" s="127" t="str">
        <f>IF(A34="","",'START-HERE'!$C$15)</f>
        <v/>
      </c>
      <c r="J34" s="137" t="str">
        <f>IF(A34="","",'START-HERE'!$C$15)</f>
        <v/>
      </c>
      <c r="K34" s="138" t="str">
        <f>IF(A34="","",'START-HERE'!$C$16)</f>
        <v/>
      </c>
      <c r="L34" s="135"/>
      <c r="M34" s="135"/>
      <c r="N34" s="131"/>
      <c r="P34" s="130"/>
      <c r="Q34" s="23" t="str">
        <f t="shared" si="0"/>
        <v/>
      </c>
      <c r="R34" s="23">
        <f t="shared" si="1"/>
        <v>33</v>
      </c>
    </row>
    <row r="35" spans="9:18" x14ac:dyDescent="0.25">
      <c r="I35" s="127" t="str">
        <f>IF(A35="","",'START-HERE'!$C$15)</f>
        <v/>
      </c>
      <c r="J35" s="137" t="str">
        <f>IF(A35="","",'START-HERE'!$C$15)</f>
        <v/>
      </c>
      <c r="K35" s="138" t="str">
        <f>IF(A35="","",'START-HERE'!$C$16)</f>
        <v/>
      </c>
      <c r="L35" s="135"/>
      <c r="M35" s="135"/>
      <c r="N35" s="131"/>
      <c r="P35" s="130"/>
      <c r="Q35" s="23" t="str">
        <f t="shared" si="0"/>
        <v/>
      </c>
      <c r="R35" s="23">
        <f t="shared" si="1"/>
        <v>34</v>
      </c>
    </row>
    <row r="36" spans="9:18" x14ac:dyDescent="0.25">
      <c r="I36" s="127" t="str">
        <f>IF(A36="","",'START-HERE'!$C$15)</f>
        <v/>
      </c>
      <c r="J36" s="137" t="str">
        <f>IF(A36="","",'START-HERE'!$C$15)</f>
        <v/>
      </c>
      <c r="K36" s="138" t="str">
        <f>IF(A36="","",'START-HERE'!$C$16)</f>
        <v/>
      </c>
      <c r="L36" s="135"/>
      <c r="M36" s="135"/>
      <c r="N36" s="131"/>
      <c r="P36" s="130"/>
      <c r="Q36" s="23" t="str">
        <f t="shared" si="0"/>
        <v/>
      </c>
      <c r="R36" s="23">
        <f t="shared" si="1"/>
        <v>35</v>
      </c>
    </row>
    <row r="37" spans="9:18" x14ac:dyDescent="0.25">
      <c r="I37" s="127" t="str">
        <f>IF(A37="","",'START-HERE'!$C$15)</f>
        <v/>
      </c>
      <c r="J37" s="137" t="str">
        <f>IF(A37="","",'START-HERE'!$C$15)</f>
        <v/>
      </c>
      <c r="K37" s="138" t="str">
        <f>IF(A37="","",'START-HERE'!$C$16)</f>
        <v/>
      </c>
      <c r="L37" s="135"/>
      <c r="M37" s="135"/>
      <c r="N37" s="131"/>
      <c r="P37" s="130"/>
      <c r="Q37" s="23" t="str">
        <f t="shared" si="0"/>
        <v/>
      </c>
      <c r="R37" s="23">
        <f t="shared" si="1"/>
        <v>36</v>
      </c>
    </row>
    <row r="38" spans="9:18" x14ac:dyDescent="0.25">
      <c r="I38" s="127" t="str">
        <f>IF(A38="","",'START-HERE'!$C$15)</f>
        <v/>
      </c>
      <c r="J38" s="137" t="str">
        <f>IF(A38="","",'START-HERE'!$C$15)</f>
        <v/>
      </c>
      <c r="K38" s="138" t="str">
        <f>IF(A38="","",'START-HERE'!$C$16)</f>
        <v/>
      </c>
      <c r="L38" s="135"/>
      <c r="M38" s="135"/>
      <c r="N38" s="131"/>
      <c r="P38" s="130"/>
      <c r="Q38" s="23" t="str">
        <f t="shared" si="0"/>
        <v/>
      </c>
      <c r="R38" s="23">
        <f t="shared" si="1"/>
        <v>37</v>
      </c>
    </row>
    <row r="39" spans="9:18" x14ac:dyDescent="0.25">
      <c r="I39" s="127" t="str">
        <f>IF(A39="","",'START-HERE'!$C$15)</f>
        <v/>
      </c>
      <c r="J39" s="137" t="str">
        <f>IF(A39="","",'START-HERE'!$C$15)</f>
        <v/>
      </c>
      <c r="K39" s="138" t="str">
        <f>IF(A39="","",'START-HERE'!$C$16)</f>
        <v/>
      </c>
      <c r="L39" s="135"/>
      <c r="M39" s="135"/>
      <c r="N39" s="131"/>
      <c r="P39" s="130"/>
      <c r="Q39" s="23" t="str">
        <f t="shared" si="0"/>
        <v/>
      </c>
      <c r="R39" s="23">
        <f t="shared" si="1"/>
        <v>38</v>
      </c>
    </row>
    <row r="40" spans="9:18" x14ac:dyDescent="0.25">
      <c r="I40" s="127" t="str">
        <f>IF(A40="","",'START-HERE'!$C$15)</f>
        <v/>
      </c>
      <c r="J40" s="137" t="str">
        <f>IF(A40="","",'START-HERE'!$C$15)</f>
        <v/>
      </c>
      <c r="K40" s="138" t="str">
        <f>IF(A40="","",'START-HERE'!$C$16)</f>
        <v/>
      </c>
      <c r="L40" s="135"/>
      <c r="M40" s="135"/>
      <c r="N40" s="131"/>
      <c r="P40" s="130"/>
      <c r="Q40" s="23" t="str">
        <f t="shared" si="0"/>
        <v/>
      </c>
      <c r="R40" s="23">
        <f t="shared" si="1"/>
        <v>39</v>
      </c>
    </row>
    <row r="41" spans="9:18" x14ac:dyDescent="0.25">
      <c r="I41" s="127" t="str">
        <f>IF(A41="","",'START-HERE'!$C$15)</f>
        <v/>
      </c>
      <c r="J41" s="137" t="str">
        <f>IF(A41="","",'START-HERE'!$C$15)</f>
        <v/>
      </c>
      <c r="K41" s="138" t="str">
        <f>IF(A41="","",'START-HERE'!$C$16)</f>
        <v/>
      </c>
      <c r="L41" s="135"/>
      <c r="M41" s="135"/>
      <c r="N41" s="131"/>
      <c r="P41" s="130"/>
      <c r="Q41" s="23" t="str">
        <f t="shared" si="0"/>
        <v/>
      </c>
      <c r="R41" s="23">
        <f t="shared" si="1"/>
        <v>40</v>
      </c>
    </row>
    <row r="42" spans="9:18" x14ac:dyDescent="0.25">
      <c r="I42" s="127" t="str">
        <f>IF(A42="","",'START-HERE'!$C$15)</f>
        <v/>
      </c>
      <c r="J42" s="137" t="str">
        <f>IF(A42="","",'START-HERE'!$C$15)</f>
        <v/>
      </c>
      <c r="K42" s="138" t="str">
        <f>IF(A42="","",'START-HERE'!$C$16)</f>
        <v/>
      </c>
      <c r="L42" s="135"/>
      <c r="M42" s="135"/>
      <c r="N42" s="131"/>
      <c r="P42" s="130"/>
      <c r="Q42" s="23" t="str">
        <f t="shared" si="0"/>
        <v/>
      </c>
      <c r="R42" s="23">
        <f t="shared" si="1"/>
        <v>41</v>
      </c>
    </row>
    <row r="43" spans="9:18" x14ac:dyDescent="0.25">
      <c r="I43" s="127" t="str">
        <f>IF(A43="","",'START-HERE'!$C$15)</f>
        <v/>
      </c>
      <c r="J43" s="137" t="str">
        <f>IF(A43="","",'START-HERE'!$C$15)</f>
        <v/>
      </c>
      <c r="K43" s="138" t="str">
        <f>IF(A43="","",'START-HERE'!$C$16)</f>
        <v/>
      </c>
      <c r="L43" s="135"/>
      <c r="M43" s="135"/>
      <c r="N43" s="131"/>
      <c r="P43" s="130"/>
      <c r="Q43" s="23" t="str">
        <f t="shared" si="0"/>
        <v/>
      </c>
      <c r="R43" s="23">
        <f t="shared" si="1"/>
        <v>42</v>
      </c>
    </row>
    <row r="44" spans="9:18" x14ac:dyDescent="0.25">
      <c r="I44" s="127" t="str">
        <f>IF(A44="","",'START-HERE'!$C$15)</f>
        <v/>
      </c>
      <c r="J44" s="137" t="str">
        <f>IF(A44="","",'START-HERE'!$C$15)</f>
        <v/>
      </c>
      <c r="K44" s="138" t="str">
        <f>IF(A44="","",'START-HERE'!$C$16)</f>
        <v/>
      </c>
      <c r="L44" s="135"/>
      <c r="M44" s="135"/>
      <c r="N44" s="131"/>
      <c r="P44" s="130"/>
      <c r="Q44" s="23" t="str">
        <f t="shared" si="0"/>
        <v/>
      </c>
      <c r="R44" s="23">
        <f t="shared" si="1"/>
        <v>43</v>
      </c>
    </row>
    <row r="45" spans="9:18" x14ac:dyDescent="0.25">
      <c r="I45" s="127" t="str">
        <f>IF(A45="","",'START-HERE'!$C$15)</f>
        <v/>
      </c>
      <c r="J45" s="137" t="str">
        <f>IF(A45="","",'START-HERE'!$C$15)</f>
        <v/>
      </c>
      <c r="K45" s="138" t="str">
        <f>IF(A45="","",'START-HERE'!$C$16)</f>
        <v/>
      </c>
      <c r="L45" s="135"/>
      <c r="M45" s="135"/>
      <c r="N45" s="131"/>
      <c r="P45" s="130"/>
      <c r="Q45" s="23" t="str">
        <f t="shared" si="0"/>
        <v/>
      </c>
      <c r="R45" s="23">
        <f t="shared" si="1"/>
        <v>44</v>
      </c>
    </row>
    <row r="46" spans="9:18" x14ac:dyDescent="0.25">
      <c r="I46" s="127" t="str">
        <f>IF(A46="","",'START-HERE'!$C$15)</f>
        <v/>
      </c>
      <c r="J46" s="137" t="str">
        <f>IF(A46="","",'START-HERE'!$C$15)</f>
        <v/>
      </c>
      <c r="K46" s="138" t="str">
        <f>IF(A46="","",'START-HERE'!$C$16)</f>
        <v/>
      </c>
      <c r="L46" s="135"/>
      <c r="M46" s="135"/>
      <c r="N46" s="131"/>
      <c r="P46" s="130"/>
      <c r="Q46" s="23" t="str">
        <f t="shared" si="0"/>
        <v/>
      </c>
      <c r="R46" s="23">
        <f t="shared" si="1"/>
        <v>45</v>
      </c>
    </row>
    <row r="47" spans="9:18" x14ac:dyDescent="0.25">
      <c r="I47" s="127" t="str">
        <f>IF(A47="","",'START-HERE'!$C$15)</f>
        <v/>
      </c>
      <c r="J47" s="137" t="str">
        <f>IF(A47="","",'START-HERE'!$C$15)</f>
        <v/>
      </c>
      <c r="K47" s="138" t="str">
        <f>IF(A47="","",'START-HERE'!$C$16)</f>
        <v/>
      </c>
      <c r="L47" s="135"/>
      <c r="M47" s="135"/>
      <c r="N47" s="131"/>
      <c r="P47" s="130"/>
      <c r="Q47" s="23" t="str">
        <f t="shared" si="0"/>
        <v/>
      </c>
      <c r="R47" s="23">
        <f t="shared" si="1"/>
        <v>46</v>
      </c>
    </row>
    <row r="48" spans="9:18" x14ac:dyDescent="0.25">
      <c r="I48" s="127" t="str">
        <f>IF(A48="","",'START-HERE'!$C$15)</f>
        <v/>
      </c>
      <c r="J48" s="137" t="str">
        <f>IF(A48="","",'START-HERE'!$C$15)</f>
        <v/>
      </c>
      <c r="K48" s="138" t="str">
        <f>IF(A48="","",'START-HERE'!$C$16)</f>
        <v/>
      </c>
      <c r="L48" s="135"/>
      <c r="M48" s="135"/>
      <c r="N48" s="131"/>
      <c r="P48" s="130"/>
      <c r="Q48" s="23" t="str">
        <f t="shared" si="0"/>
        <v/>
      </c>
      <c r="R48" s="23">
        <f t="shared" si="1"/>
        <v>47</v>
      </c>
    </row>
    <row r="49" spans="9:18" x14ac:dyDescent="0.25">
      <c r="I49" s="127" t="str">
        <f>IF(A49="","",'START-HERE'!$C$15)</f>
        <v/>
      </c>
      <c r="J49" s="137" t="str">
        <f>IF(A49="","",'START-HERE'!$C$15)</f>
        <v/>
      </c>
      <c r="K49" s="138" t="str">
        <f>IF(A49="","",'START-HERE'!$C$16)</f>
        <v/>
      </c>
      <c r="L49" s="135"/>
      <c r="M49" s="135"/>
      <c r="N49" s="131"/>
      <c r="P49" s="130"/>
      <c r="Q49" s="23" t="str">
        <f t="shared" si="0"/>
        <v/>
      </c>
      <c r="R49" s="23">
        <f t="shared" si="1"/>
        <v>48</v>
      </c>
    </row>
    <row r="50" spans="9:18" x14ac:dyDescent="0.25">
      <c r="I50" s="127" t="str">
        <f>IF(A50="","",'START-HERE'!$C$15)</f>
        <v/>
      </c>
      <c r="J50" s="137" t="str">
        <f>IF(A50="","",'START-HERE'!$C$15)</f>
        <v/>
      </c>
      <c r="K50" s="138" t="str">
        <f>IF(A50="","",'START-HERE'!$C$16)</f>
        <v/>
      </c>
      <c r="L50" s="135"/>
      <c r="M50" s="135"/>
      <c r="N50" s="131"/>
      <c r="P50" s="130"/>
      <c r="Q50" s="23" t="str">
        <f t="shared" si="0"/>
        <v/>
      </c>
      <c r="R50" s="23">
        <f t="shared" si="1"/>
        <v>49</v>
      </c>
    </row>
    <row r="51" spans="9:18" x14ac:dyDescent="0.25">
      <c r="I51" s="127" t="str">
        <f>IF(A51="","",'START-HERE'!$C$15)</f>
        <v/>
      </c>
      <c r="J51" s="137" t="str">
        <f>IF(A51="","",'START-HERE'!$C$15)</f>
        <v/>
      </c>
      <c r="K51" s="138" t="str">
        <f>IF(A51="","",'START-HERE'!$C$16)</f>
        <v/>
      </c>
      <c r="L51" s="135"/>
      <c r="M51" s="135"/>
      <c r="N51" s="131"/>
      <c r="P51" s="130"/>
      <c r="Q51" s="23" t="str">
        <f t="shared" si="0"/>
        <v/>
      </c>
      <c r="R51" s="23">
        <f t="shared" si="1"/>
        <v>50</v>
      </c>
    </row>
    <row r="52" spans="9:18" x14ac:dyDescent="0.25">
      <c r="I52" s="127" t="str">
        <f>IF(A52="","",'START-HERE'!$C$15)</f>
        <v/>
      </c>
      <c r="J52" s="137" t="str">
        <f>IF(A52="","",'START-HERE'!$C$15)</f>
        <v/>
      </c>
      <c r="K52" s="138" t="str">
        <f>IF(A52="","",'START-HERE'!$C$16)</f>
        <v/>
      </c>
      <c r="L52" s="135"/>
      <c r="M52" s="135"/>
      <c r="N52" s="131"/>
      <c r="P52" s="130"/>
      <c r="Q52" s="23" t="str">
        <f t="shared" si="0"/>
        <v/>
      </c>
      <c r="R52" s="23">
        <f t="shared" si="1"/>
        <v>51</v>
      </c>
    </row>
    <row r="53" spans="9:18" x14ac:dyDescent="0.25">
      <c r="I53" s="127" t="str">
        <f>IF(A53="","",'START-HERE'!$C$15)</f>
        <v/>
      </c>
      <c r="J53" s="137" t="str">
        <f>IF(A53="","",'START-HERE'!$C$15)</f>
        <v/>
      </c>
      <c r="K53" s="138" t="str">
        <f>IF(A53="","",'START-HERE'!$C$16)</f>
        <v/>
      </c>
      <c r="L53" s="135"/>
      <c r="M53" s="135"/>
      <c r="N53" s="131"/>
      <c r="P53" s="130"/>
      <c r="Q53" s="23" t="str">
        <f t="shared" si="0"/>
        <v/>
      </c>
      <c r="R53" s="23">
        <f t="shared" si="1"/>
        <v>52</v>
      </c>
    </row>
    <row r="54" spans="9:18" x14ac:dyDescent="0.25">
      <c r="I54" s="127" t="str">
        <f>IF(A54="","",'START-HERE'!$C$15)</f>
        <v/>
      </c>
      <c r="J54" s="137" t="str">
        <f>IF(A54="","",'START-HERE'!$C$15)</f>
        <v/>
      </c>
      <c r="K54" s="138" t="str">
        <f>IF(A54="","",'START-HERE'!$C$16)</f>
        <v/>
      </c>
      <c r="L54" s="135"/>
      <c r="M54" s="135"/>
      <c r="N54" s="131"/>
      <c r="P54" s="130"/>
      <c r="Q54" s="23" t="str">
        <f t="shared" si="0"/>
        <v/>
      </c>
      <c r="R54" s="23">
        <f t="shared" si="1"/>
        <v>53</v>
      </c>
    </row>
    <row r="55" spans="9:18" x14ac:dyDescent="0.25">
      <c r="I55" s="127" t="str">
        <f>IF(A55="","",'START-HERE'!$C$15)</f>
        <v/>
      </c>
      <c r="J55" s="137" t="str">
        <f>IF(A55="","",'START-HERE'!$C$15)</f>
        <v/>
      </c>
      <c r="K55" s="138" t="str">
        <f>IF(A55="","",'START-HERE'!$C$16)</f>
        <v/>
      </c>
      <c r="L55" s="135"/>
      <c r="M55" s="135"/>
      <c r="N55" s="131"/>
      <c r="P55" s="130"/>
      <c r="Q55" s="23" t="str">
        <f t="shared" si="0"/>
        <v/>
      </c>
      <c r="R55" s="23">
        <f t="shared" si="1"/>
        <v>54</v>
      </c>
    </row>
    <row r="56" spans="9:18" x14ac:dyDescent="0.25">
      <c r="I56" s="127" t="str">
        <f>IF(A56="","",'START-HERE'!$C$15)</f>
        <v/>
      </c>
      <c r="J56" s="137" t="str">
        <f>IF(A56="","",'START-HERE'!$C$15)</f>
        <v/>
      </c>
      <c r="K56" s="138" t="str">
        <f>IF(A56="","",'START-HERE'!$C$16)</f>
        <v/>
      </c>
      <c r="L56" s="135"/>
      <c r="M56" s="135"/>
      <c r="N56" s="131"/>
      <c r="P56" s="130"/>
      <c r="Q56" s="23" t="str">
        <f t="shared" si="0"/>
        <v/>
      </c>
      <c r="R56" s="23">
        <f t="shared" si="1"/>
        <v>55</v>
      </c>
    </row>
    <row r="57" spans="9:18" x14ac:dyDescent="0.25">
      <c r="I57" s="127" t="str">
        <f>IF(A57="","",'START-HERE'!$C$15)</f>
        <v/>
      </c>
      <c r="J57" s="137" t="str">
        <f>IF(A57="","",'START-HERE'!$C$15)</f>
        <v/>
      </c>
      <c r="K57" s="138" t="str">
        <f>IF(A57="","",'START-HERE'!$C$16)</f>
        <v/>
      </c>
      <c r="L57" s="135"/>
      <c r="M57" s="135"/>
      <c r="N57" s="131"/>
      <c r="P57" s="130"/>
      <c r="Q57" s="23" t="str">
        <f t="shared" si="0"/>
        <v/>
      </c>
      <c r="R57" s="23">
        <f t="shared" si="1"/>
        <v>56</v>
      </c>
    </row>
    <row r="58" spans="9:18" x14ac:dyDescent="0.25">
      <c r="I58" s="127" t="str">
        <f>IF(A58="","",'START-HERE'!$C$15)</f>
        <v/>
      </c>
      <c r="J58" s="137" t="str">
        <f>IF(A58="","",'START-HERE'!$C$15)</f>
        <v/>
      </c>
      <c r="K58" s="138" t="str">
        <f>IF(A58="","",'START-HERE'!$C$16)</f>
        <v/>
      </c>
      <c r="L58" s="135"/>
      <c r="M58" s="135"/>
      <c r="N58" s="131"/>
      <c r="P58" s="130"/>
      <c r="Q58" s="23" t="str">
        <f t="shared" si="0"/>
        <v/>
      </c>
      <c r="R58" s="23">
        <f t="shared" si="1"/>
        <v>57</v>
      </c>
    </row>
    <row r="59" spans="9:18" x14ac:dyDescent="0.25">
      <c r="I59" s="127" t="str">
        <f>IF(A59="","",'START-HERE'!$C$15)</f>
        <v/>
      </c>
      <c r="J59" s="137" t="str">
        <f>IF(A59="","",'START-HERE'!$C$15)</f>
        <v/>
      </c>
      <c r="K59" s="138" t="str">
        <f>IF(A59="","",'START-HERE'!$C$16)</f>
        <v/>
      </c>
      <c r="L59" s="135"/>
      <c r="M59" s="135"/>
      <c r="N59" s="131"/>
      <c r="P59" s="130"/>
      <c r="Q59" s="23" t="str">
        <f t="shared" si="0"/>
        <v/>
      </c>
      <c r="R59" s="23">
        <f t="shared" si="1"/>
        <v>58</v>
      </c>
    </row>
    <row r="60" spans="9:18" x14ac:dyDescent="0.25">
      <c r="I60" s="127" t="str">
        <f>IF(A60="","",'START-HERE'!$C$15)</f>
        <v/>
      </c>
      <c r="J60" s="137" t="str">
        <f>IF(A60="","",'START-HERE'!$C$15)</f>
        <v/>
      </c>
      <c r="K60" s="138" t="str">
        <f>IF(A60="","",'START-HERE'!$C$16)</f>
        <v/>
      </c>
      <c r="L60" s="135"/>
      <c r="M60" s="135"/>
      <c r="N60" s="131"/>
      <c r="P60" s="130"/>
      <c r="Q60" s="23" t="str">
        <f t="shared" si="0"/>
        <v/>
      </c>
      <c r="R60" s="23">
        <f t="shared" si="1"/>
        <v>59</v>
      </c>
    </row>
    <row r="61" spans="9:18" x14ac:dyDescent="0.25">
      <c r="I61" s="127" t="str">
        <f>IF(A61="","",'START-HERE'!$C$15)</f>
        <v/>
      </c>
      <c r="J61" s="137" t="str">
        <f>IF(A61="","",'START-HERE'!$C$15)</f>
        <v/>
      </c>
      <c r="K61" s="138" t="str">
        <f>IF(A61="","",'START-HERE'!$C$16)</f>
        <v/>
      </c>
      <c r="L61" s="135"/>
      <c r="M61" s="135"/>
      <c r="N61" s="131"/>
      <c r="P61" s="130"/>
      <c r="Q61" s="23" t="str">
        <f t="shared" si="0"/>
        <v/>
      </c>
      <c r="R61" s="23">
        <f t="shared" si="1"/>
        <v>60</v>
      </c>
    </row>
    <row r="62" spans="9:18" x14ac:dyDescent="0.25">
      <c r="I62" s="127" t="str">
        <f>IF(A62="","",'START-HERE'!$C$15)</f>
        <v/>
      </c>
      <c r="J62" s="137" t="str">
        <f>IF(A62="","",'START-HERE'!$C$15)</f>
        <v/>
      </c>
      <c r="K62" s="138" t="str">
        <f>IF(A62="","",'START-HERE'!$C$16)</f>
        <v/>
      </c>
      <c r="L62" s="135"/>
      <c r="M62" s="135"/>
      <c r="N62" s="131"/>
      <c r="P62" s="130"/>
      <c r="Q62" s="23" t="str">
        <f t="shared" si="0"/>
        <v/>
      </c>
      <c r="R62" s="23">
        <f t="shared" si="1"/>
        <v>61</v>
      </c>
    </row>
    <row r="63" spans="9:18" x14ac:dyDescent="0.25">
      <c r="I63" s="127" t="str">
        <f>IF(A63="","",'START-HERE'!$C$15)</f>
        <v/>
      </c>
      <c r="J63" s="137" t="str">
        <f>IF(A63="","",'START-HERE'!$C$15)</f>
        <v/>
      </c>
      <c r="K63" s="138" t="str">
        <f>IF(A63="","",'START-HERE'!$C$16)</f>
        <v/>
      </c>
      <c r="L63" s="135"/>
      <c r="M63" s="135"/>
      <c r="N63" s="131"/>
      <c r="P63" s="130"/>
      <c r="Q63" s="23" t="str">
        <f t="shared" si="0"/>
        <v/>
      </c>
      <c r="R63" s="23">
        <f t="shared" si="1"/>
        <v>62</v>
      </c>
    </row>
    <row r="64" spans="9:18" x14ac:dyDescent="0.25">
      <c r="I64" s="127" t="str">
        <f>IF(A64="","",'START-HERE'!$C$15)</f>
        <v/>
      </c>
      <c r="J64" s="137" t="str">
        <f>IF(A64="","",'START-HERE'!$C$15)</f>
        <v/>
      </c>
      <c r="K64" s="138" t="str">
        <f>IF(A64="","",'START-HERE'!$C$16)</f>
        <v/>
      </c>
      <c r="L64" s="135"/>
      <c r="M64" s="135"/>
      <c r="N64" s="131"/>
      <c r="P64" s="130"/>
      <c r="Q64" s="23" t="str">
        <f t="shared" si="0"/>
        <v/>
      </c>
      <c r="R64" s="23">
        <f t="shared" si="1"/>
        <v>63</v>
      </c>
    </row>
    <row r="65" spans="9:18" x14ac:dyDescent="0.25">
      <c r="I65" s="127" t="str">
        <f>IF(A65="","",'START-HERE'!$C$15)</f>
        <v/>
      </c>
      <c r="J65" s="137" t="str">
        <f>IF(A65="","",'START-HERE'!$C$15)</f>
        <v/>
      </c>
      <c r="K65" s="138" t="str">
        <f>IF(A65="","",'START-HERE'!$C$16)</f>
        <v/>
      </c>
      <c r="L65" s="135"/>
      <c r="M65" s="135"/>
      <c r="N65" s="131"/>
      <c r="P65" s="130"/>
      <c r="Q65" s="23" t="str">
        <f t="shared" si="0"/>
        <v/>
      </c>
      <c r="R65" s="23">
        <f t="shared" si="1"/>
        <v>64</v>
      </c>
    </row>
    <row r="66" spans="9:18" x14ac:dyDescent="0.25">
      <c r="I66" s="127" t="str">
        <f>IF(A66="","",'START-HERE'!$C$15)</f>
        <v/>
      </c>
      <c r="J66" s="137" t="str">
        <f>IF(A66="","",'START-HERE'!$C$15)</f>
        <v/>
      </c>
      <c r="K66" s="138" t="str">
        <f>IF(A66="","",'START-HERE'!$C$16)</f>
        <v/>
      </c>
      <c r="L66" s="135"/>
      <c r="M66" s="135"/>
      <c r="N66" s="131"/>
      <c r="P66" s="130"/>
      <c r="Q66" s="23" t="str">
        <f t="shared" ref="Q66:Q129" si="2">IF(A66="","",R66&amp;"-"&amp;E66&amp;A66)</f>
        <v/>
      </c>
      <c r="R66" s="23">
        <f t="shared" ref="R66:R129" si="3">ROW()-1</f>
        <v>65</v>
      </c>
    </row>
    <row r="67" spans="9:18" x14ac:dyDescent="0.25">
      <c r="I67" s="127" t="str">
        <f>IF(A67="","",'START-HERE'!$C$15)</f>
        <v/>
      </c>
      <c r="J67" s="137" t="str">
        <f>IF(A67="","",'START-HERE'!$C$15)</f>
        <v/>
      </c>
      <c r="K67" s="138" t="str">
        <f>IF(A67="","",'START-HERE'!$C$16)</f>
        <v/>
      </c>
      <c r="L67" s="135"/>
      <c r="M67" s="135"/>
      <c r="N67" s="131"/>
      <c r="P67" s="130"/>
      <c r="Q67" s="23" t="str">
        <f t="shared" si="2"/>
        <v/>
      </c>
      <c r="R67" s="23">
        <f t="shared" si="3"/>
        <v>66</v>
      </c>
    </row>
    <row r="68" spans="9:18" x14ac:dyDescent="0.25">
      <c r="I68" s="127" t="str">
        <f>IF(A68="","",'START-HERE'!$C$15)</f>
        <v/>
      </c>
      <c r="J68" s="137" t="str">
        <f>IF(A68="","",'START-HERE'!$C$15)</f>
        <v/>
      </c>
      <c r="K68" s="138" t="str">
        <f>IF(A68="","",'START-HERE'!$C$16)</f>
        <v/>
      </c>
      <c r="L68" s="135"/>
      <c r="M68" s="135"/>
      <c r="N68" s="131"/>
      <c r="P68" s="130"/>
      <c r="Q68" s="23" t="str">
        <f t="shared" si="2"/>
        <v/>
      </c>
      <c r="R68" s="23">
        <f t="shared" si="3"/>
        <v>67</v>
      </c>
    </row>
    <row r="69" spans="9:18" x14ac:dyDescent="0.25">
      <c r="I69" s="127" t="str">
        <f>IF(A69="","",'START-HERE'!$C$15)</f>
        <v/>
      </c>
      <c r="J69" s="137" t="str">
        <f>IF(A69="","",'START-HERE'!$C$15)</f>
        <v/>
      </c>
      <c r="K69" s="138" t="str">
        <f>IF(A69="","",'START-HERE'!$C$16)</f>
        <v/>
      </c>
      <c r="L69" s="135"/>
      <c r="M69" s="135"/>
      <c r="N69" s="131"/>
      <c r="P69" s="130"/>
      <c r="Q69" s="23" t="str">
        <f t="shared" si="2"/>
        <v/>
      </c>
      <c r="R69" s="23">
        <f t="shared" si="3"/>
        <v>68</v>
      </c>
    </row>
    <row r="70" spans="9:18" x14ac:dyDescent="0.25">
      <c r="I70" s="127" t="str">
        <f>IF(A70="","",'START-HERE'!$C$15)</f>
        <v/>
      </c>
      <c r="J70" s="137" t="str">
        <f>IF(A70="","",'START-HERE'!$C$15)</f>
        <v/>
      </c>
      <c r="K70" s="138" t="str">
        <f>IF(A70="","",'START-HERE'!$C$16)</f>
        <v/>
      </c>
      <c r="L70" s="135"/>
      <c r="M70" s="135"/>
      <c r="N70" s="131"/>
      <c r="P70" s="130"/>
      <c r="Q70" s="23" t="str">
        <f t="shared" si="2"/>
        <v/>
      </c>
      <c r="R70" s="23">
        <f t="shared" si="3"/>
        <v>69</v>
      </c>
    </row>
    <row r="71" spans="9:18" x14ac:dyDescent="0.25">
      <c r="I71" s="127" t="str">
        <f>IF(A71="","",'START-HERE'!$C$15)</f>
        <v/>
      </c>
      <c r="J71" s="137" t="str">
        <f>IF(A71="","",'START-HERE'!$C$15)</f>
        <v/>
      </c>
      <c r="K71" s="138" t="str">
        <f>IF(A71="","",'START-HERE'!$C$16)</f>
        <v/>
      </c>
      <c r="L71" s="135"/>
      <c r="M71" s="135"/>
      <c r="N71" s="131"/>
      <c r="P71" s="130"/>
      <c r="Q71" s="23" t="str">
        <f t="shared" si="2"/>
        <v/>
      </c>
      <c r="R71" s="23">
        <f t="shared" si="3"/>
        <v>70</v>
      </c>
    </row>
    <row r="72" spans="9:18" x14ac:dyDescent="0.25">
      <c r="I72" s="127" t="str">
        <f>IF(A72="","",'START-HERE'!$C$15)</f>
        <v/>
      </c>
      <c r="J72" s="137" t="str">
        <f>IF(A72="","",'START-HERE'!$C$15)</f>
        <v/>
      </c>
      <c r="K72" s="138" t="str">
        <f>IF(A72="","",'START-HERE'!$C$16)</f>
        <v/>
      </c>
      <c r="L72" s="135"/>
      <c r="M72" s="135"/>
      <c r="N72" s="131"/>
      <c r="P72" s="130"/>
      <c r="Q72" s="23" t="str">
        <f t="shared" si="2"/>
        <v/>
      </c>
      <c r="R72" s="23">
        <f t="shared" si="3"/>
        <v>71</v>
      </c>
    </row>
    <row r="73" spans="9:18" x14ac:dyDescent="0.25">
      <c r="I73" s="127" t="str">
        <f>IF(A73="","",'START-HERE'!$C$15)</f>
        <v/>
      </c>
      <c r="J73" s="137" t="str">
        <f>IF(A73="","",'START-HERE'!$C$15)</f>
        <v/>
      </c>
      <c r="K73" s="138" t="str">
        <f>IF(A73="","",'START-HERE'!$C$16)</f>
        <v/>
      </c>
      <c r="L73" s="135"/>
      <c r="M73" s="135"/>
      <c r="N73" s="131"/>
      <c r="P73" s="130"/>
      <c r="Q73" s="23" t="str">
        <f t="shared" si="2"/>
        <v/>
      </c>
      <c r="R73" s="23">
        <f t="shared" si="3"/>
        <v>72</v>
      </c>
    </row>
    <row r="74" spans="9:18" x14ac:dyDescent="0.25">
      <c r="I74" s="127" t="str">
        <f>IF(A74="","",'START-HERE'!$C$15)</f>
        <v/>
      </c>
      <c r="J74" s="137" t="str">
        <f>IF(A74="","",'START-HERE'!$C$15)</f>
        <v/>
      </c>
      <c r="K74" s="138" t="str">
        <f>IF(A74="","",'START-HERE'!$C$16)</f>
        <v/>
      </c>
      <c r="L74" s="135"/>
      <c r="M74" s="135"/>
      <c r="N74" s="131"/>
      <c r="P74" s="130"/>
      <c r="Q74" s="23" t="str">
        <f t="shared" si="2"/>
        <v/>
      </c>
      <c r="R74" s="23">
        <f t="shared" si="3"/>
        <v>73</v>
      </c>
    </row>
    <row r="75" spans="9:18" x14ac:dyDescent="0.25">
      <c r="I75" s="127" t="str">
        <f>IF(A75="","",'START-HERE'!$C$15)</f>
        <v/>
      </c>
      <c r="J75" s="137" t="str">
        <f>IF(A75="","",'START-HERE'!$C$15)</f>
        <v/>
      </c>
      <c r="K75" s="138" t="str">
        <f>IF(A75="","",'START-HERE'!$C$16)</f>
        <v/>
      </c>
      <c r="L75" s="135"/>
      <c r="M75" s="135"/>
      <c r="N75" s="131"/>
      <c r="P75" s="130"/>
      <c r="Q75" s="23" t="str">
        <f t="shared" si="2"/>
        <v/>
      </c>
      <c r="R75" s="23">
        <f t="shared" si="3"/>
        <v>74</v>
      </c>
    </row>
    <row r="76" spans="9:18" x14ac:dyDescent="0.25">
      <c r="I76" s="127" t="str">
        <f>IF(A76="","",'START-HERE'!$C$15)</f>
        <v/>
      </c>
      <c r="J76" s="137" t="str">
        <f>IF(A76="","",'START-HERE'!$C$15)</f>
        <v/>
      </c>
      <c r="K76" s="138" t="str">
        <f>IF(A76="","",'START-HERE'!$C$16)</f>
        <v/>
      </c>
      <c r="L76" s="135"/>
      <c r="M76" s="135"/>
      <c r="N76" s="131"/>
      <c r="P76" s="130"/>
      <c r="Q76" s="23" t="str">
        <f t="shared" si="2"/>
        <v/>
      </c>
      <c r="R76" s="23">
        <f t="shared" si="3"/>
        <v>75</v>
      </c>
    </row>
    <row r="77" spans="9:18" x14ac:dyDescent="0.25">
      <c r="I77" s="127" t="str">
        <f>IF(A77="","",'START-HERE'!$C$15)</f>
        <v/>
      </c>
      <c r="J77" s="137" t="str">
        <f>IF(A77="","",'START-HERE'!$C$15)</f>
        <v/>
      </c>
      <c r="K77" s="138" t="str">
        <f>IF(A77="","",'START-HERE'!$C$16)</f>
        <v/>
      </c>
      <c r="L77" s="135"/>
      <c r="M77" s="135"/>
      <c r="N77" s="131"/>
      <c r="P77" s="130"/>
      <c r="Q77" s="23" t="str">
        <f t="shared" si="2"/>
        <v/>
      </c>
      <c r="R77" s="23">
        <f t="shared" si="3"/>
        <v>76</v>
      </c>
    </row>
    <row r="78" spans="9:18" x14ac:dyDescent="0.25">
      <c r="I78" s="127" t="str">
        <f>IF(A78="","",'START-HERE'!$C$15)</f>
        <v/>
      </c>
      <c r="J78" s="137" t="str">
        <f>IF(A78="","",'START-HERE'!$C$15)</f>
        <v/>
      </c>
      <c r="K78" s="138" t="str">
        <f>IF(A78="","",'START-HERE'!$C$16)</f>
        <v/>
      </c>
      <c r="L78" s="135"/>
      <c r="M78" s="135"/>
      <c r="N78" s="131"/>
      <c r="P78" s="130"/>
      <c r="Q78" s="23" t="str">
        <f t="shared" si="2"/>
        <v/>
      </c>
      <c r="R78" s="23">
        <f t="shared" si="3"/>
        <v>77</v>
      </c>
    </row>
    <row r="79" spans="9:18" x14ac:dyDescent="0.25">
      <c r="I79" s="127" t="str">
        <f>IF(A79="","",'START-HERE'!$C$15)</f>
        <v/>
      </c>
      <c r="J79" s="137" t="str">
        <f>IF(A79="","",'START-HERE'!$C$15)</f>
        <v/>
      </c>
      <c r="K79" s="138" t="str">
        <f>IF(A79="","",'START-HERE'!$C$16)</f>
        <v/>
      </c>
      <c r="L79" s="135"/>
      <c r="M79" s="135"/>
      <c r="N79" s="131"/>
      <c r="P79" s="130"/>
      <c r="Q79" s="23" t="str">
        <f t="shared" si="2"/>
        <v/>
      </c>
      <c r="R79" s="23">
        <f t="shared" si="3"/>
        <v>78</v>
      </c>
    </row>
    <row r="80" spans="9:18" x14ac:dyDescent="0.25">
      <c r="I80" s="127" t="str">
        <f>IF(A80="","",'START-HERE'!$C$15)</f>
        <v/>
      </c>
      <c r="J80" s="137" t="str">
        <f>IF(A80="","",'START-HERE'!$C$15)</f>
        <v/>
      </c>
      <c r="K80" s="138" t="str">
        <f>IF(A80="","",'START-HERE'!$C$16)</f>
        <v/>
      </c>
      <c r="L80" s="135"/>
      <c r="M80" s="135"/>
      <c r="N80" s="131"/>
      <c r="P80" s="130"/>
      <c r="Q80" s="23" t="str">
        <f t="shared" si="2"/>
        <v/>
      </c>
      <c r="R80" s="23">
        <f t="shared" si="3"/>
        <v>79</v>
      </c>
    </row>
    <row r="81" spans="9:18" x14ac:dyDescent="0.25">
      <c r="I81" s="127" t="str">
        <f>IF(A81="","",'START-HERE'!$C$15)</f>
        <v/>
      </c>
      <c r="J81" s="137" t="str">
        <f>IF(A81="","",'START-HERE'!$C$15)</f>
        <v/>
      </c>
      <c r="K81" s="138" t="str">
        <f>IF(A81="","",'START-HERE'!$C$16)</f>
        <v/>
      </c>
      <c r="L81" s="135"/>
      <c r="M81" s="135"/>
      <c r="N81" s="131"/>
      <c r="P81" s="130"/>
      <c r="Q81" s="23" t="str">
        <f t="shared" si="2"/>
        <v/>
      </c>
      <c r="R81" s="23">
        <f t="shared" si="3"/>
        <v>80</v>
      </c>
    </row>
    <row r="82" spans="9:18" x14ac:dyDescent="0.25">
      <c r="I82" s="127" t="str">
        <f>IF(A82="","",'START-HERE'!$C$15)</f>
        <v/>
      </c>
      <c r="J82" s="137" t="str">
        <f>IF(A82="","",'START-HERE'!$C$15)</f>
        <v/>
      </c>
      <c r="K82" s="138" t="str">
        <f>IF(A82="","",'START-HERE'!$C$16)</f>
        <v/>
      </c>
      <c r="L82" s="135"/>
      <c r="M82" s="135"/>
      <c r="N82" s="131"/>
      <c r="P82" s="130"/>
      <c r="Q82" s="23" t="str">
        <f t="shared" si="2"/>
        <v/>
      </c>
      <c r="R82" s="23">
        <f t="shared" si="3"/>
        <v>81</v>
      </c>
    </row>
    <row r="83" spans="9:18" x14ac:dyDescent="0.25">
      <c r="I83" s="127" t="str">
        <f>IF(A83="","",'START-HERE'!$C$15)</f>
        <v/>
      </c>
      <c r="J83" s="137" t="str">
        <f>IF(A83="","",'START-HERE'!$C$15)</f>
        <v/>
      </c>
      <c r="K83" s="138" t="str">
        <f>IF(A83="","",'START-HERE'!$C$16)</f>
        <v/>
      </c>
      <c r="L83" s="135"/>
      <c r="M83" s="135"/>
      <c r="N83" s="131"/>
      <c r="P83" s="130"/>
      <c r="Q83" s="23" t="str">
        <f t="shared" si="2"/>
        <v/>
      </c>
      <c r="R83" s="23">
        <f t="shared" si="3"/>
        <v>82</v>
      </c>
    </row>
    <row r="84" spans="9:18" x14ac:dyDescent="0.25">
      <c r="I84" s="127" t="str">
        <f>IF(A84="","",'START-HERE'!$C$15)</f>
        <v/>
      </c>
      <c r="J84" s="137" t="str">
        <f>IF(A84="","",'START-HERE'!$C$15)</f>
        <v/>
      </c>
      <c r="K84" s="138" t="str">
        <f>IF(A84="","",'START-HERE'!$C$16)</f>
        <v/>
      </c>
      <c r="L84" s="135"/>
      <c r="M84" s="135"/>
      <c r="N84" s="131"/>
      <c r="P84" s="130"/>
      <c r="Q84" s="23" t="str">
        <f t="shared" si="2"/>
        <v/>
      </c>
      <c r="R84" s="23">
        <f t="shared" si="3"/>
        <v>83</v>
      </c>
    </row>
    <row r="85" spans="9:18" x14ac:dyDescent="0.25">
      <c r="I85" s="127" t="str">
        <f>IF(A85="","",'START-HERE'!$C$15)</f>
        <v/>
      </c>
      <c r="J85" s="137" t="str">
        <f>IF(A85="","",'START-HERE'!$C$15)</f>
        <v/>
      </c>
      <c r="K85" s="138" t="str">
        <f>IF(A85="","",'START-HERE'!$C$16)</f>
        <v/>
      </c>
      <c r="L85" s="135"/>
      <c r="M85" s="135"/>
      <c r="N85" s="131"/>
      <c r="P85" s="130"/>
      <c r="Q85" s="23" t="str">
        <f t="shared" si="2"/>
        <v/>
      </c>
      <c r="R85" s="23">
        <f t="shared" si="3"/>
        <v>84</v>
      </c>
    </row>
    <row r="86" spans="9:18" x14ac:dyDescent="0.25">
      <c r="I86" s="127" t="str">
        <f>IF(A86="","",'START-HERE'!$C$15)</f>
        <v/>
      </c>
      <c r="J86" s="137" t="str">
        <f>IF(A86="","",'START-HERE'!$C$15)</f>
        <v/>
      </c>
      <c r="K86" s="138" t="str">
        <f>IF(A86="","",'START-HERE'!$C$16)</f>
        <v/>
      </c>
      <c r="L86" s="135"/>
      <c r="M86" s="135"/>
      <c r="N86" s="131"/>
      <c r="P86" s="130"/>
      <c r="Q86" s="23" t="str">
        <f t="shared" si="2"/>
        <v/>
      </c>
      <c r="R86" s="23">
        <f t="shared" si="3"/>
        <v>85</v>
      </c>
    </row>
    <row r="87" spans="9:18" x14ac:dyDescent="0.25">
      <c r="I87" s="127" t="str">
        <f>IF(A87="","",'START-HERE'!$C$15)</f>
        <v/>
      </c>
      <c r="J87" s="137" t="str">
        <f>IF(A87="","",'START-HERE'!$C$15)</f>
        <v/>
      </c>
      <c r="K87" s="138" t="str">
        <f>IF(A87="","",'START-HERE'!$C$16)</f>
        <v/>
      </c>
      <c r="L87" s="135"/>
      <c r="M87" s="135"/>
      <c r="N87" s="131"/>
      <c r="P87" s="130"/>
      <c r="Q87" s="23" t="str">
        <f t="shared" si="2"/>
        <v/>
      </c>
      <c r="R87" s="23">
        <f t="shared" si="3"/>
        <v>86</v>
      </c>
    </row>
    <row r="88" spans="9:18" x14ac:dyDescent="0.25">
      <c r="I88" s="127" t="str">
        <f>IF(A88="","",'START-HERE'!$C$15)</f>
        <v/>
      </c>
      <c r="J88" s="137" t="str">
        <f>IF(A88="","",'START-HERE'!$C$15)</f>
        <v/>
      </c>
      <c r="K88" s="138" t="str">
        <f>IF(A88="","",'START-HERE'!$C$16)</f>
        <v/>
      </c>
      <c r="L88" s="135"/>
      <c r="M88" s="135"/>
      <c r="N88" s="131"/>
      <c r="P88" s="130"/>
      <c r="Q88" s="23" t="str">
        <f t="shared" si="2"/>
        <v/>
      </c>
      <c r="R88" s="23">
        <f t="shared" si="3"/>
        <v>87</v>
      </c>
    </row>
    <row r="89" spans="9:18" x14ac:dyDescent="0.25">
      <c r="I89" s="127" t="str">
        <f>IF(A89="","",'START-HERE'!$C$15)</f>
        <v/>
      </c>
      <c r="J89" s="137" t="str">
        <f>IF(A89="","",'START-HERE'!$C$15)</f>
        <v/>
      </c>
      <c r="K89" s="138" t="str">
        <f>IF(A89="","",'START-HERE'!$C$16)</f>
        <v/>
      </c>
      <c r="L89" s="135"/>
      <c r="M89" s="135"/>
      <c r="N89" s="131"/>
      <c r="P89" s="130"/>
      <c r="Q89" s="23" t="str">
        <f t="shared" si="2"/>
        <v/>
      </c>
      <c r="R89" s="23">
        <f t="shared" si="3"/>
        <v>88</v>
      </c>
    </row>
    <row r="90" spans="9:18" x14ac:dyDescent="0.25">
      <c r="I90" s="127" t="str">
        <f>IF(A90="","",'START-HERE'!$C$15)</f>
        <v/>
      </c>
      <c r="J90" s="137" t="str">
        <f>IF(A90="","",'START-HERE'!$C$15)</f>
        <v/>
      </c>
      <c r="K90" s="138" t="str">
        <f>IF(A90="","",'START-HERE'!$C$16)</f>
        <v/>
      </c>
      <c r="L90" s="135"/>
      <c r="M90" s="135"/>
      <c r="N90" s="131"/>
      <c r="P90" s="130"/>
      <c r="Q90" s="23" t="str">
        <f t="shared" si="2"/>
        <v/>
      </c>
      <c r="R90" s="23">
        <f t="shared" si="3"/>
        <v>89</v>
      </c>
    </row>
    <row r="91" spans="9:18" x14ac:dyDescent="0.25">
      <c r="I91" s="127" t="str">
        <f>IF(A91="","",'START-HERE'!$C$15)</f>
        <v/>
      </c>
      <c r="J91" s="137" t="str">
        <f>IF(A91="","",'START-HERE'!$C$15)</f>
        <v/>
      </c>
      <c r="K91" s="138" t="str">
        <f>IF(A91="","",'START-HERE'!$C$16)</f>
        <v/>
      </c>
      <c r="L91" s="135"/>
      <c r="M91" s="135"/>
      <c r="N91" s="131"/>
      <c r="P91" s="130"/>
      <c r="Q91" s="23" t="str">
        <f t="shared" si="2"/>
        <v/>
      </c>
      <c r="R91" s="23">
        <f t="shared" si="3"/>
        <v>90</v>
      </c>
    </row>
    <row r="92" spans="9:18" x14ac:dyDescent="0.25">
      <c r="I92" s="127" t="str">
        <f>IF(A92="","",'START-HERE'!$C$15)</f>
        <v/>
      </c>
      <c r="J92" s="137" t="str">
        <f>IF(A92="","",'START-HERE'!$C$15)</f>
        <v/>
      </c>
      <c r="K92" s="138" t="str">
        <f>IF(A92="","",'START-HERE'!$C$16)</f>
        <v/>
      </c>
      <c r="L92" s="135"/>
      <c r="M92" s="135"/>
      <c r="N92" s="131"/>
      <c r="P92" s="130"/>
      <c r="Q92" s="23" t="str">
        <f t="shared" si="2"/>
        <v/>
      </c>
      <c r="R92" s="23">
        <f t="shared" si="3"/>
        <v>91</v>
      </c>
    </row>
    <row r="93" spans="9:18" x14ac:dyDescent="0.25">
      <c r="I93" s="127" t="str">
        <f>IF(A93="","",'START-HERE'!$C$15)</f>
        <v/>
      </c>
      <c r="J93" s="137" t="str">
        <f>IF(A93="","",'START-HERE'!$C$15)</f>
        <v/>
      </c>
      <c r="K93" s="138" t="str">
        <f>IF(A93="","",'START-HERE'!$C$16)</f>
        <v/>
      </c>
      <c r="L93" s="135"/>
      <c r="M93" s="135"/>
      <c r="N93" s="131"/>
      <c r="P93" s="130"/>
      <c r="Q93" s="23" t="str">
        <f t="shared" si="2"/>
        <v/>
      </c>
      <c r="R93" s="23">
        <f t="shared" si="3"/>
        <v>92</v>
      </c>
    </row>
    <row r="94" spans="9:18" x14ac:dyDescent="0.25">
      <c r="I94" s="127" t="str">
        <f>IF(A94="","",'START-HERE'!$C$15)</f>
        <v/>
      </c>
      <c r="J94" s="137" t="str">
        <f>IF(A94="","",'START-HERE'!$C$15)</f>
        <v/>
      </c>
      <c r="K94" s="138" t="str">
        <f>IF(A94="","",'START-HERE'!$C$16)</f>
        <v/>
      </c>
      <c r="L94" s="135"/>
      <c r="M94" s="135"/>
      <c r="N94" s="131"/>
      <c r="P94" s="130"/>
      <c r="Q94" s="23" t="str">
        <f t="shared" si="2"/>
        <v/>
      </c>
      <c r="R94" s="23">
        <f t="shared" si="3"/>
        <v>93</v>
      </c>
    </row>
    <row r="95" spans="9:18" x14ac:dyDescent="0.25">
      <c r="I95" s="127" t="str">
        <f>IF(A95="","",'START-HERE'!$C$15)</f>
        <v/>
      </c>
      <c r="J95" s="137" t="str">
        <f>IF(A95="","",'START-HERE'!$C$15)</f>
        <v/>
      </c>
      <c r="K95" s="138" t="str">
        <f>IF(A95="","",'START-HERE'!$C$16)</f>
        <v/>
      </c>
      <c r="L95" s="135"/>
      <c r="M95" s="135"/>
      <c r="N95" s="131"/>
      <c r="P95" s="130"/>
      <c r="Q95" s="23" t="str">
        <f t="shared" si="2"/>
        <v/>
      </c>
      <c r="R95" s="23">
        <f t="shared" si="3"/>
        <v>94</v>
      </c>
    </row>
    <row r="96" spans="9:18" x14ac:dyDescent="0.25">
      <c r="I96" s="127" t="str">
        <f>IF(A96="","",'START-HERE'!$C$15)</f>
        <v/>
      </c>
      <c r="J96" s="137" t="str">
        <f>IF(A96="","",'START-HERE'!$C$15)</f>
        <v/>
      </c>
      <c r="K96" s="138" t="str">
        <f>IF(A96="","",'START-HERE'!$C$16)</f>
        <v/>
      </c>
      <c r="L96" s="135"/>
      <c r="M96" s="135"/>
      <c r="N96" s="131"/>
      <c r="P96" s="130"/>
      <c r="Q96" s="23" t="str">
        <f t="shared" si="2"/>
        <v/>
      </c>
      <c r="R96" s="23">
        <f t="shared" si="3"/>
        <v>95</v>
      </c>
    </row>
    <row r="97" spans="9:18" x14ac:dyDescent="0.25">
      <c r="I97" s="127" t="str">
        <f>IF(A97="","",'START-HERE'!$C$15)</f>
        <v/>
      </c>
      <c r="J97" s="137" t="str">
        <f>IF(A97="","",'START-HERE'!$C$15)</f>
        <v/>
      </c>
      <c r="K97" s="138" t="str">
        <f>IF(A97="","",'START-HERE'!$C$16)</f>
        <v/>
      </c>
      <c r="L97" s="135"/>
      <c r="M97" s="135"/>
      <c r="N97" s="131"/>
      <c r="P97" s="130"/>
      <c r="Q97" s="23" t="str">
        <f t="shared" si="2"/>
        <v/>
      </c>
      <c r="R97" s="23">
        <f t="shared" si="3"/>
        <v>96</v>
      </c>
    </row>
    <row r="98" spans="9:18" x14ac:dyDescent="0.25">
      <c r="I98" s="127" t="str">
        <f>IF(A98="","",'START-HERE'!$C$15)</f>
        <v/>
      </c>
      <c r="J98" s="137" t="str">
        <f>IF(A98="","",'START-HERE'!$C$15)</f>
        <v/>
      </c>
      <c r="K98" s="138" t="str">
        <f>IF(A98="","",'START-HERE'!$C$16)</f>
        <v/>
      </c>
      <c r="L98" s="135"/>
      <c r="M98" s="135"/>
      <c r="N98" s="131"/>
      <c r="P98" s="130"/>
      <c r="Q98" s="23" t="str">
        <f t="shared" si="2"/>
        <v/>
      </c>
      <c r="R98" s="23">
        <f t="shared" si="3"/>
        <v>97</v>
      </c>
    </row>
    <row r="99" spans="9:18" x14ac:dyDescent="0.25">
      <c r="I99" s="127" t="str">
        <f>IF(A99="","",'START-HERE'!$C$15)</f>
        <v/>
      </c>
      <c r="J99" s="137" t="str">
        <f>IF(A99="","",'START-HERE'!$C$15)</f>
        <v/>
      </c>
      <c r="K99" s="138" t="str">
        <f>IF(A99="","",'START-HERE'!$C$16)</f>
        <v/>
      </c>
      <c r="L99" s="135"/>
      <c r="M99" s="135"/>
      <c r="N99" s="131"/>
      <c r="P99" s="130"/>
      <c r="Q99" s="23" t="str">
        <f t="shared" si="2"/>
        <v/>
      </c>
      <c r="R99" s="23">
        <f t="shared" si="3"/>
        <v>98</v>
      </c>
    </row>
    <row r="100" spans="9:18" x14ac:dyDescent="0.25">
      <c r="I100" s="127" t="str">
        <f>IF(A100="","",'START-HERE'!$C$15)</f>
        <v/>
      </c>
      <c r="J100" s="137" t="str">
        <f>IF(A100="","",'START-HERE'!$C$15)</f>
        <v/>
      </c>
      <c r="K100" s="138" t="str">
        <f>IF(A100="","",'START-HERE'!$C$16)</f>
        <v/>
      </c>
      <c r="L100" s="135"/>
      <c r="M100" s="135"/>
      <c r="N100" s="131"/>
      <c r="P100" s="130"/>
      <c r="Q100" s="23" t="str">
        <f t="shared" si="2"/>
        <v/>
      </c>
      <c r="R100" s="23">
        <f t="shared" si="3"/>
        <v>99</v>
      </c>
    </row>
    <row r="101" spans="9:18" x14ac:dyDescent="0.25">
      <c r="I101" s="127" t="str">
        <f>IF(A101="","",'START-HERE'!$C$15)</f>
        <v/>
      </c>
      <c r="J101" s="137" t="str">
        <f>IF(A101="","",'START-HERE'!$C$15)</f>
        <v/>
      </c>
      <c r="K101" s="138" t="str">
        <f>IF(A101="","",'START-HERE'!$C$16)</f>
        <v/>
      </c>
      <c r="L101" s="135"/>
      <c r="M101" s="135"/>
      <c r="N101" s="131"/>
      <c r="P101" s="130"/>
      <c r="Q101" s="23" t="str">
        <f t="shared" si="2"/>
        <v/>
      </c>
      <c r="R101" s="23">
        <f t="shared" si="3"/>
        <v>100</v>
      </c>
    </row>
    <row r="102" spans="9:18" x14ac:dyDescent="0.25">
      <c r="I102" s="127" t="str">
        <f>IF(A102="","",'START-HERE'!$C$15)</f>
        <v/>
      </c>
      <c r="J102" s="137" t="str">
        <f>IF(A102="","",'START-HERE'!$C$15)</f>
        <v/>
      </c>
      <c r="K102" s="138" t="str">
        <f>IF(A102="","",'START-HERE'!$C$16)</f>
        <v/>
      </c>
      <c r="L102" s="135"/>
      <c r="M102" s="135"/>
      <c r="N102" s="131"/>
      <c r="P102" s="130"/>
      <c r="Q102" s="23" t="str">
        <f t="shared" si="2"/>
        <v/>
      </c>
      <c r="R102" s="23">
        <f t="shared" si="3"/>
        <v>101</v>
      </c>
    </row>
    <row r="103" spans="9:18" x14ac:dyDescent="0.25">
      <c r="I103" s="127" t="str">
        <f>IF(A103="","",'START-HERE'!$C$15)</f>
        <v/>
      </c>
      <c r="J103" s="137" t="str">
        <f>IF(A103="","",'START-HERE'!$C$15)</f>
        <v/>
      </c>
      <c r="K103" s="138" t="str">
        <f>IF(A103="","",'START-HERE'!$C$16)</f>
        <v/>
      </c>
      <c r="L103" s="135"/>
      <c r="M103" s="135"/>
      <c r="N103" s="131"/>
      <c r="P103" s="130"/>
      <c r="Q103" s="23" t="str">
        <f t="shared" si="2"/>
        <v/>
      </c>
      <c r="R103" s="23">
        <f t="shared" si="3"/>
        <v>102</v>
      </c>
    </row>
    <row r="104" spans="9:18" x14ac:dyDescent="0.25">
      <c r="I104" s="127" t="str">
        <f>IF(A104="","",'START-HERE'!$C$15)</f>
        <v/>
      </c>
      <c r="J104" s="137" t="str">
        <f>IF(A104="","",'START-HERE'!$C$15)</f>
        <v/>
      </c>
      <c r="K104" s="138" t="str">
        <f>IF(A104="","",'START-HERE'!$C$16)</f>
        <v/>
      </c>
      <c r="L104" s="135"/>
      <c r="M104" s="135"/>
      <c r="N104" s="131"/>
      <c r="P104" s="130"/>
      <c r="Q104" s="23" t="str">
        <f t="shared" si="2"/>
        <v/>
      </c>
      <c r="R104" s="23">
        <f t="shared" si="3"/>
        <v>103</v>
      </c>
    </row>
    <row r="105" spans="9:18" x14ac:dyDescent="0.25">
      <c r="I105" s="127" t="str">
        <f>IF(A105="","",'START-HERE'!$C$15)</f>
        <v/>
      </c>
      <c r="J105" s="137" t="str">
        <f>IF(A105="","",'START-HERE'!$C$15)</f>
        <v/>
      </c>
      <c r="K105" s="138" t="str">
        <f>IF(A105="","",'START-HERE'!$C$16)</f>
        <v/>
      </c>
      <c r="L105" s="135"/>
      <c r="M105" s="135"/>
      <c r="N105" s="131"/>
      <c r="P105" s="130"/>
      <c r="Q105" s="23" t="str">
        <f t="shared" si="2"/>
        <v/>
      </c>
      <c r="R105" s="23">
        <f t="shared" si="3"/>
        <v>104</v>
      </c>
    </row>
    <row r="106" spans="9:18" x14ac:dyDescent="0.25">
      <c r="I106" s="127" t="str">
        <f>IF(A106="","",'START-HERE'!$C$15)</f>
        <v/>
      </c>
      <c r="J106" s="137" t="str">
        <f>IF(A106="","",'START-HERE'!$C$15)</f>
        <v/>
      </c>
      <c r="K106" s="138" t="str">
        <f>IF(A106="","",'START-HERE'!$C$16)</f>
        <v/>
      </c>
      <c r="L106" s="135"/>
      <c r="M106" s="135"/>
      <c r="N106" s="131"/>
      <c r="P106" s="130"/>
      <c r="Q106" s="23" t="str">
        <f t="shared" si="2"/>
        <v/>
      </c>
      <c r="R106" s="23">
        <f t="shared" si="3"/>
        <v>105</v>
      </c>
    </row>
    <row r="107" spans="9:18" x14ac:dyDescent="0.25">
      <c r="I107" s="127" t="str">
        <f>IF(A107="","",'START-HERE'!$C$15)</f>
        <v/>
      </c>
      <c r="J107" s="137" t="str">
        <f>IF(A107="","",'START-HERE'!$C$15)</f>
        <v/>
      </c>
      <c r="K107" s="138" t="str">
        <f>IF(A107="","",'START-HERE'!$C$16)</f>
        <v/>
      </c>
      <c r="L107" s="135"/>
      <c r="M107" s="135"/>
      <c r="N107" s="131"/>
      <c r="P107" s="130"/>
      <c r="Q107" s="23" t="str">
        <f t="shared" si="2"/>
        <v/>
      </c>
      <c r="R107" s="23">
        <f t="shared" si="3"/>
        <v>106</v>
      </c>
    </row>
    <row r="108" spans="9:18" x14ac:dyDescent="0.25">
      <c r="I108" s="127" t="str">
        <f>IF(A108="","",'START-HERE'!$C$15)</f>
        <v/>
      </c>
      <c r="J108" s="137" t="str">
        <f>IF(A108="","",'START-HERE'!$C$15)</f>
        <v/>
      </c>
      <c r="K108" s="138" t="str">
        <f>IF(A108="","",'START-HERE'!$C$16)</f>
        <v/>
      </c>
      <c r="L108" s="135"/>
      <c r="M108" s="135"/>
      <c r="N108" s="131"/>
      <c r="P108" s="130"/>
      <c r="Q108" s="23" t="str">
        <f t="shared" si="2"/>
        <v/>
      </c>
      <c r="R108" s="23">
        <f t="shared" si="3"/>
        <v>107</v>
      </c>
    </row>
    <row r="109" spans="9:18" x14ac:dyDescent="0.25">
      <c r="I109" s="127" t="str">
        <f>IF(A109="","",'START-HERE'!$C$15)</f>
        <v/>
      </c>
      <c r="J109" s="137" t="str">
        <f>IF(A109="","",'START-HERE'!$C$15)</f>
        <v/>
      </c>
      <c r="K109" s="138" t="str">
        <f>IF(A109="","",'START-HERE'!$C$16)</f>
        <v/>
      </c>
      <c r="L109" s="135"/>
      <c r="M109" s="135"/>
      <c r="N109" s="131"/>
      <c r="P109" s="130"/>
      <c r="Q109" s="23" t="str">
        <f t="shared" si="2"/>
        <v/>
      </c>
      <c r="R109" s="23">
        <f t="shared" si="3"/>
        <v>108</v>
      </c>
    </row>
    <row r="110" spans="9:18" x14ac:dyDescent="0.25">
      <c r="I110" s="127" t="str">
        <f>IF(A110="","",'START-HERE'!$C$15)</f>
        <v/>
      </c>
      <c r="J110" s="137" t="str">
        <f>IF(A110="","",'START-HERE'!$C$15)</f>
        <v/>
      </c>
      <c r="K110" s="138" t="str">
        <f>IF(A110="","",'START-HERE'!$C$16)</f>
        <v/>
      </c>
      <c r="P110" s="130"/>
      <c r="Q110" s="23" t="str">
        <f t="shared" si="2"/>
        <v/>
      </c>
      <c r="R110" s="23">
        <f t="shared" si="3"/>
        <v>109</v>
      </c>
    </row>
    <row r="111" spans="9:18" x14ac:dyDescent="0.25">
      <c r="I111" s="127" t="str">
        <f>IF(A111="","",'START-HERE'!$C$15)</f>
        <v/>
      </c>
      <c r="J111" s="137" t="str">
        <f>IF(A111="","",'START-HERE'!$C$15)</f>
        <v/>
      </c>
      <c r="K111" s="138" t="str">
        <f>IF(A111="","",'START-HERE'!$C$16)</f>
        <v/>
      </c>
      <c r="P111" s="130"/>
      <c r="Q111" s="23" t="str">
        <f t="shared" si="2"/>
        <v/>
      </c>
      <c r="R111" s="23">
        <f t="shared" si="3"/>
        <v>110</v>
      </c>
    </row>
    <row r="112" spans="9:18" x14ac:dyDescent="0.25">
      <c r="I112" s="127" t="str">
        <f>IF(A112="","",'START-HERE'!$C$15)</f>
        <v/>
      </c>
      <c r="J112" s="137" t="str">
        <f>IF(A112="","",'START-HERE'!$C$15)</f>
        <v/>
      </c>
      <c r="K112" s="138" t="str">
        <f>IF(A112="","",'START-HERE'!$C$16)</f>
        <v/>
      </c>
      <c r="P112" s="130"/>
      <c r="Q112" s="23" t="str">
        <f t="shared" si="2"/>
        <v/>
      </c>
      <c r="R112" s="23">
        <f t="shared" si="3"/>
        <v>111</v>
      </c>
    </row>
    <row r="113" spans="9:18" x14ac:dyDescent="0.25">
      <c r="I113" s="127" t="str">
        <f>IF(A113="","",'START-HERE'!$C$15)</f>
        <v/>
      </c>
      <c r="J113" s="137" t="str">
        <f>IF(A113="","",'START-HERE'!$C$15)</f>
        <v/>
      </c>
      <c r="K113" s="138" t="str">
        <f>IF(A113="","",'START-HERE'!$C$16)</f>
        <v/>
      </c>
      <c r="P113" s="130"/>
      <c r="Q113" s="23" t="str">
        <f t="shared" si="2"/>
        <v/>
      </c>
      <c r="R113" s="23">
        <f t="shared" si="3"/>
        <v>112</v>
      </c>
    </row>
    <row r="114" spans="9:18" x14ac:dyDescent="0.25">
      <c r="I114" s="127" t="str">
        <f>IF(A114="","",'START-HERE'!$C$15)</f>
        <v/>
      </c>
      <c r="J114" s="137" t="str">
        <f>IF(A114="","",'START-HERE'!$C$15)</f>
        <v/>
      </c>
      <c r="K114" s="138" t="str">
        <f>IF(A114="","",'START-HERE'!$C$16)</f>
        <v/>
      </c>
      <c r="P114" s="130"/>
      <c r="Q114" s="23" t="str">
        <f t="shared" si="2"/>
        <v/>
      </c>
      <c r="R114" s="23">
        <f t="shared" si="3"/>
        <v>113</v>
      </c>
    </row>
    <row r="115" spans="9:18" x14ac:dyDescent="0.25">
      <c r="I115" s="127" t="str">
        <f>IF(A115="","",'START-HERE'!$C$15)</f>
        <v/>
      </c>
      <c r="J115" s="137" t="str">
        <f>IF(A115="","",'START-HERE'!$C$15)</f>
        <v/>
      </c>
      <c r="K115" s="138" t="str">
        <f>IF(A115="","",'START-HERE'!$C$16)</f>
        <v/>
      </c>
      <c r="P115" s="130"/>
      <c r="Q115" s="23" t="str">
        <f t="shared" si="2"/>
        <v/>
      </c>
      <c r="R115" s="23">
        <f t="shared" si="3"/>
        <v>114</v>
      </c>
    </row>
    <row r="116" spans="9:18" x14ac:dyDescent="0.25">
      <c r="I116" s="127" t="str">
        <f>IF(A116="","",'START-HERE'!$C$15)</f>
        <v/>
      </c>
      <c r="J116" s="137" t="str">
        <f>IF(A116="","",'START-HERE'!$C$15)</f>
        <v/>
      </c>
      <c r="K116" s="138" t="str">
        <f>IF(A116="","",'START-HERE'!$C$16)</f>
        <v/>
      </c>
      <c r="L116" s="135"/>
      <c r="M116" s="135"/>
      <c r="N116" s="131"/>
      <c r="P116" s="130"/>
      <c r="Q116" s="23" t="str">
        <f t="shared" si="2"/>
        <v/>
      </c>
      <c r="R116" s="23">
        <f t="shared" si="3"/>
        <v>115</v>
      </c>
    </row>
    <row r="117" spans="9:18" x14ac:dyDescent="0.25">
      <c r="I117" s="127" t="str">
        <f>IF(A117="","",'START-HERE'!$C$15)</f>
        <v/>
      </c>
      <c r="J117" s="137" t="str">
        <f>IF(A117="","",'START-HERE'!$C$15)</f>
        <v/>
      </c>
      <c r="K117" s="138" t="str">
        <f>IF(A117="","",'START-HERE'!$C$16)</f>
        <v/>
      </c>
      <c r="L117" s="135"/>
      <c r="M117" s="135"/>
      <c r="N117" s="131"/>
      <c r="P117" s="130"/>
      <c r="Q117" s="23" t="str">
        <f t="shared" si="2"/>
        <v/>
      </c>
      <c r="R117" s="23">
        <f t="shared" si="3"/>
        <v>116</v>
      </c>
    </row>
    <row r="118" spans="9:18" x14ac:dyDescent="0.25">
      <c r="I118" s="127" t="str">
        <f>IF(A118="","",'START-HERE'!$C$15)</f>
        <v/>
      </c>
      <c r="J118" s="137" t="str">
        <f>IF(A118="","",'START-HERE'!$C$15)</f>
        <v/>
      </c>
      <c r="K118" s="138" t="str">
        <f>IF(A118="","",'START-HERE'!$C$16)</f>
        <v/>
      </c>
      <c r="L118" s="135"/>
      <c r="M118" s="135"/>
      <c r="N118" s="131"/>
      <c r="P118" s="130"/>
      <c r="Q118" s="23" t="str">
        <f t="shared" si="2"/>
        <v/>
      </c>
      <c r="R118" s="23">
        <f t="shared" si="3"/>
        <v>117</v>
      </c>
    </row>
    <row r="119" spans="9:18" x14ac:dyDescent="0.25">
      <c r="I119" s="127" t="str">
        <f>IF(A119="","",'START-HERE'!$C$15)</f>
        <v/>
      </c>
      <c r="J119" s="137" t="str">
        <f>IF(A119="","",'START-HERE'!$C$15)</f>
        <v/>
      </c>
      <c r="K119" s="138" t="str">
        <f>IF(A119="","",'START-HERE'!$C$16)</f>
        <v/>
      </c>
      <c r="L119" s="135"/>
      <c r="M119" s="135"/>
      <c r="N119" s="131"/>
      <c r="P119" s="130"/>
      <c r="Q119" s="23" t="str">
        <f t="shared" si="2"/>
        <v/>
      </c>
      <c r="R119" s="23">
        <f t="shared" si="3"/>
        <v>118</v>
      </c>
    </row>
    <row r="120" spans="9:18" x14ac:dyDescent="0.25">
      <c r="I120" s="127" t="str">
        <f>IF(A120="","",'START-HERE'!$C$15)</f>
        <v/>
      </c>
      <c r="J120" s="137" t="str">
        <f>IF(A120="","",'START-HERE'!$C$15)</f>
        <v/>
      </c>
      <c r="K120" s="138" t="str">
        <f>IF(A120="","",'START-HERE'!$C$16)</f>
        <v/>
      </c>
      <c r="L120" s="135"/>
      <c r="M120" s="135"/>
      <c r="N120" s="131"/>
      <c r="P120" s="130"/>
      <c r="Q120" s="23" t="str">
        <f t="shared" si="2"/>
        <v/>
      </c>
      <c r="R120" s="23">
        <f t="shared" si="3"/>
        <v>119</v>
      </c>
    </row>
    <row r="121" spans="9:18" x14ac:dyDescent="0.25">
      <c r="I121" s="127" t="str">
        <f>IF(A121="","",'START-HERE'!$C$15)</f>
        <v/>
      </c>
      <c r="J121" s="137" t="str">
        <f>IF(A121="","",'START-HERE'!$C$15)</f>
        <v/>
      </c>
      <c r="K121" s="138" t="str">
        <f>IF(A121="","",'START-HERE'!$C$16)</f>
        <v/>
      </c>
      <c r="L121" s="135"/>
      <c r="M121" s="135"/>
      <c r="N121" s="131"/>
      <c r="P121" s="130"/>
      <c r="Q121" s="23" t="str">
        <f t="shared" si="2"/>
        <v/>
      </c>
      <c r="R121" s="23">
        <f t="shared" si="3"/>
        <v>120</v>
      </c>
    </row>
    <row r="122" spans="9:18" x14ac:dyDescent="0.25">
      <c r="I122" s="127" t="str">
        <f>IF(A122="","",'START-HERE'!$C$15)</f>
        <v/>
      </c>
      <c r="J122" s="137" t="str">
        <f>IF(A122="","",'START-HERE'!$C$15)</f>
        <v/>
      </c>
      <c r="K122" s="138" t="str">
        <f>IF(A122="","",'START-HERE'!$C$16)</f>
        <v/>
      </c>
      <c r="L122" s="135"/>
      <c r="M122" s="135"/>
      <c r="N122" s="131"/>
      <c r="P122" s="130"/>
      <c r="Q122" s="23" t="str">
        <f t="shared" si="2"/>
        <v/>
      </c>
      <c r="R122" s="23">
        <f t="shared" si="3"/>
        <v>121</v>
      </c>
    </row>
    <row r="123" spans="9:18" x14ac:dyDescent="0.25">
      <c r="I123" s="127" t="str">
        <f>IF(A123="","",'START-HERE'!$C$15)</f>
        <v/>
      </c>
      <c r="J123" s="137" t="str">
        <f>IF(A123="","",'START-HERE'!$C$15)</f>
        <v/>
      </c>
      <c r="K123" s="138" t="str">
        <f>IF(A123="","",'START-HERE'!$C$16)</f>
        <v/>
      </c>
      <c r="L123" s="135"/>
      <c r="M123" s="135"/>
      <c r="N123" s="131"/>
      <c r="P123" s="130"/>
      <c r="Q123" s="23" t="str">
        <f t="shared" si="2"/>
        <v/>
      </c>
      <c r="R123" s="23">
        <f t="shared" si="3"/>
        <v>122</v>
      </c>
    </row>
    <row r="124" spans="9:18" x14ac:dyDescent="0.25">
      <c r="I124" s="127" t="str">
        <f>IF(A124="","",'START-HERE'!$C$15)</f>
        <v/>
      </c>
      <c r="J124" s="137" t="str">
        <f>IF(A124="","",'START-HERE'!$C$15)</f>
        <v/>
      </c>
      <c r="K124" s="138" t="str">
        <f>IF(A124="","",'START-HERE'!$C$16)</f>
        <v/>
      </c>
      <c r="L124" s="135"/>
      <c r="M124" s="135"/>
      <c r="N124" s="131"/>
      <c r="P124" s="130"/>
      <c r="Q124" s="23" t="str">
        <f t="shared" si="2"/>
        <v/>
      </c>
      <c r="R124" s="23">
        <f t="shared" si="3"/>
        <v>123</v>
      </c>
    </row>
    <row r="125" spans="9:18" x14ac:dyDescent="0.25">
      <c r="I125" s="127" t="str">
        <f>IF(A125="","",'START-HERE'!$C$15)</f>
        <v/>
      </c>
      <c r="J125" s="137" t="str">
        <f>IF(A125="","",'START-HERE'!$C$15)</f>
        <v/>
      </c>
      <c r="K125" s="138" t="str">
        <f>IF(A125="","",'START-HERE'!$C$16)</f>
        <v/>
      </c>
      <c r="L125" s="135"/>
      <c r="M125" s="135"/>
      <c r="N125" s="131"/>
      <c r="P125" s="130"/>
      <c r="Q125" s="23" t="str">
        <f t="shared" si="2"/>
        <v/>
      </c>
      <c r="R125" s="23">
        <f t="shared" si="3"/>
        <v>124</v>
      </c>
    </row>
    <row r="126" spans="9:18" x14ac:dyDescent="0.25">
      <c r="I126" s="127" t="str">
        <f>IF(A126="","",'START-HERE'!$C$15)</f>
        <v/>
      </c>
      <c r="J126" s="137" t="str">
        <f>IF(A126="","",'START-HERE'!$C$15)</f>
        <v/>
      </c>
      <c r="K126" s="138" t="str">
        <f>IF(A126="","",'START-HERE'!$C$16)</f>
        <v/>
      </c>
      <c r="L126" s="135"/>
      <c r="M126" s="135"/>
      <c r="N126" s="131"/>
      <c r="P126" s="130"/>
      <c r="Q126" s="23" t="str">
        <f t="shared" si="2"/>
        <v/>
      </c>
      <c r="R126" s="23">
        <f t="shared" si="3"/>
        <v>125</v>
      </c>
    </row>
    <row r="127" spans="9:18" x14ac:dyDescent="0.25">
      <c r="I127" s="127" t="str">
        <f>IF(A127="","",'START-HERE'!$C$15)</f>
        <v/>
      </c>
      <c r="J127" s="137" t="str">
        <f>IF(A127="","",'START-HERE'!$C$15)</f>
        <v/>
      </c>
      <c r="K127" s="138" t="str">
        <f>IF(A127="","",'START-HERE'!$C$16)</f>
        <v/>
      </c>
      <c r="L127" s="135"/>
      <c r="M127" s="135"/>
      <c r="N127" s="131"/>
      <c r="P127" s="130"/>
      <c r="Q127" s="23" t="str">
        <f t="shared" si="2"/>
        <v/>
      </c>
      <c r="R127" s="23">
        <f t="shared" si="3"/>
        <v>126</v>
      </c>
    </row>
    <row r="128" spans="9:18" x14ac:dyDescent="0.25">
      <c r="I128" s="127" t="str">
        <f>IF(A128="","",'START-HERE'!$C$15)</f>
        <v/>
      </c>
      <c r="J128" s="137" t="str">
        <f>IF(A128="","",'START-HERE'!$C$15)</f>
        <v/>
      </c>
      <c r="K128" s="138" t="str">
        <f>IF(A128="","",'START-HERE'!$C$16)</f>
        <v/>
      </c>
      <c r="L128" s="135"/>
      <c r="M128" s="135"/>
      <c r="N128" s="131"/>
      <c r="P128" s="130"/>
      <c r="Q128" s="23" t="str">
        <f t="shared" si="2"/>
        <v/>
      </c>
      <c r="R128" s="23">
        <f t="shared" si="3"/>
        <v>127</v>
      </c>
    </row>
    <row r="129" spans="9:18" x14ac:dyDescent="0.25">
      <c r="I129" s="127" t="str">
        <f>IF(A129="","",'START-HERE'!$C$15)</f>
        <v/>
      </c>
      <c r="J129" s="137" t="str">
        <f>IF(A129="","",'START-HERE'!$C$15)</f>
        <v/>
      </c>
      <c r="K129" s="138" t="str">
        <f>IF(A129="","",'START-HERE'!$C$16)</f>
        <v/>
      </c>
      <c r="L129" s="135"/>
      <c r="M129" s="135"/>
      <c r="N129" s="131"/>
      <c r="P129" s="130"/>
      <c r="Q129" s="23" t="str">
        <f t="shared" si="2"/>
        <v/>
      </c>
      <c r="R129" s="23">
        <f t="shared" si="3"/>
        <v>128</v>
      </c>
    </row>
    <row r="130" spans="9:18" x14ac:dyDescent="0.25">
      <c r="I130" s="127" t="str">
        <f>IF(A130="","",'START-HERE'!$C$15)</f>
        <v/>
      </c>
      <c r="J130" s="137" t="str">
        <f>IF(A130="","",'START-HERE'!$C$15)</f>
        <v/>
      </c>
      <c r="K130" s="138" t="str">
        <f>IF(A130="","",'START-HERE'!$C$16)</f>
        <v/>
      </c>
      <c r="L130" s="135"/>
      <c r="M130" s="135"/>
      <c r="N130" s="131"/>
      <c r="P130" s="130"/>
      <c r="Q130" s="23" t="str">
        <f t="shared" ref="Q130:Q193" si="4">IF(A130="","",R130&amp;"-"&amp;E130&amp;A130)</f>
        <v/>
      </c>
      <c r="R130" s="23">
        <f t="shared" ref="R130:R193" si="5">ROW()-1</f>
        <v>129</v>
      </c>
    </row>
    <row r="131" spans="9:18" x14ac:dyDescent="0.25">
      <c r="I131" s="127" t="str">
        <f>IF(A131="","",'START-HERE'!$C$15)</f>
        <v/>
      </c>
      <c r="J131" s="137" t="str">
        <f>IF(A131="","",'START-HERE'!$C$15)</f>
        <v/>
      </c>
      <c r="K131" s="138" t="str">
        <f>IF(A131="","",'START-HERE'!$C$16)</f>
        <v/>
      </c>
      <c r="L131" s="135"/>
      <c r="M131" s="135"/>
      <c r="N131" s="131"/>
      <c r="P131" s="130"/>
      <c r="Q131" s="23" t="str">
        <f t="shared" si="4"/>
        <v/>
      </c>
      <c r="R131" s="23">
        <f t="shared" si="5"/>
        <v>130</v>
      </c>
    </row>
    <row r="132" spans="9:18" x14ac:dyDescent="0.25">
      <c r="I132" s="127" t="str">
        <f>IF(A132="","",'START-HERE'!$C$15)</f>
        <v/>
      </c>
      <c r="J132" s="137" t="str">
        <f>IF(A132="","",'START-HERE'!$C$15)</f>
        <v/>
      </c>
      <c r="K132" s="138" t="str">
        <f>IF(A132="","",'START-HERE'!$C$16)</f>
        <v/>
      </c>
      <c r="L132" s="135"/>
      <c r="M132" s="135"/>
      <c r="N132" s="131"/>
      <c r="P132" s="130"/>
      <c r="Q132" s="23" t="str">
        <f t="shared" si="4"/>
        <v/>
      </c>
      <c r="R132" s="23">
        <f t="shared" si="5"/>
        <v>131</v>
      </c>
    </row>
    <row r="133" spans="9:18" x14ac:dyDescent="0.25">
      <c r="I133" s="127" t="str">
        <f>IF(A133="","",'START-HERE'!$C$15)</f>
        <v/>
      </c>
      <c r="J133" s="137" t="str">
        <f>IF(A133="","",'START-HERE'!$C$15)</f>
        <v/>
      </c>
      <c r="K133" s="138" t="str">
        <f>IF(A133="","",'START-HERE'!$C$16)</f>
        <v/>
      </c>
      <c r="L133" s="135"/>
      <c r="M133" s="135"/>
      <c r="N133" s="131"/>
      <c r="P133" s="130"/>
      <c r="Q133" s="23" t="str">
        <f t="shared" si="4"/>
        <v/>
      </c>
      <c r="R133" s="23">
        <f t="shared" si="5"/>
        <v>132</v>
      </c>
    </row>
    <row r="134" spans="9:18" x14ac:dyDescent="0.25">
      <c r="I134" s="127" t="str">
        <f>IF(A134="","",'START-HERE'!$C$15)</f>
        <v/>
      </c>
      <c r="J134" s="137" t="str">
        <f>IF(A134="","",'START-HERE'!$C$15)</f>
        <v/>
      </c>
      <c r="K134" s="138" t="str">
        <f>IF(A134="","",'START-HERE'!$C$16)</f>
        <v/>
      </c>
      <c r="L134" s="135"/>
      <c r="M134" s="135"/>
      <c r="N134" s="131"/>
      <c r="P134" s="130"/>
      <c r="Q134" s="23" t="str">
        <f t="shared" si="4"/>
        <v/>
      </c>
      <c r="R134" s="23">
        <f t="shared" si="5"/>
        <v>133</v>
      </c>
    </row>
    <row r="135" spans="9:18" x14ac:dyDescent="0.25">
      <c r="I135" s="127" t="str">
        <f>IF(A135="","",'START-HERE'!$C$15)</f>
        <v/>
      </c>
      <c r="J135" s="137" t="str">
        <f>IF(A135="","",'START-HERE'!$C$15)</f>
        <v/>
      </c>
      <c r="K135" s="138" t="str">
        <f>IF(A135="","",'START-HERE'!$C$16)</f>
        <v/>
      </c>
      <c r="L135" s="135"/>
      <c r="M135" s="135"/>
      <c r="N135" s="131"/>
      <c r="P135" s="130"/>
      <c r="Q135" s="23" t="str">
        <f t="shared" si="4"/>
        <v/>
      </c>
      <c r="R135" s="23">
        <f t="shared" si="5"/>
        <v>134</v>
      </c>
    </row>
    <row r="136" spans="9:18" x14ac:dyDescent="0.25">
      <c r="I136" s="127" t="str">
        <f>IF(A136="","",'START-HERE'!$C$15)</f>
        <v/>
      </c>
      <c r="J136" s="137" t="str">
        <f>IF(A136="","",'START-HERE'!$C$15)</f>
        <v/>
      </c>
      <c r="K136" s="138" t="str">
        <f>IF(A136="","",'START-HERE'!$C$16)</f>
        <v/>
      </c>
      <c r="L136" s="135"/>
      <c r="M136" s="135"/>
      <c r="N136" s="131"/>
      <c r="P136" s="130"/>
      <c r="Q136" s="23" t="str">
        <f t="shared" si="4"/>
        <v/>
      </c>
      <c r="R136" s="23">
        <f t="shared" si="5"/>
        <v>135</v>
      </c>
    </row>
    <row r="137" spans="9:18" x14ac:dyDescent="0.25">
      <c r="I137" s="127" t="str">
        <f>IF(A137="","",'START-HERE'!$C$15)</f>
        <v/>
      </c>
      <c r="J137" s="137" t="str">
        <f>IF(A137="","",'START-HERE'!$C$15)</f>
        <v/>
      </c>
      <c r="K137" s="138" t="str">
        <f>IF(A137="","",'START-HERE'!$C$16)</f>
        <v/>
      </c>
      <c r="L137" s="135"/>
      <c r="M137" s="135"/>
      <c r="N137" s="131"/>
      <c r="P137" s="130"/>
      <c r="Q137" s="23" t="str">
        <f t="shared" si="4"/>
        <v/>
      </c>
      <c r="R137" s="23">
        <f t="shared" si="5"/>
        <v>136</v>
      </c>
    </row>
    <row r="138" spans="9:18" x14ac:dyDescent="0.25">
      <c r="I138" s="127" t="str">
        <f>IF(A138="","",'START-HERE'!$C$15)</f>
        <v/>
      </c>
      <c r="J138" s="137" t="str">
        <f>IF(A138="","",'START-HERE'!$C$15)</f>
        <v/>
      </c>
      <c r="K138" s="138" t="str">
        <f>IF(A138="","",'START-HERE'!$C$16)</f>
        <v/>
      </c>
      <c r="L138" s="135"/>
      <c r="M138" s="135"/>
      <c r="N138" s="131"/>
      <c r="P138" s="130"/>
      <c r="Q138" s="23" t="str">
        <f t="shared" si="4"/>
        <v/>
      </c>
      <c r="R138" s="23">
        <f t="shared" si="5"/>
        <v>137</v>
      </c>
    </row>
    <row r="139" spans="9:18" x14ac:dyDescent="0.25">
      <c r="I139" s="127" t="str">
        <f>IF(A139="","",'START-HERE'!$C$15)</f>
        <v/>
      </c>
      <c r="J139" s="137" t="str">
        <f>IF(A139="","",'START-HERE'!$C$15)</f>
        <v/>
      </c>
      <c r="K139" s="138" t="str">
        <f>IF(A139="","",'START-HERE'!$C$16)</f>
        <v/>
      </c>
      <c r="L139" s="135"/>
      <c r="M139" s="135"/>
      <c r="N139" s="131"/>
      <c r="P139" s="130"/>
      <c r="Q139" s="23" t="str">
        <f t="shared" si="4"/>
        <v/>
      </c>
      <c r="R139" s="23">
        <f t="shared" si="5"/>
        <v>138</v>
      </c>
    </row>
    <row r="140" spans="9:18" x14ac:dyDescent="0.25">
      <c r="I140" s="127" t="str">
        <f>IF(A140="","",'START-HERE'!$C$15)</f>
        <v/>
      </c>
      <c r="J140" s="137" t="str">
        <f>IF(A140="","",'START-HERE'!$C$15)</f>
        <v/>
      </c>
      <c r="K140" s="138" t="str">
        <f>IF(A140="","",'START-HERE'!$C$16)</f>
        <v/>
      </c>
      <c r="L140" s="135"/>
      <c r="M140" s="135"/>
      <c r="N140" s="131"/>
      <c r="P140" s="130"/>
      <c r="Q140" s="23" t="str">
        <f t="shared" si="4"/>
        <v/>
      </c>
      <c r="R140" s="23">
        <f t="shared" si="5"/>
        <v>139</v>
      </c>
    </row>
    <row r="141" spans="9:18" x14ac:dyDescent="0.25">
      <c r="I141" s="127" t="str">
        <f>IF(A141="","",'START-HERE'!$C$15)</f>
        <v/>
      </c>
      <c r="J141" s="137" t="str">
        <f>IF(A141="","",'START-HERE'!$C$15)</f>
        <v/>
      </c>
      <c r="K141" s="138" t="str">
        <f>IF(A141="","",'START-HERE'!$C$16)</f>
        <v/>
      </c>
      <c r="L141" s="135"/>
      <c r="M141" s="135"/>
      <c r="N141" s="131"/>
      <c r="P141" s="130"/>
      <c r="Q141" s="23" t="str">
        <f t="shared" si="4"/>
        <v/>
      </c>
      <c r="R141" s="23">
        <f t="shared" si="5"/>
        <v>140</v>
      </c>
    </row>
    <row r="142" spans="9:18" x14ac:dyDescent="0.25">
      <c r="I142" s="127" t="str">
        <f>IF(A142="","",'START-HERE'!$C$15)</f>
        <v/>
      </c>
      <c r="J142" s="137" t="str">
        <f>IF(A142="","",'START-HERE'!$C$15)</f>
        <v/>
      </c>
      <c r="K142" s="138" t="str">
        <f>IF(A142="","",'START-HERE'!$C$16)</f>
        <v/>
      </c>
      <c r="L142" s="135"/>
      <c r="M142" s="135"/>
      <c r="N142" s="131"/>
      <c r="P142" s="130"/>
      <c r="Q142" s="23" t="str">
        <f t="shared" si="4"/>
        <v/>
      </c>
      <c r="R142" s="23">
        <f t="shared" si="5"/>
        <v>141</v>
      </c>
    </row>
    <row r="143" spans="9:18" x14ac:dyDescent="0.25">
      <c r="I143" s="127" t="str">
        <f>IF(A143="","",'START-HERE'!$C$15)</f>
        <v/>
      </c>
      <c r="J143" s="137" t="str">
        <f>IF(A143="","",'START-HERE'!$C$15)</f>
        <v/>
      </c>
      <c r="K143" s="138" t="str">
        <f>IF(A143="","",'START-HERE'!$C$16)</f>
        <v/>
      </c>
      <c r="L143" s="135"/>
      <c r="M143" s="135"/>
      <c r="N143" s="131"/>
      <c r="P143" s="130"/>
      <c r="Q143" s="23" t="str">
        <f t="shared" si="4"/>
        <v/>
      </c>
      <c r="R143" s="23">
        <f t="shared" si="5"/>
        <v>142</v>
      </c>
    </row>
    <row r="144" spans="9:18" x14ac:dyDescent="0.25">
      <c r="I144" s="127" t="str">
        <f>IF(A144="","",'START-HERE'!$C$15)</f>
        <v/>
      </c>
      <c r="J144" s="137" t="str">
        <f>IF(A144="","",'START-HERE'!$C$15)</f>
        <v/>
      </c>
      <c r="K144" s="138" t="str">
        <f>IF(A144="","",'START-HERE'!$C$16)</f>
        <v/>
      </c>
      <c r="L144" s="135"/>
      <c r="M144" s="135"/>
      <c r="N144" s="131"/>
      <c r="P144" s="130"/>
      <c r="Q144" s="23" t="str">
        <f t="shared" si="4"/>
        <v/>
      </c>
      <c r="R144" s="23">
        <f t="shared" si="5"/>
        <v>143</v>
      </c>
    </row>
    <row r="145" spans="9:18" x14ac:dyDescent="0.25">
      <c r="I145" s="127" t="str">
        <f>IF(A145="","",'START-HERE'!$C$15)</f>
        <v/>
      </c>
      <c r="J145" s="137" t="str">
        <f>IF(A145="","",'START-HERE'!$C$15)</f>
        <v/>
      </c>
      <c r="K145" s="138" t="str">
        <f>IF(A145="","",'START-HERE'!$C$16)</f>
        <v/>
      </c>
      <c r="L145" s="135"/>
      <c r="M145" s="135"/>
      <c r="N145" s="131"/>
      <c r="P145" s="130"/>
      <c r="Q145" s="23" t="str">
        <f t="shared" si="4"/>
        <v/>
      </c>
      <c r="R145" s="23">
        <f t="shared" si="5"/>
        <v>144</v>
      </c>
    </row>
    <row r="146" spans="9:18" x14ac:dyDescent="0.25">
      <c r="I146" s="127" t="str">
        <f>IF(A146="","",'START-HERE'!$C$15)</f>
        <v/>
      </c>
      <c r="J146" s="137" t="str">
        <f>IF(A146="","",'START-HERE'!$C$15)</f>
        <v/>
      </c>
      <c r="K146" s="138" t="str">
        <f>IF(A146="","",'START-HERE'!$C$16)</f>
        <v/>
      </c>
      <c r="L146" s="135"/>
      <c r="M146" s="135"/>
      <c r="N146" s="131"/>
      <c r="P146" s="130"/>
      <c r="Q146" s="23" t="str">
        <f t="shared" si="4"/>
        <v/>
      </c>
      <c r="R146" s="23">
        <f t="shared" si="5"/>
        <v>145</v>
      </c>
    </row>
    <row r="147" spans="9:18" x14ac:dyDescent="0.25">
      <c r="I147" s="127" t="str">
        <f>IF(A147="","",'START-HERE'!$C$15)</f>
        <v/>
      </c>
      <c r="J147" s="137" t="str">
        <f>IF(A147="","",'START-HERE'!$C$15)</f>
        <v/>
      </c>
      <c r="K147" s="138" t="str">
        <f>IF(A147="","",'START-HERE'!$C$16)</f>
        <v/>
      </c>
      <c r="L147" s="135"/>
      <c r="M147" s="135"/>
      <c r="N147" s="131"/>
      <c r="P147" s="130"/>
      <c r="Q147" s="23" t="str">
        <f t="shared" si="4"/>
        <v/>
      </c>
      <c r="R147" s="23">
        <f t="shared" si="5"/>
        <v>146</v>
      </c>
    </row>
    <row r="148" spans="9:18" x14ac:dyDescent="0.25">
      <c r="I148" s="127" t="str">
        <f>IF(A148="","",'START-HERE'!$C$15)</f>
        <v/>
      </c>
      <c r="J148" s="137" t="str">
        <f>IF(A148="","",'START-HERE'!$C$15)</f>
        <v/>
      </c>
      <c r="K148" s="138" t="str">
        <f>IF(A148="","",'START-HERE'!$C$16)</f>
        <v/>
      </c>
      <c r="L148" s="135"/>
      <c r="M148" s="135"/>
      <c r="N148" s="131"/>
      <c r="P148" s="130"/>
      <c r="Q148" s="23" t="str">
        <f t="shared" si="4"/>
        <v/>
      </c>
      <c r="R148" s="23">
        <f t="shared" si="5"/>
        <v>147</v>
      </c>
    </row>
    <row r="149" spans="9:18" x14ac:dyDescent="0.25">
      <c r="I149" s="127" t="str">
        <f>IF(A149="","",'START-HERE'!$C$15)</f>
        <v/>
      </c>
      <c r="J149" s="137" t="str">
        <f>IF(A149="","",'START-HERE'!$C$15)</f>
        <v/>
      </c>
      <c r="K149" s="138" t="str">
        <f>IF(A149="","",'START-HERE'!$C$16)</f>
        <v/>
      </c>
      <c r="L149" s="135"/>
      <c r="M149" s="135"/>
      <c r="N149" s="131"/>
      <c r="P149" s="130"/>
      <c r="Q149" s="23" t="str">
        <f t="shared" si="4"/>
        <v/>
      </c>
      <c r="R149" s="23">
        <f t="shared" si="5"/>
        <v>148</v>
      </c>
    </row>
    <row r="150" spans="9:18" x14ac:dyDescent="0.25">
      <c r="I150" s="127" t="str">
        <f>IF(A150="","",'START-HERE'!$C$15)</f>
        <v/>
      </c>
      <c r="J150" s="137" t="str">
        <f>IF(A150="","",'START-HERE'!$C$15)</f>
        <v/>
      </c>
      <c r="K150" s="138" t="str">
        <f>IF(A150="","",'START-HERE'!$C$16)</f>
        <v/>
      </c>
      <c r="L150" s="135"/>
      <c r="M150" s="135"/>
      <c r="N150" s="131"/>
      <c r="P150" s="130"/>
      <c r="Q150" s="23" t="str">
        <f t="shared" si="4"/>
        <v/>
      </c>
      <c r="R150" s="23">
        <f t="shared" si="5"/>
        <v>149</v>
      </c>
    </row>
    <row r="151" spans="9:18" x14ac:dyDescent="0.25">
      <c r="I151" s="127" t="str">
        <f>IF(A151="","",'START-HERE'!$C$15)</f>
        <v/>
      </c>
      <c r="J151" s="137" t="str">
        <f>IF(A151="","",'START-HERE'!$C$15)</f>
        <v/>
      </c>
      <c r="K151" s="138" t="str">
        <f>IF(A151="","",'START-HERE'!$C$16)</f>
        <v/>
      </c>
      <c r="L151" s="135"/>
      <c r="M151" s="135"/>
      <c r="N151" s="131"/>
      <c r="P151" s="130"/>
      <c r="Q151" s="23" t="str">
        <f t="shared" si="4"/>
        <v/>
      </c>
      <c r="R151" s="23">
        <f t="shared" si="5"/>
        <v>150</v>
      </c>
    </row>
    <row r="152" spans="9:18" x14ac:dyDescent="0.25">
      <c r="I152" s="127" t="str">
        <f>IF(A152="","",'START-HERE'!$C$15)</f>
        <v/>
      </c>
      <c r="J152" s="137" t="str">
        <f>IF(A152="","",'START-HERE'!$C$15)</f>
        <v/>
      </c>
      <c r="K152" s="138" t="str">
        <f>IF(A152="","",'START-HERE'!$C$16)</f>
        <v/>
      </c>
      <c r="L152" s="135"/>
      <c r="M152" s="135"/>
      <c r="N152" s="131"/>
      <c r="P152" s="130"/>
      <c r="Q152" s="23" t="str">
        <f t="shared" si="4"/>
        <v/>
      </c>
      <c r="R152" s="23">
        <f t="shared" si="5"/>
        <v>151</v>
      </c>
    </row>
    <row r="153" spans="9:18" x14ac:dyDescent="0.25">
      <c r="I153" s="127" t="str">
        <f>IF(A153="","",'START-HERE'!$C$15)</f>
        <v/>
      </c>
      <c r="J153" s="137" t="str">
        <f>IF(A153="","",'START-HERE'!$C$15)</f>
        <v/>
      </c>
      <c r="K153" s="138" t="str">
        <f>IF(A153="","",'START-HERE'!$C$16)</f>
        <v/>
      </c>
      <c r="L153" s="135"/>
      <c r="M153" s="135"/>
      <c r="N153" s="131"/>
      <c r="P153" s="130"/>
      <c r="Q153" s="23" t="str">
        <f t="shared" si="4"/>
        <v/>
      </c>
      <c r="R153" s="23">
        <f t="shared" si="5"/>
        <v>152</v>
      </c>
    </row>
    <row r="154" spans="9:18" x14ac:dyDescent="0.25">
      <c r="I154" s="127" t="str">
        <f>IF(A154="","",'START-HERE'!$C$15)</f>
        <v/>
      </c>
      <c r="J154" s="137" t="str">
        <f>IF(A154="","",'START-HERE'!$C$15)</f>
        <v/>
      </c>
      <c r="K154" s="138" t="str">
        <f>IF(A154="","",'START-HERE'!$C$16)</f>
        <v/>
      </c>
      <c r="L154" s="135"/>
      <c r="M154" s="135"/>
      <c r="N154" s="131"/>
      <c r="P154" s="130"/>
      <c r="Q154" s="23" t="str">
        <f t="shared" si="4"/>
        <v/>
      </c>
      <c r="R154" s="23">
        <f t="shared" si="5"/>
        <v>153</v>
      </c>
    </row>
    <row r="155" spans="9:18" x14ac:dyDescent="0.25">
      <c r="I155" s="127" t="str">
        <f>IF(A155="","",'START-HERE'!$C$15)</f>
        <v/>
      </c>
      <c r="J155" s="137" t="str">
        <f>IF(A155="","",'START-HERE'!$C$15)</f>
        <v/>
      </c>
      <c r="K155" s="138" t="str">
        <f>IF(A155="","",'START-HERE'!$C$16)</f>
        <v/>
      </c>
      <c r="L155" s="135"/>
      <c r="M155" s="135"/>
      <c r="N155" s="131"/>
      <c r="P155" s="130"/>
      <c r="Q155" s="23" t="str">
        <f t="shared" si="4"/>
        <v/>
      </c>
      <c r="R155" s="23">
        <f t="shared" si="5"/>
        <v>154</v>
      </c>
    </row>
    <row r="156" spans="9:18" x14ac:dyDescent="0.25">
      <c r="I156" s="127" t="str">
        <f>IF(A156="","",'START-HERE'!$C$15)</f>
        <v/>
      </c>
      <c r="J156" s="137" t="str">
        <f>IF(A156="","",'START-HERE'!$C$15)</f>
        <v/>
      </c>
      <c r="K156" s="138" t="str">
        <f>IF(A156="","",'START-HERE'!$C$16)</f>
        <v/>
      </c>
      <c r="L156" s="135"/>
      <c r="M156" s="135"/>
      <c r="N156" s="131"/>
      <c r="P156" s="130"/>
      <c r="Q156" s="23" t="str">
        <f t="shared" si="4"/>
        <v/>
      </c>
      <c r="R156" s="23">
        <f t="shared" si="5"/>
        <v>155</v>
      </c>
    </row>
    <row r="157" spans="9:18" x14ac:dyDescent="0.25">
      <c r="I157" s="127" t="str">
        <f>IF(A157="","",'START-HERE'!$C$15)</f>
        <v/>
      </c>
      <c r="J157" s="137" t="str">
        <f>IF(A157="","",'START-HERE'!$C$15)</f>
        <v/>
      </c>
      <c r="K157" s="138" t="str">
        <f>IF(A157="","",'START-HERE'!$C$16)</f>
        <v/>
      </c>
      <c r="L157" s="135"/>
      <c r="M157" s="135"/>
      <c r="N157" s="131"/>
      <c r="P157" s="130"/>
      <c r="Q157" s="23" t="str">
        <f t="shared" si="4"/>
        <v/>
      </c>
      <c r="R157" s="23">
        <f t="shared" si="5"/>
        <v>156</v>
      </c>
    </row>
    <row r="158" spans="9:18" x14ac:dyDescent="0.25">
      <c r="I158" s="127" t="str">
        <f>IF(A158="","",'START-HERE'!$C$15)</f>
        <v/>
      </c>
      <c r="J158" s="137" t="str">
        <f>IF(A158="","",'START-HERE'!$C$15)</f>
        <v/>
      </c>
      <c r="K158" s="138" t="str">
        <f>IF(A158="","",'START-HERE'!$C$16)</f>
        <v/>
      </c>
      <c r="L158" s="135"/>
      <c r="M158" s="135"/>
      <c r="N158" s="131"/>
      <c r="P158" s="130"/>
      <c r="Q158" s="23" t="str">
        <f t="shared" si="4"/>
        <v/>
      </c>
      <c r="R158" s="23">
        <f t="shared" si="5"/>
        <v>157</v>
      </c>
    </row>
    <row r="159" spans="9:18" x14ac:dyDescent="0.25">
      <c r="I159" s="127" t="str">
        <f>IF(A159="","",'START-HERE'!$C$15)</f>
        <v/>
      </c>
      <c r="J159" s="137" t="str">
        <f>IF(A159="","",'START-HERE'!$C$15)</f>
        <v/>
      </c>
      <c r="K159" s="138" t="str">
        <f>IF(A159="","",'START-HERE'!$C$16)</f>
        <v/>
      </c>
      <c r="L159" s="135"/>
      <c r="M159" s="135"/>
      <c r="N159" s="131"/>
      <c r="P159" s="130"/>
      <c r="Q159" s="23" t="str">
        <f t="shared" si="4"/>
        <v/>
      </c>
      <c r="R159" s="23">
        <f t="shared" si="5"/>
        <v>158</v>
      </c>
    </row>
    <row r="160" spans="9:18" x14ac:dyDescent="0.25">
      <c r="I160" s="127" t="str">
        <f>IF(A160="","",'START-HERE'!$C$15)</f>
        <v/>
      </c>
      <c r="J160" s="137" t="str">
        <f>IF(A160="","",'START-HERE'!$C$15)</f>
        <v/>
      </c>
      <c r="K160" s="138" t="str">
        <f>IF(A160="","",'START-HERE'!$C$16)</f>
        <v/>
      </c>
      <c r="L160" s="135"/>
      <c r="M160" s="135"/>
      <c r="N160" s="131"/>
      <c r="P160" s="130"/>
      <c r="Q160" s="23" t="str">
        <f t="shared" si="4"/>
        <v/>
      </c>
      <c r="R160" s="23">
        <f t="shared" si="5"/>
        <v>159</v>
      </c>
    </row>
    <row r="161" spans="9:18" x14ac:dyDescent="0.25">
      <c r="I161" s="127" t="str">
        <f>IF(A161="","",'START-HERE'!$C$15)</f>
        <v/>
      </c>
      <c r="J161" s="137" t="str">
        <f>IF(A161="","",'START-HERE'!$C$15)</f>
        <v/>
      </c>
      <c r="K161" s="138" t="str">
        <f>IF(A161="","",'START-HERE'!$C$16)</f>
        <v/>
      </c>
      <c r="L161" s="135"/>
      <c r="M161" s="135"/>
      <c r="N161" s="131"/>
      <c r="P161" s="130"/>
      <c r="Q161" s="23" t="str">
        <f t="shared" si="4"/>
        <v/>
      </c>
      <c r="R161" s="23">
        <f t="shared" si="5"/>
        <v>160</v>
      </c>
    </row>
    <row r="162" spans="9:18" x14ac:dyDescent="0.25">
      <c r="I162" s="127" t="str">
        <f>IF(A162="","",'START-HERE'!$C$15)</f>
        <v/>
      </c>
      <c r="J162" s="137" t="str">
        <f>IF(A162="","",'START-HERE'!$C$15)</f>
        <v/>
      </c>
      <c r="K162" s="138" t="str">
        <f>IF(A162="","",'START-HERE'!$C$16)</f>
        <v/>
      </c>
      <c r="L162" s="135"/>
      <c r="M162" s="135"/>
      <c r="N162" s="131"/>
      <c r="P162" s="130"/>
      <c r="Q162" s="23" t="str">
        <f t="shared" si="4"/>
        <v/>
      </c>
      <c r="R162" s="23">
        <f t="shared" si="5"/>
        <v>161</v>
      </c>
    </row>
    <row r="163" spans="9:18" x14ac:dyDescent="0.25">
      <c r="I163" s="127" t="str">
        <f>IF(A163="","",'START-HERE'!$C$15)</f>
        <v/>
      </c>
      <c r="J163" s="137" t="str">
        <f>IF(A163="","",'START-HERE'!$C$15)</f>
        <v/>
      </c>
      <c r="K163" s="138" t="str">
        <f>IF(A163="","",'START-HERE'!$C$16)</f>
        <v/>
      </c>
      <c r="L163" s="135"/>
      <c r="M163" s="135"/>
      <c r="N163" s="131"/>
      <c r="P163" s="130"/>
      <c r="Q163" s="23" t="str">
        <f t="shared" si="4"/>
        <v/>
      </c>
      <c r="R163" s="23">
        <f t="shared" si="5"/>
        <v>162</v>
      </c>
    </row>
    <row r="164" spans="9:18" x14ac:dyDescent="0.25">
      <c r="I164" s="127" t="str">
        <f>IF(A164="","",'START-HERE'!$C$15)</f>
        <v/>
      </c>
      <c r="J164" s="137" t="str">
        <f>IF(A164="","",'START-HERE'!$C$15)</f>
        <v/>
      </c>
      <c r="K164" s="138" t="str">
        <f>IF(A164="","",'START-HERE'!$C$16)</f>
        <v/>
      </c>
      <c r="L164" s="135"/>
      <c r="M164" s="135"/>
      <c r="N164" s="131"/>
      <c r="P164" s="130"/>
      <c r="Q164" s="23" t="str">
        <f t="shared" si="4"/>
        <v/>
      </c>
      <c r="R164" s="23">
        <f t="shared" si="5"/>
        <v>163</v>
      </c>
    </row>
    <row r="165" spans="9:18" x14ac:dyDescent="0.25">
      <c r="I165" s="127" t="str">
        <f>IF(A165="","",'START-HERE'!$C$15)</f>
        <v/>
      </c>
      <c r="J165" s="137" t="str">
        <f>IF(A165="","",'START-HERE'!$C$15)</f>
        <v/>
      </c>
      <c r="K165" s="138" t="str">
        <f>IF(A165="","",'START-HERE'!$C$16)</f>
        <v/>
      </c>
      <c r="L165" s="135"/>
      <c r="M165" s="135"/>
      <c r="N165" s="131"/>
      <c r="P165" s="130"/>
      <c r="Q165" s="23" t="str">
        <f t="shared" si="4"/>
        <v/>
      </c>
      <c r="R165" s="23">
        <f t="shared" si="5"/>
        <v>164</v>
      </c>
    </row>
    <row r="166" spans="9:18" x14ac:dyDescent="0.25">
      <c r="I166" s="127" t="str">
        <f>IF(A166="","",'START-HERE'!$C$15)</f>
        <v/>
      </c>
      <c r="J166" s="137" t="str">
        <f>IF(A166="","",'START-HERE'!$C$15)</f>
        <v/>
      </c>
      <c r="K166" s="138" t="str">
        <f>IF(A166="","",'START-HERE'!$C$16)</f>
        <v/>
      </c>
      <c r="L166" s="135"/>
      <c r="M166" s="135"/>
      <c r="N166" s="131"/>
      <c r="P166" s="130"/>
      <c r="Q166" s="23" t="str">
        <f t="shared" si="4"/>
        <v/>
      </c>
      <c r="R166" s="23">
        <f t="shared" si="5"/>
        <v>165</v>
      </c>
    </row>
    <row r="167" spans="9:18" x14ac:dyDescent="0.25">
      <c r="I167" s="127" t="str">
        <f>IF(A167="","",'START-HERE'!$C$15)</f>
        <v/>
      </c>
      <c r="J167" s="137" t="str">
        <f>IF(A167="","",'START-HERE'!$C$15)</f>
        <v/>
      </c>
      <c r="K167" s="138" t="str">
        <f>IF(A167="","",'START-HERE'!$C$16)</f>
        <v/>
      </c>
      <c r="L167" s="135"/>
      <c r="M167" s="135"/>
      <c r="N167" s="131"/>
      <c r="P167" s="130"/>
      <c r="Q167" s="23" t="str">
        <f t="shared" si="4"/>
        <v/>
      </c>
      <c r="R167" s="23">
        <f t="shared" si="5"/>
        <v>166</v>
      </c>
    </row>
    <row r="168" spans="9:18" x14ac:dyDescent="0.25">
      <c r="I168" s="127" t="str">
        <f>IF(A168="","",'START-HERE'!$C$15)</f>
        <v/>
      </c>
      <c r="J168" s="137" t="str">
        <f>IF(A168="","",'START-HERE'!$C$15)</f>
        <v/>
      </c>
      <c r="K168" s="138" t="str">
        <f>IF(A168="","",'START-HERE'!$C$16)</f>
        <v/>
      </c>
      <c r="L168" s="135"/>
      <c r="M168" s="135"/>
      <c r="N168" s="131"/>
      <c r="P168" s="130"/>
      <c r="Q168" s="23" t="str">
        <f t="shared" si="4"/>
        <v/>
      </c>
      <c r="R168" s="23">
        <f t="shared" si="5"/>
        <v>167</v>
      </c>
    </row>
    <row r="169" spans="9:18" x14ac:dyDescent="0.25">
      <c r="I169" s="127" t="str">
        <f>IF(A169="","",'START-HERE'!$C$15)</f>
        <v/>
      </c>
      <c r="J169" s="137" t="str">
        <f>IF(A169="","",'START-HERE'!$C$15)</f>
        <v/>
      </c>
      <c r="K169" s="138" t="str">
        <f>IF(A169="","",'START-HERE'!$C$16)</f>
        <v/>
      </c>
      <c r="L169" s="135"/>
      <c r="M169" s="135"/>
      <c r="N169" s="131"/>
      <c r="P169" s="130"/>
      <c r="Q169" s="23" t="str">
        <f t="shared" si="4"/>
        <v/>
      </c>
      <c r="R169" s="23">
        <f t="shared" si="5"/>
        <v>168</v>
      </c>
    </row>
    <row r="170" spans="9:18" x14ac:dyDescent="0.25">
      <c r="I170" s="127" t="str">
        <f>IF(A170="","",'START-HERE'!$C$15)</f>
        <v/>
      </c>
      <c r="J170" s="137" t="str">
        <f>IF(A170="","",'START-HERE'!$C$15)</f>
        <v/>
      </c>
      <c r="K170" s="138" t="str">
        <f>IF(A170="","",'START-HERE'!$C$16)</f>
        <v/>
      </c>
      <c r="L170" s="135"/>
      <c r="M170" s="135"/>
      <c r="N170" s="131"/>
      <c r="P170" s="130"/>
      <c r="Q170" s="23" t="str">
        <f t="shared" si="4"/>
        <v/>
      </c>
      <c r="R170" s="23">
        <f t="shared" si="5"/>
        <v>169</v>
      </c>
    </row>
    <row r="171" spans="9:18" x14ac:dyDescent="0.25">
      <c r="I171" s="127" t="str">
        <f>IF(A171="","",'START-HERE'!$C$15)</f>
        <v/>
      </c>
      <c r="J171" s="137" t="str">
        <f>IF(A171="","",'START-HERE'!$C$15)</f>
        <v/>
      </c>
      <c r="K171" s="138" t="str">
        <f>IF(A171="","",'START-HERE'!$C$16)</f>
        <v/>
      </c>
      <c r="L171" s="135"/>
      <c r="M171" s="135"/>
      <c r="N171" s="131"/>
      <c r="P171" s="130"/>
      <c r="Q171" s="23" t="str">
        <f t="shared" si="4"/>
        <v/>
      </c>
      <c r="R171" s="23">
        <f t="shared" si="5"/>
        <v>170</v>
      </c>
    </row>
    <row r="172" spans="9:18" x14ac:dyDescent="0.25">
      <c r="I172" s="127" t="str">
        <f>IF(A172="","",'START-HERE'!$C$15)</f>
        <v/>
      </c>
      <c r="J172" s="137" t="str">
        <f>IF(A172="","",'START-HERE'!$C$15)</f>
        <v/>
      </c>
      <c r="K172" s="138" t="str">
        <f>IF(A172="","",'START-HERE'!$C$16)</f>
        <v/>
      </c>
      <c r="L172" s="135"/>
      <c r="M172" s="135"/>
      <c r="N172" s="131"/>
      <c r="P172" s="130"/>
      <c r="Q172" s="23" t="str">
        <f t="shared" si="4"/>
        <v/>
      </c>
      <c r="R172" s="23">
        <f t="shared" si="5"/>
        <v>171</v>
      </c>
    </row>
    <row r="173" spans="9:18" x14ac:dyDescent="0.25">
      <c r="I173" s="127" t="str">
        <f>IF(A173="","",'START-HERE'!$C$15)</f>
        <v/>
      </c>
      <c r="J173" s="137" t="str">
        <f>IF(A173="","",'START-HERE'!$C$15)</f>
        <v/>
      </c>
      <c r="K173" s="138" t="str">
        <f>IF(A173="","",'START-HERE'!$C$16)</f>
        <v/>
      </c>
      <c r="L173" s="135"/>
      <c r="M173" s="135"/>
      <c r="N173" s="131"/>
      <c r="P173" s="130"/>
      <c r="Q173" s="23" t="str">
        <f t="shared" si="4"/>
        <v/>
      </c>
      <c r="R173" s="23">
        <f t="shared" si="5"/>
        <v>172</v>
      </c>
    </row>
    <row r="174" spans="9:18" x14ac:dyDescent="0.25">
      <c r="I174" s="127" t="str">
        <f>IF(A174="","",'START-HERE'!$C$15)</f>
        <v/>
      </c>
      <c r="J174" s="137" t="str">
        <f>IF(A174="","",'START-HERE'!$C$15)</f>
        <v/>
      </c>
      <c r="K174" s="138" t="str">
        <f>IF(A174="","",'START-HERE'!$C$16)</f>
        <v/>
      </c>
      <c r="L174" s="135"/>
      <c r="M174" s="135"/>
      <c r="N174" s="131"/>
      <c r="P174" s="130"/>
      <c r="Q174" s="23" t="str">
        <f t="shared" si="4"/>
        <v/>
      </c>
      <c r="R174" s="23">
        <f t="shared" si="5"/>
        <v>173</v>
      </c>
    </row>
    <row r="175" spans="9:18" x14ac:dyDescent="0.25">
      <c r="I175" s="127" t="str">
        <f>IF(A175="","",'START-HERE'!$C$15)</f>
        <v/>
      </c>
      <c r="J175" s="137" t="str">
        <f>IF(A175="","",'START-HERE'!$C$15)</f>
        <v/>
      </c>
      <c r="K175" s="138" t="str">
        <f>IF(A175="","",'START-HERE'!$C$16)</f>
        <v/>
      </c>
      <c r="L175" s="135"/>
      <c r="M175" s="135"/>
      <c r="N175" s="131"/>
      <c r="P175" s="130"/>
      <c r="Q175" s="23" t="str">
        <f t="shared" si="4"/>
        <v/>
      </c>
      <c r="R175" s="23">
        <f t="shared" si="5"/>
        <v>174</v>
      </c>
    </row>
    <row r="176" spans="9:18" x14ac:dyDescent="0.25">
      <c r="I176" s="127" t="str">
        <f>IF(A176="","",'START-HERE'!$C$15)</f>
        <v/>
      </c>
      <c r="J176" s="137" t="str">
        <f>IF(A176="","",'START-HERE'!$C$15)</f>
        <v/>
      </c>
      <c r="K176" s="138" t="str">
        <f>IF(A176="","",'START-HERE'!$C$16)</f>
        <v/>
      </c>
      <c r="L176" s="135"/>
      <c r="M176" s="135"/>
      <c r="N176" s="131"/>
      <c r="P176" s="130"/>
      <c r="Q176" s="23" t="str">
        <f t="shared" si="4"/>
        <v/>
      </c>
      <c r="R176" s="23">
        <f t="shared" si="5"/>
        <v>175</v>
      </c>
    </row>
    <row r="177" spans="9:18" x14ac:dyDescent="0.25">
      <c r="I177" s="127" t="str">
        <f>IF(A177="","",'START-HERE'!$C$15)</f>
        <v/>
      </c>
      <c r="J177" s="137" t="str">
        <f>IF(A177="","",'START-HERE'!$C$15)</f>
        <v/>
      </c>
      <c r="K177" s="138" t="str">
        <f>IF(A177="","",'START-HERE'!$C$16)</f>
        <v/>
      </c>
      <c r="L177" s="135"/>
      <c r="M177" s="135"/>
      <c r="N177" s="131"/>
      <c r="P177" s="130"/>
      <c r="Q177" s="23" t="str">
        <f t="shared" si="4"/>
        <v/>
      </c>
      <c r="R177" s="23">
        <f t="shared" si="5"/>
        <v>176</v>
      </c>
    </row>
    <row r="178" spans="9:18" x14ac:dyDescent="0.25">
      <c r="I178" s="127" t="str">
        <f>IF(A178="","",'START-HERE'!$C$15)</f>
        <v/>
      </c>
      <c r="J178" s="137" t="str">
        <f>IF(A178="","",'START-HERE'!$C$15)</f>
        <v/>
      </c>
      <c r="K178" s="138" t="str">
        <f>IF(A178="","",'START-HERE'!$C$16)</f>
        <v/>
      </c>
      <c r="L178" s="135"/>
      <c r="M178" s="135"/>
      <c r="N178" s="131"/>
      <c r="P178" s="130"/>
      <c r="Q178" s="23" t="str">
        <f t="shared" si="4"/>
        <v/>
      </c>
      <c r="R178" s="23">
        <f t="shared" si="5"/>
        <v>177</v>
      </c>
    </row>
    <row r="179" spans="9:18" x14ac:dyDescent="0.25">
      <c r="I179" s="127" t="str">
        <f>IF(A179="","",'START-HERE'!$C$15)</f>
        <v/>
      </c>
      <c r="J179" s="137" t="str">
        <f>IF(A179="","",'START-HERE'!$C$15)</f>
        <v/>
      </c>
      <c r="K179" s="138" t="str">
        <f>IF(A179="","",'START-HERE'!$C$16)</f>
        <v/>
      </c>
      <c r="L179" s="135"/>
      <c r="M179" s="135"/>
      <c r="N179" s="131"/>
      <c r="P179" s="130"/>
      <c r="Q179" s="23" t="str">
        <f t="shared" si="4"/>
        <v/>
      </c>
      <c r="R179" s="23">
        <f t="shared" si="5"/>
        <v>178</v>
      </c>
    </row>
    <row r="180" spans="9:18" x14ac:dyDescent="0.25">
      <c r="I180" s="127" t="str">
        <f>IF(A180="","",'START-HERE'!$C$15)</f>
        <v/>
      </c>
      <c r="J180" s="137" t="str">
        <f>IF(A180="","",'START-HERE'!$C$15)</f>
        <v/>
      </c>
      <c r="K180" s="138" t="str">
        <f>IF(A180="","",'START-HERE'!$C$16)</f>
        <v/>
      </c>
      <c r="L180" s="135"/>
      <c r="M180" s="135"/>
      <c r="N180" s="131"/>
      <c r="P180" s="130"/>
      <c r="Q180" s="23" t="str">
        <f t="shared" si="4"/>
        <v/>
      </c>
      <c r="R180" s="23">
        <f t="shared" si="5"/>
        <v>179</v>
      </c>
    </row>
    <row r="181" spans="9:18" x14ac:dyDescent="0.25">
      <c r="I181" s="127" t="str">
        <f>IF(A181="","",'START-HERE'!$C$15)</f>
        <v/>
      </c>
      <c r="J181" s="137" t="str">
        <f>IF(A181="","",'START-HERE'!$C$15)</f>
        <v/>
      </c>
      <c r="K181" s="138" t="str">
        <f>IF(A181="","",'START-HERE'!$C$16)</f>
        <v/>
      </c>
      <c r="L181" s="135"/>
      <c r="M181" s="135"/>
      <c r="N181" s="131"/>
      <c r="P181" s="130"/>
      <c r="Q181" s="23" t="str">
        <f t="shared" si="4"/>
        <v/>
      </c>
      <c r="R181" s="23">
        <f t="shared" si="5"/>
        <v>180</v>
      </c>
    </row>
    <row r="182" spans="9:18" x14ac:dyDescent="0.25">
      <c r="I182" s="127" t="str">
        <f>IF(A182="","",'START-HERE'!$C$15)</f>
        <v/>
      </c>
      <c r="J182" s="137" t="str">
        <f>IF(A182="","",'START-HERE'!$C$15)</f>
        <v/>
      </c>
      <c r="K182" s="138" t="str">
        <f>IF(A182="","",'START-HERE'!$C$16)</f>
        <v/>
      </c>
      <c r="L182" s="135"/>
      <c r="M182" s="135"/>
      <c r="N182" s="131"/>
      <c r="P182" s="130"/>
      <c r="Q182" s="23" t="str">
        <f t="shared" si="4"/>
        <v/>
      </c>
      <c r="R182" s="23">
        <f t="shared" si="5"/>
        <v>181</v>
      </c>
    </row>
    <row r="183" spans="9:18" x14ac:dyDescent="0.25">
      <c r="I183" s="127" t="str">
        <f>IF(A183="","",'START-HERE'!$C$15)</f>
        <v/>
      </c>
      <c r="J183" s="137" t="str">
        <f>IF(A183="","",'START-HERE'!$C$15)</f>
        <v/>
      </c>
      <c r="K183" s="138" t="str">
        <f>IF(A183="","",'START-HERE'!$C$16)</f>
        <v/>
      </c>
      <c r="L183" s="135"/>
      <c r="M183" s="135"/>
      <c r="N183" s="131"/>
      <c r="P183" s="130"/>
      <c r="Q183" s="23" t="str">
        <f t="shared" si="4"/>
        <v/>
      </c>
      <c r="R183" s="23">
        <f t="shared" si="5"/>
        <v>182</v>
      </c>
    </row>
    <row r="184" spans="9:18" x14ac:dyDescent="0.25">
      <c r="I184" s="127" t="str">
        <f>IF(A184="","",'START-HERE'!$C$15)</f>
        <v/>
      </c>
      <c r="J184" s="137" t="str">
        <f>IF(A184="","",'START-HERE'!$C$15)</f>
        <v/>
      </c>
      <c r="K184" s="138" t="str">
        <f>IF(A184="","",'START-HERE'!$C$16)</f>
        <v/>
      </c>
      <c r="L184" s="135"/>
      <c r="M184" s="135"/>
      <c r="N184" s="131"/>
      <c r="P184" s="130"/>
      <c r="Q184" s="23" t="str">
        <f t="shared" si="4"/>
        <v/>
      </c>
      <c r="R184" s="23">
        <f t="shared" si="5"/>
        <v>183</v>
      </c>
    </row>
    <row r="185" spans="9:18" x14ac:dyDescent="0.25">
      <c r="I185" s="127" t="str">
        <f>IF(A185="","",'START-HERE'!$C$15)</f>
        <v/>
      </c>
      <c r="J185" s="137" t="str">
        <f>IF(A185="","",'START-HERE'!$C$15)</f>
        <v/>
      </c>
      <c r="K185" s="138" t="str">
        <f>IF(A185="","",'START-HERE'!$C$16)</f>
        <v/>
      </c>
      <c r="L185" s="135"/>
      <c r="M185" s="135"/>
      <c r="N185" s="131"/>
      <c r="P185" s="130"/>
      <c r="Q185" s="23" t="str">
        <f t="shared" si="4"/>
        <v/>
      </c>
      <c r="R185" s="23">
        <f t="shared" si="5"/>
        <v>184</v>
      </c>
    </row>
    <row r="186" spans="9:18" x14ac:dyDescent="0.25">
      <c r="I186" s="127" t="str">
        <f>IF(A186="","",'START-HERE'!$C$15)</f>
        <v/>
      </c>
      <c r="J186" s="137" t="str">
        <f>IF(A186="","",'START-HERE'!$C$15)</f>
        <v/>
      </c>
      <c r="K186" s="138" t="str">
        <f>IF(A186="","",'START-HERE'!$C$16)</f>
        <v/>
      </c>
      <c r="L186" s="135"/>
      <c r="M186" s="135"/>
      <c r="N186" s="131"/>
      <c r="P186" s="130"/>
      <c r="Q186" s="23" t="str">
        <f t="shared" si="4"/>
        <v/>
      </c>
      <c r="R186" s="23">
        <f t="shared" si="5"/>
        <v>185</v>
      </c>
    </row>
    <row r="187" spans="9:18" x14ac:dyDescent="0.25">
      <c r="I187" s="127" t="str">
        <f>IF(A187="","",'START-HERE'!$C$15)</f>
        <v/>
      </c>
      <c r="J187" s="137" t="str">
        <f>IF(A187="","",'START-HERE'!$C$15)</f>
        <v/>
      </c>
      <c r="K187" s="138" t="str">
        <f>IF(A187="","",'START-HERE'!$C$16)</f>
        <v/>
      </c>
      <c r="L187" s="135"/>
      <c r="M187" s="135"/>
      <c r="N187" s="131"/>
      <c r="P187" s="130"/>
      <c r="Q187" s="23" t="str">
        <f t="shared" si="4"/>
        <v/>
      </c>
      <c r="R187" s="23">
        <f t="shared" si="5"/>
        <v>186</v>
      </c>
    </row>
    <row r="188" spans="9:18" x14ac:dyDescent="0.25">
      <c r="I188" s="127" t="str">
        <f>IF(A188="","",'START-HERE'!$C$15)</f>
        <v/>
      </c>
      <c r="J188" s="137" t="str">
        <f>IF(A188="","",'START-HERE'!$C$15)</f>
        <v/>
      </c>
      <c r="K188" s="138" t="str">
        <f>IF(A188="","",'START-HERE'!$C$16)</f>
        <v/>
      </c>
      <c r="L188" s="135"/>
      <c r="M188" s="135"/>
      <c r="N188" s="131"/>
      <c r="P188" s="130"/>
      <c r="Q188" s="23" t="str">
        <f t="shared" si="4"/>
        <v/>
      </c>
      <c r="R188" s="23">
        <f t="shared" si="5"/>
        <v>187</v>
      </c>
    </row>
    <row r="189" spans="9:18" x14ac:dyDescent="0.25">
      <c r="I189" s="127" t="str">
        <f>IF(A189="","",'START-HERE'!$C$15)</f>
        <v/>
      </c>
      <c r="J189" s="137" t="str">
        <f>IF(A189="","",'START-HERE'!$C$15)</f>
        <v/>
      </c>
      <c r="K189" s="138" t="str">
        <f>IF(A189="","",'START-HERE'!$C$16)</f>
        <v/>
      </c>
      <c r="L189" s="135"/>
      <c r="M189" s="135"/>
      <c r="N189" s="131"/>
      <c r="P189" s="130"/>
      <c r="Q189" s="23" t="str">
        <f t="shared" si="4"/>
        <v/>
      </c>
      <c r="R189" s="23">
        <f t="shared" si="5"/>
        <v>188</v>
      </c>
    </row>
    <row r="190" spans="9:18" x14ac:dyDescent="0.25">
      <c r="I190" s="127" t="str">
        <f>IF(A190="","",'START-HERE'!$C$15)</f>
        <v/>
      </c>
      <c r="J190" s="137" t="str">
        <f>IF(A190="","",'START-HERE'!$C$15)</f>
        <v/>
      </c>
      <c r="K190" s="138" t="str">
        <f>IF(A190="","",'START-HERE'!$C$16)</f>
        <v/>
      </c>
      <c r="L190" s="135"/>
      <c r="M190" s="135"/>
      <c r="N190" s="131"/>
      <c r="P190" s="130"/>
      <c r="Q190" s="23" t="str">
        <f t="shared" si="4"/>
        <v/>
      </c>
      <c r="R190" s="23">
        <f t="shared" si="5"/>
        <v>189</v>
      </c>
    </row>
    <row r="191" spans="9:18" x14ac:dyDescent="0.25">
      <c r="I191" s="127" t="str">
        <f>IF(A191="","",'START-HERE'!$C$15)</f>
        <v/>
      </c>
      <c r="J191" s="137" t="str">
        <f>IF(A191="","",'START-HERE'!$C$15)</f>
        <v/>
      </c>
      <c r="K191" s="138" t="str">
        <f>IF(A191="","",'START-HERE'!$C$16)</f>
        <v/>
      </c>
      <c r="L191" s="135"/>
      <c r="M191" s="135"/>
      <c r="N191" s="131"/>
      <c r="P191" s="130"/>
      <c r="Q191" s="23" t="str">
        <f t="shared" si="4"/>
        <v/>
      </c>
      <c r="R191" s="23">
        <f t="shared" si="5"/>
        <v>190</v>
      </c>
    </row>
    <row r="192" spans="9:18" x14ac:dyDescent="0.25">
      <c r="I192" s="127" t="str">
        <f>IF(A192="","",'START-HERE'!$C$15)</f>
        <v/>
      </c>
      <c r="J192" s="137" t="str">
        <f>IF(A192="","",'START-HERE'!$C$15)</f>
        <v/>
      </c>
      <c r="K192" s="138" t="str">
        <f>IF(A192="","",'START-HERE'!$C$16)</f>
        <v/>
      </c>
      <c r="L192" s="135"/>
      <c r="M192" s="135"/>
      <c r="N192" s="131"/>
      <c r="P192" s="130"/>
      <c r="Q192" s="23" t="str">
        <f t="shared" si="4"/>
        <v/>
      </c>
      <c r="R192" s="23">
        <f t="shared" si="5"/>
        <v>191</v>
      </c>
    </row>
    <row r="193" spans="9:18" x14ac:dyDescent="0.25">
      <c r="I193" s="127" t="str">
        <f>IF(A193="","",'START-HERE'!$C$15)</f>
        <v/>
      </c>
      <c r="J193" s="137" t="str">
        <f>IF(A193="","",'START-HERE'!$C$15)</f>
        <v/>
      </c>
      <c r="K193" s="138" t="str">
        <f>IF(A193="","",'START-HERE'!$C$16)</f>
        <v/>
      </c>
      <c r="L193" s="135"/>
      <c r="M193" s="135"/>
      <c r="N193" s="131"/>
      <c r="P193" s="130"/>
      <c r="Q193" s="23" t="str">
        <f t="shared" si="4"/>
        <v/>
      </c>
      <c r="R193" s="23">
        <f t="shared" si="5"/>
        <v>192</v>
      </c>
    </row>
    <row r="194" spans="9:18" x14ac:dyDescent="0.25">
      <c r="I194" s="127" t="str">
        <f>IF(A194="","",'START-HERE'!$C$15)</f>
        <v/>
      </c>
      <c r="J194" s="137" t="str">
        <f>IF(A194="","",'START-HERE'!$C$15)</f>
        <v/>
      </c>
      <c r="K194" s="138" t="str">
        <f>IF(A194="","",'START-HERE'!$C$16)</f>
        <v/>
      </c>
      <c r="P194" s="130"/>
      <c r="Q194" s="23" t="str">
        <f t="shared" ref="Q194:Q250" si="6">IF(A194="","",R194&amp;"-"&amp;E194&amp;A194)</f>
        <v/>
      </c>
      <c r="R194" s="23">
        <f t="shared" ref="R194:R250" si="7">ROW()-1</f>
        <v>193</v>
      </c>
    </row>
    <row r="195" spans="9:18" x14ac:dyDescent="0.25">
      <c r="I195" s="127" t="str">
        <f>IF(A195="","",'START-HERE'!$C$15)</f>
        <v/>
      </c>
      <c r="J195" s="137" t="str">
        <f>IF(A195="","",'START-HERE'!$C$15)</f>
        <v/>
      </c>
      <c r="K195" s="138" t="str">
        <f>IF(A195="","",'START-HERE'!$C$16)</f>
        <v/>
      </c>
      <c r="P195" s="130"/>
      <c r="Q195" s="23" t="str">
        <f t="shared" si="6"/>
        <v/>
      </c>
      <c r="R195" s="23">
        <f t="shared" si="7"/>
        <v>194</v>
      </c>
    </row>
    <row r="196" spans="9:18" x14ac:dyDescent="0.25">
      <c r="I196" s="127" t="str">
        <f>IF(A196="","",'START-HERE'!$C$15)</f>
        <v/>
      </c>
      <c r="J196" s="137" t="str">
        <f>IF(A196="","",'START-HERE'!$C$15)</f>
        <v/>
      </c>
      <c r="K196" s="138" t="str">
        <f>IF(A196="","",'START-HERE'!$C$16)</f>
        <v/>
      </c>
      <c r="P196" s="130"/>
      <c r="Q196" s="23" t="str">
        <f t="shared" si="6"/>
        <v/>
      </c>
      <c r="R196" s="23">
        <f t="shared" si="7"/>
        <v>195</v>
      </c>
    </row>
    <row r="197" spans="9:18" x14ac:dyDescent="0.25">
      <c r="I197" s="127" t="str">
        <f>IF(A197="","",'START-HERE'!$C$15)</f>
        <v/>
      </c>
      <c r="J197" s="137" t="str">
        <f>IF(A197="","",'START-HERE'!$C$15)</f>
        <v/>
      </c>
      <c r="K197" s="138" t="str">
        <f>IF(A197="","",'START-HERE'!$C$16)</f>
        <v/>
      </c>
      <c r="P197" s="130"/>
      <c r="Q197" s="23" t="str">
        <f t="shared" si="6"/>
        <v/>
      </c>
      <c r="R197" s="23">
        <f t="shared" si="7"/>
        <v>196</v>
      </c>
    </row>
    <row r="198" spans="9:18" x14ac:dyDescent="0.25">
      <c r="I198" s="127" t="str">
        <f>IF(A198="","",'START-HERE'!$C$15)</f>
        <v/>
      </c>
      <c r="J198" s="137" t="str">
        <f>IF(A198="","",'START-HERE'!$C$15)</f>
        <v/>
      </c>
      <c r="K198" s="138" t="str">
        <f>IF(A198="","",'START-HERE'!$C$16)</f>
        <v/>
      </c>
      <c r="P198" s="130"/>
      <c r="Q198" s="23" t="str">
        <f t="shared" si="6"/>
        <v/>
      </c>
      <c r="R198" s="23">
        <f t="shared" si="7"/>
        <v>197</v>
      </c>
    </row>
    <row r="199" spans="9:18" x14ac:dyDescent="0.25">
      <c r="I199" s="127" t="str">
        <f>IF(A199="","",'START-HERE'!$C$15)</f>
        <v/>
      </c>
      <c r="J199" s="137" t="str">
        <f>IF(A199="","",'START-HERE'!$C$15)</f>
        <v/>
      </c>
      <c r="K199" s="138" t="str">
        <f>IF(A199="","",'START-HERE'!$C$16)</f>
        <v/>
      </c>
      <c r="P199" s="130"/>
      <c r="Q199" s="23" t="str">
        <f t="shared" si="6"/>
        <v/>
      </c>
      <c r="R199" s="23">
        <f t="shared" si="7"/>
        <v>198</v>
      </c>
    </row>
    <row r="200" spans="9:18" x14ac:dyDescent="0.25">
      <c r="I200" s="127" t="str">
        <f>IF(A200="","",'START-HERE'!$C$15)</f>
        <v/>
      </c>
      <c r="J200" s="137" t="str">
        <f>IF(A200="","",'START-HERE'!$C$15)</f>
        <v/>
      </c>
      <c r="K200" s="138" t="str">
        <f>IF(A200="","",'START-HERE'!$C$16)</f>
        <v/>
      </c>
      <c r="L200" s="135"/>
      <c r="M200" s="135"/>
      <c r="N200" s="131"/>
      <c r="P200" s="130"/>
      <c r="Q200" s="23" t="str">
        <f t="shared" si="6"/>
        <v/>
      </c>
      <c r="R200" s="23">
        <f t="shared" si="7"/>
        <v>199</v>
      </c>
    </row>
    <row r="201" spans="9:18" x14ac:dyDescent="0.25">
      <c r="I201" s="127" t="str">
        <f>IF(A201="","",'START-HERE'!$C$15)</f>
        <v/>
      </c>
      <c r="J201" s="137" t="str">
        <f>IF(A201="","",'START-HERE'!$C$15)</f>
        <v/>
      </c>
      <c r="K201" s="138" t="str">
        <f>IF(A201="","",'START-HERE'!$C$16)</f>
        <v/>
      </c>
      <c r="L201" s="135"/>
      <c r="M201" s="135"/>
      <c r="N201" s="131"/>
      <c r="P201" s="130"/>
      <c r="Q201" s="23" t="str">
        <f t="shared" si="6"/>
        <v/>
      </c>
      <c r="R201" s="23">
        <f t="shared" si="7"/>
        <v>200</v>
      </c>
    </row>
    <row r="202" spans="9:18" x14ac:dyDescent="0.25">
      <c r="I202" s="127" t="str">
        <f>IF(A202="","",'START-HERE'!$C$15)</f>
        <v/>
      </c>
      <c r="J202" s="137" t="str">
        <f>IF(A202="","",'START-HERE'!$C$15)</f>
        <v/>
      </c>
      <c r="K202" s="138" t="str">
        <f>IF(A202="","",'START-HERE'!$C$16)</f>
        <v/>
      </c>
      <c r="L202" s="135"/>
      <c r="M202" s="135"/>
      <c r="N202" s="131"/>
      <c r="P202" s="130"/>
      <c r="Q202" s="23" t="str">
        <f t="shared" si="6"/>
        <v/>
      </c>
      <c r="R202" s="23">
        <f t="shared" si="7"/>
        <v>201</v>
      </c>
    </row>
    <row r="203" spans="9:18" x14ac:dyDescent="0.25">
      <c r="I203" s="127" t="str">
        <f>IF(A203="","",'START-HERE'!$C$15)</f>
        <v/>
      </c>
      <c r="J203" s="137" t="str">
        <f>IF(A203="","",'START-HERE'!$C$15)</f>
        <v/>
      </c>
      <c r="K203" s="138" t="str">
        <f>IF(A203="","",'START-HERE'!$C$16)</f>
        <v/>
      </c>
      <c r="L203" s="135"/>
      <c r="M203" s="135"/>
      <c r="N203" s="131"/>
      <c r="P203" s="130"/>
      <c r="Q203" s="23" t="str">
        <f t="shared" si="6"/>
        <v/>
      </c>
      <c r="R203" s="23">
        <f t="shared" si="7"/>
        <v>202</v>
      </c>
    </row>
    <row r="204" spans="9:18" x14ac:dyDescent="0.25">
      <c r="I204" s="127" t="str">
        <f>IF(A204="","",'START-HERE'!$C$15)</f>
        <v/>
      </c>
      <c r="J204" s="137" t="str">
        <f>IF(A204="","",'START-HERE'!$C$15)</f>
        <v/>
      </c>
      <c r="K204" s="138" t="str">
        <f>IF(A204="","",'START-HERE'!$C$16)</f>
        <v/>
      </c>
      <c r="L204" s="135"/>
      <c r="M204" s="135"/>
      <c r="N204" s="131"/>
      <c r="P204" s="130"/>
      <c r="Q204" s="23" t="str">
        <f t="shared" si="6"/>
        <v/>
      </c>
      <c r="R204" s="23">
        <f t="shared" si="7"/>
        <v>203</v>
      </c>
    </row>
    <row r="205" spans="9:18" x14ac:dyDescent="0.25">
      <c r="I205" s="127" t="str">
        <f>IF(A205="","",'START-HERE'!$C$15)</f>
        <v/>
      </c>
      <c r="J205" s="137" t="str">
        <f>IF(A205="","",'START-HERE'!$C$15)</f>
        <v/>
      </c>
      <c r="K205" s="138" t="str">
        <f>IF(A205="","",'START-HERE'!$C$16)</f>
        <v/>
      </c>
      <c r="L205" s="135"/>
      <c r="M205" s="135"/>
      <c r="N205" s="131"/>
      <c r="P205" s="130"/>
      <c r="Q205" s="23" t="str">
        <f t="shared" si="6"/>
        <v/>
      </c>
      <c r="R205" s="23">
        <f t="shared" si="7"/>
        <v>204</v>
      </c>
    </row>
    <row r="206" spans="9:18" x14ac:dyDescent="0.25">
      <c r="I206" s="127" t="str">
        <f>IF(A206="","",'START-HERE'!$C$15)</f>
        <v/>
      </c>
      <c r="J206" s="137" t="str">
        <f>IF(A206="","",'START-HERE'!$C$15)</f>
        <v/>
      </c>
      <c r="K206" s="138" t="str">
        <f>IF(A206="","",'START-HERE'!$C$16)</f>
        <v/>
      </c>
      <c r="L206" s="135"/>
      <c r="M206" s="135"/>
      <c r="N206" s="131"/>
      <c r="P206" s="130"/>
      <c r="Q206" s="23" t="str">
        <f t="shared" si="6"/>
        <v/>
      </c>
      <c r="R206" s="23">
        <f t="shared" si="7"/>
        <v>205</v>
      </c>
    </row>
    <row r="207" spans="9:18" x14ac:dyDescent="0.25">
      <c r="I207" s="127" t="str">
        <f>IF(A207="","",'START-HERE'!$C$15)</f>
        <v/>
      </c>
      <c r="J207" s="137" t="str">
        <f>IF(A207="","",'START-HERE'!$C$15)</f>
        <v/>
      </c>
      <c r="K207" s="138" t="str">
        <f>IF(A207="","",'START-HERE'!$C$16)</f>
        <v/>
      </c>
      <c r="L207" s="135"/>
      <c r="M207" s="135"/>
      <c r="N207" s="131"/>
      <c r="P207" s="130"/>
      <c r="Q207" s="23" t="str">
        <f t="shared" si="6"/>
        <v/>
      </c>
      <c r="R207" s="23">
        <f t="shared" si="7"/>
        <v>206</v>
      </c>
    </row>
    <row r="208" spans="9:18" x14ac:dyDescent="0.25">
      <c r="I208" s="127" t="str">
        <f>IF(A208="","",'START-HERE'!$C$15)</f>
        <v/>
      </c>
      <c r="J208" s="137" t="str">
        <f>IF(A208="","",'START-HERE'!$C$15)</f>
        <v/>
      </c>
      <c r="K208" s="138" t="str">
        <f>IF(A208="","",'START-HERE'!$C$16)</f>
        <v/>
      </c>
      <c r="L208" s="135"/>
      <c r="M208" s="135"/>
      <c r="N208" s="131"/>
      <c r="P208" s="130"/>
      <c r="Q208" s="23" t="str">
        <f t="shared" si="6"/>
        <v/>
      </c>
      <c r="R208" s="23">
        <f t="shared" si="7"/>
        <v>207</v>
      </c>
    </row>
    <row r="209" spans="9:18" x14ac:dyDescent="0.25">
      <c r="I209" s="127" t="str">
        <f>IF(A209="","",'START-HERE'!$C$15)</f>
        <v/>
      </c>
      <c r="J209" s="137" t="str">
        <f>IF(A209="","",'START-HERE'!$C$15)</f>
        <v/>
      </c>
      <c r="K209" s="138" t="str">
        <f>IF(A209="","",'START-HERE'!$C$16)</f>
        <v/>
      </c>
      <c r="L209" s="135"/>
      <c r="M209" s="135"/>
      <c r="N209" s="131"/>
      <c r="P209" s="130"/>
      <c r="Q209" s="23" t="str">
        <f t="shared" si="6"/>
        <v/>
      </c>
      <c r="R209" s="23">
        <f t="shared" si="7"/>
        <v>208</v>
      </c>
    </row>
    <row r="210" spans="9:18" x14ac:dyDescent="0.25">
      <c r="I210" s="127" t="str">
        <f>IF(A210="","",'START-HERE'!$C$15)</f>
        <v/>
      </c>
      <c r="J210" s="137" t="str">
        <f>IF(A210="","",'START-HERE'!$C$15)</f>
        <v/>
      </c>
      <c r="K210" s="138" t="str">
        <f>IF(A210="","",'START-HERE'!$C$16)</f>
        <v/>
      </c>
      <c r="L210" s="135"/>
      <c r="M210" s="135"/>
      <c r="N210" s="131"/>
      <c r="P210" s="130"/>
      <c r="Q210" s="23" t="str">
        <f t="shared" si="6"/>
        <v/>
      </c>
      <c r="R210" s="23">
        <f t="shared" si="7"/>
        <v>209</v>
      </c>
    </row>
    <row r="211" spans="9:18" x14ac:dyDescent="0.25">
      <c r="I211" s="127" t="str">
        <f>IF(A211="","",'START-HERE'!$C$15)</f>
        <v/>
      </c>
      <c r="J211" s="137" t="str">
        <f>IF(A211="","",'START-HERE'!$C$15)</f>
        <v/>
      </c>
      <c r="K211" s="138" t="str">
        <f>IF(A211="","",'START-HERE'!$C$16)</f>
        <v/>
      </c>
      <c r="L211" s="135"/>
      <c r="M211" s="135"/>
      <c r="N211" s="131"/>
      <c r="P211" s="130"/>
      <c r="Q211" s="23" t="str">
        <f t="shared" si="6"/>
        <v/>
      </c>
      <c r="R211" s="23">
        <f t="shared" si="7"/>
        <v>210</v>
      </c>
    </row>
    <row r="212" spans="9:18" x14ac:dyDescent="0.25">
      <c r="I212" s="127" t="str">
        <f>IF(A212="","",'START-HERE'!$C$15)</f>
        <v/>
      </c>
      <c r="J212" s="137" t="str">
        <f>IF(A212="","",'START-HERE'!$C$15)</f>
        <v/>
      </c>
      <c r="K212" s="138" t="str">
        <f>IF(A212="","",'START-HERE'!$C$16)</f>
        <v/>
      </c>
      <c r="L212" s="135"/>
      <c r="M212" s="135"/>
      <c r="N212" s="131"/>
      <c r="P212" s="130"/>
      <c r="Q212" s="23" t="str">
        <f t="shared" si="6"/>
        <v/>
      </c>
      <c r="R212" s="23">
        <f t="shared" si="7"/>
        <v>211</v>
      </c>
    </row>
    <row r="213" spans="9:18" x14ac:dyDescent="0.25">
      <c r="I213" s="127" t="str">
        <f>IF(A213="","",'START-HERE'!$C$15)</f>
        <v/>
      </c>
      <c r="J213" s="137" t="str">
        <f>IF(A213="","",'START-HERE'!$C$15)</f>
        <v/>
      </c>
      <c r="K213" s="138" t="str">
        <f>IF(A213="","",'START-HERE'!$C$16)</f>
        <v/>
      </c>
      <c r="L213" s="135"/>
      <c r="M213" s="135"/>
      <c r="N213" s="131"/>
      <c r="P213" s="130"/>
      <c r="Q213" s="23" t="str">
        <f t="shared" si="6"/>
        <v/>
      </c>
      <c r="R213" s="23">
        <f t="shared" si="7"/>
        <v>212</v>
      </c>
    </row>
    <row r="214" spans="9:18" x14ac:dyDescent="0.25">
      <c r="I214" s="127" t="str">
        <f>IF(A214="","",'START-HERE'!$C$15)</f>
        <v/>
      </c>
      <c r="J214" s="137" t="str">
        <f>IF(A214="","",'START-HERE'!$C$15)</f>
        <v/>
      </c>
      <c r="K214" s="138" t="str">
        <f>IF(A214="","",'START-HERE'!$C$16)</f>
        <v/>
      </c>
      <c r="L214" s="135"/>
      <c r="M214" s="135"/>
      <c r="N214" s="131"/>
      <c r="P214" s="130"/>
      <c r="Q214" s="23" t="str">
        <f t="shared" si="6"/>
        <v/>
      </c>
      <c r="R214" s="23">
        <f t="shared" si="7"/>
        <v>213</v>
      </c>
    </row>
    <row r="215" spans="9:18" x14ac:dyDescent="0.25">
      <c r="I215" s="127" t="str">
        <f>IF(A215="","",'START-HERE'!$C$15)</f>
        <v/>
      </c>
      <c r="J215" s="137" t="str">
        <f>IF(A215="","",'START-HERE'!$C$15)</f>
        <v/>
      </c>
      <c r="K215" s="138" t="str">
        <f>IF(A215="","",'START-HERE'!$C$16)</f>
        <v/>
      </c>
      <c r="L215" s="135"/>
      <c r="M215" s="135"/>
      <c r="N215" s="131"/>
      <c r="P215" s="130"/>
      <c r="Q215" s="23" t="str">
        <f t="shared" si="6"/>
        <v/>
      </c>
      <c r="R215" s="23">
        <f t="shared" si="7"/>
        <v>214</v>
      </c>
    </row>
    <row r="216" spans="9:18" x14ac:dyDescent="0.25">
      <c r="I216" s="127" t="str">
        <f>IF(A216="","",'START-HERE'!$C$15)</f>
        <v/>
      </c>
      <c r="J216" s="137" t="str">
        <f>IF(A216="","",'START-HERE'!$C$15)</f>
        <v/>
      </c>
      <c r="K216" s="138" t="str">
        <f>IF(A216="","",'START-HERE'!$C$16)</f>
        <v/>
      </c>
      <c r="L216" s="135"/>
      <c r="M216" s="135"/>
      <c r="N216" s="131"/>
      <c r="P216" s="130"/>
      <c r="Q216" s="23" t="str">
        <f t="shared" si="6"/>
        <v/>
      </c>
      <c r="R216" s="23">
        <f t="shared" si="7"/>
        <v>215</v>
      </c>
    </row>
    <row r="217" spans="9:18" x14ac:dyDescent="0.25">
      <c r="I217" s="127" t="str">
        <f>IF(A217="","",'START-HERE'!$C$15)</f>
        <v/>
      </c>
      <c r="J217" s="137" t="str">
        <f>IF(A217="","",'START-HERE'!$C$15)</f>
        <v/>
      </c>
      <c r="K217" s="138" t="str">
        <f>IF(A217="","",'START-HERE'!$C$16)</f>
        <v/>
      </c>
      <c r="L217" s="135"/>
      <c r="M217" s="135"/>
      <c r="N217" s="131"/>
      <c r="P217" s="130"/>
      <c r="Q217" s="23" t="str">
        <f t="shared" si="6"/>
        <v/>
      </c>
      <c r="R217" s="23">
        <f t="shared" si="7"/>
        <v>216</v>
      </c>
    </row>
    <row r="218" spans="9:18" x14ac:dyDescent="0.25">
      <c r="I218" s="127" t="str">
        <f>IF(A218="","",'START-HERE'!$C$15)</f>
        <v/>
      </c>
      <c r="J218" s="137" t="str">
        <f>IF(A218="","",'START-HERE'!$C$15)</f>
        <v/>
      </c>
      <c r="K218" s="138" t="str">
        <f>IF(A218="","",'START-HERE'!$C$16)</f>
        <v/>
      </c>
      <c r="L218" s="135"/>
      <c r="M218" s="135"/>
      <c r="N218" s="131"/>
      <c r="P218" s="130"/>
      <c r="Q218" s="23" t="str">
        <f t="shared" si="6"/>
        <v/>
      </c>
      <c r="R218" s="23">
        <f t="shared" si="7"/>
        <v>217</v>
      </c>
    </row>
    <row r="219" spans="9:18" x14ac:dyDescent="0.25">
      <c r="I219" s="127" t="str">
        <f>IF(A219="","",'START-HERE'!$C$15)</f>
        <v/>
      </c>
      <c r="J219" s="137" t="str">
        <f>IF(A219="","",'START-HERE'!$C$15)</f>
        <v/>
      </c>
      <c r="K219" s="138" t="str">
        <f>IF(A219="","",'START-HERE'!$C$16)</f>
        <v/>
      </c>
      <c r="L219" s="135"/>
      <c r="M219" s="135"/>
      <c r="N219" s="131"/>
      <c r="P219" s="130"/>
      <c r="Q219" s="23" t="str">
        <f t="shared" si="6"/>
        <v/>
      </c>
      <c r="R219" s="23">
        <f t="shared" si="7"/>
        <v>218</v>
      </c>
    </row>
    <row r="220" spans="9:18" x14ac:dyDescent="0.25">
      <c r="I220" s="127" t="str">
        <f>IF(A220="","",'START-HERE'!$C$15)</f>
        <v/>
      </c>
      <c r="J220" s="137" t="str">
        <f>IF(A220="","",'START-HERE'!$C$15)</f>
        <v/>
      </c>
      <c r="K220" s="138" t="str">
        <f>IF(A220="","",'START-HERE'!$C$16)</f>
        <v/>
      </c>
      <c r="L220" s="135"/>
      <c r="M220" s="135"/>
      <c r="N220" s="131"/>
      <c r="P220" s="130"/>
      <c r="Q220" s="23" t="str">
        <f t="shared" si="6"/>
        <v/>
      </c>
      <c r="R220" s="23">
        <f t="shared" si="7"/>
        <v>219</v>
      </c>
    </row>
    <row r="221" spans="9:18" x14ac:dyDescent="0.25">
      <c r="I221" s="127" t="str">
        <f>IF(A221="","",'START-HERE'!$C$15)</f>
        <v/>
      </c>
      <c r="J221" s="137" t="str">
        <f>IF(A221="","",'START-HERE'!$C$15)</f>
        <v/>
      </c>
      <c r="K221" s="138" t="str">
        <f>IF(A221="","",'START-HERE'!$C$16)</f>
        <v/>
      </c>
      <c r="L221" s="135"/>
      <c r="M221" s="135"/>
      <c r="N221" s="131"/>
      <c r="P221" s="130"/>
      <c r="Q221" s="23" t="str">
        <f t="shared" si="6"/>
        <v/>
      </c>
      <c r="R221" s="23">
        <f t="shared" si="7"/>
        <v>220</v>
      </c>
    </row>
    <row r="222" spans="9:18" x14ac:dyDescent="0.25">
      <c r="I222" s="127" t="str">
        <f>IF(A222="","",'START-HERE'!$C$15)</f>
        <v/>
      </c>
      <c r="J222" s="137" t="str">
        <f>IF(A222="","",'START-HERE'!$C$15)</f>
        <v/>
      </c>
      <c r="K222" s="138" t="str">
        <f>IF(A222="","",'START-HERE'!$C$16)</f>
        <v/>
      </c>
      <c r="L222" s="135"/>
      <c r="M222" s="135"/>
      <c r="N222" s="131"/>
      <c r="P222" s="130"/>
      <c r="Q222" s="23" t="str">
        <f t="shared" si="6"/>
        <v/>
      </c>
      <c r="R222" s="23">
        <f t="shared" si="7"/>
        <v>221</v>
      </c>
    </row>
    <row r="223" spans="9:18" x14ac:dyDescent="0.25">
      <c r="I223" s="127" t="str">
        <f>IF(A223="","",'START-HERE'!$C$15)</f>
        <v/>
      </c>
      <c r="J223" s="137" t="str">
        <f>IF(A223="","",'START-HERE'!$C$15)</f>
        <v/>
      </c>
      <c r="K223" s="138" t="str">
        <f>IF(A223="","",'START-HERE'!$C$16)</f>
        <v/>
      </c>
      <c r="L223" s="135"/>
      <c r="M223" s="135"/>
      <c r="N223" s="131"/>
      <c r="P223" s="130"/>
      <c r="Q223" s="23" t="str">
        <f t="shared" si="6"/>
        <v/>
      </c>
      <c r="R223" s="23">
        <f t="shared" si="7"/>
        <v>222</v>
      </c>
    </row>
    <row r="224" spans="9:18" x14ac:dyDescent="0.25">
      <c r="I224" s="127" t="str">
        <f>IF(A224="","",'START-HERE'!$C$15)</f>
        <v/>
      </c>
      <c r="J224" s="137" t="str">
        <f>IF(A224="","",'START-HERE'!$C$15)</f>
        <v/>
      </c>
      <c r="K224" s="138" t="str">
        <f>IF(A224="","",'START-HERE'!$C$16)</f>
        <v/>
      </c>
      <c r="L224" s="135"/>
      <c r="M224" s="135"/>
      <c r="N224" s="131"/>
      <c r="P224" s="130"/>
      <c r="Q224" s="23" t="str">
        <f t="shared" si="6"/>
        <v/>
      </c>
      <c r="R224" s="23">
        <f t="shared" si="7"/>
        <v>223</v>
      </c>
    </row>
    <row r="225" spans="9:18" x14ac:dyDescent="0.25">
      <c r="I225" s="127" t="str">
        <f>IF(A225="","",'START-HERE'!$C$15)</f>
        <v/>
      </c>
      <c r="J225" s="137" t="str">
        <f>IF(A225="","",'START-HERE'!$C$15)</f>
        <v/>
      </c>
      <c r="K225" s="138" t="str">
        <f>IF(A225="","",'START-HERE'!$C$16)</f>
        <v/>
      </c>
      <c r="L225" s="135"/>
      <c r="M225" s="135"/>
      <c r="N225" s="131"/>
      <c r="P225" s="130"/>
      <c r="Q225" s="23" t="str">
        <f t="shared" si="6"/>
        <v/>
      </c>
      <c r="R225" s="23">
        <f t="shared" si="7"/>
        <v>224</v>
      </c>
    </row>
    <row r="226" spans="9:18" x14ac:dyDescent="0.25">
      <c r="I226" s="127" t="str">
        <f>IF(A226="","",'START-HERE'!$C$15)</f>
        <v/>
      </c>
      <c r="J226" s="137" t="str">
        <f>IF(A226="","",'START-HERE'!$C$15)</f>
        <v/>
      </c>
      <c r="K226" s="138" t="str">
        <f>IF(A226="","",'START-HERE'!$C$16)</f>
        <v/>
      </c>
      <c r="L226" s="135"/>
      <c r="M226" s="135"/>
      <c r="N226" s="131"/>
      <c r="P226" s="130"/>
      <c r="Q226" s="23" t="str">
        <f t="shared" si="6"/>
        <v/>
      </c>
      <c r="R226" s="23">
        <f t="shared" si="7"/>
        <v>225</v>
      </c>
    </row>
    <row r="227" spans="9:18" x14ac:dyDescent="0.25">
      <c r="I227" s="127" t="str">
        <f>IF(A227="","",'START-HERE'!$C$15)</f>
        <v/>
      </c>
      <c r="J227" s="137" t="str">
        <f>IF(A227="","",'START-HERE'!$C$15)</f>
        <v/>
      </c>
      <c r="K227" s="138" t="str">
        <f>IF(A227="","",'START-HERE'!$C$16)</f>
        <v/>
      </c>
      <c r="L227" s="135"/>
      <c r="M227" s="135"/>
      <c r="N227" s="131"/>
      <c r="P227" s="130"/>
      <c r="Q227" s="23" t="str">
        <f t="shared" si="6"/>
        <v/>
      </c>
      <c r="R227" s="23">
        <f t="shared" si="7"/>
        <v>226</v>
      </c>
    </row>
    <row r="228" spans="9:18" x14ac:dyDescent="0.25">
      <c r="I228" s="127" t="str">
        <f>IF(A228="","",'START-HERE'!$C$15)</f>
        <v/>
      </c>
      <c r="J228" s="137" t="str">
        <f>IF(A228="","",'START-HERE'!$C$15)</f>
        <v/>
      </c>
      <c r="K228" s="138" t="str">
        <f>IF(A228="","",'START-HERE'!$C$16)</f>
        <v/>
      </c>
      <c r="L228" s="135"/>
      <c r="M228" s="135"/>
      <c r="N228" s="131"/>
      <c r="P228" s="130"/>
      <c r="Q228" s="23" t="str">
        <f t="shared" si="6"/>
        <v/>
      </c>
      <c r="R228" s="23">
        <f t="shared" si="7"/>
        <v>227</v>
      </c>
    </row>
    <row r="229" spans="9:18" x14ac:dyDescent="0.25">
      <c r="I229" s="127" t="str">
        <f>IF(A229="","",'START-HERE'!$C$15)</f>
        <v/>
      </c>
      <c r="J229" s="137" t="str">
        <f>IF(A229="","",'START-HERE'!$C$15)</f>
        <v/>
      </c>
      <c r="K229" s="138" t="str">
        <f>IF(A229="","",'START-HERE'!$C$16)</f>
        <v/>
      </c>
      <c r="L229" s="135"/>
      <c r="M229" s="135"/>
      <c r="N229" s="131"/>
      <c r="P229" s="130"/>
      <c r="Q229" s="23" t="str">
        <f t="shared" si="6"/>
        <v/>
      </c>
      <c r="R229" s="23">
        <f t="shared" si="7"/>
        <v>228</v>
      </c>
    </row>
    <row r="230" spans="9:18" x14ac:dyDescent="0.25">
      <c r="I230" s="127" t="str">
        <f>IF(A230="","",'START-HERE'!$C$15)</f>
        <v/>
      </c>
      <c r="J230" s="137" t="str">
        <f>IF(A230="","",'START-HERE'!$C$15)</f>
        <v/>
      </c>
      <c r="K230" s="138" t="str">
        <f>IF(A230="","",'START-HERE'!$C$16)</f>
        <v/>
      </c>
      <c r="L230" s="135"/>
      <c r="M230" s="135"/>
      <c r="N230" s="131"/>
      <c r="P230" s="130"/>
      <c r="Q230" s="23" t="str">
        <f t="shared" si="6"/>
        <v/>
      </c>
      <c r="R230" s="23">
        <f t="shared" si="7"/>
        <v>229</v>
      </c>
    </row>
    <row r="231" spans="9:18" x14ac:dyDescent="0.25">
      <c r="I231" s="127" t="str">
        <f>IF(A231="","",'START-HERE'!$C$15)</f>
        <v/>
      </c>
      <c r="J231" s="137" t="str">
        <f>IF(A231="","",'START-HERE'!$C$15)</f>
        <v/>
      </c>
      <c r="K231" s="138" t="str">
        <f>IF(A231="","",'START-HERE'!$C$16)</f>
        <v/>
      </c>
      <c r="L231" s="135"/>
      <c r="M231" s="135"/>
      <c r="N231" s="131"/>
      <c r="P231" s="130"/>
      <c r="Q231" s="23" t="str">
        <f t="shared" si="6"/>
        <v/>
      </c>
      <c r="R231" s="23">
        <f t="shared" si="7"/>
        <v>230</v>
      </c>
    </row>
    <row r="232" spans="9:18" x14ac:dyDescent="0.25">
      <c r="I232" s="127" t="str">
        <f>IF(A232="","",'START-HERE'!$C$15)</f>
        <v/>
      </c>
      <c r="J232" s="137" t="str">
        <f>IF(A232="","",'START-HERE'!$C$15)</f>
        <v/>
      </c>
      <c r="K232" s="138" t="str">
        <f>IF(A232="","",'START-HERE'!$C$16)</f>
        <v/>
      </c>
      <c r="L232" s="135"/>
      <c r="M232" s="135"/>
      <c r="N232" s="131"/>
      <c r="P232" s="130"/>
      <c r="Q232" s="23" t="str">
        <f t="shared" si="6"/>
        <v/>
      </c>
      <c r="R232" s="23">
        <f t="shared" si="7"/>
        <v>231</v>
      </c>
    </row>
    <row r="233" spans="9:18" x14ac:dyDescent="0.25">
      <c r="I233" s="127" t="str">
        <f>IF(A233="","",'START-HERE'!$C$15)</f>
        <v/>
      </c>
      <c r="J233" s="137" t="str">
        <f>IF(A233="","",'START-HERE'!$C$15)</f>
        <v/>
      </c>
      <c r="K233" s="138" t="str">
        <f>IF(A233="","",'START-HERE'!$C$16)</f>
        <v/>
      </c>
      <c r="L233" s="135"/>
      <c r="M233" s="135"/>
      <c r="N233" s="131"/>
      <c r="P233" s="130"/>
      <c r="Q233" s="23" t="str">
        <f t="shared" si="6"/>
        <v/>
      </c>
      <c r="R233" s="23">
        <f t="shared" si="7"/>
        <v>232</v>
      </c>
    </row>
    <row r="234" spans="9:18" x14ac:dyDescent="0.25">
      <c r="I234" s="127" t="str">
        <f>IF(A234="","",'START-HERE'!$C$15)</f>
        <v/>
      </c>
      <c r="J234" s="137" t="str">
        <f>IF(A234="","",'START-HERE'!$C$15)</f>
        <v/>
      </c>
      <c r="K234" s="138" t="str">
        <f>IF(A234="","",'START-HERE'!$C$16)</f>
        <v/>
      </c>
      <c r="L234" s="135"/>
      <c r="M234" s="135"/>
      <c r="N234" s="131"/>
      <c r="P234" s="130"/>
      <c r="Q234" s="23" t="str">
        <f t="shared" si="6"/>
        <v/>
      </c>
      <c r="R234" s="23">
        <f t="shared" si="7"/>
        <v>233</v>
      </c>
    </row>
    <row r="235" spans="9:18" x14ac:dyDescent="0.25">
      <c r="I235" s="127" t="str">
        <f>IF(A235="","",'START-HERE'!$C$15)</f>
        <v/>
      </c>
      <c r="J235" s="137" t="str">
        <f>IF(A235="","",'START-HERE'!$C$15)</f>
        <v/>
      </c>
      <c r="K235" s="138" t="str">
        <f>IF(A235="","",'START-HERE'!$C$16)</f>
        <v/>
      </c>
      <c r="L235" s="135"/>
      <c r="M235" s="135"/>
      <c r="N235" s="131"/>
      <c r="P235" s="130"/>
      <c r="Q235" s="23" t="str">
        <f t="shared" si="6"/>
        <v/>
      </c>
      <c r="R235" s="23">
        <f t="shared" si="7"/>
        <v>234</v>
      </c>
    </row>
    <row r="236" spans="9:18" x14ac:dyDescent="0.25">
      <c r="I236" s="127" t="str">
        <f>IF(A236="","",'START-HERE'!$C$15)</f>
        <v/>
      </c>
      <c r="J236" s="137" t="str">
        <f>IF(A236="","",'START-HERE'!$C$15)</f>
        <v/>
      </c>
      <c r="K236" s="138" t="str">
        <f>IF(A236="","",'START-HERE'!$C$16)</f>
        <v/>
      </c>
      <c r="L236" s="135"/>
      <c r="M236" s="135"/>
      <c r="N236" s="131"/>
      <c r="P236" s="130"/>
      <c r="Q236" s="23" t="str">
        <f t="shared" si="6"/>
        <v/>
      </c>
      <c r="R236" s="23">
        <f t="shared" si="7"/>
        <v>235</v>
      </c>
    </row>
    <row r="237" spans="9:18" x14ac:dyDescent="0.25">
      <c r="I237" s="127" t="str">
        <f>IF(A237="","",'START-HERE'!$C$15)</f>
        <v/>
      </c>
      <c r="J237" s="137" t="str">
        <f>IF(A237="","",'START-HERE'!$C$15)</f>
        <v/>
      </c>
      <c r="K237" s="138" t="str">
        <f>IF(A237="","",'START-HERE'!$C$16)</f>
        <v/>
      </c>
      <c r="L237" s="135"/>
      <c r="M237" s="135"/>
      <c r="N237" s="131"/>
      <c r="P237" s="130"/>
      <c r="Q237" s="23" t="str">
        <f t="shared" si="6"/>
        <v/>
      </c>
      <c r="R237" s="23">
        <f t="shared" si="7"/>
        <v>236</v>
      </c>
    </row>
    <row r="238" spans="9:18" x14ac:dyDescent="0.25">
      <c r="I238" s="127" t="str">
        <f>IF(A238="","",'START-HERE'!$C$15)</f>
        <v/>
      </c>
      <c r="J238" s="137" t="str">
        <f>IF(A238="","",'START-HERE'!$C$15)</f>
        <v/>
      </c>
      <c r="K238" s="138" t="str">
        <f>IF(A238="","",'START-HERE'!$C$16)</f>
        <v/>
      </c>
      <c r="P238" s="130"/>
      <c r="Q238" s="23" t="str">
        <f t="shared" si="6"/>
        <v/>
      </c>
      <c r="R238" s="23">
        <f t="shared" si="7"/>
        <v>237</v>
      </c>
    </row>
    <row r="239" spans="9:18" x14ac:dyDescent="0.25">
      <c r="I239" s="127" t="str">
        <f>IF(A239="","",'START-HERE'!$C$15)</f>
        <v/>
      </c>
      <c r="J239" s="137" t="str">
        <f>IF(A239="","",'START-HERE'!$C$15)</f>
        <v/>
      </c>
      <c r="K239" s="138" t="str">
        <f>IF(A239="","",'START-HERE'!$C$16)</f>
        <v/>
      </c>
      <c r="P239" s="130"/>
      <c r="Q239" s="23" t="str">
        <f t="shared" si="6"/>
        <v/>
      </c>
      <c r="R239" s="23">
        <f t="shared" si="7"/>
        <v>238</v>
      </c>
    </row>
    <row r="240" spans="9:18" x14ac:dyDescent="0.25">
      <c r="I240" s="127" t="str">
        <f>IF(A240="","",'START-HERE'!$C$15)</f>
        <v/>
      </c>
      <c r="J240" s="137" t="str">
        <f>IF(A240="","",'START-HERE'!$C$15)</f>
        <v/>
      </c>
      <c r="K240" s="138" t="str">
        <f>IF(A240="","",'START-HERE'!$C$16)</f>
        <v/>
      </c>
      <c r="P240" s="130"/>
      <c r="Q240" s="23" t="str">
        <f t="shared" si="6"/>
        <v/>
      </c>
      <c r="R240" s="23">
        <f t="shared" si="7"/>
        <v>239</v>
      </c>
    </row>
    <row r="241" spans="9:18" x14ac:dyDescent="0.25">
      <c r="I241" s="127" t="str">
        <f>IF(A241="","",'START-HERE'!$C$15)</f>
        <v/>
      </c>
      <c r="J241" s="137" t="str">
        <f>IF(A241="","",'START-HERE'!$C$15)</f>
        <v/>
      </c>
      <c r="K241" s="138" t="str">
        <f>IF(A241="","",'START-HERE'!$C$16)</f>
        <v/>
      </c>
      <c r="P241" s="130"/>
      <c r="Q241" s="23" t="str">
        <f t="shared" si="6"/>
        <v/>
      </c>
      <c r="R241" s="23">
        <f t="shared" si="7"/>
        <v>240</v>
      </c>
    </row>
    <row r="242" spans="9:18" x14ac:dyDescent="0.25">
      <c r="I242" s="127" t="str">
        <f>IF(A242="","",'START-HERE'!$C$15)</f>
        <v/>
      </c>
      <c r="J242" s="137" t="str">
        <f>IF(A242="","",'START-HERE'!$C$15)</f>
        <v/>
      </c>
      <c r="K242" s="138" t="str">
        <f>IF(A242="","",'START-HERE'!$C$16)</f>
        <v/>
      </c>
      <c r="P242" s="130"/>
      <c r="Q242" s="23" t="str">
        <f t="shared" si="6"/>
        <v/>
      </c>
      <c r="R242" s="23">
        <f t="shared" si="7"/>
        <v>241</v>
      </c>
    </row>
    <row r="243" spans="9:18" x14ac:dyDescent="0.25">
      <c r="I243" s="127" t="str">
        <f>IF(A243="","",'START-HERE'!$C$15)</f>
        <v/>
      </c>
      <c r="J243" s="137" t="str">
        <f>IF(A243="","",'START-HERE'!$C$15)</f>
        <v/>
      </c>
      <c r="K243" s="138" t="str">
        <f>IF(A243="","",'START-HERE'!$C$16)</f>
        <v/>
      </c>
      <c r="P243" s="130"/>
      <c r="Q243" s="23" t="str">
        <f t="shared" si="6"/>
        <v/>
      </c>
      <c r="R243" s="23">
        <f t="shared" si="7"/>
        <v>242</v>
      </c>
    </row>
    <row r="244" spans="9:18" x14ac:dyDescent="0.25">
      <c r="I244" s="127" t="str">
        <f>IF(A244="","",'START-HERE'!$C$15)</f>
        <v/>
      </c>
      <c r="J244" s="137" t="str">
        <f>IF(A244="","",'START-HERE'!$C$15)</f>
        <v/>
      </c>
      <c r="K244" s="138" t="str">
        <f>IF(A244="","",'START-HERE'!$C$16)</f>
        <v/>
      </c>
      <c r="L244" s="135"/>
      <c r="M244" s="135"/>
      <c r="N244" s="131"/>
      <c r="P244" s="130"/>
      <c r="Q244" s="23" t="str">
        <f t="shared" si="6"/>
        <v/>
      </c>
      <c r="R244" s="23">
        <f t="shared" si="7"/>
        <v>243</v>
      </c>
    </row>
    <row r="245" spans="9:18" x14ac:dyDescent="0.25">
      <c r="I245" s="127" t="str">
        <f>IF(A245="","",'START-HERE'!$C$15)</f>
        <v/>
      </c>
      <c r="J245" s="137" t="str">
        <f>IF(A245="","",'START-HERE'!$C$15)</f>
        <v/>
      </c>
      <c r="K245" s="138" t="str">
        <f>IF(A245="","",'START-HERE'!$C$16)</f>
        <v/>
      </c>
      <c r="L245" s="135"/>
      <c r="M245" s="135"/>
      <c r="N245" s="131"/>
      <c r="P245" s="130"/>
      <c r="Q245" s="23" t="str">
        <f t="shared" si="6"/>
        <v/>
      </c>
      <c r="R245" s="23">
        <f t="shared" si="7"/>
        <v>244</v>
      </c>
    </row>
    <row r="246" spans="9:18" x14ac:dyDescent="0.25">
      <c r="I246" s="127" t="str">
        <f>IF(A246="","",'START-HERE'!$C$15)</f>
        <v/>
      </c>
      <c r="J246" s="137" t="str">
        <f>IF(A246="","",'START-HERE'!$C$15)</f>
        <v/>
      </c>
      <c r="K246" s="138" t="str">
        <f>IF(A246="","",'START-HERE'!$C$16)</f>
        <v/>
      </c>
      <c r="L246" s="135"/>
      <c r="M246" s="135"/>
      <c r="N246" s="131"/>
      <c r="P246" s="130"/>
      <c r="Q246" s="23" t="str">
        <f t="shared" si="6"/>
        <v/>
      </c>
      <c r="R246" s="23">
        <f t="shared" si="7"/>
        <v>245</v>
      </c>
    </row>
    <row r="247" spans="9:18" x14ac:dyDescent="0.25">
      <c r="I247" s="127" t="str">
        <f>IF(A247="","",'START-HERE'!$C$15)</f>
        <v/>
      </c>
      <c r="J247" s="137" t="str">
        <f>IF(A247="","",'START-HERE'!$C$15)</f>
        <v/>
      </c>
      <c r="K247" s="138" t="str">
        <f>IF(A247="","",'START-HERE'!$C$16)</f>
        <v/>
      </c>
      <c r="L247" s="135"/>
      <c r="M247" s="135"/>
      <c r="N247" s="131"/>
      <c r="P247" s="130"/>
      <c r="Q247" s="23" t="str">
        <f t="shared" si="6"/>
        <v/>
      </c>
      <c r="R247" s="23">
        <f t="shared" si="7"/>
        <v>246</v>
      </c>
    </row>
    <row r="248" spans="9:18" x14ac:dyDescent="0.25">
      <c r="I248" s="127" t="str">
        <f>IF(A248="","",'START-HERE'!$C$15)</f>
        <v/>
      </c>
      <c r="J248" s="137" t="str">
        <f>IF(A248="","",'START-HERE'!$C$15)</f>
        <v/>
      </c>
      <c r="K248" s="138" t="str">
        <f>IF(A248="","",'START-HERE'!$C$16)</f>
        <v/>
      </c>
      <c r="L248" s="135"/>
      <c r="M248" s="135"/>
      <c r="N248" s="131"/>
      <c r="P248" s="130"/>
      <c r="Q248" s="23" t="str">
        <f t="shared" si="6"/>
        <v/>
      </c>
      <c r="R248" s="23">
        <f t="shared" si="7"/>
        <v>247</v>
      </c>
    </row>
    <row r="249" spans="9:18" x14ac:dyDescent="0.25">
      <c r="I249" s="127" t="str">
        <f>IF(A249="","",'START-HERE'!$C$15)</f>
        <v/>
      </c>
      <c r="J249" s="137" t="str">
        <f>IF(A249="","",'START-HERE'!$C$15)</f>
        <v/>
      </c>
      <c r="K249" s="138" t="str">
        <f>IF(A249="","",'START-HERE'!$C$16)</f>
        <v/>
      </c>
      <c r="L249" s="135"/>
      <c r="M249" s="135"/>
      <c r="N249" s="131"/>
      <c r="P249" s="130"/>
      <c r="Q249" s="23" t="str">
        <f t="shared" si="6"/>
        <v/>
      </c>
      <c r="R249" s="23">
        <f t="shared" si="7"/>
        <v>248</v>
      </c>
    </row>
    <row r="250" spans="9:18" x14ac:dyDescent="0.25">
      <c r="I250" s="127" t="str">
        <f>IF(A250="","",'START-HERE'!$C$15)</f>
        <v/>
      </c>
      <c r="J250" s="137" t="str">
        <f>IF(A250="","",'START-HERE'!$C$15)</f>
        <v/>
      </c>
      <c r="K250" s="138" t="str">
        <f>IF(A250="","",'START-HERE'!$C$16)</f>
        <v/>
      </c>
      <c r="L250" s="135"/>
      <c r="M250" s="135"/>
      <c r="N250" s="131"/>
      <c r="P250" s="130"/>
      <c r="Q250" s="23" t="str">
        <f t="shared" si="6"/>
        <v/>
      </c>
      <c r="R250" s="23">
        <f t="shared" si="7"/>
        <v>249</v>
      </c>
    </row>
  </sheetData>
  <sortState xmlns:xlrd2="http://schemas.microsoft.com/office/spreadsheetml/2017/richdata2" ref="A2:R3631">
    <sortCondition ref="A1:A3631"/>
  </sortState>
  <phoneticPr fontId="8" type="noConversion"/>
  <conditionalFormatting sqref="Q1:Q250 Q58983:Q1048576">
    <cfRule type="duplicateValues" dxfId="2" priority="13"/>
  </conditionalFormatting>
  <conditionalFormatting sqref="Q2:Q250">
    <cfRule type="duplicateValues" dxfId="1" priority="445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2DDD05-7EE5-4357-A186-C7E1ACB702E3}">
          <x14:formula1>
            <xm:f>DATA!$G$7:$G$10</xm:f>
          </x14:formula1>
          <xm:sqref>I2:I250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091D8-3E71-4AD5-821E-908FF8FD4E75}">
  <sheetPr codeName="Sheet2">
    <tabColor theme="4" tint="-0.249977111117893"/>
  </sheetPr>
  <dimension ref="A1:T250"/>
  <sheetViews>
    <sheetView zoomScale="70" zoomScaleNormal="70" workbookViewId="0">
      <selection activeCell="Q1" sqref="Q1:XFD1048576"/>
    </sheetView>
  </sheetViews>
  <sheetFormatPr defaultColWidth="0" defaultRowHeight="15" zeroHeight="1" x14ac:dyDescent="0.25"/>
  <cols>
    <col min="1" max="1" width="11.42578125" bestFit="1" customWidth="1"/>
    <col min="2" max="2" width="8.140625" bestFit="1" customWidth="1"/>
    <col min="3" max="3" width="7.7109375" bestFit="1" customWidth="1"/>
    <col min="4" max="4" width="36" bestFit="1" customWidth="1"/>
    <col min="5" max="5" width="86.7109375" bestFit="1" customWidth="1"/>
    <col min="6" max="6" width="15.140625" bestFit="1" customWidth="1"/>
    <col min="7" max="7" width="10.85546875" bestFit="1" customWidth="1"/>
    <col min="8" max="8" width="20" bestFit="1" customWidth="1"/>
    <col min="9" max="9" width="8.85546875" bestFit="1" customWidth="1"/>
    <col min="10" max="10" width="16.42578125" bestFit="1" customWidth="1"/>
    <col min="11" max="11" width="21.28515625" bestFit="1" customWidth="1"/>
    <col min="12" max="12" width="12" bestFit="1" customWidth="1"/>
    <col min="13" max="13" width="24.5703125" bestFit="1" customWidth="1"/>
    <col min="14" max="14" width="19.28515625" bestFit="1" customWidth="1"/>
    <col min="15" max="15" width="11.5703125" bestFit="1" customWidth="1"/>
    <col min="16" max="16" width="17.28515625" bestFit="1" customWidth="1"/>
    <col min="17" max="17" width="13.42578125" hidden="1" customWidth="1"/>
    <col min="18" max="18" width="15.28515625" hidden="1" customWidth="1"/>
    <col min="19" max="19" width="12.28515625" hidden="1" customWidth="1"/>
    <col min="20" max="20" width="67.140625" hidden="1" customWidth="1"/>
    <col min="21" max="16384" width="17.140625" hidden="1"/>
  </cols>
  <sheetData>
    <row r="1" spans="1:20" s="11" customFormat="1" ht="15.75" x14ac:dyDescent="0.25">
      <c r="A1" s="16" t="s">
        <v>9609</v>
      </c>
      <c r="B1" s="37" t="s">
        <v>9610</v>
      </c>
      <c r="C1" s="13" t="s">
        <v>9611</v>
      </c>
      <c r="D1" s="13" t="s">
        <v>9612</v>
      </c>
      <c r="E1" s="13" t="s">
        <v>9613</v>
      </c>
      <c r="F1" s="13" t="s">
        <v>9614</v>
      </c>
      <c r="G1" s="13" t="s">
        <v>9615</v>
      </c>
      <c r="H1" s="13" t="s">
        <v>9616</v>
      </c>
      <c r="I1" s="13" t="s">
        <v>9617</v>
      </c>
      <c r="J1" s="81" t="s">
        <v>9618</v>
      </c>
      <c r="K1" s="13" t="s">
        <v>9604</v>
      </c>
      <c r="L1" s="13" t="s">
        <v>9619</v>
      </c>
      <c r="M1" s="13" t="s">
        <v>9620</v>
      </c>
      <c r="N1" s="13" t="s">
        <v>9621</v>
      </c>
      <c r="O1" s="13" t="s">
        <v>9622</v>
      </c>
      <c r="P1" s="13" t="s">
        <v>9623</v>
      </c>
      <c r="Q1" s="13"/>
      <c r="R1" s="82" t="s">
        <v>9596</v>
      </c>
      <c r="S1" s="61" t="s">
        <v>9599</v>
      </c>
      <c r="T1" s="11" t="str">
        <f>'EE System Designed BOM'!Q1</f>
        <v>Key</v>
      </c>
    </row>
    <row r="2" spans="1:20" s="29" customFormat="1" ht="22.5" customHeight="1" x14ac:dyDescent="0.25">
      <c r="A2" s="40">
        <f t="shared" ref="A2:A65" si="0">ROW()-1</f>
        <v>1</v>
      </c>
      <c r="B2" s="34" t="s">
        <v>9624</v>
      </c>
      <c r="C2" s="39" t="str">
        <f>IF('EE System Designed BOM'!E2="","",IF('EE System Designed BOM'!H2="Y","",'EE System Designed BOM'!E2))</f>
        <v/>
      </c>
      <c r="D2" s="79" t="str">
        <f>IF('EE System Designed BOM'!E2="","",IF('EE System Designed BOM'!H2="Y","",'EE System Designed BOM'!E2))</f>
        <v/>
      </c>
      <c r="E2" s="36" t="str">
        <f t="shared" ref="E2:E65" si="1">IF(D2="","","C.id-"&amp;R2&amp;"-  "&amp;IFERROR(INDEX(ONGEN_PRICING_DESCRIPTIONS,MATCH(D2,ONGEN_PRICING_PARTS,0)),""))</f>
        <v/>
      </c>
      <c r="F2" s="39">
        <f t="shared" ref="F2:F65" si="2">IFERROR(INDEX(ONGEN_EEBOM_QTY,MATCH(T2,ONGEN_EEBOM_KEYS,0)),0)</f>
        <v>0</v>
      </c>
      <c r="G2" s="124" t="s">
        <v>8604</v>
      </c>
      <c r="H2" s="54" t="str">
        <f>IF(D2="","",'START-HERE'!$C$16)</f>
        <v/>
      </c>
      <c r="I2" s="39" t="str">
        <f>VLOOKUP('START-HERE'!$C$17,DATA!$J$3:$K$6,2,FALSE)</f>
        <v>USD</v>
      </c>
      <c r="J2" s="125" t="str">
        <f t="shared" ref="J2:J65" si="3">IFERROR(IF(INDEX(ONGEN_EEBOM_PURCHASE_BY,MATCH(D2,ONGEN_EEBOM_PARTS,0))="By EE Installer","",IF(D2="","",INDEX(ONGEN_PRICING_COSTS,MATCH(D2,ONGEN_PRICING_PARTS,0))*F2)),"")</f>
        <v/>
      </c>
      <c r="K2" s="39" t="str">
        <f t="shared" ref="K2:K65" si="4">IF(D2="","",IFERROR(INDEX(ONGEN_PRICING_MATGROUP,MATCH(D2,ONGEN_PRICING_PARTS,0)),""))</f>
        <v/>
      </c>
      <c r="L2" s="39" t="str">
        <f>IF(J2="","",IF('START-HERE'!$C$17="USA",1110,""))</f>
        <v/>
      </c>
      <c r="M2" s="39" t="str">
        <f>VLOOKUP('START-HERE'!$D$20,DATA!$J$9:$K$12,2,FALSE)</f>
        <v>037 US Project (NB)</v>
      </c>
      <c r="N2" s="39">
        <f t="shared" ref="N2:N65" si="5">IFERROR(INDEX(ONGEN_EEBOM_SAP_VENDOR,MATCH(T2,ONGEN_EEBOM_KEYS,0)),0)</f>
        <v>0</v>
      </c>
      <c r="O2" s="39" t="str">
        <f t="shared" ref="O2:O65" si="6">IF(L2=1110,1100,"")</f>
        <v/>
      </c>
      <c r="P2" s="126">
        <f t="shared" ref="P2:P65" si="7">IFERROR(INDEX(ONGEN_EEBOM_CONVID,MATCH(T2,ONGEN_EEBOM_KEYS,0)),0)</f>
        <v>0</v>
      </c>
      <c r="R2" s="115">
        <f t="shared" ref="R2:R65" si="8">ROW()-1</f>
        <v>1</v>
      </c>
      <c r="S2" s="115">
        <f t="shared" ref="S2:S65" si="9">IFERROR(INDEX(ONGEN_EEBOM_PLC,MATCH(T2,ONGEN_EEBOM_KEYS,0)),0)</f>
        <v>0</v>
      </c>
      <c r="T2" s="29" t="str">
        <f>'EE System Designed BOM'!Q2</f>
        <v/>
      </c>
    </row>
    <row r="3" spans="1:20" s="29" customFormat="1" x14ac:dyDescent="0.25">
      <c r="A3" s="40">
        <f t="shared" si="0"/>
        <v>2</v>
      </c>
      <c r="B3" s="34" t="s">
        <v>9624</v>
      </c>
      <c r="C3" s="39" t="str">
        <f>IF('EE System Designed BOM'!E3="","",IF('EE System Designed BOM'!H3="Y","",'EE System Designed BOM'!E3))</f>
        <v/>
      </c>
      <c r="D3" s="79" t="str">
        <f>IF('EE System Designed BOM'!E3="","",IF('EE System Designed BOM'!H3="Y","",'EE System Designed BOM'!E3))</f>
        <v/>
      </c>
      <c r="E3" s="36" t="str">
        <f t="shared" si="1"/>
        <v/>
      </c>
      <c r="F3" s="39">
        <f t="shared" si="2"/>
        <v>0</v>
      </c>
      <c r="G3" s="124" t="s">
        <v>8604</v>
      </c>
      <c r="H3" s="54" t="str">
        <f>IF(D3="","",'START-HERE'!$C$16)</f>
        <v/>
      </c>
      <c r="I3" s="39" t="str">
        <f>VLOOKUP('START-HERE'!$C$17,DATA!$J$3:$K$6,2,FALSE)</f>
        <v>USD</v>
      </c>
      <c r="J3" s="125" t="str">
        <f t="shared" si="3"/>
        <v/>
      </c>
      <c r="K3" s="39" t="str">
        <f t="shared" si="4"/>
        <v/>
      </c>
      <c r="L3" s="39" t="str">
        <f>IF(J3="","",IF('START-HERE'!$C$17="USA",1110,""))</f>
        <v/>
      </c>
      <c r="M3" s="39" t="str">
        <f>VLOOKUP('START-HERE'!$D$20,DATA!$J$9:$K$12,2,FALSE)</f>
        <v>037 US Project (NB)</v>
      </c>
      <c r="N3" s="39">
        <f t="shared" si="5"/>
        <v>0</v>
      </c>
      <c r="O3" s="39" t="str">
        <f t="shared" si="6"/>
        <v/>
      </c>
      <c r="P3" s="126">
        <f t="shared" si="7"/>
        <v>0</v>
      </c>
      <c r="Q3" s="84"/>
      <c r="R3" s="115">
        <f t="shared" si="8"/>
        <v>2</v>
      </c>
      <c r="S3" s="115">
        <f t="shared" si="9"/>
        <v>0</v>
      </c>
      <c r="T3" s="29" t="str">
        <f>'EE System Designed BOM'!Q3</f>
        <v/>
      </c>
    </row>
    <row r="4" spans="1:20" s="29" customFormat="1" x14ac:dyDescent="0.25">
      <c r="A4" s="40">
        <f t="shared" si="0"/>
        <v>3</v>
      </c>
      <c r="B4" s="34" t="s">
        <v>9624</v>
      </c>
      <c r="C4" s="39" t="str">
        <f>IF('EE System Designed BOM'!E4="","",IF('EE System Designed BOM'!H4="Y","",'EE System Designed BOM'!E4))</f>
        <v/>
      </c>
      <c r="D4" s="79" t="str">
        <f>IF('EE System Designed BOM'!E4="","",IF('EE System Designed BOM'!H4="Y","",'EE System Designed BOM'!E4))</f>
        <v/>
      </c>
      <c r="E4" s="36" t="str">
        <f t="shared" si="1"/>
        <v/>
      </c>
      <c r="F4" s="39">
        <f t="shared" si="2"/>
        <v>0</v>
      </c>
      <c r="G4" s="124" t="s">
        <v>8604</v>
      </c>
      <c r="H4" s="54" t="str">
        <f>IF(D4="","",'START-HERE'!$C$16)</f>
        <v/>
      </c>
      <c r="I4" s="39" t="str">
        <f>VLOOKUP('START-HERE'!$C$17,DATA!$J$3:$K$6,2,FALSE)</f>
        <v>USD</v>
      </c>
      <c r="J4" s="125" t="str">
        <f t="shared" si="3"/>
        <v/>
      </c>
      <c r="K4" s="39" t="str">
        <f t="shared" si="4"/>
        <v/>
      </c>
      <c r="L4" s="39" t="str">
        <f>IF(J4="","",IF('START-HERE'!$C$17="USA",1110,""))</f>
        <v/>
      </c>
      <c r="M4" s="39" t="str">
        <f>VLOOKUP('START-HERE'!$D$20,DATA!$J$9:$K$12,2,FALSE)</f>
        <v>037 US Project (NB)</v>
      </c>
      <c r="N4" s="39">
        <f t="shared" si="5"/>
        <v>0</v>
      </c>
      <c r="O4" s="39" t="str">
        <f t="shared" si="6"/>
        <v/>
      </c>
      <c r="P4" s="126">
        <f t="shared" si="7"/>
        <v>0</v>
      </c>
      <c r="R4" s="115">
        <f t="shared" si="8"/>
        <v>3</v>
      </c>
      <c r="S4" s="115">
        <f t="shared" si="9"/>
        <v>0</v>
      </c>
      <c r="T4" s="29" t="str">
        <f>'EE System Designed BOM'!Q4</f>
        <v/>
      </c>
    </row>
    <row r="5" spans="1:20" s="29" customFormat="1" ht="25.5" customHeight="1" x14ac:dyDescent="0.25">
      <c r="A5" s="40">
        <f t="shared" si="0"/>
        <v>4</v>
      </c>
      <c r="B5" s="34" t="s">
        <v>9624</v>
      </c>
      <c r="C5" s="39" t="str">
        <f>IF('EE System Designed BOM'!E5="","",IF('EE System Designed BOM'!H5="Y","",'EE System Designed BOM'!E5))</f>
        <v/>
      </c>
      <c r="D5" s="79" t="str">
        <f>IF('EE System Designed BOM'!E5="","",IF('EE System Designed BOM'!H5="Y","",'EE System Designed BOM'!E5))</f>
        <v/>
      </c>
      <c r="E5" s="36" t="str">
        <f t="shared" si="1"/>
        <v/>
      </c>
      <c r="F5" s="39">
        <f t="shared" si="2"/>
        <v>0</v>
      </c>
      <c r="G5" s="124" t="s">
        <v>8604</v>
      </c>
      <c r="H5" s="54" t="str">
        <f>IF(D5="","",'START-HERE'!$C$16)</f>
        <v/>
      </c>
      <c r="I5" s="39" t="str">
        <f>VLOOKUP('START-HERE'!$C$17,DATA!$J$3:$K$6,2,FALSE)</f>
        <v>USD</v>
      </c>
      <c r="J5" s="125" t="str">
        <f t="shared" si="3"/>
        <v/>
      </c>
      <c r="K5" s="39" t="str">
        <f t="shared" si="4"/>
        <v/>
      </c>
      <c r="L5" s="39" t="str">
        <f>IF(J5="","",IF('START-HERE'!$C$17="USA",1110,""))</f>
        <v/>
      </c>
      <c r="M5" s="39" t="str">
        <f>VLOOKUP('START-HERE'!$D$20,DATA!$J$9:$K$12,2,FALSE)</f>
        <v>037 US Project (NB)</v>
      </c>
      <c r="N5" s="39">
        <f t="shared" si="5"/>
        <v>0</v>
      </c>
      <c r="O5" s="39" t="str">
        <f t="shared" si="6"/>
        <v/>
      </c>
      <c r="P5" s="126">
        <f t="shared" si="7"/>
        <v>0</v>
      </c>
      <c r="R5" s="115">
        <f t="shared" si="8"/>
        <v>4</v>
      </c>
      <c r="S5" s="115">
        <f t="shared" si="9"/>
        <v>0</v>
      </c>
      <c r="T5" s="29" t="str">
        <f>'EE System Designed BOM'!Q5</f>
        <v/>
      </c>
    </row>
    <row r="6" spans="1:20" s="29" customFormat="1" x14ac:dyDescent="0.25">
      <c r="A6" s="40">
        <f t="shared" si="0"/>
        <v>5</v>
      </c>
      <c r="B6" s="34" t="s">
        <v>9624</v>
      </c>
      <c r="C6" s="39" t="str">
        <f>IF('EE System Designed BOM'!E6="","",IF('EE System Designed BOM'!H6="Y","",'EE System Designed BOM'!E6))</f>
        <v/>
      </c>
      <c r="D6" s="79" t="str">
        <f>IF('EE System Designed BOM'!E6="","",IF('EE System Designed BOM'!H6="Y","",'EE System Designed BOM'!E6))</f>
        <v/>
      </c>
      <c r="E6" s="36" t="str">
        <f t="shared" si="1"/>
        <v/>
      </c>
      <c r="F6" s="39">
        <f t="shared" si="2"/>
        <v>0</v>
      </c>
      <c r="G6" s="124" t="s">
        <v>8604</v>
      </c>
      <c r="H6" s="54" t="str">
        <f>IF(D6="","",'START-HERE'!$C$16)</f>
        <v/>
      </c>
      <c r="I6" s="39" t="str">
        <f>VLOOKUP('START-HERE'!$C$17,DATA!$J$3:$K$6,2,FALSE)</f>
        <v>USD</v>
      </c>
      <c r="J6" s="125" t="str">
        <f t="shared" si="3"/>
        <v/>
      </c>
      <c r="K6" s="39" t="str">
        <f t="shared" si="4"/>
        <v/>
      </c>
      <c r="L6" s="39" t="str">
        <f>IF(J6="","",IF('START-HERE'!$C$17="USA",1110,""))</f>
        <v/>
      </c>
      <c r="M6" s="39" t="str">
        <f>VLOOKUP('START-HERE'!$D$20,DATA!$J$9:$K$12,2,FALSE)</f>
        <v>037 US Project (NB)</v>
      </c>
      <c r="N6" s="39">
        <f t="shared" si="5"/>
        <v>0</v>
      </c>
      <c r="O6" s="39" t="str">
        <f t="shared" si="6"/>
        <v/>
      </c>
      <c r="P6" s="126">
        <f t="shared" si="7"/>
        <v>0</v>
      </c>
      <c r="R6" s="115">
        <f t="shared" si="8"/>
        <v>5</v>
      </c>
      <c r="S6" s="115">
        <f t="shared" si="9"/>
        <v>0</v>
      </c>
      <c r="T6" s="29" t="str">
        <f>'EE System Designed BOM'!Q6</f>
        <v/>
      </c>
    </row>
    <row r="7" spans="1:20" s="29" customFormat="1" x14ac:dyDescent="0.25">
      <c r="A7" s="40">
        <f t="shared" si="0"/>
        <v>6</v>
      </c>
      <c r="B7" s="34" t="s">
        <v>9624</v>
      </c>
      <c r="C7" s="39" t="str">
        <f>IF('EE System Designed BOM'!E7="","",IF('EE System Designed BOM'!H7="Y","",'EE System Designed BOM'!E7))</f>
        <v/>
      </c>
      <c r="D7" s="79" t="str">
        <f>IF('EE System Designed BOM'!E7="","",IF('EE System Designed BOM'!H7="Y","",'EE System Designed BOM'!E7))</f>
        <v/>
      </c>
      <c r="E7" s="36" t="str">
        <f t="shared" si="1"/>
        <v/>
      </c>
      <c r="F7" s="39">
        <f t="shared" si="2"/>
        <v>0</v>
      </c>
      <c r="G7" s="124" t="s">
        <v>8604</v>
      </c>
      <c r="H7" s="54" t="str">
        <f>IF(D7="","",'START-HERE'!$C$16)</f>
        <v/>
      </c>
      <c r="I7" s="39" t="str">
        <f>VLOOKUP('START-HERE'!$C$17,DATA!$J$3:$K$6,2,FALSE)</f>
        <v>USD</v>
      </c>
      <c r="J7" s="125" t="str">
        <f t="shared" si="3"/>
        <v/>
      </c>
      <c r="K7" s="39" t="str">
        <f t="shared" si="4"/>
        <v/>
      </c>
      <c r="L7" s="39" t="str">
        <f>IF(J7="","",IF('START-HERE'!$C$17="USA",1110,""))</f>
        <v/>
      </c>
      <c r="M7" s="39" t="str">
        <f>VLOOKUP('START-HERE'!$D$20,DATA!$J$9:$K$12,2,FALSE)</f>
        <v>037 US Project (NB)</v>
      </c>
      <c r="N7" s="39">
        <f t="shared" si="5"/>
        <v>0</v>
      </c>
      <c r="O7" s="39" t="str">
        <f t="shared" si="6"/>
        <v/>
      </c>
      <c r="P7" s="126">
        <f t="shared" si="7"/>
        <v>0</v>
      </c>
      <c r="Q7" s="84"/>
      <c r="R7" s="115">
        <f t="shared" si="8"/>
        <v>6</v>
      </c>
      <c r="S7" s="115">
        <f t="shared" si="9"/>
        <v>0</v>
      </c>
      <c r="T7" s="29" t="str">
        <f>'EE System Designed BOM'!Q7</f>
        <v/>
      </c>
    </row>
    <row r="8" spans="1:20" s="29" customFormat="1" x14ac:dyDescent="0.25">
      <c r="A8" s="40">
        <f t="shared" si="0"/>
        <v>7</v>
      </c>
      <c r="B8" s="34" t="s">
        <v>9624</v>
      </c>
      <c r="C8" s="39" t="str">
        <f>IF('EE System Designed BOM'!E8="","",IF('EE System Designed BOM'!H8="Y","",'EE System Designed BOM'!E8))</f>
        <v/>
      </c>
      <c r="D8" s="79" t="str">
        <f>IF('EE System Designed BOM'!E8="","",IF('EE System Designed BOM'!H8="Y","",'EE System Designed BOM'!E8))</f>
        <v/>
      </c>
      <c r="E8" s="36" t="str">
        <f t="shared" si="1"/>
        <v/>
      </c>
      <c r="F8" s="39">
        <f t="shared" si="2"/>
        <v>0</v>
      </c>
      <c r="G8" s="124" t="s">
        <v>8604</v>
      </c>
      <c r="H8" s="54" t="str">
        <f>IF(D8="","",'START-HERE'!$C$16)</f>
        <v/>
      </c>
      <c r="I8" s="39" t="str">
        <f>VLOOKUP('START-HERE'!$C$17,DATA!$J$3:$K$6,2,FALSE)</f>
        <v>USD</v>
      </c>
      <c r="J8" s="125" t="str">
        <f t="shared" si="3"/>
        <v/>
      </c>
      <c r="K8" s="39" t="str">
        <f t="shared" si="4"/>
        <v/>
      </c>
      <c r="L8" s="39" t="str">
        <f>IF(J8="","",IF('START-HERE'!$C$17="USA",1110,""))</f>
        <v/>
      </c>
      <c r="M8" s="39" t="str">
        <f>VLOOKUP('START-HERE'!$D$20,DATA!$J$9:$K$12,2,FALSE)</f>
        <v>037 US Project (NB)</v>
      </c>
      <c r="N8" s="39">
        <f t="shared" si="5"/>
        <v>0</v>
      </c>
      <c r="O8" s="39" t="str">
        <f t="shared" si="6"/>
        <v/>
      </c>
      <c r="P8" s="126">
        <f t="shared" si="7"/>
        <v>0</v>
      </c>
      <c r="R8" s="115">
        <f t="shared" si="8"/>
        <v>7</v>
      </c>
      <c r="S8" s="115">
        <f t="shared" si="9"/>
        <v>0</v>
      </c>
      <c r="T8" s="29" t="str">
        <f>'EE System Designed BOM'!Q8</f>
        <v/>
      </c>
    </row>
    <row r="9" spans="1:20" s="29" customFormat="1" x14ac:dyDescent="0.25">
      <c r="A9" s="40">
        <f t="shared" si="0"/>
        <v>8</v>
      </c>
      <c r="B9" s="34" t="s">
        <v>9624</v>
      </c>
      <c r="C9" s="39" t="str">
        <f>IF('EE System Designed BOM'!E9="","",IF('EE System Designed BOM'!H9="Y","",'EE System Designed BOM'!E9))</f>
        <v/>
      </c>
      <c r="D9" s="79" t="str">
        <f>IF('EE System Designed BOM'!E9="","",IF('EE System Designed BOM'!H9="Y","",'EE System Designed BOM'!E9))</f>
        <v/>
      </c>
      <c r="E9" s="36" t="str">
        <f t="shared" si="1"/>
        <v/>
      </c>
      <c r="F9" s="39">
        <f t="shared" si="2"/>
        <v>0</v>
      </c>
      <c r="G9" s="124" t="s">
        <v>8604</v>
      </c>
      <c r="H9" s="54" t="str">
        <f>IF(D9="","",'START-HERE'!$C$16)</f>
        <v/>
      </c>
      <c r="I9" s="39" t="str">
        <f>VLOOKUP('START-HERE'!$C$17,DATA!$J$3:$K$6,2,FALSE)</f>
        <v>USD</v>
      </c>
      <c r="J9" s="125" t="str">
        <f t="shared" si="3"/>
        <v/>
      </c>
      <c r="K9" s="39" t="str">
        <f t="shared" si="4"/>
        <v/>
      </c>
      <c r="L9" s="39" t="str">
        <f>IF(J9="","",IF('START-HERE'!$C$17="USA",1110,""))</f>
        <v/>
      </c>
      <c r="M9" s="39" t="str">
        <f>VLOOKUP('START-HERE'!$D$20,DATA!$J$9:$K$12,2,FALSE)</f>
        <v>037 US Project (NB)</v>
      </c>
      <c r="N9" s="39">
        <f t="shared" si="5"/>
        <v>0</v>
      </c>
      <c r="O9" s="39" t="str">
        <f t="shared" si="6"/>
        <v/>
      </c>
      <c r="P9" s="126">
        <f t="shared" si="7"/>
        <v>0</v>
      </c>
      <c r="R9" s="115">
        <f t="shared" si="8"/>
        <v>8</v>
      </c>
      <c r="S9" s="115">
        <f t="shared" si="9"/>
        <v>0</v>
      </c>
      <c r="T9" s="29" t="str">
        <f>'EE System Designed BOM'!Q9</f>
        <v/>
      </c>
    </row>
    <row r="10" spans="1:20" s="29" customFormat="1" x14ac:dyDescent="0.25">
      <c r="A10" s="40">
        <f t="shared" si="0"/>
        <v>9</v>
      </c>
      <c r="B10" s="34" t="s">
        <v>9624</v>
      </c>
      <c r="C10" s="39" t="str">
        <f>IF('EE System Designed BOM'!E10="","",IF('EE System Designed BOM'!H10="Y","",'EE System Designed BOM'!E10))</f>
        <v/>
      </c>
      <c r="D10" s="79" t="str">
        <f>IF('EE System Designed BOM'!E10="","",IF('EE System Designed BOM'!H10="Y","",'EE System Designed BOM'!E10))</f>
        <v/>
      </c>
      <c r="E10" s="36" t="str">
        <f t="shared" si="1"/>
        <v/>
      </c>
      <c r="F10" s="39">
        <f t="shared" si="2"/>
        <v>0</v>
      </c>
      <c r="G10" s="124" t="s">
        <v>8604</v>
      </c>
      <c r="H10" s="54" t="str">
        <f>IF(D10="","",'START-HERE'!$C$16)</f>
        <v/>
      </c>
      <c r="I10" s="39" t="str">
        <f>VLOOKUP('START-HERE'!$C$17,DATA!$J$3:$K$6,2,FALSE)</f>
        <v>USD</v>
      </c>
      <c r="J10" s="125" t="str">
        <f t="shared" si="3"/>
        <v/>
      </c>
      <c r="K10" s="39" t="str">
        <f t="shared" si="4"/>
        <v/>
      </c>
      <c r="L10" s="39" t="str">
        <f>IF(J10="","",IF('START-HERE'!$C$17="USA",1110,""))</f>
        <v/>
      </c>
      <c r="M10" s="39" t="str">
        <f>VLOOKUP('START-HERE'!$D$20,DATA!$J$9:$K$12,2,FALSE)</f>
        <v>037 US Project (NB)</v>
      </c>
      <c r="N10" s="39">
        <f t="shared" si="5"/>
        <v>0</v>
      </c>
      <c r="O10" s="39" t="str">
        <f t="shared" si="6"/>
        <v/>
      </c>
      <c r="P10" s="126">
        <f t="shared" si="7"/>
        <v>0</v>
      </c>
      <c r="R10" s="115">
        <f t="shared" si="8"/>
        <v>9</v>
      </c>
      <c r="S10" s="115">
        <f t="shared" si="9"/>
        <v>0</v>
      </c>
      <c r="T10" s="29" t="str">
        <f>'EE System Designed BOM'!Q10</f>
        <v/>
      </c>
    </row>
    <row r="11" spans="1:20" s="29" customFormat="1" ht="20.25" customHeight="1" x14ac:dyDescent="0.25">
      <c r="A11" s="40">
        <f t="shared" si="0"/>
        <v>10</v>
      </c>
      <c r="B11" s="34" t="s">
        <v>9624</v>
      </c>
      <c r="C11" s="39" t="str">
        <f>IF('EE System Designed BOM'!E11="","",IF('EE System Designed BOM'!H11="Y","",'EE System Designed BOM'!E11))</f>
        <v/>
      </c>
      <c r="D11" s="79" t="str">
        <f>IF('EE System Designed BOM'!E11="","",IF('EE System Designed BOM'!H11="Y","",'EE System Designed BOM'!E11))</f>
        <v/>
      </c>
      <c r="E11" s="36" t="str">
        <f t="shared" si="1"/>
        <v/>
      </c>
      <c r="F11" s="39">
        <f t="shared" si="2"/>
        <v>0</v>
      </c>
      <c r="G11" s="124" t="s">
        <v>8604</v>
      </c>
      <c r="H11" s="54" t="str">
        <f>IF(D11="","",'START-HERE'!$C$16)</f>
        <v/>
      </c>
      <c r="I11" s="39" t="str">
        <f>VLOOKUP('START-HERE'!$C$17,DATA!$J$3:$K$6,2,FALSE)</f>
        <v>USD</v>
      </c>
      <c r="J11" s="125" t="str">
        <f t="shared" si="3"/>
        <v/>
      </c>
      <c r="K11" s="39" t="str">
        <f t="shared" si="4"/>
        <v/>
      </c>
      <c r="L11" s="39" t="str">
        <f>IF(J11="","",IF('START-HERE'!$C$17="USA",1110,""))</f>
        <v/>
      </c>
      <c r="M11" s="39" t="str">
        <f>VLOOKUP('START-HERE'!$D$20,DATA!$J$9:$K$12,2,FALSE)</f>
        <v>037 US Project (NB)</v>
      </c>
      <c r="N11" s="39">
        <f t="shared" si="5"/>
        <v>0</v>
      </c>
      <c r="O11" s="39" t="str">
        <f t="shared" si="6"/>
        <v/>
      </c>
      <c r="P11" s="126">
        <f t="shared" si="7"/>
        <v>0</v>
      </c>
      <c r="Q11" s="84"/>
      <c r="R11" s="115">
        <f t="shared" si="8"/>
        <v>10</v>
      </c>
      <c r="S11" s="115">
        <f t="shared" si="9"/>
        <v>0</v>
      </c>
      <c r="T11" s="29" t="str">
        <f>'EE System Designed BOM'!Q11</f>
        <v/>
      </c>
    </row>
    <row r="12" spans="1:20" s="29" customFormat="1" x14ac:dyDescent="0.25">
      <c r="A12" s="40">
        <f t="shared" si="0"/>
        <v>11</v>
      </c>
      <c r="B12" s="34" t="s">
        <v>9624</v>
      </c>
      <c r="C12" s="39" t="str">
        <f>IF('EE System Designed BOM'!E12="","",IF('EE System Designed BOM'!H12="Y","",'EE System Designed BOM'!E12))</f>
        <v/>
      </c>
      <c r="D12" s="79" t="str">
        <f>IF('EE System Designed BOM'!E12="","",IF('EE System Designed BOM'!H12="Y","",'EE System Designed BOM'!E12))</f>
        <v/>
      </c>
      <c r="E12" s="36" t="str">
        <f t="shared" si="1"/>
        <v/>
      </c>
      <c r="F12" s="39">
        <f t="shared" si="2"/>
        <v>0</v>
      </c>
      <c r="G12" s="124" t="s">
        <v>8604</v>
      </c>
      <c r="H12" s="54" t="str">
        <f>IF(D12="","",'START-HERE'!$C$16)</f>
        <v/>
      </c>
      <c r="I12" s="39" t="str">
        <f>VLOOKUP('START-HERE'!$C$17,DATA!$J$3:$K$6,2,FALSE)</f>
        <v>USD</v>
      </c>
      <c r="J12" s="125" t="str">
        <f t="shared" si="3"/>
        <v/>
      </c>
      <c r="K12" s="39" t="str">
        <f t="shared" si="4"/>
        <v/>
      </c>
      <c r="L12" s="39" t="str">
        <f>IF(J12="","",IF('START-HERE'!$C$17="USA",1110,""))</f>
        <v/>
      </c>
      <c r="M12" s="39" t="str">
        <f>VLOOKUP('START-HERE'!$D$20,DATA!$J$9:$K$12,2,FALSE)</f>
        <v>037 US Project (NB)</v>
      </c>
      <c r="N12" s="39">
        <f t="shared" si="5"/>
        <v>0</v>
      </c>
      <c r="O12" s="39" t="str">
        <f t="shared" si="6"/>
        <v/>
      </c>
      <c r="P12" s="126">
        <f t="shared" si="7"/>
        <v>0</v>
      </c>
      <c r="R12" s="115">
        <f t="shared" si="8"/>
        <v>11</v>
      </c>
      <c r="S12" s="115">
        <f t="shared" si="9"/>
        <v>0</v>
      </c>
      <c r="T12" s="29" t="str">
        <f>'EE System Designed BOM'!Q12</f>
        <v/>
      </c>
    </row>
    <row r="13" spans="1:20" s="29" customFormat="1" x14ac:dyDescent="0.25">
      <c r="A13" s="40">
        <f t="shared" si="0"/>
        <v>12</v>
      </c>
      <c r="B13" s="34" t="s">
        <v>9624</v>
      </c>
      <c r="C13" s="39" t="str">
        <f>IF('EE System Designed BOM'!E13="","",IF('EE System Designed BOM'!H13="Y","",'EE System Designed BOM'!E13))</f>
        <v/>
      </c>
      <c r="D13" s="79" t="str">
        <f>IF('EE System Designed BOM'!E13="","",IF('EE System Designed BOM'!H13="Y","",'EE System Designed BOM'!E13))</f>
        <v/>
      </c>
      <c r="E13" s="36" t="str">
        <f t="shared" si="1"/>
        <v/>
      </c>
      <c r="F13" s="39">
        <f t="shared" si="2"/>
        <v>0</v>
      </c>
      <c r="G13" s="124" t="s">
        <v>8604</v>
      </c>
      <c r="H13" s="54" t="str">
        <f>IF(D13="","",'START-HERE'!$C$16)</f>
        <v/>
      </c>
      <c r="I13" s="39" t="str">
        <f>VLOOKUP('START-HERE'!$C$17,DATA!$J$3:$K$6,2,FALSE)</f>
        <v>USD</v>
      </c>
      <c r="J13" s="125" t="str">
        <f t="shared" si="3"/>
        <v/>
      </c>
      <c r="K13" s="39" t="str">
        <f t="shared" si="4"/>
        <v/>
      </c>
      <c r="L13" s="39" t="str">
        <f>IF(J13="","",IF('START-HERE'!$C$17="USA",1110,""))</f>
        <v/>
      </c>
      <c r="M13" s="39" t="str">
        <f>VLOOKUP('START-HERE'!$D$20,DATA!$J$9:$K$12,2,FALSE)</f>
        <v>037 US Project (NB)</v>
      </c>
      <c r="N13" s="39">
        <f t="shared" si="5"/>
        <v>0</v>
      </c>
      <c r="O13" s="39" t="str">
        <f t="shared" si="6"/>
        <v/>
      </c>
      <c r="P13" s="126">
        <f t="shared" si="7"/>
        <v>0</v>
      </c>
      <c r="R13" s="115">
        <f t="shared" si="8"/>
        <v>12</v>
      </c>
      <c r="S13" s="115">
        <f t="shared" si="9"/>
        <v>0</v>
      </c>
      <c r="T13" s="29" t="str">
        <f>'EE System Designed BOM'!Q13</f>
        <v/>
      </c>
    </row>
    <row r="14" spans="1:20" s="29" customFormat="1" x14ac:dyDescent="0.25">
      <c r="A14" s="40">
        <f t="shared" si="0"/>
        <v>13</v>
      </c>
      <c r="B14" s="34" t="s">
        <v>9624</v>
      </c>
      <c r="C14" s="39" t="str">
        <f>IF('EE System Designed BOM'!E14="","",IF('EE System Designed BOM'!H14="Y","",'EE System Designed BOM'!E14))</f>
        <v/>
      </c>
      <c r="D14" s="79" t="str">
        <f>IF('EE System Designed BOM'!E14="","",IF('EE System Designed BOM'!H14="Y","",'EE System Designed BOM'!E14))</f>
        <v/>
      </c>
      <c r="E14" s="36" t="str">
        <f t="shared" si="1"/>
        <v/>
      </c>
      <c r="F14" s="39">
        <f t="shared" si="2"/>
        <v>0</v>
      </c>
      <c r="G14" s="124" t="s">
        <v>8604</v>
      </c>
      <c r="H14" s="54" t="str">
        <f>IF(D14="","",'START-HERE'!$C$16)</f>
        <v/>
      </c>
      <c r="I14" s="39" t="str">
        <f>VLOOKUP('START-HERE'!$C$17,DATA!$J$3:$K$6,2,FALSE)</f>
        <v>USD</v>
      </c>
      <c r="J14" s="125" t="str">
        <f t="shared" si="3"/>
        <v/>
      </c>
      <c r="K14" s="39" t="str">
        <f t="shared" si="4"/>
        <v/>
      </c>
      <c r="L14" s="39" t="str">
        <f>IF(J14="","",IF('START-HERE'!$C$17="USA",1110,""))</f>
        <v/>
      </c>
      <c r="M14" s="39" t="str">
        <f>VLOOKUP('START-HERE'!$D$20,DATA!$J$9:$K$12,2,FALSE)</f>
        <v>037 US Project (NB)</v>
      </c>
      <c r="N14" s="39">
        <f t="shared" si="5"/>
        <v>0</v>
      </c>
      <c r="O14" s="39" t="str">
        <f t="shared" si="6"/>
        <v/>
      </c>
      <c r="P14" s="126">
        <f t="shared" si="7"/>
        <v>0</v>
      </c>
      <c r="R14" s="115">
        <f t="shared" si="8"/>
        <v>13</v>
      </c>
      <c r="S14" s="115">
        <f t="shared" si="9"/>
        <v>0</v>
      </c>
      <c r="T14" s="29" t="str">
        <f>'EE System Designed BOM'!Q14</f>
        <v/>
      </c>
    </row>
    <row r="15" spans="1:20" s="29" customFormat="1" x14ac:dyDescent="0.25">
      <c r="A15" s="40">
        <f t="shared" si="0"/>
        <v>14</v>
      </c>
      <c r="B15" s="34" t="s">
        <v>9624</v>
      </c>
      <c r="C15" s="39" t="str">
        <f>IF('EE System Designed BOM'!E15="","",IF('EE System Designed BOM'!H15="Y","",'EE System Designed BOM'!E15))</f>
        <v/>
      </c>
      <c r="D15" s="79" t="str">
        <f>IF('EE System Designed BOM'!E15="","",IF('EE System Designed BOM'!H15="Y","",'EE System Designed BOM'!E15))</f>
        <v/>
      </c>
      <c r="E15" s="36" t="str">
        <f t="shared" si="1"/>
        <v/>
      </c>
      <c r="F15" s="39">
        <f t="shared" si="2"/>
        <v>0</v>
      </c>
      <c r="G15" s="124" t="s">
        <v>8604</v>
      </c>
      <c r="H15" s="54" t="str">
        <f>IF(D15="","",'START-HERE'!$C$16)</f>
        <v/>
      </c>
      <c r="I15" s="39" t="str">
        <f>VLOOKUP('START-HERE'!$C$17,DATA!$J$3:$K$6,2,FALSE)</f>
        <v>USD</v>
      </c>
      <c r="J15" s="125" t="str">
        <f t="shared" si="3"/>
        <v/>
      </c>
      <c r="K15" s="39" t="str">
        <f t="shared" si="4"/>
        <v/>
      </c>
      <c r="L15" s="39" t="str">
        <f>IF(J15="","",IF('START-HERE'!$C$17="USA",1110,""))</f>
        <v/>
      </c>
      <c r="M15" s="39" t="str">
        <f>VLOOKUP('START-HERE'!$D$20,DATA!$J$9:$K$12,2,FALSE)</f>
        <v>037 US Project (NB)</v>
      </c>
      <c r="N15" s="39">
        <f t="shared" si="5"/>
        <v>0</v>
      </c>
      <c r="O15" s="39" t="str">
        <f t="shared" si="6"/>
        <v/>
      </c>
      <c r="P15" s="126">
        <f t="shared" si="7"/>
        <v>0</v>
      </c>
      <c r="Q15" s="84"/>
      <c r="R15" s="115">
        <f t="shared" si="8"/>
        <v>14</v>
      </c>
      <c r="S15" s="115">
        <f t="shared" si="9"/>
        <v>0</v>
      </c>
      <c r="T15" s="29" t="str">
        <f>'EE System Designed BOM'!Q15</f>
        <v/>
      </c>
    </row>
    <row r="16" spans="1:20" s="29" customFormat="1" x14ac:dyDescent="0.25">
      <c r="A16" s="40">
        <f t="shared" si="0"/>
        <v>15</v>
      </c>
      <c r="B16" s="34" t="s">
        <v>9624</v>
      </c>
      <c r="C16" s="39" t="str">
        <f>IF('EE System Designed BOM'!E16="","",IF('EE System Designed BOM'!H16="Y","",'EE System Designed BOM'!E16))</f>
        <v/>
      </c>
      <c r="D16" s="79" t="str">
        <f>IF('EE System Designed BOM'!E16="","",IF('EE System Designed BOM'!H16="Y","",'EE System Designed BOM'!E16))</f>
        <v/>
      </c>
      <c r="E16" s="36" t="str">
        <f t="shared" si="1"/>
        <v/>
      </c>
      <c r="F16" s="39">
        <f t="shared" si="2"/>
        <v>0</v>
      </c>
      <c r="G16" s="124" t="s">
        <v>8604</v>
      </c>
      <c r="H16" s="54" t="str">
        <f>IF(D16="","",'START-HERE'!$C$16)</f>
        <v/>
      </c>
      <c r="I16" s="39" t="str">
        <f>VLOOKUP('START-HERE'!$C$17,DATA!$J$3:$K$6,2,FALSE)</f>
        <v>USD</v>
      </c>
      <c r="J16" s="125" t="str">
        <f t="shared" si="3"/>
        <v/>
      </c>
      <c r="K16" s="39" t="str">
        <f t="shared" si="4"/>
        <v/>
      </c>
      <c r="L16" s="39" t="str">
        <f>IF(J16="","",IF('START-HERE'!$C$17="USA",1110,""))</f>
        <v/>
      </c>
      <c r="M16" s="39" t="str">
        <f>VLOOKUP('START-HERE'!$D$20,DATA!$J$9:$K$12,2,FALSE)</f>
        <v>037 US Project (NB)</v>
      </c>
      <c r="N16" s="39">
        <f t="shared" si="5"/>
        <v>0</v>
      </c>
      <c r="O16" s="39" t="str">
        <f t="shared" si="6"/>
        <v/>
      </c>
      <c r="P16" s="126">
        <f t="shared" si="7"/>
        <v>0</v>
      </c>
      <c r="R16" s="115">
        <f t="shared" si="8"/>
        <v>15</v>
      </c>
      <c r="S16" s="115">
        <f t="shared" si="9"/>
        <v>0</v>
      </c>
      <c r="T16" s="29" t="str">
        <f>'EE System Designed BOM'!Q16</f>
        <v/>
      </c>
    </row>
    <row r="17" spans="1:20" s="29" customFormat="1" x14ac:dyDescent="0.25">
      <c r="A17" s="40">
        <f t="shared" si="0"/>
        <v>16</v>
      </c>
      <c r="B17" s="34" t="s">
        <v>9624</v>
      </c>
      <c r="C17" s="39" t="str">
        <f>IF('EE System Designed BOM'!E17="","",IF('EE System Designed BOM'!H17="Y","",'EE System Designed BOM'!E17))</f>
        <v/>
      </c>
      <c r="D17" s="79" t="str">
        <f>IF('EE System Designed BOM'!E17="","",IF('EE System Designed BOM'!H17="Y","",'EE System Designed BOM'!E17))</f>
        <v/>
      </c>
      <c r="E17" s="36" t="str">
        <f t="shared" si="1"/>
        <v/>
      </c>
      <c r="F17" s="39">
        <f t="shared" si="2"/>
        <v>0</v>
      </c>
      <c r="G17" s="124" t="s">
        <v>8604</v>
      </c>
      <c r="H17" s="54" t="str">
        <f>IF(D17="","",'START-HERE'!$C$16)</f>
        <v/>
      </c>
      <c r="I17" s="39" t="str">
        <f>VLOOKUP('START-HERE'!$C$17,DATA!$J$3:$K$6,2,FALSE)</f>
        <v>USD</v>
      </c>
      <c r="J17" s="125" t="str">
        <f t="shared" si="3"/>
        <v/>
      </c>
      <c r="K17" s="39" t="str">
        <f t="shared" si="4"/>
        <v/>
      </c>
      <c r="L17" s="39" t="str">
        <f>IF(J17="","",IF('START-HERE'!$C$17="USA",1110,""))</f>
        <v/>
      </c>
      <c r="M17" s="39" t="str">
        <f>VLOOKUP('START-HERE'!$D$20,DATA!$J$9:$K$12,2,FALSE)</f>
        <v>037 US Project (NB)</v>
      </c>
      <c r="N17" s="39">
        <f t="shared" si="5"/>
        <v>0</v>
      </c>
      <c r="O17" s="39" t="str">
        <f t="shared" si="6"/>
        <v/>
      </c>
      <c r="P17" s="126">
        <f t="shared" si="7"/>
        <v>0</v>
      </c>
      <c r="R17" s="115">
        <f t="shared" si="8"/>
        <v>16</v>
      </c>
      <c r="S17" s="115">
        <f t="shared" si="9"/>
        <v>0</v>
      </c>
      <c r="T17" s="29" t="str">
        <f>'EE System Designed BOM'!Q17</f>
        <v/>
      </c>
    </row>
    <row r="18" spans="1:20" s="29" customFormat="1" x14ac:dyDescent="0.25">
      <c r="A18" s="40">
        <f t="shared" si="0"/>
        <v>17</v>
      </c>
      <c r="B18" s="34" t="s">
        <v>9624</v>
      </c>
      <c r="C18" s="39" t="str">
        <f>IF('EE System Designed BOM'!E18="","",IF('EE System Designed BOM'!H18="Y","",'EE System Designed BOM'!E18))</f>
        <v/>
      </c>
      <c r="D18" s="79" t="str">
        <f>IF('EE System Designed BOM'!E18="","",IF('EE System Designed BOM'!H18="Y","",'EE System Designed BOM'!E18))</f>
        <v/>
      </c>
      <c r="E18" s="36" t="str">
        <f t="shared" si="1"/>
        <v/>
      </c>
      <c r="F18" s="39">
        <f t="shared" si="2"/>
        <v>0</v>
      </c>
      <c r="G18" s="124" t="s">
        <v>8604</v>
      </c>
      <c r="H18" s="54" t="str">
        <f>IF(D18="","",'START-HERE'!$C$16)</f>
        <v/>
      </c>
      <c r="I18" s="39" t="str">
        <f>VLOOKUP('START-HERE'!$C$17,DATA!$J$3:$K$6,2,FALSE)</f>
        <v>USD</v>
      </c>
      <c r="J18" s="125" t="str">
        <f t="shared" si="3"/>
        <v/>
      </c>
      <c r="K18" s="39" t="str">
        <f t="shared" si="4"/>
        <v/>
      </c>
      <c r="L18" s="39" t="str">
        <f>IF(J18="","",IF('START-HERE'!$C$17="USA",1110,""))</f>
        <v/>
      </c>
      <c r="M18" s="39" t="str">
        <f>VLOOKUP('START-HERE'!$D$20,DATA!$J$9:$K$12,2,FALSE)</f>
        <v>037 US Project (NB)</v>
      </c>
      <c r="N18" s="39">
        <f t="shared" si="5"/>
        <v>0</v>
      </c>
      <c r="O18" s="39" t="str">
        <f t="shared" si="6"/>
        <v/>
      </c>
      <c r="P18" s="126">
        <f t="shared" si="7"/>
        <v>0</v>
      </c>
      <c r="R18" s="115">
        <f t="shared" si="8"/>
        <v>17</v>
      </c>
      <c r="S18" s="115">
        <f t="shared" si="9"/>
        <v>0</v>
      </c>
      <c r="T18" s="29" t="str">
        <f>'EE System Designed BOM'!Q18</f>
        <v/>
      </c>
    </row>
    <row r="19" spans="1:20" s="29" customFormat="1" x14ac:dyDescent="0.25">
      <c r="A19" s="40">
        <f t="shared" si="0"/>
        <v>18</v>
      </c>
      <c r="B19" s="34" t="s">
        <v>9624</v>
      </c>
      <c r="C19" s="39" t="str">
        <f>IF('EE System Designed BOM'!E19="","",IF('EE System Designed BOM'!H19="Y","",'EE System Designed BOM'!E19))</f>
        <v/>
      </c>
      <c r="D19" s="79" t="str">
        <f>IF('EE System Designed BOM'!E19="","",IF('EE System Designed BOM'!H19="Y","",'EE System Designed BOM'!E19))</f>
        <v/>
      </c>
      <c r="E19" s="36" t="str">
        <f t="shared" si="1"/>
        <v/>
      </c>
      <c r="F19" s="39">
        <f t="shared" si="2"/>
        <v>0</v>
      </c>
      <c r="G19" s="124" t="s">
        <v>8604</v>
      </c>
      <c r="H19" s="54" t="str">
        <f>IF(D19="","",'START-HERE'!$C$16)</f>
        <v/>
      </c>
      <c r="I19" s="39" t="str">
        <f>VLOOKUP('START-HERE'!$C$17,DATA!$J$3:$K$6,2,FALSE)</f>
        <v>USD</v>
      </c>
      <c r="J19" s="125" t="str">
        <f t="shared" si="3"/>
        <v/>
      </c>
      <c r="K19" s="39" t="str">
        <f t="shared" si="4"/>
        <v/>
      </c>
      <c r="L19" s="39" t="str">
        <f>IF(J19="","",IF('START-HERE'!$C$17="USA",1110,""))</f>
        <v/>
      </c>
      <c r="M19" s="39" t="str">
        <f>VLOOKUP('START-HERE'!$D$20,DATA!$J$9:$K$12,2,FALSE)</f>
        <v>037 US Project (NB)</v>
      </c>
      <c r="N19" s="39">
        <f t="shared" si="5"/>
        <v>0</v>
      </c>
      <c r="O19" s="39" t="str">
        <f t="shared" si="6"/>
        <v/>
      </c>
      <c r="P19" s="126">
        <f t="shared" si="7"/>
        <v>0</v>
      </c>
      <c r="Q19" s="84"/>
      <c r="R19" s="115">
        <f t="shared" si="8"/>
        <v>18</v>
      </c>
      <c r="S19" s="115">
        <f t="shared" si="9"/>
        <v>0</v>
      </c>
      <c r="T19" s="29" t="str">
        <f>'EE System Designed BOM'!Q19</f>
        <v/>
      </c>
    </row>
    <row r="20" spans="1:20" s="29" customFormat="1" x14ac:dyDescent="0.25">
      <c r="A20" s="40">
        <f t="shared" si="0"/>
        <v>19</v>
      </c>
      <c r="B20" s="34" t="s">
        <v>9624</v>
      </c>
      <c r="C20" s="39" t="str">
        <f>IF('EE System Designed BOM'!E20="","",IF('EE System Designed BOM'!H20="Y","",'EE System Designed BOM'!E20))</f>
        <v/>
      </c>
      <c r="D20" s="79" t="str">
        <f>IF('EE System Designed BOM'!E20="","",IF('EE System Designed BOM'!H20="Y","",'EE System Designed BOM'!E20))</f>
        <v/>
      </c>
      <c r="E20" s="36" t="str">
        <f t="shared" si="1"/>
        <v/>
      </c>
      <c r="F20" s="39">
        <f t="shared" si="2"/>
        <v>0</v>
      </c>
      <c r="G20" s="124" t="s">
        <v>8604</v>
      </c>
      <c r="H20" s="54" t="str">
        <f>IF(D20="","",'START-HERE'!$C$16)</f>
        <v/>
      </c>
      <c r="I20" s="39" t="str">
        <f>VLOOKUP('START-HERE'!$C$17,DATA!$J$3:$K$6,2,FALSE)</f>
        <v>USD</v>
      </c>
      <c r="J20" s="125" t="str">
        <f t="shared" si="3"/>
        <v/>
      </c>
      <c r="K20" s="39" t="str">
        <f t="shared" si="4"/>
        <v/>
      </c>
      <c r="L20" s="39" t="str">
        <f>IF(J20="","",IF('START-HERE'!$C$17="USA",1110,""))</f>
        <v/>
      </c>
      <c r="M20" s="39" t="str">
        <f>VLOOKUP('START-HERE'!$D$20,DATA!$J$9:$K$12,2,FALSE)</f>
        <v>037 US Project (NB)</v>
      </c>
      <c r="N20" s="39">
        <f t="shared" si="5"/>
        <v>0</v>
      </c>
      <c r="O20" s="39" t="str">
        <f t="shared" si="6"/>
        <v/>
      </c>
      <c r="P20" s="126">
        <f t="shared" si="7"/>
        <v>0</v>
      </c>
      <c r="R20" s="115">
        <f t="shared" si="8"/>
        <v>19</v>
      </c>
      <c r="S20" s="115">
        <f t="shared" si="9"/>
        <v>0</v>
      </c>
      <c r="T20" s="29" t="str">
        <f>'EE System Designed BOM'!Q20</f>
        <v/>
      </c>
    </row>
    <row r="21" spans="1:20" s="29" customFormat="1" x14ac:dyDescent="0.25">
      <c r="A21" s="40">
        <f t="shared" si="0"/>
        <v>20</v>
      </c>
      <c r="B21" s="34" t="s">
        <v>9624</v>
      </c>
      <c r="C21" s="39" t="str">
        <f>IF('EE System Designed BOM'!E21="","",IF('EE System Designed BOM'!H21="Y","",'EE System Designed BOM'!E21))</f>
        <v/>
      </c>
      <c r="D21" s="79" t="str">
        <f>IF('EE System Designed BOM'!E21="","",IF('EE System Designed BOM'!H21="Y","",'EE System Designed BOM'!E21))</f>
        <v/>
      </c>
      <c r="E21" s="36" t="str">
        <f t="shared" si="1"/>
        <v/>
      </c>
      <c r="F21" s="39">
        <f t="shared" si="2"/>
        <v>0</v>
      </c>
      <c r="G21" s="124" t="s">
        <v>8604</v>
      </c>
      <c r="H21" s="54" t="str">
        <f>IF(D21="","",'START-HERE'!$C$16)</f>
        <v/>
      </c>
      <c r="I21" s="39" t="str">
        <f>VLOOKUP('START-HERE'!$C$17,DATA!$J$3:$K$6,2,FALSE)</f>
        <v>USD</v>
      </c>
      <c r="J21" s="125" t="str">
        <f t="shared" si="3"/>
        <v/>
      </c>
      <c r="K21" s="39" t="str">
        <f t="shared" si="4"/>
        <v/>
      </c>
      <c r="L21" s="39" t="str">
        <f>IF(J21="","",IF('START-HERE'!$C$17="USA",1110,""))</f>
        <v/>
      </c>
      <c r="M21" s="39" t="str">
        <f>VLOOKUP('START-HERE'!$D$20,DATA!$J$9:$K$12,2,FALSE)</f>
        <v>037 US Project (NB)</v>
      </c>
      <c r="N21" s="39">
        <f t="shared" si="5"/>
        <v>0</v>
      </c>
      <c r="O21" s="39" t="str">
        <f t="shared" si="6"/>
        <v/>
      </c>
      <c r="P21" s="126">
        <f t="shared" si="7"/>
        <v>0</v>
      </c>
      <c r="R21" s="115">
        <f t="shared" si="8"/>
        <v>20</v>
      </c>
      <c r="S21" s="115">
        <f t="shared" si="9"/>
        <v>0</v>
      </c>
      <c r="T21" s="29" t="str">
        <f>'EE System Designed BOM'!Q21</f>
        <v/>
      </c>
    </row>
    <row r="22" spans="1:20" s="29" customFormat="1" x14ac:dyDescent="0.25">
      <c r="A22" s="40">
        <f t="shared" si="0"/>
        <v>21</v>
      </c>
      <c r="B22" s="34" t="s">
        <v>9624</v>
      </c>
      <c r="C22" s="39" t="str">
        <f>IF('EE System Designed BOM'!E22="","",IF('EE System Designed BOM'!H22="Y","",'EE System Designed BOM'!E22))</f>
        <v/>
      </c>
      <c r="D22" s="79" t="str">
        <f>IF('EE System Designed BOM'!E22="","",IF('EE System Designed BOM'!H22="Y","",'EE System Designed BOM'!E22))</f>
        <v/>
      </c>
      <c r="E22" s="36" t="str">
        <f t="shared" si="1"/>
        <v/>
      </c>
      <c r="F22" s="39">
        <f t="shared" si="2"/>
        <v>0</v>
      </c>
      <c r="G22" s="124" t="s">
        <v>8604</v>
      </c>
      <c r="H22" s="54" t="str">
        <f>IF(D22="","",'START-HERE'!$C$16)</f>
        <v/>
      </c>
      <c r="I22" s="39" t="str">
        <f>VLOOKUP('START-HERE'!$C$17,DATA!$J$3:$K$6,2,FALSE)</f>
        <v>USD</v>
      </c>
      <c r="J22" s="125" t="str">
        <f t="shared" si="3"/>
        <v/>
      </c>
      <c r="K22" s="39" t="str">
        <f t="shared" si="4"/>
        <v/>
      </c>
      <c r="L22" s="39" t="str">
        <f>IF(J22="","",IF('START-HERE'!$C$17="USA",1110,""))</f>
        <v/>
      </c>
      <c r="M22" s="39" t="str">
        <f>VLOOKUP('START-HERE'!$D$20,DATA!$J$9:$K$12,2,FALSE)</f>
        <v>037 US Project (NB)</v>
      </c>
      <c r="N22" s="39">
        <f t="shared" si="5"/>
        <v>0</v>
      </c>
      <c r="O22" s="39" t="str">
        <f t="shared" si="6"/>
        <v/>
      </c>
      <c r="P22" s="126">
        <f t="shared" si="7"/>
        <v>0</v>
      </c>
      <c r="R22" s="115">
        <f t="shared" si="8"/>
        <v>21</v>
      </c>
      <c r="S22" s="115">
        <f t="shared" si="9"/>
        <v>0</v>
      </c>
      <c r="T22" s="29" t="str">
        <f>'EE System Designed BOM'!Q22</f>
        <v/>
      </c>
    </row>
    <row r="23" spans="1:20" s="29" customFormat="1" x14ac:dyDescent="0.25">
      <c r="A23" s="40">
        <f t="shared" si="0"/>
        <v>22</v>
      </c>
      <c r="B23" s="34" t="s">
        <v>9624</v>
      </c>
      <c r="C23" s="39" t="str">
        <f>IF('EE System Designed BOM'!E23="","",IF('EE System Designed BOM'!H23="Y","",'EE System Designed BOM'!E23))</f>
        <v/>
      </c>
      <c r="D23" s="79" t="str">
        <f>IF('EE System Designed BOM'!E23="","",IF('EE System Designed BOM'!H23="Y","",'EE System Designed BOM'!E23))</f>
        <v/>
      </c>
      <c r="E23" s="36" t="str">
        <f t="shared" si="1"/>
        <v/>
      </c>
      <c r="F23" s="39">
        <f t="shared" si="2"/>
        <v>0</v>
      </c>
      <c r="G23" s="124" t="s">
        <v>8604</v>
      </c>
      <c r="H23" s="54" t="str">
        <f>IF(D23="","",'START-HERE'!$C$16)</f>
        <v/>
      </c>
      <c r="I23" s="39" t="str">
        <f>VLOOKUP('START-HERE'!$C$17,DATA!$J$3:$K$6,2,FALSE)</f>
        <v>USD</v>
      </c>
      <c r="J23" s="125" t="str">
        <f t="shared" si="3"/>
        <v/>
      </c>
      <c r="K23" s="39" t="str">
        <f t="shared" si="4"/>
        <v/>
      </c>
      <c r="L23" s="39" t="str">
        <f>IF(J23="","",IF('START-HERE'!$C$17="USA",1110,""))</f>
        <v/>
      </c>
      <c r="M23" s="39" t="str">
        <f>VLOOKUP('START-HERE'!$D$20,DATA!$J$9:$K$12,2,FALSE)</f>
        <v>037 US Project (NB)</v>
      </c>
      <c r="N23" s="39">
        <f t="shared" si="5"/>
        <v>0</v>
      </c>
      <c r="O23" s="39" t="str">
        <f t="shared" si="6"/>
        <v/>
      </c>
      <c r="P23" s="126">
        <f t="shared" si="7"/>
        <v>0</v>
      </c>
      <c r="Q23" s="84"/>
      <c r="R23" s="115">
        <f t="shared" si="8"/>
        <v>22</v>
      </c>
      <c r="S23" s="115">
        <f t="shared" si="9"/>
        <v>0</v>
      </c>
      <c r="T23" s="29" t="str">
        <f>'EE System Designed BOM'!Q23</f>
        <v/>
      </c>
    </row>
    <row r="24" spans="1:20" s="29" customFormat="1" x14ac:dyDescent="0.25">
      <c r="A24" s="40">
        <f t="shared" si="0"/>
        <v>23</v>
      </c>
      <c r="B24" s="34" t="s">
        <v>9624</v>
      </c>
      <c r="C24" s="39" t="str">
        <f>IF('EE System Designed BOM'!E24="","",IF('EE System Designed BOM'!H24="Y","",'EE System Designed BOM'!E24))</f>
        <v/>
      </c>
      <c r="D24" s="79" t="str">
        <f>IF('EE System Designed BOM'!E24="","",IF('EE System Designed BOM'!H24="Y","",'EE System Designed BOM'!E24))</f>
        <v/>
      </c>
      <c r="E24" s="36" t="str">
        <f t="shared" si="1"/>
        <v/>
      </c>
      <c r="F24" s="39">
        <f t="shared" si="2"/>
        <v>0</v>
      </c>
      <c r="G24" s="124" t="s">
        <v>8604</v>
      </c>
      <c r="H24" s="54" t="str">
        <f>IF(D24="","",'START-HERE'!$C$16)</f>
        <v/>
      </c>
      <c r="I24" s="39" t="str">
        <f>VLOOKUP('START-HERE'!$C$17,DATA!$J$3:$K$6,2,FALSE)</f>
        <v>USD</v>
      </c>
      <c r="J24" s="125" t="str">
        <f t="shared" si="3"/>
        <v/>
      </c>
      <c r="K24" s="39" t="str">
        <f t="shared" si="4"/>
        <v/>
      </c>
      <c r="L24" s="39" t="str">
        <f>IF(J24="","",IF('START-HERE'!$C$17="USA",1110,""))</f>
        <v/>
      </c>
      <c r="M24" s="39" t="str">
        <f>VLOOKUP('START-HERE'!$D$20,DATA!$J$9:$K$12,2,FALSE)</f>
        <v>037 US Project (NB)</v>
      </c>
      <c r="N24" s="39">
        <f t="shared" si="5"/>
        <v>0</v>
      </c>
      <c r="O24" s="39" t="str">
        <f t="shared" si="6"/>
        <v/>
      </c>
      <c r="P24" s="126">
        <f t="shared" si="7"/>
        <v>0</v>
      </c>
      <c r="R24" s="115">
        <f t="shared" si="8"/>
        <v>23</v>
      </c>
      <c r="S24" s="115">
        <f t="shared" si="9"/>
        <v>0</v>
      </c>
      <c r="T24" s="29" t="str">
        <f>'EE System Designed BOM'!Q24</f>
        <v/>
      </c>
    </row>
    <row r="25" spans="1:20" s="29" customFormat="1" x14ac:dyDescent="0.25">
      <c r="A25" s="40">
        <f t="shared" si="0"/>
        <v>24</v>
      </c>
      <c r="B25" s="34" t="s">
        <v>9624</v>
      </c>
      <c r="C25" s="39" t="str">
        <f>IF('EE System Designed BOM'!E25="","",IF('EE System Designed BOM'!H25="Y","",'EE System Designed BOM'!E25))</f>
        <v/>
      </c>
      <c r="D25" s="79" t="str">
        <f>IF('EE System Designed BOM'!E25="","",IF('EE System Designed BOM'!H25="Y","",'EE System Designed BOM'!E25))</f>
        <v/>
      </c>
      <c r="E25" s="36" t="str">
        <f t="shared" si="1"/>
        <v/>
      </c>
      <c r="F25" s="39">
        <f t="shared" si="2"/>
        <v>0</v>
      </c>
      <c r="G25" s="124" t="s">
        <v>8604</v>
      </c>
      <c r="H25" s="54" t="str">
        <f>IF(D25="","",'START-HERE'!$C$16)</f>
        <v/>
      </c>
      <c r="I25" s="39" t="str">
        <f>VLOOKUP('START-HERE'!$C$17,DATA!$J$3:$K$6,2,FALSE)</f>
        <v>USD</v>
      </c>
      <c r="J25" s="125" t="str">
        <f t="shared" si="3"/>
        <v/>
      </c>
      <c r="K25" s="39" t="str">
        <f t="shared" si="4"/>
        <v/>
      </c>
      <c r="L25" s="39" t="str">
        <f>IF(J25="","",IF('START-HERE'!$C$17="USA",1110,""))</f>
        <v/>
      </c>
      <c r="M25" s="39" t="str">
        <f>VLOOKUP('START-HERE'!$D$20,DATA!$J$9:$K$12,2,FALSE)</f>
        <v>037 US Project (NB)</v>
      </c>
      <c r="N25" s="39">
        <f t="shared" si="5"/>
        <v>0</v>
      </c>
      <c r="O25" s="39" t="str">
        <f t="shared" si="6"/>
        <v/>
      </c>
      <c r="P25" s="126">
        <f t="shared" si="7"/>
        <v>0</v>
      </c>
      <c r="R25" s="115">
        <f t="shared" si="8"/>
        <v>24</v>
      </c>
      <c r="S25" s="115">
        <f t="shared" si="9"/>
        <v>0</v>
      </c>
      <c r="T25" s="29" t="str">
        <f>'EE System Designed BOM'!Q25</f>
        <v/>
      </c>
    </row>
    <row r="26" spans="1:20" s="29" customFormat="1" x14ac:dyDescent="0.25">
      <c r="A26" s="40">
        <f t="shared" si="0"/>
        <v>25</v>
      </c>
      <c r="B26" s="34" t="s">
        <v>9624</v>
      </c>
      <c r="C26" s="39" t="str">
        <f>IF('EE System Designed BOM'!E26="","",IF('EE System Designed BOM'!H26="Y","",'EE System Designed BOM'!E26))</f>
        <v/>
      </c>
      <c r="D26" s="79" t="str">
        <f>IF('EE System Designed BOM'!E26="","",IF('EE System Designed BOM'!H26="Y","",'EE System Designed BOM'!E26))</f>
        <v/>
      </c>
      <c r="E26" s="36" t="str">
        <f t="shared" si="1"/>
        <v/>
      </c>
      <c r="F26" s="39">
        <f t="shared" si="2"/>
        <v>0</v>
      </c>
      <c r="G26" s="124" t="s">
        <v>8604</v>
      </c>
      <c r="H26" s="54" t="str">
        <f>IF(D26="","",'START-HERE'!$C$16)</f>
        <v/>
      </c>
      <c r="I26" s="39" t="str">
        <f>VLOOKUP('START-HERE'!$C$17,DATA!$J$3:$K$6,2,FALSE)</f>
        <v>USD</v>
      </c>
      <c r="J26" s="125" t="str">
        <f t="shared" si="3"/>
        <v/>
      </c>
      <c r="K26" s="39" t="str">
        <f t="shared" si="4"/>
        <v/>
      </c>
      <c r="L26" s="39" t="str">
        <f>IF(J26="","",IF('START-HERE'!$C$17="USA",1110,""))</f>
        <v/>
      </c>
      <c r="M26" s="39" t="str">
        <f>VLOOKUP('START-HERE'!$D$20,DATA!$J$9:$K$12,2,FALSE)</f>
        <v>037 US Project (NB)</v>
      </c>
      <c r="N26" s="39">
        <f t="shared" si="5"/>
        <v>0</v>
      </c>
      <c r="O26" s="39" t="str">
        <f t="shared" si="6"/>
        <v/>
      </c>
      <c r="P26" s="126">
        <f t="shared" si="7"/>
        <v>0</v>
      </c>
      <c r="R26" s="115">
        <f t="shared" si="8"/>
        <v>25</v>
      </c>
      <c r="S26" s="115">
        <f t="shared" si="9"/>
        <v>0</v>
      </c>
      <c r="T26" s="29" t="str">
        <f>'EE System Designed BOM'!Q26</f>
        <v/>
      </c>
    </row>
    <row r="27" spans="1:20" s="29" customFormat="1" x14ac:dyDescent="0.25">
      <c r="A27" s="40">
        <f t="shared" si="0"/>
        <v>26</v>
      </c>
      <c r="B27" s="34" t="s">
        <v>9624</v>
      </c>
      <c r="C27" s="39" t="str">
        <f>IF('EE System Designed BOM'!E27="","",IF('EE System Designed BOM'!H27="Y","",'EE System Designed BOM'!E27))</f>
        <v/>
      </c>
      <c r="D27" s="79" t="str">
        <f>IF('EE System Designed BOM'!E27="","",IF('EE System Designed BOM'!H27="Y","",'EE System Designed BOM'!E27))</f>
        <v/>
      </c>
      <c r="E27" s="36" t="str">
        <f t="shared" si="1"/>
        <v/>
      </c>
      <c r="F27" s="39">
        <f t="shared" si="2"/>
        <v>0</v>
      </c>
      <c r="G27" s="124" t="s">
        <v>8604</v>
      </c>
      <c r="H27" s="54" t="str">
        <f>IF(D27="","",'START-HERE'!$C$16)</f>
        <v/>
      </c>
      <c r="I27" s="39" t="str">
        <f>VLOOKUP('START-HERE'!$C$17,DATA!$J$3:$K$6,2,FALSE)</f>
        <v>USD</v>
      </c>
      <c r="J27" s="125" t="str">
        <f t="shared" si="3"/>
        <v/>
      </c>
      <c r="K27" s="39" t="str">
        <f t="shared" si="4"/>
        <v/>
      </c>
      <c r="L27" s="39" t="str">
        <f>IF(J27="","",IF('START-HERE'!$C$17="USA",1110,""))</f>
        <v/>
      </c>
      <c r="M27" s="39" t="str">
        <f>VLOOKUP('START-HERE'!$D$20,DATA!$J$9:$K$12,2,FALSE)</f>
        <v>037 US Project (NB)</v>
      </c>
      <c r="N27" s="39">
        <f t="shared" si="5"/>
        <v>0</v>
      </c>
      <c r="O27" s="39" t="str">
        <f t="shared" si="6"/>
        <v/>
      </c>
      <c r="P27" s="126">
        <f t="shared" si="7"/>
        <v>0</v>
      </c>
      <c r="Q27" s="84"/>
      <c r="R27" s="115">
        <f t="shared" si="8"/>
        <v>26</v>
      </c>
      <c r="S27" s="115">
        <f t="shared" si="9"/>
        <v>0</v>
      </c>
      <c r="T27" s="29" t="str">
        <f>'EE System Designed BOM'!Q27</f>
        <v/>
      </c>
    </row>
    <row r="28" spans="1:20" s="29" customFormat="1" x14ac:dyDescent="0.25">
      <c r="A28" s="40">
        <f t="shared" si="0"/>
        <v>27</v>
      </c>
      <c r="B28" s="34" t="s">
        <v>9624</v>
      </c>
      <c r="C28" s="39" t="str">
        <f>IF('EE System Designed BOM'!E28="","",IF('EE System Designed BOM'!H28="Y","",'EE System Designed BOM'!E28))</f>
        <v/>
      </c>
      <c r="D28" s="79" t="str">
        <f>IF('EE System Designed BOM'!E28="","",IF('EE System Designed BOM'!H28="Y","",'EE System Designed BOM'!E28))</f>
        <v/>
      </c>
      <c r="E28" s="36" t="str">
        <f t="shared" si="1"/>
        <v/>
      </c>
      <c r="F28" s="39">
        <f t="shared" si="2"/>
        <v>0</v>
      </c>
      <c r="G28" s="124" t="s">
        <v>8604</v>
      </c>
      <c r="H28" s="54" t="str">
        <f>IF(D28="","",'START-HERE'!$C$16)</f>
        <v/>
      </c>
      <c r="I28" s="39" t="str">
        <f>VLOOKUP('START-HERE'!$C$17,DATA!$J$3:$K$6,2,FALSE)</f>
        <v>USD</v>
      </c>
      <c r="J28" s="125" t="str">
        <f t="shared" si="3"/>
        <v/>
      </c>
      <c r="K28" s="39" t="str">
        <f t="shared" si="4"/>
        <v/>
      </c>
      <c r="L28" s="39" t="str">
        <f>IF(J28="","",IF('START-HERE'!$C$17="USA",1110,""))</f>
        <v/>
      </c>
      <c r="M28" s="39" t="str">
        <f>VLOOKUP('START-HERE'!$D$20,DATA!$J$9:$K$12,2,FALSE)</f>
        <v>037 US Project (NB)</v>
      </c>
      <c r="N28" s="39">
        <f t="shared" si="5"/>
        <v>0</v>
      </c>
      <c r="O28" s="39" t="str">
        <f t="shared" si="6"/>
        <v/>
      </c>
      <c r="P28" s="126">
        <f t="shared" si="7"/>
        <v>0</v>
      </c>
      <c r="R28" s="115">
        <f t="shared" si="8"/>
        <v>27</v>
      </c>
      <c r="S28" s="115">
        <f t="shared" si="9"/>
        <v>0</v>
      </c>
      <c r="T28" s="29" t="str">
        <f>'EE System Designed BOM'!Q28</f>
        <v/>
      </c>
    </row>
    <row r="29" spans="1:20" s="29" customFormat="1" x14ac:dyDescent="0.25">
      <c r="A29" s="40">
        <f t="shared" si="0"/>
        <v>28</v>
      </c>
      <c r="B29" s="34" t="s">
        <v>9624</v>
      </c>
      <c r="C29" s="39" t="str">
        <f>IF('EE System Designed BOM'!E29="","",IF('EE System Designed BOM'!H29="Y","",'EE System Designed BOM'!E29))</f>
        <v/>
      </c>
      <c r="D29" s="79" t="str">
        <f>IF('EE System Designed BOM'!E29="","",IF('EE System Designed BOM'!H29="Y","",'EE System Designed BOM'!E29))</f>
        <v/>
      </c>
      <c r="E29" s="36" t="str">
        <f t="shared" si="1"/>
        <v/>
      </c>
      <c r="F29" s="39">
        <f t="shared" si="2"/>
        <v>0</v>
      </c>
      <c r="G29" s="124" t="s">
        <v>8604</v>
      </c>
      <c r="H29" s="54" t="str">
        <f>IF(D29="","",'START-HERE'!$C$16)</f>
        <v/>
      </c>
      <c r="I29" s="39" t="str">
        <f>VLOOKUP('START-HERE'!$C$17,DATA!$J$3:$K$6,2,FALSE)</f>
        <v>USD</v>
      </c>
      <c r="J29" s="125" t="str">
        <f t="shared" si="3"/>
        <v/>
      </c>
      <c r="K29" s="39" t="str">
        <f t="shared" si="4"/>
        <v/>
      </c>
      <c r="L29" s="39" t="str">
        <f>IF(J29="","",IF('START-HERE'!$C$17="USA",1110,""))</f>
        <v/>
      </c>
      <c r="M29" s="39" t="str">
        <f>VLOOKUP('START-HERE'!$D$20,DATA!$J$9:$K$12,2,FALSE)</f>
        <v>037 US Project (NB)</v>
      </c>
      <c r="N29" s="39">
        <f t="shared" si="5"/>
        <v>0</v>
      </c>
      <c r="O29" s="39" t="str">
        <f t="shared" si="6"/>
        <v/>
      </c>
      <c r="P29" s="126">
        <f t="shared" si="7"/>
        <v>0</v>
      </c>
      <c r="R29" s="115">
        <f t="shared" si="8"/>
        <v>28</v>
      </c>
      <c r="S29" s="115">
        <f t="shared" si="9"/>
        <v>0</v>
      </c>
      <c r="T29" s="29" t="str">
        <f>'EE System Designed BOM'!Q29</f>
        <v/>
      </c>
    </row>
    <row r="30" spans="1:20" s="29" customFormat="1" x14ac:dyDescent="0.25">
      <c r="A30" s="40">
        <f t="shared" si="0"/>
        <v>29</v>
      </c>
      <c r="B30" s="34" t="s">
        <v>9624</v>
      </c>
      <c r="C30" s="39" t="str">
        <f>IF('EE System Designed BOM'!E30="","",IF('EE System Designed BOM'!H30="Y","",'EE System Designed BOM'!E30))</f>
        <v/>
      </c>
      <c r="D30" s="79" t="str">
        <f>IF('EE System Designed BOM'!E30="","",IF('EE System Designed BOM'!H30="Y","",'EE System Designed BOM'!E30))</f>
        <v/>
      </c>
      <c r="E30" s="36" t="str">
        <f t="shared" si="1"/>
        <v/>
      </c>
      <c r="F30" s="39">
        <f t="shared" si="2"/>
        <v>0</v>
      </c>
      <c r="G30" s="124" t="s">
        <v>8604</v>
      </c>
      <c r="H30" s="54" t="str">
        <f>IF(D30="","",'START-HERE'!$C$16)</f>
        <v/>
      </c>
      <c r="I30" s="39" t="str">
        <f>VLOOKUP('START-HERE'!$C$17,DATA!$J$3:$K$6,2,FALSE)</f>
        <v>USD</v>
      </c>
      <c r="J30" s="125" t="str">
        <f t="shared" si="3"/>
        <v/>
      </c>
      <c r="K30" s="39" t="str">
        <f t="shared" si="4"/>
        <v/>
      </c>
      <c r="L30" s="39" t="str">
        <f>IF(J30="","",IF('START-HERE'!$C$17="USA",1110,""))</f>
        <v/>
      </c>
      <c r="M30" s="39" t="str">
        <f>VLOOKUP('START-HERE'!$D$20,DATA!$J$9:$K$12,2,FALSE)</f>
        <v>037 US Project (NB)</v>
      </c>
      <c r="N30" s="39">
        <f t="shared" si="5"/>
        <v>0</v>
      </c>
      <c r="O30" s="39" t="str">
        <f t="shared" si="6"/>
        <v/>
      </c>
      <c r="P30" s="126">
        <f t="shared" si="7"/>
        <v>0</v>
      </c>
      <c r="R30" s="115">
        <f t="shared" si="8"/>
        <v>29</v>
      </c>
      <c r="S30" s="115">
        <f t="shared" si="9"/>
        <v>0</v>
      </c>
      <c r="T30" s="29" t="str">
        <f>'EE System Designed BOM'!Q30</f>
        <v/>
      </c>
    </row>
    <row r="31" spans="1:20" s="29" customFormat="1" x14ac:dyDescent="0.25">
      <c r="A31" s="40">
        <f t="shared" si="0"/>
        <v>30</v>
      </c>
      <c r="B31" s="34" t="s">
        <v>9624</v>
      </c>
      <c r="C31" s="39" t="str">
        <f>IF('EE System Designed BOM'!E31="","",IF('EE System Designed BOM'!H31="Y","",'EE System Designed BOM'!E31))</f>
        <v/>
      </c>
      <c r="D31" s="79" t="str">
        <f>IF('EE System Designed BOM'!E31="","",IF('EE System Designed BOM'!H31="Y","",'EE System Designed BOM'!E31))</f>
        <v/>
      </c>
      <c r="E31" s="36" t="str">
        <f t="shared" si="1"/>
        <v/>
      </c>
      <c r="F31" s="39">
        <f t="shared" si="2"/>
        <v>0</v>
      </c>
      <c r="G31" s="124" t="s">
        <v>8604</v>
      </c>
      <c r="H31" s="54" t="str">
        <f>IF(D31="","",'START-HERE'!$C$16)</f>
        <v/>
      </c>
      <c r="I31" s="39" t="str">
        <f>VLOOKUP('START-HERE'!$C$17,DATA!$J$3:$K$6,2,FALSE)</f>
        <v>USD</v>
      </c>
      <c r="J31" s="125" t="str">
        <f t="shared" si="3"/>
        <v/>
      </c>
      <c r="K31" s="39" t="str">
        <f t="shared" si="4"/>
        <v/>
      </c>
      <c r="L31" s="39" t="str">
        <f>IF(J31="","",IF('START-HERE'!$C$17="USA",1110,""))</f>
        <v/>
      </c>
      <c r="M31" s="39" t="str">
        <f>VLOOKUP('START-HERE'!$D$20,DATA!$J$9:$K$12,2,FALSE)</f>
        <v>037 US Project (NB)</v>
      </c>
      <c r="N31" s="39">
        <f t="shared" si="5"/>
        <v>0</v>
      </c>
      <c r="O31" s="39" t="str">
        <f t="shared" si="6"/>
        <v/>
      </c>
      <c r="P31" s="126">
        <f t="shared" si="7"/>
        <v>0</v>
      </c>
      <c r="Q31" s="84"/>
      <c r="R31" s="115">
        <f t="shared" si="8"/>
        <v>30</v>
      </c>
      <c r="S31" s="115">
        <f t="shared" si="9"/>
        <v>0</v>
      </c>
      <c r="T31" s="29" t="str">
        <f>'EE System Designed BOM'!Q31</f>
        <v/>
      </c>
    </row>
    <row r="32" spans="1:20" s="29" customFormat="1" x14ac:dyDescent="0.25">
      <c r="A32" s="40">
        <f t="shared" si="0"/>
        <v>31</v>
      </c>
      <c r="B32" s="34" t="s">
        <v>9624</v>
      </c>
      <c r="C32" s="39" t="str">
        <f>IF('EE System Designed BOM'!E32="","",IF('EE System Designed BOM'!H32="Y","",'EE System Designed BOM'!E32))</f>
        <v/>
      </c>
      <c r="D32" s="79" t="str">
        <f>IF('EE System Designed BOM'!E32="","",IF('EE System Designed BOM'!H32="Y","",'EE System Designed BOM'!E32))</f>
        <v/>
      </c>
      <c r="E32" s="36" t="str">
        <f t="shared" si="1"/>
        <v/>
      </c>
      <c r="F32" s="39">
        <f t="shared" si="2"/>
        <v>0</v>
      </c>
      <c r="G32" s="124" t="s">
        <v>8604</v>
      </c>
      <c r="H32" s="54" t="str">
        <f>IF(D32="","",'START-HERE'!$C$16)</f>
        <v/>
      </c>
      <c r="I32" s="39" t="str">
        <f>VLOOKUP('START-HERE'!$C$17,DATA!$J$3:$K$6,2,FALSE)</f>
        <v>USD</v>
      </c>
      <c r="J32" s="125" t="str">
        <f t="shared" si="3"/>
        <v/>
      </c>
      <c r="K32" s="39" t="str">
        <f t="shared" si="4"/>
        <v/>
      </c>
      <c r="L32" s="39" t="str">
        <f>IF(J32="","",IF('START-HERE'!$C$17="USA",1110,""))</f>
        <v/>
      </c>
      <c r="M32" s="39" t="str">
        <f>VLOOKUP('START-HERE'!$D$20,DATA!$J$9:$K$12,2,FALSE)</f>
        <v>037 US Project (NB)</v>
      </c>
      <c r="N32" s="39">
        <f t="shared" si="5"/>
        <v>0</v>
      </c>
      <c r="O32" s="39" t="str">
        <f t="shared" si="6"/>
        <v/>
      </c>
      <c r="P32" s="126">
        <f t="shared" si="7"/>
        <v>0</v>
      </c>
      <c r="R32" s="115">
        <f t="shared" si="8"/>
        <v>31</v>
      </c>
      <c r="S32" s="115">
        <f t="shared" si="9"/>
        <v>0</v>
      </c>
      <c r="T32" s="29" t="str">
        <f>'EE System Designed BOM'!Q32</f>
        <v/>
      </c>
    </row>
    <row r="33" spans="1:20" s="29" customFormat="1" x14ac:dyDescent="0.25">
      <c r="A33" s="40">
        <f t="shared" si="0"/>
        <v>32</v>
      </c>
      <c r="B33" s="34" t="s">
        <v>9624</v>
      </c>
      <c r="C33" s="39" t="str">
        <f>IF('EE System Designed BOM'!E33="","",IF('EE System Designed BOM'!H33="Y","",'EE System Designed BOM'!E33))</f>
        <v/>
      </c>
      <c r="D33" s="79" t="str">
        <f>IF('EE System Designed BOM'!E33="","",IF('EE System Designed BOM'!H33="Y","",'EE System Designed BOM'!E33))</f>
        <v/>
      </c>
      <c r="E33" s="36" t="str">
        <f t="shared" si="1"/>
        <v/>
      </c>
      <c r="F33" s="39">
        <f t="shared" si="2"/>
        <v>0</v>
      </c>
      <c r="G33" s="124" t="s">
        <v>8604</v>
      </c>
      <c r="H33" s="54" t="str">
        <f>IF(D33="","",'START-HERE'!$C$16)</f>
        <v/>
      </c>
      <c r="I33" s="39" t="str">
        <f>VLOOKUP('START-HERE'!$C$17,DATA!$J$3:$K$6,2,FALSE)</f>
        <v>USD</v>
      </c>
      <c r="J33" s="125" t="str">
        <f t="shared" si="3"/>
        <v/>
      </c>
      <c r="K33" s="39" t="str">
        <f t="shared" si="4"/>
        <v/>
      </c>
      <c r="L33" s="39" t="str">
        <f>IF(J33="","",IF('START-HERE'!$C$17="USA",1110,""))</f>
        <v/>
      </c>
      <c r="M33" s="39" t="str">
        <f>VLOOKUP('START-HERE'!$D$20,DATA!$J$9:$K$12,2,FALSE)</f>
        <v>037 US Project (NB)</v>
      </c>
      <c r="N33" s="39">
        <f t="shared" si="5"/>
        <v>0</v>
      </c>
      <c r="O33" s="39" t="str">
        <f t="shared" si="6"/>
        <v/>
      </c>
      <c r="P33" s="126">
        <f t="shared" si="7"/>
        <v>0</v>
      </c>
      <c r="R33" s="115">
        <f t="shared" si="8"/>
        <v>32</v>
      </c>
      <c r="S33" s="115">
        <f t="shared" si="9"/>
        <v>0</v>
      </c>
      <c r="T33" s="29" t="str">
        <f>'EE System Designed BOM'!Q33</f>
        <v/>
      </c>
    </row>
    <row r="34" spans="1:20" s="29" customFormat="1" x14ac:dyDescent="0.25">
      <c r="A34" s="40">
        <f t="shared" si="0"/>
        <v>33</v>
      </c>
      <c r="B34" s="34" t="s">
        <v>9624</v>
      </c>
      <c r="C34" s="39" t="str">
        <f>IF('EE System Designed BOM'!E34="","",IF('EE System Designed BOM'!H34="Y","",'EE System Designed BOM'!E34))</f>
        <v/>
      </c>
      <c r="D34" s="79" t="str">
        <f>IF('EE System Designed BOM'!E34="","",IF('EE System Designed BOM'!H34="Y","",'EE System Designed BOM'!E34))</f>
        <v/>
      </c>
      <c r="E34" s="36" t="str">
        <f t="shared" si="1"/>
        <v/>
      </c>
      <c r="F34" s="39">
        <f t="shared" si="2"/>
        <v>0</v>
      </c>
      <c r="G34" s="124" t="s">
        <v>8604</v>
      </c>
      <c r="H34" s="54" t="str">
        <f>IF(D34="","",'START-HERE'!$C$16)</f>
        <v/>
      </c>
      <c r="I34" s="39" t="str">
        <f>VLOOKUP('START-HERE'!$C$17,DATA!$J$3:$K$6,2,FALSE)</f>
        <v>USD</v>
      </c>
      <c r="J34" s="125" t="str">
        <f t="shared" si="3"/>
        <v/>
      </c>
      <c r="K34" s="39" t="str">
        <f t="shared" si="4"/>
        <v/>
      </c>
      <c r="L34" s="39" t="str">
        <f>IF(J34="","",IF('START-HERE'!$C$17="USA",1110,""))</f>
        <v/>
      </c>
      <c r="M34" s="39" t="str">
        <f>VLOOKUP('START-HERE'!$D$20,DATA!$J$9:$K$12,2,FALSE)</f>
        <v>037 US Project (NB)</v>
      </c>
      <c r="N34" s="39">
        <f t="shared" si="5"/>
        <v>0</v>
      </c>
      <c r="O34" s="39" t="str">
        <f t="shared" si="6"/>
        <v/>
      </c>
      <c r="P34" s="126">
        <f t="shared" si="7"/>
        <v>0</v>
      </c>
      <c r="R34" s="115">
        <f t="shared" si="8"/>
        <v>33</v>
      </c>
      <c r="S34" s="115">
        <f t="shared" si="9"/>
        <v>0</v>
      </c>
      <c r="T34" s="29" t="str">
        <f>'EE System Designed BOM'!Q34</f>
        <v/>
      </c>
    </row>
    <row r="35" spans="1:20" s="29" customFormat="1" x14ac:dyDescent="0.25">
      <c r="A35" s="40">
        <f t="shared" si="0"/>
        <v>34</v>
      </c>
      <c r="B35" s="34" t="s">
        <v>9624</v>
      </c>
      <c r="C35" s="39" t="str">
        <f>IF('EE System Designed BOM'!E35="","",IF('EE System Designed BOM'!H35="Y","",'EE System Designed BOM'!E35))</f>
        <v/>
      </c>
      <c r="D35" s="79" t="str">
        <f>IF('EE System Designed BOM'!E35="","",IF('EE System Designed BOM'!H35="Y","",'EE System Designed BOM'!E35))</f>
        <v/>
      </c>
      <c r="E35" s="36" t="str">
        <f t="shared" si="1"/>
        <v/>
      </c>
      <c r="F35" s="39">
        <f t="shared" si="2"/>
        <v>0</v>
      </c>
      <c r="G35" s="124" t="s">
        <v>8604</v>
      </c>
      <c r="H35" s="54" t="str">
        <f>IF(D35="","",'START-HERE'!$C$16)</f>
        <v/>
      </c>
      <c r="I35" s="39" t="str">
        <f>VLOOKUP('START-HERE'!$C$17,DATA!$J$3:$K$6,2,FALSE)</f>
        <v>USD</v>
      </c>
      <c r="J35" s="125" t="str">
        <f t="shared" si="3"/>
        <v/>
      </c>
      <c r="K35" s="39" t="str">
        <f t="shared" si="4"/>
        <v/>
      </c>
      <c r="L35" s="39" t="str">
        <f>IF(J35="","",IF('START-HERE'!$C$17="USA",1110,""))</f>
        <v/>
      </c>
      <c r="M35" s="39" t="str">
        <f>VLOOKUP('START-HERE'!$D$20,DATA!$J$9:$K$12,2,FALSE)</f>
        <v>037 US Project (NB)</v>
      </c>
      <c r="N35" s="39">
        <f t="shared" si="5"/>
        <v>0</v>
      </c>
      <c r="O35" s="39" t="str">
        <f t="shared" si="6"/>
        <v/>
      </c>
      <c r="P35" s="126">
        <f t="shared" si="7"/>
        <v>0</v>
      </c>
      <c r="Q35" s="84"/>
      <c r="R35" s="115">
        <f t="shared" si="8"/>
        <v>34</v>
      </c>
      <c r="S35" s="115">
        <f t="shared" si="9"/>
        <v>0</v>
      </c>
      <c r="T35" s="29" t="str">
        <f>'EE System Designed BOM'!Q35</f>
        <v/>
      </c>
    </row>
    <row r="36" spans="1:20" s="29" customFormat="1" x14ac:dyDescent="0.25">
      <c r="A36" s="40">
        <f t="shared" si="0"/>
        <v>35</v>
      </c>
      <c r="B36" s="34" t="s">
        <v>9624</v>
      </c>
      <c r="C36" s="39" t="str">
        <f>IF('EE System Designed BOM'!E36="","",IF('EE System Designed BOM'!H36="Y","",'EE System Designed BOM'!E36))</f>
        <v/>
      </c>
      <c r="D36" s="79" t="str">
        <f>IF('EE System Designed BOM'!E36="","",IF('EE System Designed BOM'!H36="Y","",'EE System Designed BOM'!E36))</f>
        <v/>
      </c>
      <c r="E36" s="36" t="str">
        <f t="shared" si="1"/>
        <v/>
      </c>
      <c r="F36" s="39">
        <f t="shared" si="2"/>
        <v>0</v>
      </c>
      <c r="G36" s="124" t="s">
        <v>8604</v>
      </c>
      <c r="H36" s="54" t="str">
        <f>IF(D36="","",'START-HERE'!$C$16)</f>
        <v/>
      </c>
      <c r="I36" s="39" t="str">
        <f>VLOOKUP('START-HERE'!$C$17,DATA!$J$3:$K$6,2,FALSE)</f>
        <v>USD</v>
      </c>
      <c r="J36" s="125" t="str">
        <f t="shared" si="3"/>
        <v/>
      </c>
      <c r="K36" s="39" t="str">
        <f t="shared" si="4"/>
        <v/>
      </c>
      <c r="L36" s="39" t="str">
        <f>IF(J36="","",IF('START-HERE'!$C$17="USA",1110,""))</f>
        <v/>
      </c>
      <c r="M36" s="39" t="str">
        <f>VLOOKUP('START-HERE'!$D$20,DATA!$J$9:$K$12,2,FALSE)</f>
        <v>037 US Project (NB)</v>
      </c>
      <c r="N36" s="39">
        <f t="shared" si="5"/>
        <v>0</v>
      </c>
      <c r="O36" s="39" t="str">
        <f t="shared" si="6"/>
        <v/>
      </c>
      <c r="P36" s="126">
        <f t="shared" si="7"/>
        <v>0</v>
      </c>
      <c r="R36" s="115">
        <f t="shared" si="8"/>
        <v>35</v>
      </c>
      <c r="S36" s="115">
        <f t="shared" si="9"/>
        <v>0</v>
      </c>
      <c r="T36" s="29" t="str">
        <f>'EE System Designed BOM'!Q36</f>
        <v/>
      </c>
    </row>
    <row r="37" spans="1:20" s="29" customFormat="1" x14ac:dyDescent="0.25">
      <c r="A37" s="40">
        <f t="shared" si="0"/>
        <v>36</v>
      </c>
      <c r="B37" s="34" t="s">
        <v>9624</v>
      </c>
      <c r="C37" s="39" t="str">
        <f>IF('EE System Designed BOM'!E37="","",IF('EE System Designed BOM'!H37="Y","",'EE System Designed BOM'!E37))</f>
        <v/>
      </c>
      <c r="D37" s="79" t="str">
        <f>IF('EE System Designed BOM'!E37="","",IF('EE System Designed BOM'!H37="Y","",'EE System Designed BOM'!E37))</f>
        <v/>
      </c>
      <c r="E37" s="36" t="str">
        <f t="shared" si="1"/>
        <v/>
      </c>
      <c r="F37" s="39">
        <f t="shared" si="2"/>
        <v>0</v>
      </c>
      <c r="G37" s="124" t="s">
        <v>8604</v>
      </c>
      <c r="H37" s="54" t="str">
        <f>IF(D37="","",'START-HERE'!$C$16)</f>
        <v/>
      </c>
      <c r="I37" s="39" t="str">
        <f>VLOOKUP('START-HERE'!$C$17,DATA!$J$3:$K$6,2,FALSE)</f>
        <v>USD</v>
      </c>
      <c r="J37" s="125" t="str">
        <f t="shared" si="3"/>
        <v/>
      </c>
      <c r="K37" s="39" t="str">
        <f t="shared" si="4"/>
        <v/>
      </c>
      <c r="L37" s="39" t="str">
        <f>IF(J37="","",IF('START-HERE'!$C$17="USA",1110,""))</f>
        <v/>
      </c>
      <c r="M37" s="39" t="str">
        <f>VLOOKUP('START-HERE'!$D$20,DATA!$J$9:$K$12,2,FALSE)</f>
        <v>037 US Project (NB)</v>
      </c>
      <c r="N37" s="39">
        <f t="shared" si="5"/>
        <v>0</v>
      </c>
      <c r="O37" s="39" t="str">
        <f t="shared" si="6"/>
        <v/>
      </c>
      <c r="P37" s="126">
        <f t="shared" si="7"/>
        <v>0</v>
      </c>
      <c r="R37" s="115">
        <f t="shared" si="8"/>
        <v>36</v>
      </c>
      <c r="S37" s="115">
        <f t="shared" si="9"/>
        <v>0</v>
      </c>
      <c r="T37" s="29" t="str">
        <f>'EE System Designed BOM'!Q37</f>
        <v/>
      </c>
    </row>
    <row r="38" spans="1:20" s="29" customFormat="1" x14ac:dyDescent="0.25">
      <c r="A38" s="40">
        <f t="shared" si="0"/>
        <v>37</v>
      </c>
      <c r="B38" s="34" t="s">
        <v>9624</v>
      </c>
      <c r="C38" s="39" t="str">
        <f>IF('EE System Designed BOM'!E38="","",IF('EE System Designed BOM'!H38="Y","",'EE System Designed BOM'!E38))</f>
        <v/>
      </c>
      <c r="D38" s="79" t="str">
        <f>IF('EE System Designed BOM'!E38="","",IF('EE System Designed BOM'!H38="Y","",'EE System Designed BOM'!E38))</f>
        <v/>
      </c>
      <c r="E38" s="36" t="str">
        <f t="shared" si="1"/>
        <v/>
      </c>
      <c r="F38" s="39">
        <f t="shared" si="2"/>
        <v>0</v>
      </c>
      <c r="G38" s="124" t="s">
        <v>8604</v>
      </c>
      <c r="H38" s="54" t="str">
        <f>IF(D38="","",'START-HERE'!$C$16)</f>
        <v/>
      </c>
      <c r="I38" s="39" t="str">
        <f>VLOOKUP('START-HERE'!$C$17,DATA!$J$3:$K$6,2,FALSE)</f>
        <v>USD</v>
      </c>
      <c r="J38" s="125" t="str">
        <f t="shared" si="3"/>
        <v/>
      </c>
      <c r="K38" s="39" t="str">
        <f t="shared" si="4"/>
        <v/>
      </c>
      <c r="L38" s="39" t="str">
        <f>IF(J38="","",IF('START-HERE'!$C$17="USA",1110,""))</f>
        <v/>
      </c>
      <c r="M38" s="39" t="str">
        <f>VLOOKUP('START-HERE'!$D$20,DATA!$J$9:$K$12,2,FALSE)</f>
        <v>037 US Project (NB)</v>
      </c>
      <c r="N38" s="39">
        <f t="shared" si="5"/>
        <v>0</v>
      </c>
      <c r="O38" s="39" t="str">
        <f t="shared" si="6"/>
        <v/>
      </c>
      <c r="P38" s="126">
        <f t="shared" si="7"/>
        <v>0</v>
      </c>
      <c r="R38" s="115">
        <f t="shared" si="8"/>
        <v>37</v>
      </c>
      <c r="S38" s="115">
        <f t="shared" si="9"/>
        <v>0</v>
      </c>
      <c r="T38" s="29" t="str">
        <f>'EE System Designed BOM'!Q38</f>
        <v/>
      </c>
    </row>
    <row r="39" spans="1:20" s="29" customFormat="1" x14ac:dyDescent="0.25">
      <c r="A39" s="40">
        <f t="shared" si="0"/>
        <v>38</v>
      </c>
      <c r="B39" s="34" t="s">
        <v>9624</v>
      </c>
      <c r="C39" s="39" t="str">
        <f>IF('EE System Designed BOM'!E39="","",IF('EE System Designed BOM'!H39="Y","",'EE System Designed BOM'!E39))</f>
        <v/>
      </c>
      <c r="D39" s="79" t="str">
        <f>IF('EE System Designed BOM'!E39="","",IF('EE System Designed BOM'!H39="Y","",'EE System Designed BOM'!E39))</f>
        <v/>
      </c>
      <c r="E39" s="36" t="str">
        <f t="shared" si="1"/>
        <v/>
      </c>
      <c r="F39" s="39">
        <f t="shared" si="2"/>
        <v>0</v>
      </c>
      <c r="G39" s="124" t="s">
        <v>8604</v>
      </c>
      <c r="H39" s="54" t="str">
        <f>IF(D39="","",'START-HERE'!$C$16)</f>
        <v/>
      </c>
      <c r="I39" s="39" t="str">
        <f>VLOOKUP('START-HERE'!$C$17,DATA!$J$3:$K$6,2,FALSE)</f>
        <v>USD</v>
      </c>
      <c r="J39" s="125" t="str">
        <f t="shared" si="3"/>
        <v/>
      </c>
      <c r="K39" s="39" t="str">
        <f t="shared" si="4"/>
        <v/>
      </c>
      <c r="L39" s="39" t="str">
        <f>IF(J39="","",IF('START-HERE'!$C$17="USA",1110,""))</f>
        <v/>
      </c>
      <c r="M39" s="39" t="str">
        <f>VLOOKUP('START-HERE'!$D$20,DATA!$J$9:$K$12,2,FALSE)</f>
        <v>037 US Project (NB)</v>
      </c>
      <c r="N39" s="39">
        <f t="shared" si="5"/>
        <v>0</v>
      </c>
      <c r="O39" s="39" t="str">
        <f t="shared" si="6"/>
        <v/>
      </c>
      <c r="P39" s="126">
        <f t="shared" si="7"/>
        <v>0</v>
      </c>
      <c r="Q39" s="84"/>
      <c r="R39" s="115">
        <f t="shared" si="8"/>
        <v>38</v>
      </c>
      <c r="S39" s="115">
        <f t="shared" si="9"/>
        <v>0</v>
      </c>
      <c r="T39" s="29" t="str">
        <f>'EE System Designed BOM'!Q39</f>
        <v/>
      </c>
    </row>
    <row r="40" spans="1:20" s="29" customFormat="1" x14ac:dyDescent="0.25">
      <c r="A40" s="40">
        <f t="shared" si="0"/>
        <v>39</v>
      </c>
      <c r="B40" s="34" t="s">
        <v>9624</v>
      </c>
      <c r="C40" s="39" t="str">
        <f>IF('EE System Designed BOM'!E40="","",IF('EE System Designed BOM'!H40="Y","",'EE System Designed BOM'!E40))</f>
        <v/>
      </c>
      <c r="D40" s="79" t="str">
        <f>IF('EE System Designed BOM'!E40="","",IF('EE System Designed BOM'!H40="Y","",'EE System Designed BOM'!E40))</f>
        <v/>
      </c>
      <c r="E40" s="36" t="str">
        <f t="shared" si="1"/>
        <v/>
      </c>
      <c r="F40" s="39">
        <f t="shared" si="2"/>
        <v>0</v>
      </c>
      <c r="G40" s="124" t="s">
        <v>8604</v>
      </c>
      <c r="H40" s="54" t="str">
        <f>IF(D40="","",'START-HERE'!$C$16)</f>
        <v/>
      </c>
      <c r="I40" s="39" t="str">
        <f>VLOOKUP('START-HERE'!$C$17,DATA!$J$3:$K$6,2,FALSE)</f>
        <v>USD</v>
      </c>
      <c r="J40" s="125" t="str">
        <f t="shared" si="3"/>
        <v/>
      </c>
      <c r="K40" s="39" t="str">
        <f t="shared" si="4"/>
        <v/>
      </c>
      <c r="L40" s="39" t="str">
        <f>IF(J40="","",IF('START-HERE'!$C$17="USA",1110,""))</f>
        <v/>
      </c>
      <c r="M40" s="39" t="str">
        <f>VLOOKUP('START-HERE'!$D$20,DATA!$J$9:$K$12,2,FALSE)</f>
        <v>037 US Project (NB)</v>
      </c>
      <c r="N40" s="39">
        <f t="shared" si="5"/>
        <v>0</v>
      </c>
      <c r="O40" s="39" t="str">
        <f t="shared" si="6"/>
        <v/>
      </c>
      <c r="P40" s="126">
        <f t="shared" si="7"/>
        <v>0</v>
      </c>
      <c r="R40" s="115">
        <f t="shared" si="8"/>
        <v>39</v>
      </c>
      <c r="S40" s="115">
        <f t="shared" si="9"/>
        <v>0</v>
      </c>
      <c r="T40" s="29" t="str">
        <f>'EE System Designed BOM'!Q40</f>
        <v/>
      </c>
    </row>
    <row r="41" spans="1:20" s="29" customFormat="1" x14ac:dyDescent="0.25">
      <c r="A41" s="40">
        <f t="shared" si="0"/>
        <v>40</v>
      </c>
      <c r="B41" s="34" t="s">
        <v>9624</v>
      </c>
      <c r="C41" s="39" t="str">
        <f>IF('EE System Designed BOM'!E41="","",IF('EE System Designed BOM'!H41="Y","",'EE System Designed BOM'!E41))</f>
        <v/>
      </c>
      <c r="D41" s="79" t="str">
        <f>IF('EE System Designed BOM'!E41="","",IF('EE System Designed BOM'!H41="Y","",'EE System Designed BOM'!E41))</f>
        <v/>
      </c>
      <c r="E41" s="36" t="str">
        <f t="shared" si="1"/>
        <v/>
      </c>
      <c r="F41" s="39">
        <f t="shared" si="2"/>
        <v>0</v>
      </c>
      <c r="G41" s="124" t="s">
        <v>8604</v>
      </c>
      <c r="H41" s="54" t="str">
        <f>IF(D41="","",'START-HERE'!$C$16)</f>
        <v/>
      </c>
      <c r="I41" s="39" t="str">
        <f>VLOOKUP('START-HERE'!$C$17,DATA!$J$3:$K$6,2,FALSE)</f>
        <v>USD</v>
      </c>
      <c r="J41" s="125" t="str">
        <f t="shared" si="3"/>
        <v/>
      </c>
      <c r="K41" s="39" t="str">
        <f t="shared" si="4"/>
        <v/>
      </c>
      <c r="L41" s="39" t="str">
        <f>IF(J41="","",IF('START-HERE'!$C$17="USA",1110,""))</f>
        <v/>
      </c>
      <c r="M41" s="39" t="str">
        <f>VLOOKUP('START-HERE'!$D$20,DATA!$J$9:$K$12,2,FALSE)</f>
        <v>037 US Project (NB)</v>
      </c>
      <c r="N41" s="39">
        <f t="shared" si="5"/>
        <v>0</v>
      </c>
      <c r="O41" s="39" t="str">
        <f t="shared" si="6"/>
        <v/>
      </c>
      <c r="P41" s="126">
        <f t="shared" si="7"/>
        <v>0</v>
      </c>
      <c r="R41" s="115">
        <f t="shared" si="8"/>
        <v>40</v>
      </c>
      <c r="S41" s="115">
        <f t="shared" si="9"/>
        <v>0</v>
      </c>
      <c r="T41" s="29" t="str">
        <f>'EE System Designed BOM'!Q41</f>
        <v/>
      </c>
    </row>
    <row r="42" spans="1:20" s="29" customFormat="1" x14ac:dyDescent="0.25">
      <c r="A42" s="40">
        <f t="shared" si="0"/>
        <v>41</v>
      </c>
      <c r="B42" s="34" t="s">
        <v>9624</v>
      </c>
      <c r="C42" s="39" t="str">
        <f>IF('EE System Designed BOM'!E42="","",IF('EE System Designed BOM'!H42="Y","",'EE System Designed BOM'!E42))</f>
        <v/>
      </c>
      <c r="D42" s="79" t="str">
        <f>IF('EE System Designed BOM'!E42="","",IF('EE System Designed BOM'!H42="Y","",'EE System Designed BOM'!E42))</f>
        <v/>
      </c>
      <c r="E42" s="36" t="str">
        <f t="shared" si="1"/>
        <v/>
      </c>
      <c r="F42" s="39">
        <f t="shared" si="2"/>
        <v>0</v>
      </c>
      <c r="G42" s="124" t="s">
        <v>8604</v>
      </c>
      <c r="H42" s="54" t="str">
        <f>IF(D42="","",'START-HERE'!$C$16)</f>
        <v/>
      </c>
      <c r="I42" s="39" t="str">
        <f>VLOOKUP('START-HERE'!$C$17,DATA!$J$3:$K$6,2,FALSE)</f>
        <v>USD</v>
      </c>
      <c r="J42" s="125" t="str">
        <f t="shared" si="3"/>
        <v/>
      </c>
      <c r="K42" s="39" t="str">
        <f t="shared" si="4"/>
        <v/>
      </c>
      <c r="L42" s="39" t="str">
        <f>IF(J42="","",IF('START-HERE'!$C$17="USA",1110,""))</f>
        <v/>
      </c>
      <c r="M42" s="39" t="str">
        <f>VLOOKUP('START-HERE'!$D$20,DATA!$J$9:$K$12,2,FALSE)</f>
        <v>037 US Project (NB)</v>
      </c>
      <c r="N42" s="39">
        <f t="shared" si="5"/>
        <v>0</v>
      </c>
      <c r="O42" s="39" t="str">
        <f t="shared" si="6"/>
        <v/>
      </c>
      <c r="P42" s="126">
        <f t="shared" si="7"/>
        <v>0</v>
      </c>
      <c r="R42" s="115">
        <f t="shared" si="8"/>
        <v>41</v>
      </c>
      <c r="S42" s="115">
        <f t="shared" si="9"/>
        <v>0</v>
      </c>
      <c r="T42" s="29" t="str">
        <f>'EE System Designed BOM'!Q42</f>
        <v/>
      </c>
    </row>
    <row r="43" spans="1:20" s="29" customFormat="1" x14ac:dyDescent="0.25">
      <c r="A43" s="40">
        <f t="shared" si="0"/>
        <v>42</v>
      </c>
      <c r="B43" s="34" t="s">
        <v>9624</v>
      </c>
      <c r="C43" s="39" t="str">
        <f>IF('EE System Designed BOM'!E43="","",IF('EE System Designed BOM'!H43="Y","",'EE System Designed BOM'!E43))</f>
        <v/>
      </c>
      <c r="D43" s="79" t="str">
        <f>IF('EE System Designed BOM'!E43="","",IF('EE System Designed BOM'!H43="Y","",'EE System Designed BOM'!E43))</f>
        <v/>
      </c>
      <c r="E43" s="36" t="str">
        <f t="shared" si="1"/>
        <v/>
      </c>
      <c r="F43" s="39">
        <f t="shared" si="2"/>
        <v>0</v>
      </c>
      <c r="G43" s="124" t="s">
        <v>8604</v>
      </c>
      <c r="H43" s="54" t="str">
        <f>IF(D43="","",'START-HERE'!$C$16)</f>
        <v/>
      </c>
      <c r="I43" s="39" t="str">
        <f>VLOOKUP('START-HERE'!$C$17,DATA!$J$3:$K$6,2,FALSE)</f>
        <v>USD</v>
      </c>
      <c r="J43" s="125" t="str">
        <f t="shared" si="3"/>
        <v/>
      </c>
      <c r="K43" s="39" t="str">
        <f t="shared" si="4"/>
        <v/>
      </c>
      <c r="L43" s="39" t="str">
        <f>IF(J43="","",IF('START-HERE'!$C$17="USA",1110,""))</f>
        <v/>
      </c>
      <c r="M43" s="39" t="str">
        <f>VLOOKUP('START-HERE'!$D$20,DATA!$J$9:$K$12,2,FALSE)</f>
        <v>037 US Project (NB)</v>
      </c>
      <c r="N43" s="39">
        <f t="shared" si="5"/>
        <v>0</v>
      </c>
      <c r="O43" s="39" t="str">
        <f t="shared" si="6"/>
        <v/>
      </c>
      <c r="P43" s="126">
        <f t="shared" si="7"/>
        <v>0</v>
      </c>
      <c r="Q43" s="84"/>
      <c r="R43" s="115">
        <f t="shared" si="8"/>
        <v>42</v>
      </c>
      <c r="S43" s="115">
        <f t="shared" si="9"/>
        <v>0</v>
      </c>
      <c r="T43" s="29" t="str">
        <f>'EE System Designed BOM'!Q43</f>
        <v/>
      </c>
    </row>
    <row r="44" spans="1:20" s="29" customFormat="1" x14ac:dyDescent="0.25">
      <c r="A44" s="40">
        <f t="shared" si="0"/>
        <v>43</v>
      </c>
      <c r="B44" s="34" t="s">
        <v>9624</v>
      </c>
      <c r="C44" s="39" t="str">
        <f>IF('EE System Designed BOM'!E44="","",IF('EE System Designed BOM'!H44="Y","",'EE System Designed BOM'!E44))</f>
        <v/>
      </c>
      <c r="D44" s="79" t="str">
        <f>IF('EE System Designed BOM'!E44="","",IF('EE System Designed BOM'!H44="Y","",'EE System Designed BOM'!E44))</f>
        <v/>
      </c>
      <c r="E44" s="36" t="str">
        <f t="shared" si="1"/>
        <v/>
      </c>
      <c r="F44" s="39">
        <f t="shared" si="2"/>
        <v>0</v>
      </c>
      <c r="G44" s="124" t="s">
        <v>8604</v>
      </c>
      <c r="H44" s="54" t="str">
        <f>IF(D44="","",'START-HERE'!$C$16)</f>
        <v/>
      </c>
      <c r="I44" s="39" t="str">
        <f>VLOOKUP('START-HERE'!$C$17,DATA!$J$3:$K$6,2,FALSE)</f>
        <v>USD</v>
      </c>
      <c r="J44" s="125" t="str">
        <f t="shared" si="3"/>
        <v/>
      </c>
      <c r="K44" s="39" t="str">
        <f t="shared" si="4"/>
        <v/>
      </c>
      <c r="L44" s="39" t="str">
        <f>IF(J44="","",IF('START-HERE'!$C$17="USA",1110,""))</f>
        <v/>
      </c>
      <c r="M44" s="39" t="str">
        <f>VLOOKUP('START-HERE'!$D$20,DATA!$J$9:$K$12,2,FALSE)</f>
        <v>037 US Project (NB)</v>
      </c>
      <c r="N44" s="39">
        <f t="shared" si="5"/>
        <v>0</v>
      </c>
      <c r="O44" s="39" t="str">
        <f t="shared" si="6"/>
        <v/>
      </c>
      <c r="P44" s="126">
        <f t="shared" si="7"/>
        <v>0</v>
      </c>
      <c r="R44" s="115">
        <f t="shared" si="8"/>
        <v>43</v>
      </c>
      <c r="S44" s="115">
        <f t="shared" si="9"/>
        <v>0</v>
      </c>
      <c r="T44" s="29" t="str">
        <f>'EE System Designed BOM'!Q44</f>
        <v/>
      </c>
    </row>
    <row r="45" spans="1:20" s="29" customFormat="1" x14ac:dyDescent="0.25">
      <c r="A45" s="40">
        <f t="shared" si="0"/>
        <v>44</v>
      </c>
      <c r="B45" s="34" t="s">
        <v>9624</v>
      </c>
      <c r="C45" s="39" t="str">
        <f>IF('EE System Designed BOM'!E45="","",IF('EE System Designed BOM'!H45="Y","",'EE System Designed BOM'!E45))</f>
        <v/>
      </c>
      <c r="D45" s="79" t="str">
        <f>IF('EE System Designed BOM'!E45="","",IF('EE System Designed BOM'!H45="Y","",'EE System Designed BOM'!E45))</f>
        <v/>
      </c>
      <c r="E45" s="36" t="str">
        <f t="shared" si="1"/>
        <v/>
      </c>
      <c r="F45" s="39">
        <f t="shared" si="2"/>
        <v>0</v>
      </c>
      <c r="G45" s="124" t="s">
        <v>8604</v>
      </c>
      <c r="H45" s="54" t="str">
        <f>IF(D45="","",'START-HERE'!$C$16)</f>
        <v/>
      </c>
      <c r="I45" s="39" t="str">
        <f>VLOOKUP('START-HERE'!$C$17,DATA!$J$3:$K$6,2,FALSE)</f>
        <v>USD</v>
      </c>
      <c r="J45" s="125" t="str">
        <f t="shared" si="3"/>
        <v/>
      </c>
      <c r="K45" s="39" t="str">
        <f t="shared" si="4"/>
        <v/>
      </c>
      <c r="L45" s="39" t="str">
        <f>IF(J45="","",IF('START-HERE'!$C$17="USA",1110,""))</f>
        <v/>
      </c>
      <c r="M45" s="39" t="str">
        <f>VLOOKUP('START-HERE'!$D$20,DATA!$J$9:$K$12,2,FALSE)</f>
        <v>037 US Project (NB)</v>
      </c>
      <c r="N45" s="39">
        <f t="shared" si="5"/>
        <v>0</v>
      </c>
      <c r="O45" s="39" t="str">
        <f t="shared" si="6"/>
        <v/>
      </c>
      <c r="P45" s="126">
        <f t="shared" si="7"/>
        <v>0</v>
      </c>
      <c r="R45" s="115">
        <f t="shared" si="8"/>
        <v>44</v>
      </c>
      <c r="S45" s="115">
        <f t="shared" si="9"/>
        <v>0</v>
      </c>
      <c r="T45" s="29" t="str">
        <f>'EE System Designed BOM'!Q45</f>
        <v/>
      </c>
    </row>
    <row r="46" spans="1:20" s="29" customFormat="1" x14ac:dyDescent="0.25">
      <c r="A46" s="40">
        <f t="shared" si="0"/>
        <v>45</v>
      </c>
      <c r="B46" s="34" t="s">
        <v>9624</v>
      </c>
      <c r="C46" s="39" t="str">
        <f>IF('EE System Designed BOM'!E46="","",IF('EE System Designed BOM'!H46="Y","",'EE System Designed BOM'!E46))</f>
        <v/>
      </c>
      <c r="D46" s="79" t="str">
        <f>IF('EE System Designed BOM'!E46="","",IF('EE System Designed BOM'!H46="Y","",'EE System Designed BOM'!E46))</f>
        <v/>
      </c>
      <c r="E46" s="36" t="str">
        <f t="shared" si="1"/>
        <v/>
      </c>
      <c r="F46" s="39">
        <f t="shared" si="2"/>
        <v>0</v>
      </c>
      <c r="G46" s="124" t="s">
        <v>8604</v>
      </c>
      <c r="H46" s="54" t="str">
        <f>IF(D46="","",'START-HERE'!$C$16)</f>
        <v/>
      </c>
      <c r="I46" s="39" t="str">
        <f>VLOOKUP('START-HERE'!$C$17,DATA!$J$3:$K$6,2,FALSE)</f>
        <v>USD</v>
      </c>
      <c r="J46" s="125" t="str">
        <f t="shared" si="3"/>
        <v/>
      </c>
      <c r="K46" s="39" t="str">
        <f t="shared" si="4"/>
        <v/>
      </c>
      <c r="L46" s="39" t="str">
        <f>IF(J46="","",IF('START-HERE'!$C$17="USA",1110,""))</f>
        <v/>
      </c>
      <c r="M46" s="39" t="str">
        <f>VLOOKUP('START-HERE'!$D$20,DATA!$J$9:$K$12,2,FALSE)</f>
        <v>037 US Project (NB)</v>
      </c>
      <c r="N46" s="39">
        <f t="shared" si="5"/>
        <v>0</v>
      </c>
      <c r="O46" s="39" t="str">
        <f t="shared" si="6"/>
        <v/>
      </c>
      <c r="P46" s="126">
        <f t="shared" si="7"/>
        <v>0</v>
      </c>
      <c r="R46" s="115">
        <f t="shared" si="8"/>
        <v>45</v>
      </c>
      <c r="S46" s="115">
        <f t="shared" si="9"/>
        <v>0</v>
      </c>
      <c r="T46" s="29" t="str">
        <f>'EE System Designed BOM'!Q46</f>
        <v/>
      </c>
    </row>
    <row r="47" spans="1:20" s="29" customFormat="1" x14ac:dyDescent="0.25">
      <c r="A47" s="40">
        <f t="shared" si="0"/>
        <v>46</v>
      </c>
      <c r="B47" s="34" t="s">
        <v>9624</v>
      </c>
      <c r="C47" s="39" t="str">
        <f>IF('EE System Designed BOM'!E47="","",IF('EE System Designed BOM'!H47="Y","",'EE System Designed BOM'!E47))</f>
        <v/>
      </c>
      <c r="D47" s="79" t="str">
        <f>IF('EE System Designed BOM'!E47="","",IF('EE System Designed BOM'!H47="Y","",'EE System Designed BOM'!E47))</f>
        <v/>
      </c>
      <c r="E47" s="36" t="str">
        <f t="shared" si="1"/>
        <v/>
      </c>
      <c r="F47" s="39">
        <f t="shared" si="2"/>
        <v>0</v>
      </c>
      <c r="G47" s="124" t="s">
        <v>8604</v>
      </c>
      <c r="H47" s="54" t="str">
        <f>IF(D47="","",'START-HERE'!$C$16)</f>
        <v/>
      </c>
      <c r="I47" s="39" t="str">
        <f>VLOOKUP('START-HERE'!$C$17,DATA!$J$3:$K$6,2,FALSE)</f>
        <v>USD</v>
      </c>
      <c r="J47" s="125" t="str">
        <f t="shared" si="3"/>
        <v/>
      </c>
      <c r="K47" s="39" t="str">
        <f t="shared" si="4"/>
        <v/>
      </c>
      <c r="L47" s="39" t="str">
        <f>IF(J47="","",IF('START-HERE'!$C$17="USA",1110,""))</f>
        <v/>
      </c>
      <c r="M47" s="39" t="str">
        <f>VLOOKUP('START-HERE'!$D$20,DATA!$J$9:$K$12,2,FALSE)</f>
        <v>037 US Project (NB)</v>
      </c>
      <c r="N47" s="39">
        <f t="shared" si="5"/>
        <v>0</v>
      </c>
      <c r="O47" s="39" t="str">
        <f t="shared" si="6"/>
        <v/>
      </c>
      <c r="P47" s="126">
        <f t="shared" si="7"/>
        <v>0</v>
      </c>
      <c r="Q47" s="84"/>
      <c r="R47" s="115">
        <f t="shared" si="8"/>
        <v>46</v>
      </c>
      <c r="S47" s="115">
        <f t="shared" si="9"/>
        <v>0</v>
      </c>
      <c r="T47" s="29" t="str">
        <f>'EE System Designed BOM'!Q47</f>
        <v/>
      </c>
    </row>
    <row r="48" spans="1:20" s="29" customFormat="1" x14ac:dyDescent="0.25">
      <c r="A48" s="40">
        <f t="shared" si="0"/>
        <v>47</v>
      </c>
      <c r="B48" s="34" t="s">
        <v>9624</v>
      </c>
      <c r="C48" s="39" t="str">
        <f>IF('EE System Designed BOM'!E48="","",IF('EE System Designed BOM'!H48="Y","",'EE System Designed BOM'!E48))</f>
        <v/>
      </c>
      <c r="D48" s="79" t="str">
        <f>IF('EE System Designed BOM'!E48="","",IF('EE System Designed BOM'!H48="Y","",'EE System Designed BOM'!E48))</f>
        <v/>
      </c>
      <c r="E48" s="36" t="str">
        <f t="shared" si="1"/>
        <v/>
      </c>
      <c r="F48" s="39">
        <f t="shared" si="2"/>
        <v>0</v>
      </c>
      <c r="G48" s="124" t="s">
        <v>8604</v>
      </c>
      <c r="H48" s="54" t="str">
        <f>IF(D48="","",'START-HERE'!$C$16)</f>
        <v/>
      </c>
      <c r="I48" s="39" t="str">
        <f>VLOOKUP('START-HERE'!$C$17,DATA!$J$3:$K$6,2,FALSE)</f>
        <v>USD</v>
      </c>
      <c r="J48" s="125" t="str">
        <f t="shared" si="3"/>
        <v/>
      </c>
      <c r="K48" s="39" t="str">
        <f t="shared" si="4"/>
        <v/>
      </c>
      <c r="L48" s="39" t="str">
        <f>IF(J48="","",IF('START-HERE'!$C$17="USA",1110,""))</f>
        <v/>
      </c>
      <c r="M48" s="39" t="str">
        <f>VLOOKUP('START-HERE'!$D$20,DATA!$J$9:$K$12,2,FALSE)</f>
        <v>037 US Project (NB)</v>
      </c>
      <c r="N48" s="39">
        <f t="shared" si="5"/>
        <v>0</v>
      </c>
      <c r="O48" s="39" t="str">
        <f t="shared" si="6"/>
        <v/>
      </c>
      <c r="P48" s="126">
        <f t="shared" si="7"/>
        <v>0</v>
      </c>
      <c r="R48" s="115">
        <f t="shared" si="8"/>
        <v>47</v>
      </c>
      <c r="S48" s="115">
        <f t="shared" si="9"/>
        <v>0</v>
      </c>
      <c r="T48" s="29" t="str">
        <f>'EE System Designed BOM'!Q48</f>
        <v/>
      </c>
    </row>
    <row r="49" spans="1:20" s="29" customFormat="1" x14ac:dyDescent="0.25">
      <c r="A49" s="40">
        <f t="shared" si="0"/>
        <v>48</v>
      </c>
      <c r="B49" s="34" t="s">
        <v>9624</v>
      </c>
      <c r="C49" s="39" t="str">
        <f>IF('EE System Designed BOM'!E49="","",IF('EE System Designed BOM'!H49="Y","",'EE System Designed BOM'!E49))</f>
        <v/>
      </c>
      <c r="D49" s="79" t="str">
        <f>IF('EE System Designed BOM'!E49="","",IF('EE System Designed BOM'!H49="Y","",'EE System Designed BOM'!E49))</f>
        <v/>
      </c>
      <c r="E49" s="36" t="str">
        <f t="shared" si="1"/>
        <v/>
      </c>
      <c r="F49" s="39">
        <f t="shared" si="2"/>
        <v>0</v>
      </c>
      <c r="G49" s="124" t="s">
        <v>8604</v>
      </c>
      <c r="H49" s="54" t="str">
        <f>IF(D49="","",'START-HERE'!$C$16)</f>
        <v/>
      </c>
      <c r="I49" s="39" t="str">
        <f>VLOOKUP('START-HERE'!$C$17,DATA!$J$3:$K$6,2,FALSE)</f>
        <v>USD</v>
      </c>
      <c r="J49" s="125" t="str">
        <f t="shared" si="3"/>
        <v/>
      </c>
      <c r="K49" s="39" t="str">
        <f t="shared" si="4"/>
        <v/>
      </c>
      <c r="L49" s="39" t="str">
        <f>IF(J49="","",IF('START-HERE'!$C$17="USA",1110,""))</f>
        <v/>
      </c>
      <c r="M49" s="39" t="str">
        <f>VLOOKUP('START-HERE'!$D$20,DATA!$J$9:$K$12,2,FALSE)</f>
        <v>037 US Project (NB)</v>
      </c>
      <c r="N49" s="39">
        <f t="shared" si="5"/>
        <v>0</v>
      </c>
      <c r="O49" s="39" t="str">
        <f t="shared" si="6"/>
        <v/>
      </c>
      <c r="P49" s="126">
        <f t="shared" si="7"/>
        <v>0</v>
      </c>
      <c r="R49" s="115">
        <f t="shared" si="8"/>
        <v>48</v>
      </c>
      <c r="S49" s="115">
        <f t="shared" si="9"/>
        <v>0</v>
      </c>
      <c r="T49" s="29" t="str">
        <f>'EE System Designed BOM'!Q49</f>
        <v/>
      </c>
    </row>
    <row r="50" spans="1:20" s="29" customFormat="1" x14ac:dyDescent="0.25">
      <c r="A50" s="40">
        <f t="shared" si="0"/>
        <v>49</v>
      </c>
      <c r="B50" s="34" t="s">
        <v>9624</v>
      </c>
      <c r="C50" s="39" t="str">
        <f>IF('EE System Designed BOM'!E50="","",IF('EE System Designed BOM'!H50="Y","",'EE System Designed BOM'!E50))</f>
        <v/>
      </c>
      <c r="D50" s="79" t="str">
        <f>IF('EE System Designed BOM'!E50="","",IF('EE System Designed BOM'!H50="Y","",'EE System Designed BOM'!E50))</f>
        <v/>
      </c>
      <c r="E50" s="36" t="str">
        <f t="shared" si="1"/>
        <v/>
      </c>
      <c r="F50" s="39">
        <f t="shared" si="2"/>
        <v>0</v>
      </c>
      <c r="G50" s="124" t="s">
        <v>8604</v>
      </c>
      <c r="H50" s="54" t="str">
        <f>IF(D50="","",'START-HERE'!$C$16)</f>
        <v/>
      </c>
      <c r="I50" s="39" t="str">
        <f>VLOOKUP('START-HERE'!$C$17,DATA!$J$3:$K$6,2,FALSE)</f>
        <v>USD</v>
      </c>
      <c r="J50" s="125" t="str">
        <f t="shared" si="3"/>
        <v/>
      </c>
      <c r="K50" s="39" t="str">
        <f t="shared" si="4"/>
        <v/>
      </c>
      <c r="L50" s="39" t="str">
        <f>IF(J50="","",IF('START-HERE'!$C$17="USA",1110,""))</f>
        <v/>
      </c>
      <c r="M50" s="39" t="str">
        <f>VLOOKUP('START-HERE'!$D$20,DATA!$J$9:$K$12,2,FALSE)</f>
        <v>037 US Project (NB)</v>
      </c>
      <c r="N50" s="39">
        <f t="shared" si="5"/>
        <v>0</v>
      </c>
      <c r="O50" s="39" t="str">
        <f t="shared" si="6"/>
        <v/>
      </c>
      <c r="P50" s="126">
        <f t="shared" si="7"/>
        <v>0</v>
      </c>
      <c r="R50" s="115">
        <f t="shared" si="8"/>
        <v>49</v>
      </c>
      <c r="S50" s="115">
        <f t="shared" si="9"/>
        <v>0</v>
      </c>
      <c r="T50" s="29" t="str">
        <f>'EE System Designed BOM'!Q50</f>
        <v/>
      </c>
    </row>
    <row r="51" spans="1:20" s="29" customFormat="1" x14ac:dyDescent="0.25">
      <c r="A51" s="40">
        <f t="shared" si="0"/>
        <v>50</v>
      </c>
      <c r="B51" s="34" t="s">
        <v>9624</v>
      </c>
      <c r="C51" s="39" t="str">
        <f>IF('EE System Designed BOM'!E51="","",IF('EE System Designed BOM'!H51="Y","",'EE System Designed BOM'!E51))</f>
        <v/>
      </c>
      <c r="D51" s="79" t="str">
        <f>IF('EE System Designed BOM'!E51="","",IF('EE System Designed BOM'!H51="Y","",'EE System Designed BOM'!E51))</f>
        <v/>
      </c>
      <c r="E51" s="36" t="str">
        <f t="shared" si="1"/>
        <v/>
      </c>
      <c r="F51" s="39">
        <f t="shared" si="2"/>
        <v>0</v>
      </c>
      <c r="G51" s="124" t="s">
        <v>8604</v>
      </c>
      <c r="H51" s="54" t="str">
        <f>IF(D51="","",'START-HERE'!$C$16)</f>
        <v/>
      </c>
      <c r="I51" s="39" t="str">
        <f>VLOOKUP('START-HERE'!$C$17,DATA!$J$3:$K$6,2,FALSE)</f>
        <v>USD</v>
      </c>
      <c r="J51" s="125" t="str">
        <f t="shared" si="3"/>
        <v/>
      </c>
      <c r="K51" s="39" t="str">
        <f t="shared" si="4"/>
        <v/>
      </c>
      <c r="L51" s="39" t="str">
        <f>IF(J51="","",IF('START-HERE'!$C$17="USA",1110,""))</f>
        <v/>
      </c>
      <c r="M51" s="39" t="str">
        <f>VLOOKUP('START-HERE'!$D$20,DATA!$J$9:$K$12,2,FALSE)</f>
        <v>037 US Project (NB)</v>
      </c>
      <c r="N51" s="39">
        <f t="shared" si="5"/>
        <v>0</v>
      </c>
      <c r="O51" s="39" t="str">
        <f t="shared" si="6"/>
        <v/>
      </c>
      <c r="P51" s="126">
        <f t="shared" si="7"/>
        <v>0</v>
      </c>
      <c r="Q51" s="84"/>
      <c r="R51" s="115">
        <f t="shared" si="8"/>
        <v>50</v>
      </c>
      <c r="S51" s="115">
        <f t="shared" si="9"/>
        <v>0</v>
      </c>
      <c r="T51" s="29" t="str">
        <f>'EE System Designed BOM'!Q51</f>
        <v/>
      </c>
    </row>
    <row r="52" spans="1:20" s="29" customFormat="1" x14ac:dyDescent="0.25">
      <c r="A52" s="40">
        <f t="shared" si="0"/>
        <v>51</v>
      </c>
      <c r="B52" s="34" t="s">
        <v>9624</v>
      </c>
      <c r="C52" s="39" t="str">
        <f>IF('EE System Designed BOM'!E52="","",IF('EE System Designed BOM'!H52="Y","",'EE System Designed BOM'!E52))</f>
        <v/>
      </c>
      <c r="D52" s="79" t="str">
        <f>IF('EE System Designed BOM'!E52="","",IF('EE System Designed BOM'!H52="Y","",'EE System Designed BOM'!E52))</f>
        <v/>
      </c>
      <c r="E52" s="36" t="str">
        <f t="shared" si="1"/>
        <v/>
      </c>
      <c r="F52" s="39">
        <f t="shared" si="2"/>
        <v>0</v>
      </c>
      <c r="G52" s="124" t="s">
        <v>8604</v>
      </c>
      <c r="H52" s="54" t="str">
        <f>IF(D52="","",'START-HERE'!$C$16)</f>
        <v/>
      </c>
      <c r="I52" s="39" t="str">
        <f>VLOOKUP('START-HERE'!$C$17,DATA!$J$3:$K$6,2,FALSE)</f>
        <v>USD</v>
      </c>
      <c r="J52" s="125" t="str">
        <f t="shared" si="3"/>
        <v/>
      </c>
      <c r="K52" s="39" t="str">
        <f t="shared" si="4"/>
        <v/>
      </c>
      <c r="L52" s="39" t="str">
        <f>IF(J52="","",IF('START-HERE'!$C$17="USA",1110,""))</f>
        <v/>
      </c>
      <c r="M52" s="39" t="str">
        <f>VLOOKUP('START-HERE'!$D$20,DATA!$J$9:$K$12,2,FALSE)</f>
        <v>037 US Project (NB)</v>
      </c>
      <c r="N52" s="39">
        <f t="shared" si="5"/>
        <v>0</v>
      </c>
      <c r="O52" s="39" t="str">
        <f t="shared" si="6"/>
        <v/>
      </c>
      <c r="P52" s="126">
        <f t="shared" si="7"/>
        <v>0</v>
      </c>
      <c r="R52" s="115">
        <f t="shared" si="8"/>
        <v>51</v>
      </c>
      <c r="S52" s="115">
        <f t="shared" si="9"/>
        <v>0</v>
      </c>
      <c r="T52" s="29" t="str">
        <f>'EE System Designed BOM'!Q52</f>
        <v/>
      </c>
    </row>
    <row r="53" spans="1:20" s="29" customFormat="1" x14ac:dyDescent="0.25">
      <c r="A53" s="40">
        <f t="shared" si="0"/>
        <v>52</v>
      </c>
      <c r="B53" s="34" t="s">
        <v>9624</v>
      </c>
      <c r="C53" s="39" t="str">
        <f>IF('EE System Designed BOM'!E53="","",IF('EE System Designed BOM'!H53="Y","",'EE System Designed BOM'!E53))</f>
        <v/>
      </c>
      <c r="D53" s="79" t="str">
        <f>IF('EE System Designed BOM'!E53="","",IF('EE System Designed BOM'!H53="Y","",'EE System Designed BOM'!E53))</f>
        <v/>
      </c>
      <c r="E53" s="36" t="str">
        <f t="shared" si="1"/>
        <v/>
      </c>
      <c r="F53" s="39">
        <f t="shared" si="2"/>
        <v>0</v>
      </c>
      <c r="G53" s="124" t="s">
        <v>8604</v>
      </c>
      <c r="H53" s="54" t="str">
        <f>IF(D53="","",'START-HERE'!$C$16)</f>
        <v/>
      </c>
      <c r="I53" s="39" t="str">
        <f>VLOOKUP('START-HERE'!$C$17,DATA!$J$3:$K$6,2,FALSE)</f>
        <v>USD</v>
      </c>
      <c r="J53" s="125" t="str">
        <f t="shared" si="3"/>
        <v/>
      </c>
      <c r="K53" s="39" t="str">
        <f t="shared" si="4"/>
        <v/>
      </c>
      <c r="L53" s="39" t="str">
        <f>IF(J53="","",IF('START-HERE'!$C$17="USA",1110,""))</f>
        <v/>
      </c>
      <c r="M53" s="39" t="str">
        <f>VLOOKUP('START-HERE'!$D$20,DATA!$J$9:$K$12,2,FALSE)</f>
        <v>037 US Project (NB)</v>
      </c>
      <c r="N53" s="39">
        <f t="shared" si="5"/>
        <v>0</v>
      </c>
      <c r="O53" s="39" t="str">
        <f t="shared" si="6"/>
        <v/>
      </c>
      <c r="P53" s="126">
        <f t="shared" si="7"/>
        <v>0</v>
      </c>
      <c r="R53" s="115">
        <f t="shared" si="8"/>
        <v>52</v>
      </c>
      <c r="S53" s="115">
        <f t="shared" si="9"/>
        <v>0</v>
      </c>
      <c r="T53" s="29" t="str">
        <f>'EE System Designed BOM'!Q53</f>
        <v/>
      </c>
    </row>
    <row r="54" spans="1:20" s="29" customFormat="1" x14ac:dyDescent="0.25">
      <c r="A54" s="40">
        <f t="shared" si="0"/>
        <v>53</v>
      </c>
      <c r="B54" s="34" t="s">
        <v>9624</v>
      </c>
      <c r="C54" s="39" t="str">
        <f>IF('EE System Designed BOM'!E54="","",IF('EE System Designed BOM'!H54="Y","",'EE System Designed BOM'!E54))</f>
        <v/>
      </c>
      <c r="D54" s="79" t="str">
        <f>IF('EE System Designed BOM'!E54="","",IF('EE System Designed BOM'!H54="Y","",'EE System Designed BOM'!E54))</f>
        <v/>
      </c>
      <c r="E54" s="36" t="str">
        <f t="shared" si="1"/>
        <v/>
      </c>
      <c r="F54" s="39">
        <f t="shared" si="2"/>
        <v>0</v>
      </c>
      <c r="G54" s="124" t="s">
        <v>8604</v>
      </c>
      <c r="H54" s="54" t="str">
        <f>IF(D54="","",'START-HERE'!$C$16)</f>
        <v/>
      </c>
      <c r="I54" s="39" t="str">
        <f>VLOOKUP('START-HERE'!$C$17,DATA!$J$3:$K$6,2,FALSE)</f>
        <v>USD</v>
      </c>
      <c r="J54" s="125" t="str">
        <f t="shared" si="3"/>
        <v/>
      </c>
      <c r="K54" s="39" t="str">
        <f t="shared" si="4"/>
        <v/>
      </c>
      <c r="L54" s="39" t="str">
        <f>IF(J54="","",IF('START-HERE'!$C$17="USA",1110,""))</f>
        <v/>
      </c>
      <c r="M54" s="39" t="str">
        <f>VLOOKUP('START-HERE'!$D$20,DATA!$J$9:$K$12,2,FALSE)</f>
        <v>037 US Project (NB)</v>
      </c>
      <c r="N54" s="39">
        <f t="shared" si="5"/>
        <v>0</v>
      </c>
      <c r="O54" s="39" t="str">
        <f t="shared" si="6"/>
        <v/>
      </c>
      <c r="P54" s="126">
        <f t="shared" si="7"/>
        <v>0</v>
      </c>
      <c r="R54" s="115">
        <f t="shared" si="8"/>
        <v>53</v>
      </c>
      <c r="S54" s="115">
        <f t="shared" si="9"/>
        <v>0</v>
      </c>
      <c r="T54" s="29" t="str">
        <f>'EE System Designed BOM'!Q54</f>
        <v/>
      </c>
    </row>
    <row r="55" spans="1:20" s="29" customFormat="1" x14ac:dyDescent="0.25">
      <c r="A55" s="40">
        <f t="shared" si="0"/>
        <v>54</v>
      </c>
      <c r="B55" s="34" t="s">
        <v>9624</v>
      </c>
      <c r="C55" s="39" t="str">
        <f>IF('EE System Designed BOM'!E55="","",IF('EE System Designed BOM'!H55="Y","",'EE System Designed BOM'!E55))</f>
        <v/>
      </c>
      <c r="D55" s="79" t="str">
        <f>IF('EE System Designed BOM'!E55="","",IF('EE System Designed BOM'!H55="Y","",'EE System Designed BOM'!E55))</f>
        <v/>
      </c>
      <c r="E55" s="36" t="str">
        <f t="shared" si="1"/>
        <v/>
      </c>
      <c r="F55" s="39">
        <f t="shared" si="2"/>
        <v>0</v>
      </c>
      <c r="G55" s="124" t="s">
        <v>8604</v>
      </c>
      <c r="H55" s="54" t="str">
        <f>IF(D55="","",'START-HERE'!$C$16)</f>
        <v/>
      </c>
      <c r="I55" s="39" t="str">
        <f>VLOOKUP('START-HERE'!$C$17,DATA!$J$3:$K$6,2,FALSE)</f>
        <v>USD</v>
      </c>
      <c r="J55" s="125" t="str">
        <f t="shared" si="3"/>
        <v/>
      </c>
      <c r="K55" s="39" t="str">
        <f t="shared" si="4"/>
        <v/>
      </c>
      <c r="L55" s="39" t="str">
        <f>IF(J55="","",IF('START-HERE'!$C$17="USA",1110,""))</f>
        <v/>
      </c>
      <c r="M55" s="39" t="str">
        <f>VLOOKUP('START-HERE'!$D$20,DATA!$J$9:$K$12,2,FALSE)</f>
        <v>037 US Project (NB)</v>
      </c>
      <c r="N55" s="39">
        <f t="shared" si="5"/>
        <v>0</v>
      </c>
      <c r="O55" s="39" t="str">
        <f t="shared" si="6"/>
        <v/>
      </c>
      <c r="P55" s="126">
        <f t="shared" si="7"/>
        <v>0</v>
      </c>
      <c r="Q55" s="84"/>
      <c r="R55" s="115">
        <f t="shared" si="8"/>
        <v>54</v>
      </c>
      <c r="S55" s="115">
        <f t="shared" si="9"/>
        <v>0</v>
      </c>
      <c r="T55" s="29" t="str">
        <f>'EE System Designed BOM'!Q55</f>
        <v/>
      </c>
    </row>
    <row r="56" spans="1:20" s="29" customFormat="1" x14ac:dyDescent="0.25">
      <c r="A56" s="40">
        <f t="shared" si="0"/>
        <v>55</v>
      </c>
      <c r="B56" s="34" t="s">
        <v>9624</v>
      </c>
      <c r="C56" s="39" t="str">
        <f>IF('EE System Designed BOM'!E56="","",IF('EE System Designed BOM'!H56="Y","",'EE System Designed BOM'!E56))</f>
        <v/>
      </c>
      <c r="D56" s="79" t="str">
        <f>IF('EE System Designed BOM'!E56="","",IF('EE System Designed BOM'!H56="Y","",'EE System Designed BOM'!E56))</f>
        <v/>
      </c>
      <c r="E56" s="36" t="str">
        <f t="shared" si="1"/>
        <v/>
      </c>
      <c r="F56" s="39">
        <f t="shared" si="2"/>
        <v>0</v>
      </c>
      <c r="G56" s="124" t="s">
        <v>8604</v>
      </c>
      <c r="H56" s="54" t="str">
        <f>IF(D56="","",'START-HERE'!$C$16)</f>
        <v/>
      </c>
      <c r="I56" s="39" t="str">
        <f>VLOOKUP('START-HERE'!$C$17,DATA!$J$3:$K$6,2,FALSE)</f>
        <v>USD</v>
      </c>
      <c r="J56" s="125" t="str">
        <f t="shared" si="3"/>
        <v/>
      </c>
      <c r="K56" s="39" t="str">
        <f t="shared" si="4"/>
        <v/>
      </c>
      <c r="L56" s="39" t="str">
        <f>IF(J56="","",IF('START-HERE'!$C$17="USA",1110,""))</f>
        <v/>
      </c>
      <c r="M56" s="39" t="str">
        <f>VLOOKUP('START-HERE'!$D$20,DATA!$J$9:$K$12,2,FALSE)</f>
        <v>037 US Project (NB)</v>
      </c>
      <c r="N56" s="39">
        <f t="shared" si="5"/>
        <v>0</v>
      </c>
      <c r="O56" s="39" t="str">
        <f t="shared" si="6"/>
        <v/>
      </c>
      <c r="P56" s="126">
        <f t="shared" si="7"/>
        <v>0</v>
      </c>
      <c r="R56" s="115">
        <f t="shared" si="8"/>
        <v>55</v>
      </c>
      <c r="S56" s="115">
        <f t="shared" si="9"/>
        <v>0</v>
      </c>
      <c r="T56" s="29" t="str">
        <f>'EE System Designed BOM'!Q56</f>
        <v/>
      </c>
    </row>
    <row r="57" spans="1:20" s="29" customFormat="1" x14ac:dyDescent="0.25">
      <c r="A57" s="40">
        <f t="shared" si="0"/>
        <v>56</v>
      </c>
      <c r="B57" s="34" t="s">
        <v>9624</v>
      </c>
      <c r="C57" s="39" t="str">
        <f>IF('EE System Designed BOM'!E57="","",IF('EE System Designed BOM'!H57="Y","",'EE System Designed BOM'!E57))</f>
        <v/>
      </c>
      <c r="D57" s="79" t="str">
        <f>IF('EE System Designed BOM'!E57="","",IF('EE System Designed BOM'!H57="Y","",'EE System Designed BOM'!E57))</f>
        <v/>
      </c>
      <c r="E57" s="36" t="str">
        <f t="shared" si="1"/>
        <v/>
      </c>
      <c r="F57" s="39">
        <f t="shared" si="2"/>
        <v>0</v>
      </c>
      <c r="G57" s="124" t="s">
        <v>8604</v>
      </c>
      <c r="H57" s="54" t="str">
        <f>IF(D57="","",'START-HERE'!$C$16)</f>
        <v/>
      </c>
      <c r="I57" s="39" t="str">
        <f>VLOOKUP('START-HERE'!$C$17,DATA!$J$3:$K$6,2,FALSE)</f>
        <v>USD</v>
      </c>
      <c r="J57" s="125" t="str">
        <f t="shared" si="3"/>
        <v/>
      </c>
      <c r="K57" s="39" t="str">
        <f t="shared" si="4"/>
        <v/>
      </c>
      <c r="L57" s="39" t="str">
        <f>IF(J57="","",IF('START-HERE'!$C$17="USA",1110,""))</f>
        <v/>
      </c>
      <c r="M57" s="39" t="str">
        <f>VLOOKUP('START-HERE'!$D$20,DATA!$J$9:$K$12,2,FALSE)</f>
        <v>037 US Project (NB)</v>
      </c>
      <c r="N57" s="39">
        <f t="shared" si="5"/>
        <v>0</v>
      </c>
      <c r="O57" s="39" t="str">
        <f t="shared" si="6"/>
        <v/>
      </c>
      <c r="P57" s="126">
        <f t="shared" si="7"/>
        <v>0</v>
      </c>
      <c r="R57" s="115">
        <f t="shared" si="8"/>
        <v>56</v>
      </c>
      <c r="S57" s="115">
        <f t="shared" si="9"/>
        <v>0</v>
      </c>
      <c r="T57" s="29" t="str">
        <f>'EE System Designed BOM'!Q57</f>
        <v/>
      </c>
    </row>
    <row r="58" spans="1:20" s="29" customFormat="1" x14ac:dyDescent="0.25">
      <c r="A58" s="40">
        <f t="shared" si="0"/>
        <v>57</v>
      </c>
      <c r="B58" s="34" t="s">
        <v>9624</v>
      </c>
      <c r="C58" s="39" t="str">
        <f>IF('EE System Designed BOM'!E58="","",IF('EE System Designed BOM'!H58="Y","",'EE System Designed BOM'!E58))</f>
        <v/>
      </c>
      <c r="D58" s="79" t="str">
        <f>IF('EE System Designed BOM'!E58="","",IF('EE System Designed BOM'!H58="Y","",'EE System Designed BOM'!E58))</f>
        <v/>
      </c>
      <c r="E58" s="36" t="str">
        <f t="shared" si="1"/>
        <v/>
      </c>
      <c r="F58" s="39">
        <f t="shared" si="2"/>
        <v>0</v>
      </c>
      <c r="G58" s="124" t="s">
        <v>8604</v>
      </c>
      <c r="H58" s="54" t="str">
        <f>IF(D58="","",'START-HERE'!$C$16)</f>
        <v/>
      </c>
      <c r="I58" s="39" t="str">
        <f>VLOOKUP('START-HERE'!$C$17,DATA!$J$3:$K$6,2,FALSE)</f>
        <v>USD</v>
      </c>
      <c r="J58" s="125" t="str">
        <f t="shared" si="3"/>
        <v/>
      </c>
      <c r="K58" s="39" t="str">
        <f t="shared" si="4"/>
        <v/>
      </c>
      <c r="L58" s="39" t="str">
        <f>IF(J58="","",IF('START-HERE'!$C$17="USA",1110,""))</f>
        <v/>
      </c>
      <c r="M58" s="39" t="str">
        <f>VLOOKUP('START-HERE'!$D$20,DATA!$J$9:$K$12,2,FALSE)</f>
        <v>037 US Project (NB)</v>
      </c>
      <c r="N58" s="39">
        <f t="shared" si="5"/>
        <v>0</v>
      </c>
      <c r="O58" s="39" t="str">
        <f t="shared" si="6"/>
        <v/>
      </c>
      <c r="P58" s="126">
        <f t="shared" si="7"/>
        <v>0</v>
      </c>
      <c r="R58" s="115">
        <f t="shared" si="8"/>
        <v>57</v>
      </c>
      <c r="S58" s="115">
        <f t="shared" si="9"/>
        <v>0</v>
      </c>
      <c r="T58" s="29" t="str">
        <f>'EE System Designed BOM'!Q58</f>
        <v/>
      </c>
    </row>
    <row r="59" spans="1:20" s="29" customFormat="1" x14ac:dyDescent="0.25">
      <c r="A59" s="40">
        <f t="shared" si="0"/>
        <v>58</v>
      </c>
      <c r="B59" s="34" t="s">
        <v>9624</v>
      </c>
      <c r="C59" s="39" t="str">
        <f>IF('EE System Designed BOM'!E59="","",IF('EE System Designed BOM'!H59="Y","",'EE System Designed BOM'!E59))</f>
        <v/>
      </c>
      <c r="D59" s="79" t="str">
        <f>IF('EE System Designed BOM'!E59="","",IF('EE System Designed BOM'!H59="Y","",'EE System Designed BOM'!E59))</f>
        <v/>
      </c>
      <c r="E59" s="36" t="str">
        <f t="shared" si="1"/>
        <v/>
      </c>
      <c r="F59" s="39">
        <f t="shared" si="2"/>
        <v>0</v>
      </c>
      <c r="G59" s="124" t="s">
        <v>8604</v>
      </c>
      <c r="H59" s="54" t="str">
        <f>IF(D59="","",'START-HERE'!$C$16)</f>
        <v/>
      </c>
      <c r="I59" s="39" t="str">
        <f>VLOOKUP('START-HERE'!$C$17,DATA!$J$3:$K$6,2,FALSE)</f>
        <v>USD</v>
      </c>
      <c r="J59" s="125" t="str">
        <f t="shared" si="3"/>
        <v/>
      </c>
      <c r="K59" s="39" t="str">
        <f t="shared" si="4"/>
        <v/>
      </c>
      <c r="L59" s="39" t="str">
        <f>IF(J59="","",IF('START-HERE'!$C$17="USA",1110,""))</f>
        <v/>
      </c>
      <c r="M59" s="39" t="str">
        <f>VLOOKUP('START-HERE'!$D$20,DATA!$J$9:$K$12,2,FALSE)</f>
        <v>037 US Project (NB)</v>
      </c>
      <c r="N59" s="39">
        <f t="shared" si="5"/>
        <v>0</v>
      </c>
      <c r="O59" s="39" t="str">
        <f t="shared" si="6"/>
        <v/>
      </c>
      <c r="P59" s="126">
        <f t="shared" si="7"/>
        <v>0</v>
      </c>
      <c r="Q59" s="84"/>
      <c r="R59" s="115">
        <f t="shared" si="8"/>
        <v>58</v>
      </c>
      <c r="S59" s="115">
        <f t="shared" si="9"/>
        <v>0</v>
      </c>
      <c r="T59" s="29" t="str">
        <f>'EE System Designed BOM'!Q59</f>
        <v/>
      </c>
    </row>
    <row r="60" spans="1:20" s="29" customFormat="1" x14ac:dyDescent="0.25">
      <c r="A60" s="40">
        <f t="shared" si="0"/>
        <v>59</v>
      </c>
      <c r="B60" s="34" t="s">
        <v>9624</v>
      </c>
      <c r="C60" s="39" t="str">
        <f>IF('EE System Designed BOM'!E60="","",IF('EE System Designed BOM'!H60="Y","",'EE System Designed BOM'!E60))</f>
        <v/>
      </c>
      <c r="D60" s="79" t="str">
        <f>IF('EE System Designed BOM'!E60="","",IF('EE System Designed BOM'!H60="Y","",'EE System Designed BOM'!E60))</f>
        <v/>
      </c>
      <c r="E60" s="36" t="str">
        <f t="shared" si="1"/>
        <v/>
      </c>
      <c r="F60" s="39">
        <f t="shared" si="2"/>
        <v>0</v>
      </c>
      <c r="G60" s="124" t="s">
        <v>8604</v>
      </c>
      <c r="H60" s="54" t="str">
        <f>IF(D60="","",'START-HERE'!$C$16)</f>
        <v/>
      </c>
      <c r="I60" s="39" t="str">
        <f>VLOOKUP('START-HERE'!$C$17,DATA!$J$3:$K$6,2,FALSE)</f>
        <v>USD</v>
      </c>
      <c r="J60" s="125" t="str">
        <f t="shared" si="3"/>
        <v/>
      </c>
      <c r="K60" s="39" t="str">
        <f t="shared" si="4"/>
        <v/>
      </c>
      <c r="L60" s="39" t="str">
        <f>IF(J60="","",IF('START-HERE'!$C$17="USA",1110,""))</f>
        <v/>
      </c>
      <c r="M60" s="39" t="str">
        <f>VLOOKUP('START-HERE'!$D$20,DATA!$J$9:$K$12,2,FALSE)</f>
        <v>037 US Project (NB)</v>
      </c>
      <c r="N60" s="39">
        <f t="shared" si="5"/>
        <v>0</v>
      </c>
      <c r="O60" s="39" t="str">
        <f t="shared" si="6"/>
        <v/>
      </c>
      <c r="P60" s="126">
        <f t="shared" si="7"/>
        <v>0</v>
      </c>
      <c r="R60" s="115">
        <f t="shared" si="8"/>
        <v>59</v>
      </c>
      <c r="S60" s="115">
        <f t="shared" si="9"/>
        <v>0</v>
      </c>
      <c r="T60" s="29" t="str">
        <f>'EE System Designed BOM'!Q60</f>
        <v/>
      </c>
    </row>
    <row r="61" spans="1:20" s="29" customFormat="1" x14ac:dyDescent="0.25">
      <c r="A61" s="40">
        <f t="shared" si="0"/>
        <v>60</v>
      </c>
      <c r="B61" s="34" t="s">
        <v>9624</v>
      </c>
      <c r="C61" s="39" t="str">
        <f>IF('EE System Designed BOM'!E61="","",IF('EE System Designed BOM'!H61="Y","",'EE System Designed BOM'!E61))</f>
        <v/>
      </c>
      <c r="D61" s="79" t="str">
        <f>IF('EE System Designed BOM'!E61="","",IF('EE System Designed BOM'!H61="Y","",'EE System Designed BOM'!E61))</f>
        <v/>
      </c>
      <c r="E61" s="36" t="str">
        <f t="shared" si="1"/>
        <v/>
      </c>
      <c r="F61" s="39">
        <f t="shared" si="2"/>
        <v>0</v>
      </c>
      <c r="G61" s="124" t="s">
        <v>8604</v>
      </c>
      <c r="H61" s="54" t="str">
        <f>IF(D61="","",'START-HERE'!$C$16)</f>
        <v/>
      </c>
      <c r="I61" s="39" t="str">
        <f>VLOOKUP('START-HERE'!$C$17,DATA!$J$3:$K$6,2,FALSE)</f>
        <v>USD</v>
      </c>
      <c r="J61" s="125" t="str">
        <f t="shared" si="3"/>
        <v/>
      </c>
      <c r="K61" s="39" t="str">
        <f t="shared" si="4"/>
        <v/>
      </c>
      <c r="L61" s="39" t="str">
        <f>IF(J61="","",IF('START-HERE'!$C$17="USA",1110,""))</f>
        <v/>
      </c>
      <c r="M61" s="39" t="str">
        <f>VLOOKUP('START-HERE'!$D$20,DATA!$J$9:$K$12,2,FALSE)</f>
        <v>037 US Project (NB)</v>
      </c>
      <c r="N61" s="39">
        <f t="shared" si="5"/>
        <v>0</v>
      </c>
      <c r="O61" s="39" t="str">
        <f t="shared" si="6"/>
        <v/>
      </c>
      <c r="P61" s="126">
        <f t="shared" si="7"/>
        <v>0</v>
      </c>
      <c r="R61" s="115">
        <f t="shared" si="8"/>
        <v>60</v>
      </c>
      <c r="S61" s="115">
        <f t="shared" si="9"/>
        <v>0</v>
      </c>
      <c r="T61" s="29" t="str">
        <f>'EE System Designed BOM'!Q61</f>
        <v/>
      </c>
    </row>
    <row r="62" spans="1:20" s="29" customFormat="1" x14ac:dyDescent="0.25">
      <c r="A62" s="40">
        <f t="shared" si="0"/>
        <v>61</v>
      </c>
      <c r="B62" s="34" t="s">
        <v>9624</v>
      </c>
      <c r="C62" s="39" t="str">
        <f>IF('EE System Designed BOM'!E62="","",IF('EE System Designed BOM'!H62="Y","",'EE System Designed BOM'!E62))</f>
        <v/>
      </c>
      <c r="D62" s="79" t="str">
        <f>IF('EE System Designed BOM'!E62="","",IF('EE System Designed BOM'!H62="Y","",'EE System Designed BOM'!E62))</f>
        <v/>
      </c>
      <c r="E62" s="36" t="str">
        <f t="shared" si="1"/>
        <v/>
      </c>
      <c r="F62" s="39">
        <f t="shared" si="2"/>
        <v>0</v>
      </c>
      <c r="G62" s="124" t="s">
        <v>8604</v>
      </c>
      <c r="H62" s="54" t="str">
        <f>IF(D62="","",'START-HERE'!$C$16)</f>
        <v/>
      </c>
      <c r="I62" s="39" t="str">
        <f>VLOOKUP('START-HERE'!$C$17,DATA!$J$3:$K$6,2,FALSE)</f>
        <v>USD</v>
      </c>
      <c r="J62" s="125" t="str">
        <f t="shared" si="3"/>
        <v/>
      </c>
      <c r="K62" s="39" t="str">
        <f t="shared" si="4"/>
        <v/>
      </c>
      <c r="L62" s="39" t="str">
        <f>IF(J62="","",IF('START-HERE'!$C$17="USA",1110,""))</f>
        <v/>
      </c>
      <c r="M62" s="39" t="str">
        <f>VLOOKUP('START-HERE'!$D$20,DATA!$J$9:$K$12,2,FALSE)</f>
        <v>037 US Project (NB)</v>
      </c>
      <c r="N62" s="39">
        <f t="shared" si="5"/>
        <v>0</v>
      </c>
      <c r="O62" s="39" t="str">
        <f t="shared" si="6"/>
        <v/>
      </c>
      <c r="P62" s="126">
        <f t="shared" si="7"/>
        <v>0</v>
      </c>
      <c r="R62" s="115">
        <f t="shared" si="8"/>
        <v>61</v>
      </c>
      <c r="S62" s="115">
        <f t="shared" si="9"/>
        <v>0</v>
      </c>
      <c r="T62" s="29" t="str">
        <f>'EE System Designed BOM'!Q62</f>
        <v/>
      </c>
    </row>
    <row r="63" spans="1:20" s="29" customFormat="1" x14ac:dyDescent="0.25">
      <c r="A63" s="40">
        <f t="shared" si="0"/>
        <v>62</v>
      </c>
      <c r="B63" s="34" t="s">
        <v>9624</v>
      </c>
      <c r="C63" s="39" t="str">
        <f>IF('EE System Designed BOM'!E63="","",IF('EE System Designed BOM'!H63="Y","",'EE System Designed BOM'!E63))</f>
        <v/>
      </c>
      <c r="D63" s="79" t="str">
        <f>IF('EE System Designed BOM'!E63="","",IF('EE System Designed BOM'!H63="Y","",'EE System Designed BOM'!E63))</f>
        <v/>
      </c>
      <c r="E63" s="36" t="str">
        <f t="shared" si="1"/>
        <v/>
      </c>
      <c r="F63" s="39">
        <f t="shared" si="2"/>
        <v>0</v>
      </c>
      <c r="G63" s="124" t="s">
        <v>8604</v>
      </c>
      <c r="H63" s="54" t="str">
        <f>IF(D63="","",'START-HERE'!$C$16)</f>
        <v/>
      </c>
      <c r="I63" s="39" t="str">
        <f>VLOOKUP('START-HERE'!$C$17,DATA!$J$3:$K$6,2,FALSE)</f>
        <v>USD</v>
      </c>
      <c r="J63" s="125" t="str">
        <f t="shared" si="3"/>
        <v/>
      </c>
      <c r="K63" s="39" t="str">
        <f t="shared" si="4"/>
        <v/>
      </c>
      <c r="L63" s="39" t="str">
        <f>IF(J63="","",IF('START-HERE'!$C$17="USA",1110,""))</f>
        <v/>
      </c>
      <c r="M63" s="39" t="str">
        <f>VLOOKUP('START-HERE'!$D$20,DATA!$J$9:$K$12,2,FALSE)</f>
        <v>037 US Project (NB)</v>
      </c>
      <c r="N63" s="39">
        <f t="shared" si="5"/>
        <v>0</v>
      </c>
      <c r="O63" s="39" t="str">
        <f t="shared" si="6"/>
        <v/>
      </c>
      <c r="P63" s="126">
        <f t="shared" si="7"/>
        <v>0</v>
      </c>
      <c r="Q63" s="84"/>
      <c r="R63" s="115">
        <f t="shared" si="8"/>
        <v>62</v>
      </c>
      <c r="S63" s="115">
        <f t="shared" si="9"/>
        <v>0</v>
      </c>
      <c r="T63" s="29" t="str">
        <f>'EE System Designed BOM'!Q63</f>
        <v/>
      </c>
    </row>
    <row r="64" spans="1:20" s="29" customFormat="1" x14ac:dyDescent="0.25">
      <c r="A64" s="40">
        <f t="shared" si="0"/>
        <v>63</v>
      </c>
      <c r="B64" s="34" t="s">
        <v>9624</v>
      </c>
      <c r="C64" s="39" t="str">
        <f>IF('EE System Designed BOM'!E64="","",IF('EE System Designed BOM'!H64="Y","",'EE System Designed BOM'!E64))</f>
        <v/>
      </c>
      <c r="D64" s="79" t="str">
        <f>IF('EE System Designed BOM'!E64="","",IF('EE System Designed BOM'!H64="Y","",'EE System Designed BOM'!E64))</f>
        <v/>
      </c>
      <c r="E64" s="36" t="str">
        <f t="shared" si="1"/>
        <v/>
      </c>
      <c r="F64" s="39">
        <f t="shared" si="2"/>
        <v>0</v>
      </c>
      <c r="G64" s="124" t="s">
        <v>8604</v>
      </c>
      <c r="H64" s="54" t="str">
        <f>IF(D64="","",'START-HERE'!$C$16)</f>
        <v/>
      </c>
      <c r="I64" s="39" t="str">
        <f>VLOOKUP('START-HERE'!$C$17,DATA!$J$3:$K$6,2,FALSE)</f>
        <v>USD</v>
      </c>
      <c r="J64" s="125" t="str">
        <f t="shared" si="3"/>
        <v/>
      </c>
      <c r="K64" s="39" t="str">
        <f t="shared" si="4"/>
        <v/>
      </c>
      <c r="L64" s="39" t="str">
        <f>IF(J64="","",IF('START-HERE'!$C$17="USA",1110,""))</f>
        <v/>
      </c>
      <c r="M64" s="39" t="str">
        <f>VLOOKUP('START-HERE'!$D$20,DATA!$J$9:$K$12,2,FALSE)</f>
        <v>037 US Project (NB)</v>
      </c>
      <c r="N64" s="39">
        <f t="shared" si="5"/>
        <v>0</v>
      </c>
      <c r="O64" s="39" t="str">
        <f t="shared" si="6"/>
        <v/>
      </c>
      <c r="P64" s="126">
        <f t="shared" si="7"/>
        <v>0</v>
      </c>
      <c r="R64" s="115">
        <f t="shared" si="8"/>
        <v>63</v>
      </c>
      <c r="S64" s="115">
        <f t="shared" si="9"/>
        <v>0</v>
      </c>
      <c r="T64" s="29" t="str">
        <f>'EE System Designed BOM'!Q64</f>
        <v/>
      </c>
    </row>
    <row r="65" spans="1:20" s="29" customFormat="1" x14ac:dyDescent="0.25">
      <c r="A65" s="40">
        <f t="shared" si="0"/>
        <v>64</v>
      </c>
      <c r="B65" s="34" t="s">
        <v>9624</v>
      </c>
      <c r="C65" s="39" t="str">
        <f>IF('EE System Designed BOM'!E65="","",IF('EE System Designed BOM'!H65="Y","",'EE System Designed BOM'!E65))</f>
        <v/>
      </c>
      <c r="D65" s="79" t="str">
        <f>IF('EE System Designed BOM'!E65="","",IF('EE System Designed BOM'!H65="Y","",'EE System Designed BOM'!E65))</f>
        <v/>
      </c>
      <c r="E65" s="36" t="str">
        <f t="shared" si="1"/>
        <v/>
      </c>
      <c r="F65" s="39">
        <f t="shared" si="2"/>
        <v>0</v>
      </c>
      <c r="G65" s="124" t="s">
        <v>8604</v>
      </c>
      <c r="H65" s="54" t="str">
        <f>IF(D65="","",'START-HERE'!$C$16)</f>
        <v/>
      </c>
      <c r="I65" s="39" t="str">
        <f>VLOOKUP('START-HERE'!$C$17,DATA!$J$3:$K$6,2,FALSE)</f>
        <v>USD</v>
      </c>
      <c r="J65" s="125" t="str">
        <f t="shared" si="3"/>
        <v/>
      </c>
      <c r="K65" s="39" t="str">
        <f t="shared" si="4"/>
        <v/>
      </c>
      <c r="L65" s="39" t="str">
        <f>IF(J65="","",IF('START-HERE'!$C$17="USA",1110,""))</f>
        <v/>
      </c>
      <c r="M65" s="39" t="str">
        <f>VLOOKUP('START-HERE'!$D$20,DATA!$J$9:$K$12,2,FALSE)</f>
        <v>037 US Project (NB)</v>
      </c>
      <c r="N65" s="39">
        <f t="shared" si="5"/>
        <v>0</v>
      </c>
      <c r="O65" s="39" t="str">
        <f t="shared" si="6"/>
        <v/>
      </c>
      <c r="P65" s="126">
        <f t="shared" si="7"/>
        <v>0</v>
      </c>
      <c r="R65" s="115">
        <f t="shared" si="8"/>
        <v>64</v>
      </c>
      <c r="S65" s="115">
        <f t="shared" si="9"/>
        <v>0</v>
      </c>
      <c r="T65" s="29" t="str">
        <f>'EE System Designed BOM'!Q65</f>
        <v/>
      </c>
    </row>
    <row r="66" spans="1:20" s="29" customFormat="1" x14ac:dyDescent="0.25">
      <c r="A66" s="40">
        <f t="shared" ref="A66:A129" si="10">ROW()-1</f>
        <v>65</v>
      </c>
      <c r="B66" s="34" t="s">
        <v>9624</v>
      </c>
      <c r="C66" s="39" t="str">
        <f>IF('EE System Designed BOM'!E66="","",IF('EE System Designed BOM'!H66="Y","",'EE System Designed BOM'!E66))</f>
        <v/>
      </c>
      <c r="D66" s="79" t="str">
        <f>IF('EE System Designed BOM'!E66="","",IF('EE System Designed BOM'!H66="Y","",'EE System Designed BOM'!E66))</f>
        <v/>
      </c>
      <c r="E66" s="36" t="str">
        <f t="shared" ref="E66:E129" si="11">IF(D66="","","C.id-"&amp;R66&amp;"-  "&amp;IFERROR(INDEX(ONGEN_PRICING_DESCRIPTIONS,MATCH(D66,ONGEN_PRICING_PARTS,0)),""))</f>
        <v/>
      </c>
      <c r="F66" s="39">
        <f t="shared" ref="F66:F129" si="12">IFERROR(INDEX(ONGEN_EEBOM_QTY,MATCH(T66,ONGEN_EEBOM_KEYS,0)),0)</f>
        <v>0</v>
      </c>
      <c r="G66" s="124" t="s">
        <v>8604</v>
      </c>
      <c r="H66" s="54" t="str">
        <f>IF(D66="","",'START-HERE'!$C$16)</f>
        <v/>
      </c>
      <c r="I66" s="39" t="str">
        <f>VLOOKUP('START-HERE'!$C$17,DATA!$J$3:$K$6,2,FALSE)</f>
        <v>USD</v>
      </c>
      <c r="J66" s="125" t="str">
        <f t="shared" ref="J66:J129" si="13">IFERROR(IF(INDEX(ONGEN_EEBOM_PURCHASE_BY,MATCH(D66,ONGEN_EEBOM_PARTS,0))="By EE Installer","",IF(D66="","",INDEX(ONGEN_PRICING_COSTS,MATCH(D66,ONGEN_PRICING_PARTS,0))*F66)),"")</f>
        <v/>
      </c>
      <c r="K66" s="39" t="str">
        <f t="shared" ref="K66:K129" si="14">IF(D66="","",IFERROR(INDEX(ONGEN_PRICING_MATGROUP,MATCH(D66,ONGEN_PRICING_PARTS,0)),""))</f>
        <v/>
      </c>
      <c r="L66" s="39" t="str">
        <f>IF(J66="","",IF('START-HERE'!$C$17="USA",1110,""))</f>
        <v/>
      </c>
      <c r="M66" s="39" t="str">
        <f>VLOOKUP('START-HERE'!$D$20,DATA!$J$9:$K$12,2,FALSE)</f>
        <v>037 US Project (NB)</v>
      </c>
      <c r="N66" s="39">
        <f t="shared" ref="N66:N129" si="15">IFERROR(INDEX(ONGEN_EEBOM_SAP_VENDOR,MATCH(T66,ONGEN_EEBOM_KEYS,0)),0)</f>
        <v>0</v>
      </c>
      <c r="O66" s="39" t="str">
        <f t="shared" ref="O66:O129" si="16">IF(L66=1110,1100,"")</f>
        <v/>
      </c>
      <c r="P66" s="126">
        <f t="shared" ref="P66:P129" si="17">IFERROR(INDEX(ONGEN_EEBOM_CONVID,MATCH(T66,ONGEN_EEBOM_KEYS,0)),0)</f>
        <v>0</v>
      </c>
      <c r="R66" s="115">
        <f t="shared" ref="R66:R129" si="18">ROW()-1</f>
        <v>65</v>
      </c>
      <c r="S66" s="115">
        <f t="shared" ref="S66:S129" si="19">IFERROR(INDEX(ONGEN_EEBOM_PLC,MATCH(T66,ONGEN_EEBOM_KEYS,0)),0)</f>
        <v>0</v>
      </c>
      <c r="T66" s="29" t="str">
        <f>'EE System Designed BOM'!Q66</f>
        <v/>
      </c>
    </row>
    <row r="67" spans="1:20" s="29" customFormat="1" x14ac:dyDescent="0.25">
      <c r="A67" s="40">
        <f t="shared" si="10"/>
        <v>66</v>
      </c>
      <c r="B67" s="34" t="s">
        <v>9624</v>
      </c>
      <c r="C67" s="39" t="str">
        <f>IF('EE System Designed BOM'!E67="","",IF('EE System Designed BOM'!H67="Y","",'EE System Designed BOM'!E67))</f>
        <v/>
      </c>
      <c r="D67" s="79" t="str">
        <f>IF('EE System Designed BOM'!E67="","",IF('EE System Designed BOM'!H67="Y","",'EE System Designed BOM'!E67))</f>
        <v/>
      </c>
      <c r="E67" s="36" t="str">
        <f t="shared" si="11"/>
        <v/>
      </c>
      <c r="F67" s="39">
        <f t="shared" si="12"/>
        <v>0</v>
      </c>
      <c r="G67" s="124" t="s">
        <v>8604</v>
      </c>
      <c r="H67" s="54" t="str">
        <f>IF(D67="","",'START-HERE'!$C$16)</f>
        <v/>
      </c>
      <c r="I67" s="39" t="str">
        <f>VLOOKUP('START-HERE'!$C$17,DATA!$J$3:$K$6,2,FALSE)</f>
        <v>USD</v>
      </c>
      <c r="J67" s="125" t="str">
        <f t="shared" si="13"/>
        <v/>
      </c>
      <c r="K67" s="39" t="str">
        <f t="shared" si="14"/>
        <v/>
      </c>
      <c r="L67" s="39" t="str">
        <f>IF(J67="","",IF('START-HERE'!$C$17="USA",1110,""))</f>
        <v/>
      </c>
      <c r="M67" s="39" t="str">
        <f>VLOOKUP('START-HERE'!$D$20,DATA!$J$9:$K$12,2,FALSE)</f>
        <v>037 US Project (NB)</v>
      </c>
      <c r="N67" s="39">
        <f t="shared" si="15"/>
        <v>0</v>
      </c>
      <c r="O67" s="39" t="str">
        <f t="shared" si="16"/>
        <v/>
      </c>
      <c r="P67" s="126">
        <f t="shared" si="17"/>
        <v>0</v>
      </c>
      <c r="Q67" s="84"/>
      <c r="R67" s="115">
        <f t="shared" si="18"/>
        <v>66</v>
      </c>
      <c r="S67" s="115">
        <f t="shared" si="19"/>
        <v>0</v>
      </c>
      <c r="T67" s="29" t="str">
        <f>'EE System Designed BOM'!Q67</f>
        <v/>
      </c>
    </row>
    <row r="68" spans="1:20" s="29" customFormat="1" x14ac:dyDescent="0.25">
      <c r="A68" s="40">
        <f t="shared" si="10"/>
        <v>67</v>
      </c>
      <c r="B68" s="34" t="s">
        <v>9624</v>
      </c>
      <c r="C68" s="39" t="str">
        <f>IF('EE System Designed BOM'!E68="","",IF('EE System Designed BOM'!H68="Y","",'EE System Designed BOM'!E68))</f>
        <v/>
      </c>
      <c r="D68" s="79" t="str">
        <f>IF('EE System Designed BOM'!E68="","",IF('EE System Designed BOM'!H68="Y","",'EE System Designed BOM'!E68))</f>
        <v/>
      </c>
      <c r="E68" s="36" t="str">
        <f t="shared" si="11"/>
        <v/>
      </c>
      <c r="F68" s="39">
        <f t="shared" si="12"/>
        <v>0</v>
      </c>
      <c r="G68" s="124" t="s">
        <v>8604</v>
      </c>
      <c r="H68" s="54" t="str">
        <f>IF(D68="","",'START-HERE'!$C$16)</f>
        <v/>
      </c>
      <c r="I68" s="39" t="str">
        <f>VLOOKUP('START-HERE'!$C$17,DATA!$J$3:$K$6,2,FALSE)</f>
        <v>USD</v>
      </c>
      <c r="J68" s="125" t="str">
        <f t="shared" si="13"/>
        <v/>
      </c>
      <c r="K68" s="39" t="str">
        <f t="shared" si="14"/>
        <v/>
      </c>
      <c r="L68" s="39" t="str">
        <f>IF(J68="","",IF('START-HERE'!$C$17="USA",1110,""))</f>
        <v/>
      </c>
      <c r="M68" s="39" t="str">
        <f>VLOOKUP('START-HERE'!$D$20,DATA!$J$9:$K$12,2,FALSE)</f>
        <v>037 US Project (NB)</v>
      </c>
      <c r="N68" s="39">
        <f t="shared" si="15"/>
        <v>0</v>
      </c>
      <c r="O68" s="39" t="str">
        <f t="shared" si="16"/>
        <v/>
      </c>
      <c r="P68" s="126">
        <f t="shared" si="17"/>
        <v>0</v>
      </c>
      <c r="R68" s="115">
        <f t="shared" si="18"/>
        <v>67</v>
      </c>
      <c r="S68" s="115">
        <f t="shared" si="19"/>
        <v>0</v>
      </c>
      <c r="T68" s="29" t="str">
        <f>'EE System Designed BOM'!Q68</f>
        <v/>
      </c>
    </row>
    <row r="69" spans="1:20" s="29" customFormat="1" x14ac:dyDescent="0.25">
      <c r="A69" s="40">
        <f t="shared" si="10"/>
        <v>68</v>
      </c>
      <c r="B69" s="34" t="s">
        <v>9624</v>
      </c>
      <c r="C69" s="39" t="str">
        <f>IF('EE System Designed BOM'!E69="","",IF('EE System Designed BOM'!H69="Y","",'EE System Designed BOM'!E69))</f>
        <v/>
      </c>
      <c r="D69" s="79" t="str">
        <f>IF('EE System Designed BOM'!E69="","",IF('EE System Designed BOM'!H69="Y","",'EE System Designed BOM'!E69))</f>
        <v/>
      </c>
      <c r="E69" s="36" t="str">
        <f t="shared" si="11"/>
        <v/>
      </c>
      <c r="F69" s="39">
        <f t="shared" si="12"/>
        <v>0</v>
      </c>
      <c r="G69" s="124" t="s">
        <v>8604</v>
      </c>
      <c r="H69" s="54" t="str">
        <f>IF(D69="","",'START-HERE'!$C$16)</f>
        <v/>
      </c>
      <c r="I69" s="39" t="str">
        <f>VLOOKUP('START-HERE'!$C$17,DATA!$J$3:$K$6,2,FALSE)</f>
        <v>USD</v>
      </c>
      <c r="J69" s="125" t="str">
        <f t="shared" si="13"/>
        <v/>
      </c>
      <c r="K69" s="39" t="str">
        <f t="shared" si="14"/>
        <v/>
      </c>
      <c r="L69" s="39" t="str">
        <f>IF(J69="","",IF('START-HERE'!$C$17="USA",1110,""))</f>
        <v/>
      </c>
      <c r="M69" s="39" t="str">
        <f>VLOOKUP('START-HERE'!$D$20,DATA!$J$9:$K$12,2,FALSE)</f>
        <v>037 US Project (NB)</v>
      </c>
      <c r="N69" s="39">
        <f t="shared" si="15"/>
        <v>0</v>
      </c>
      <c r="O69" s="39" t="str">
        <f t="shared" si="16"/>
        <v/>
      </c>
      <c r="P69" s="126">
        <f t="shared" si="17"/>
        <v>0</v>
      </c>
      <c r="R69" s="115">
        <f t="shared" si="18"/>
        <v>68</v>
      </c>
      <c r="S69" s="115">
        <f t="shared" si="19"/>
        <v>0</v>
      </c>
      <c r="T69" s="29" t="str">
        <f>'EE System Designed BOM'!Q69</f>
        <v/>
      </c>
    </row>
    <row r="70" spans="1:20" s="29" customFormat="1" x14ac:dyDescent="0.25">
      <c r="A70" s="40">
        <f t="shared" si="10"/>
        <v>69</v>
      </c>
      <c r="B70" s="34" t="s">
        <v>9624</v>
      </c>
      <c r="C70" s="39" t="str">
        <f>IF('EE System Designed BOM'!E70="","",IF('EE System Designed BOM'!H70="Y","",'EE System Designed BOM'!E70))</f>
        <v/>
      </c>
      <c r="D70" s="79" t="str">
        <f>IF('EE System Designed BOM'!E70="","",IF('EE System Designed BOM'!H70="Y","",'EE System Designed BOM'!E70))</f>
        <v/>
      </c>
      <c r="E70" s="36" t="str">
        <f t="shared" si="11"/>
        <v/>
      </c>
      <c r="F70" s="39">
        <f t="shared" si="12"/>
        <v>0</v>
      </c>
      <c r="G70" s="124" t="s">
        <v>8604</v>
      </c>
      <c r="H70" s="54" t="str">
        <f>IF(D70="","",'START-HERE'!$C$16)</f>
        <v/>
      </c>
      <c r="I70" s="39" t="str">
        <f>VLOOKUP('START-HERE'!$C$17,DATA!$J$3:$K$6,2,FALSE)</f>
        <v>USD</v>
      </c>
      <c r="J70" s="125" t="str">
        <f t="shared" si="13"/>
        <v/>
      </c>
      <c r="K70" s="39" t="str">
        <f t="shared" si="14"/>
        <v/>
      </c>
      <c r="L70" s="39" t="str">
        <f>IF(J70="","",IF('START-HERE'!$C$17="USA",1110,""))</f>
        <v/>
      </c>
      <c r="M70" s="39" t="str">
        <f>VLOOKUP('START-HERE'!$D$20,DATA!$J$9:$K$12,2,FALSE)</f>
        <v>037 US Project (NB)</v>
      </c>
      <c r="N70" s="39">
        <f t="shared" si="15"/>
        <v>0</v>
      </c>
      <c r="O70" s="39" t="str">
        <f t="shared" si="16"/>
        <v/>
      </c>
      <c r="P70" s="126">
        <f t="shared" si="17"/>
        <v>0</v>
      </c>
      <c r="R70" s="115">
        <f t="shared" si="18"/>
        <v>69</v>
      </c>
      <c r="S70" s="115">
        <f t="shared" si="19"/>
        <v>0</v>
      </c>
      <c r="T70" s="29" t="str">
        <f>'EE System Designed BOM'!Q70</f>
        <v/>
      </c>
    </row>
    <row r="71" spans="1:20" s="29" customFormat="1" x14ac:dyDescent="0.25">
      <c r="A71" s="40">
        <f t="shared" si="10"/>
        <v>70</v>
      </c>
      <c r="B71" s="34" t="s">
        <v>9624</v>
      </c>
      <c r="C71" s="39" t="str">
        <f>IF('EE System Designed BOM'!E71="","",IF('EE System Designed BOM'!H71="Y","",'EE System Designed BOM'!E71))</f>
        <v/>
      </c>
      <c r="D71" s="79" t="str">
        <f>IF('EE System Designed BOM'!E71="","",IF('EE System Designed BOM'!H71="Y","",'EE System Designed BOM'!E71))</f>
        <v/>
      </c>
      <c r="E71" s="36" t="str">
        <f t="shared" si="11"/>
        <v/>
      </c>
      <c r="F71" s="39">
        <f t="shared" si="12"/>
        <v>0</v>
      </c>
      <c r="G71" s="124" t="s">
        <v>8604</v>
      </c>
      <c r="H71" s="54" t="str">
        <f>IF(D71="","",'START-HERE'!$C$16)</f>
        <v/>
      </c>
      <c r="I71" s="39" t="str">
        <f>VLOOKUP('START-HERE'!$C$17,DATA!$J$3:$K$6,2,FALSE)</f>
        <v>USD</v>
      </c>
      <c r="J71" s="125" t="str">
        <f t="shared" si="13"/>
        <v/>
      </c>
      <c r="K71" s="39" t="str">
        <f t="shared" si="14"/>
        <v/>
      </c>
      <c r="L71" s="39" t="str">
        <f>IF(J71="","",IF('START-HERE'!$C$17="USA",1110,""))</f>
        <v/>
      </c>
      <c r="M71" s="39" t="str">
        <f>VLOOKUP('START-HERE'!$D$20,DATA!$J$9:$K$12,2,FALSE)</f>
        <v>037 US Project (NB)</v>
      </c>
      <c r="N71" s="39">
        <f t="shared" si="15"/>
        <v>0</v>
      </c>
      <c r="O71" s="39" t="str">
        <f t="shared" si="16"/>
        <v/>
      </c>
      <c r="P71" s="126">
        <f t="shared" si="17"/>
        <v>0</v>
      </c>
      <c r="Q71" s="84"/>
      <c r="R71" s="115">
        <f t="shared" si="18"/>
        <v>70</v>
      </c>
      <c r="S71" s="115">
        <f t="shared" si="19"/>
        <v>0</v>
      </c>
      <c r="T71" s="29" t="str">
        <f>'EE System Designed BOM'!Q71</f>
        <v/>
      </c>
    </row>
    <row r="72" spans="1:20" s="29" customFormat="1" x14ac:dyDescent="0.25">
      <c r="A72" s="40">
        <f t="shared" si="10"/>
        <v>71</v>
      </c>
      <c r="B72" s="34" t="s">
        <v>9624</v>
      </c>
      <c r="C72" s="39" t="str">
        <f>IF('EE System Designed BOM'!E72="","",IF('EE System Designed BOM'!H72="Y","",'EE System Designed BOM'!E72))</f>
        <v/>
      </c>
      <c r="D72" s="79" t="str">
        <f>IF('EE System Designed BOM'!E72="","",IF('EE System Designed BOM'!H72="Y","",'EE System Designed BOM'!E72))</f>
        <v/>
      </c>
      <c r="E72" s="36" t="str">
        <f t="shared" si="11"/>
        <v/>
      </c>
      <c r="F72" s="39">
        <f t="shared" si="12"/>
        <v>0</v>
      </c>
      <c r="G72" s="124" t="s">
        <v>8604</v>
      </c>
      <c r="H72" s="54" t="str">
        <f>IF(D72="","",'START-HERE'!$C$16)</f>
        <v/>
      </c>
      <c r="I72" s="39" t="str">
        <f>VLOOKUP('START-HERE'!$C$17,DATA!$J$3:$K$6,2,FALSE)</f>
        <v>USD</v>
      </c>
      <c r="J72" s="125" t="str">
        <f t="shared" si="13"/>
        <v/>
      </c>
      <c r="K72" s="39" t="str">
        <f t="shared" si="14"/>
        <v/>
      </c>
      <c r="L72" s="39" t="str">
        <f>IF(J72="","",IF('START-HERE'!$C$17="USA",1110,""))</f>
        <v/>
      </c>
      <c r="M72" s="39" t="str">
        <f>VLOOKUP('START-HERE'!$D$20,DATA!$J$9:$K$12,2,FALSE)</f>
        <v>037 US Project (NB)</v>
      </c>
      <c r="N72" s="39">
        <f t="shared" si="15"/>
        <v>0</v>
      </c>
      <c r="O72" s="39" t="str">
        <f t="shared" si="16"/>
        <v/>
      </c>
      <c r="P72" s="126">
        <f t="shared" si="17"/>
        <v>0</v>
      </c>
      <c r="R72" s="115">
        <f t="shared" si="18"/>
        <v>71</v>
      </c>
      <c r="S72" s="115">
        <f t="shared" si="19"/>
        <v>0</v>
      </c>
      <c r="T72" s="29" t="str">
        <f>'EE System Designed BOM'!Q72</f>
        <v/>
      </c>
    </row>
    <row r="73" spans="1:20" s="29" customFormat="1" x14ac:dyDescent="0.25">
      <c r="A73" s="40">
        <f t="shared" si="10"/>
        <v>72</v>
      </c>
      <c r="B73" s="34" t="s">
        <v>9624</v>
      </c>
      <c r="C73" s="39" t="str">
        <f>IF('EE System Designed BOM'!E73="","",IF('EE System Designed BOM'!H73="Y","",'EE System Designed BOM'!E73))</f>
        <v/>
      </c>
      <c r="D73" s="79" t="str">
        <f>IF('EE System Designed BOM'!E73="","",IF('EE System Designed BOM'!H73="Y","",'EE System Designed BOM'!E73))</f>
        <v/>
      </c>
      <c r="E73" s="36" t="str">
        <f t="shared" si="11"/>
        <v/>
      </c>
      <c r="F73" s="39">
        <f t="shared" si="12"/>
        <v>0</v>
      </c>
      <c r="G73" s="124" t="s">
        <v>8604</v>
      </c>
      <c r="H73" s="54" t="str">
        <f>IF(D73="","",'START-HERE'!$C$16)</f>
        <v/>
      </c>
      <c r="I73" s="39" t="str">
        <f>VLOOKUP('START-HERE'!$C$17,DATA!$J$3:$K$6,2,FALSE)</f>
        <v>USD</v>
      </c>
      <c r="J73" s="125" t="str">
        <f t="shared" si="13"/>
        <v/>
      </c>
      <c r="K73" s="39" t="str">
        <f t="shared" si="14"/>
        <v/>
      </c>
      <c r="L73" s="39" t="str">
        <f>IF(J73="","",IF('START-HERE'!$C$17="USA",1110,""))</f>
        <v/>
      </c>
      <c r="M73" s="39" t="str">
        <f>VLOOKUP('START-HERE'!$D$20,DATA!$J$9:$K$12,2,FALSE)</f>
        <v>037 US Project (NB)</v>
      </c>
      <c r="N73" s="39">
        <f t="shared" si="15"/>
        <v>0</v>
      </c>
      <c r="O73" s="39" t="str">
        <f t="shared" si="16"/>
        <v/>
      </c>
      <c r="P73" s="126">
        <f t="shared" si="17"/>
        <v>0</v>
      </c>
      <c r="R73" s="115">
        <f t="shared" si="18"/>
        <v>72</v>
      </c>
      <c r="S73" s="115">
        <f t="shared" si="19"/>
        <v>0</v>
      </c>
      <c r="T73" s="29" t="str">
        <f>'EE System Designed BOM'!Q73</f>
        <v/>
      </c>
    </row>
    <row r="74" spans="1:20" s="29" customFormat="1" x14ac:dyDescent="0.25">
      <c r="A74" s="40">
        <f t="shared" si="10"/>
        <v>73</v>
      </c>
      <c r="B74" s="34" t="s">
        <v>9624</v>
      </c>
      <c r="C74" s="39" t="str">
        <f>IF('EE System Designed BOM'!E74="","",IF('EE System Designed BOM'!H74="Y","",'EE System Designed BOM'!E74))</f>
        <v/>
      </c>
      <c r="D74" s="79" t="str">
        <f>IF('EE System Designed BOM'!E74="","",IF('EE System Designed BOM'!H74="Y","",'EE System Designed BOM'!E74))</f>
        <v/>
      </c>
      <c r="E74" s="36" t="str">
        <f t="shared" si="11"/>
        <v/>
      </c>
      <c r="F74" s="39">
        <f t="shared" si="12"/>
        <v>0</v>
      </c>
      <c r="G74" s="124" t="s">
        <v>8604</v>
      </c>
      <c r="H74" s="54" t="str">
        <f>IF(D74="","",'START-HERE'!$C$16)</f>
        <v/>
      </c>
      <c r="I74" s="39" t="str">
        <f>VLOOKUP('START-HERE'!$C$17,DATA!$J$3:$K$6,2,FALSE)</f>
        <v>USD</v>
      </c>
      <c r="J74" s="125" t="str">
        <f t="shared" si="13"/>
        <v/>
      </c>
      <c r="K74" s="39" t="str">
        <f t="shared" si="14"/>
        <v/>
      </c>
      <c r="L74" s="39" t="str">
        <f>IF(J74="","",IF('START-HERE'!$C$17="USA",1110,""))</f>
        <v/>
      </c>
      <c r="M74" s="39" t="str">
        <f>VLOOKUP('START-HERE'!$D$20,DATA!$J$9:$K$12,2,FALSE)</f>
        <v>037 US Project (NB)</v>
      </c>
      <c r="N74" s="39">
        <f t="shared" si="15"/>
        <v>0</v>
      </c>
      <c r="O74" s="39" t="str">
        <f t="shared" si="16"/>
        <v/>
      </c>
      <c r="P74" s="126">
        <f t="shared" si="17"/>
        <v>0</v>
      </c>
      <c r="R74" s="115">
        <f t="shared" si="18"/>
        <v>73</v>
      </c>
      <c r="S74" s="115">
        <f t="shared" si="19"/>
        <v>0</v>
      </c>
      <c r="T74" s="29" t="str">
        <f>'EE System Designed BOM'!Q74</f>
        <v/>
      </c>
    </row>
    <row r="75" spans="1:20" s="29" customFormat="1" x14ac:dyDescent="0.25">
      <c r="A75" s="40">
        <f t="shared" si="10"/>
        <v>74</v>
      </c>
      <c r="B75" s="34" t="s">
        <v>9624</v>
      </c>
      <c r="C75" s="39" t="str">
        <f>IF('EE System Designed BOM'!E75="","",IF('EE System Designed BOM'!H75="Y","",'EE System Designed BOM'!E75))</f>
        <v/>
      </c>
      <c r="D75" s="79" t="str">
        <f>IF('EE System Designed BOM'!E75="","",IF('EE System Designed BOM'!H75="Y","",'EE System Designed BOM'!E75))</f>
        <v/>
      </c>
      <c r="E75" s="36" t="str">
        <f t="shared" si="11"/>
        <v/>
      </c>
      <c r="F75" s="39">
        <f t="shared" si="12"/>
        <v>0</v>
      </c>
      <c r="G75" s="124" t="s">
        <v>8604</v>
      </c>
      <c r="H75" s="54" t="str">
        <f>IF(D75="","",'START-HERE'!$C$16)</f>
        <v/>
      </c>
      <c r="I75" s="39" t="str">
        <f>VLOOKUP('START-HERE'!$C$17,DATA!$J$3:$K$6,2,FALSE)</f>
        <v>USD</v>
      </c>
      <c r="J75" s="125" t="str">
        <f t="shared" si="13"/>
        <v/>
      </c>
      <c r="K75" s="39" t="str">
        <f t="shared" si="14"/>
        <v/>
      </c>
      <c r="L75" s="39" t="str">
        <f>IF(J75="","",IF('START-HERE'!$C$17="USA",1110,""))</f>
        <v/>
      </c>
      <c r="M75" s="39" t="str">
        <f>VLOOKUP('START-HERE'!$D$20,DATA!$J$9:$K$12,2,FALSE)</f>
        <v>037 US Project (NB)</v>
      </c>
      <c r="N75" s="39">
        <f t="shared" si="15"/>
        <v>0</v>
      </c>
      <c r="O75" s="39" t="str">
        <f t="shared" si="16"/>
        <v/>
      </c>
      <c r="P75" s="126">
        <f t="shared" si="17"/>
        <v>0</v>
      </c>
      <c r="Q75" s="84"/>
      <c r="R75" s="115">
        <f t="shared" si="18"/>
        <v>74</v>
      </c>
      <c r="S75" s="115">
        <f t="shared" si="19"/>
        <v>0</v>
      </c>
      <c r="T75" s="29" t="str">
        <f>'EE System Designed BOM'!Q75</f>
        <v/>
      </c>
    </row>
    <row r="76" spans="1:20" s="29" customFormat="1" x14ac:dyDescent="0.25">
      <c r="A76" s="40">
        <f t="shared" si="10"/>
        <v>75</v>
      </c>
      <c r="B76" s="34" t="s">
        <v>9624</v>
      </c>
      <c r="C76" s="39" t="str">
        <f>IF('EE System Designed BOM'!E76="","",IF('EE System Designed BOM'!H76="Y","",'EE System Designed BOM'!E76))</f>
        <v/>
      </c>
      <c r="D76" s="79" t="str">
        <f>IF('EE System Designed BOM'!E76="","",IF('EE System Designed BOM'!H76="Y","",'EE System Designed BOM'!E76))</f>
        <v/>
      </c>
      <c r="E76" s="36" t="str">
        <f t="shared" si="11"/>
        <v/>
      </c>
      <c r="F76" s="39">
        <f t="shared" si="12"/>
        <v>0</v>
      </c>
      <c r="G76" s="124" t="s">
        <v>8604</v>
      </c>
      <c r="H76" s="54" t="str">
        <f>IF(D76="","",'START-HERE'!$C$16)</f>
        <v/>
      </c>
      <c r="I76" s="39" t="str">
        <f>VLOOKUP('START-HERE'!$C$17,DATA!$J$3:$K$6,2,FALSE)</f>
        <v>USD</v>
      </c>
      <c r="J76" s="125" t="str">
        <f t="shared" si="13"/>
        <v/>
      </c>
      <c r="K76" s="39" t="str">
        <f t="shared" si="14"/>
        <v/>
      </c>
      <c r="L76" s="39" t="str">
        <f>IF(J76="","",IF('START-HERE'!$C$17="USA",1110,""))</f>
        <v/>
      </c>
      <c r="M76" s="39" t="str">
        <f>VLOOKUP('START-HERE'!$D$20,DATA!$J$9:$K$12,2,FALSE)</f>
        <v>037 US Project (NB)</v>
      </c>
      <c r="N76" s="39">
        <f t="shared" si="15"/>
        <v>0</v>
      </c>
      <c r="O76" s="39" t="str">
        <f t="shared" si="16"/>
        <v/>
      </c>
      <c r="P76" s="126">
        <f t="shared" si="17"/>
        <v>0</v>
      </c>
      <c r="R76" s="115">
        <f t="shared" si="18"/>
        <v>75</v>
      </c>
      <c r="S76" s="115">
        <f t="shared" si="19"/>
        <v>0</v>
      </c>
      <c r="T76" s="29" t="str">
        <f>'EE System Designed BOM'!Q76</f>
        <v/>
      </c>
    </row>
    <row r="77" spans="1:20" s="29" customFormat="1" x14ac:dyDescent="0.25">
      <c r="A77" s="40">
        <f t="shared" si="10"/>
        <v>76</v>
      </c>
      <c r="B77" s="34" t="s">
        <v>9624</v>
      </c>
      <c r="C77" s="39" t="str">
        <f>IF('EE System Designed BOM'!E77="","",IF('EE System Designed BOM'!H77="Y","",'EE System Designed BOM'!E77))</f>
        <v/>
      </c>
      <c r="D77" s="79" t="str">
        <f>IF('EE System Designed BOM'!E77="","",IF('EE System Designed BOM'!H77="Y","",'EE System Designed BOM'!E77))</f>
        <v/>
      </c>
      <c r="E77" s="36" t="str">
        <f t="shared" si="11"/>
        <v/>
      </c>
      <c r="F77" s="39">
        <f t="shared" si="12"/>
        <v>0</v>
      </c>
      <c r="G77" s="124" t="s">
        <v>8604</v>
      </c>
      <c r="H77" s="54" t="str">
        <f>IF(D77="","",'START-HERE'!$C$16)</f>
        <v/>
      </c>
      <c r="I77" s="39" t="str">
        <f>VLOOKUP('START-HERE'!$C$17,DATA!$J$3:$K$6,2,FALSE)</f>
        <v>USD</v>
      </c>
      <c r="J77" s="125" t="str">
        <f t="shared" si="13"/>
        <v/>
      </c>
      <c r="K77" s="39" t="str">
        <f t="shared" si="14"/>
        <v/>
      </c>
      <c r="L77" s="39" t="str">
        <f>IF(J77="","",IF('START-HERE'!$C$17="USA",1110,""))</f>
        <v/>
      </c>
      <c r="M77" s="39" t="str">
        <f>VLOOKUP('START-HERE'!$D$20,DATA!$J$9:$K$12,2,FALSE)</f>
        <v>037 US Project (NB)</v>
      </c>
      <c r="N77" s="39">
        <f t="shared" si="15"/>
        <v>0</v>
      </c>
      <c r="O77" s="39" t="str">
        <f t="shared" si="16"/>
        <v/>
      </c>
      <c r="P77" s="126">
        <f t="shared" si="17"/>
        <v>0</v>
      </c>
      <c r="R77" s="115">
        <f t="shared" si="18"/>
        <v>76</v>
      </c>
      <c r="S77" s="115">
        <f t="shared" si="19"/>
        <v>0</v>
      </c>
      <c r="T77" s="29" t="str">
        <f>'EE System Designed BOM'!Q77</f>
        <v/>
      </c>
    </row>
    <row r="78" spans="1:20" s="29" customFormat="1" x14ac:dyDescent="0.25">
      <c r="A78" s="40">
        <f t="shared" si="10"/>
        <v>77</v>
      </c>
      <c r="B78" s="34" t="s">
        <v>9624</v>
      </c>
      <c r="C78" s="39" t="str">
        <f>IF('EE System Designed BOM'!E78="","",IF('EE System Designed BOM'!H78="Y","",'EE System Designed BOM'!E78))</f>
        <v/>
      </c>
      <c r="D78" s="79" t="str">
        <f>IF('EE System Designed BOM'!E78="","",IF('EE System Designed BOM'!H78="Y","",'EE System Designed BOM'!E78))</f>
        <v/>
      </c>
      <c r="E78" s="36" t="str">
        <f t="shared" si="11"/>
        <v/>
      </c>
      <c r="F78" s="39">
        <f t="shared" si="12"/>
        <v>0</v>
      </c>
      <c r="G78" s="124" t="s">
        <v>8604</v>
      </c>
      <c r="H78" s="54" t="str">
        <f>IF(D78="","",'START-HERE'!$C$16)</f>
        <v/>
      </c>
      <c r="I78" s="39" t="str">
        <f>VLOOKUP('START-HERE'!$C$17,DATA!$J$3:$K$6,2,FALSE)</f>
        <v>USD</v>
      </c>
      <c r="J78" s="125" t="str">
        <f t="shared" si="13"/>
        <v/>
      </c>
      <c r="K78" s="39" t="str">
        <f t="shared" si="14"/>
        <v/>
      </c>
      <c r="L78" s="39" t="str">
        <f>IF(J78="","",IF('START-HERE'!$C$17="USA",1110,""))</f>
        <v/>
      </c>
      <c r="M78" s="39" t="str">
        <f>VLOOKUP('START-HERE'!$D$20,DATA!$J$9:$K$12,2,FALSE)</f>
        <v>037 US Project (NB)</v>
      </c>
      <c r="N78" s="39">
        <f t="shared" si="15"/>
        <v>0</v>
      </c>
      <c r="O78" s="39" t="str">
        <f t="shared" si="16"/>
        <v/>
      </c>
      <c r="P78" s="126">
        <f t="shared" si="17"/>
        <v>0</v>
      </c>
      <c r="R78" s="115">
        <f t="shared" si="18"/>
        <v>77</v>
      </c>
      <c r="S78" s="115">
        <f t="shared" si="19"/>
        <v>0</v>
      </c>
      <c r="T78" s="29" t="str">
        <f>'EE System Designed BOM'!Q78</f>
        <v/>
      </c>
    </row>
    <row r="79" spans="1:20" s="29" customFormat="1" x14ac:dyDescent="0.25">
      <c r="A79" s="40">
        <f t="shared" si="10"/>
        <v>78</v>
      </c>
      <c r="B79" s="34" t="s">
        <v>9624</v>
      </c>
      <c r="C79" s="39" t="str">
        <f>IF('EE System Designed BOM'!E79="","",IF('EE System Designed BOM'!H79="Y","",'EE System Designed BOM'!E79))</f>
        <v/>
      </c>
      <c r="D79" s="79" t="str">
        <f>IF('EE System Designed BOM'!E79="","",IF('EE System Designed BOM'!H79="Y","",'EE System Designed BOM'!E79))</f>
        <v/>
      </c>
      <c r="E79" s="36" t="str">
        <f t="shared" si="11"/>
        <v/>
      </c>
      <c r="F79" s="39">
        <f t="shared" si="12"/>
        <v>0</v>
      </c>
      <c r="G79" s="124" t="s">
        <v>8604</v>
      </c>
      <c r="H79" s="54" t="str">
        <f>IF(D79="","",'START-HERE'!$C$16)</f>
        <v/>
      </c>
      <c r="I79" s="39" t="str">
        <f>VLOOKUP('START-HERE'!$C$17,DATA!$J$3:$K$6,2,FALSE)</f>
        <v>USD</v>
      </c>
      <c r="J79" s="125" t="str">
        <f t="shared" si="13"/>
        <v/>
      </c>
      <c r="K79" s="39" t="str">
        <f t="shared" si="14"/>
        <v/>
      </c>
      <c r="L79" s="39" t="str">
        <f>IF(J79="","",IF('START-HERE'!$C$17="USA",1110,""))</f>
        <v/>
      </c>
      <c r="M79" s="39" t="str">
        <f>VLOOKUP('START-HERE'!$D$20,DATA!$J$9:$K$12,2,FALSE)</f>
        <v>037 US Project (NB)</v>
      </c>
      <c r="N79" s="39">
        <f t="shared" si="15"/>
        <v>0</v>
      </c>
      <c r="O79" s="39" t="str">
        <f t="shared" si="16"/>
        <v/>
      </c>
      <c r="P79" s="126">
        <f t="shared" si="17"/>
        <v>0</v>
      </c>
      <c r="Q79" s="84"/>
      <c r="R79" s="115">
        <f t="shared" si="18"/>
        <v>78</v>
      </c>
      <c r="S79" s="115">
        <f t="shared" si="19"/>
        <v>0</v>
      </c>
      <c r="T79" s="29" t="str">
        <f>'EE System Designed BOM'!Q79</f>
        <v/>
      </c>
    </row>
    <row r="80" spans="1:20" s="29" customFormat="1" x14ac:dyDescent="0.25">
      <c r="A80" s="40">
        <f t="shared" si="10"/>
        <v>79</v>
      </c>
      <c r="B80" s="34" t="s">
        <v>9624</v>
      </c>
      <c r="C80" s="39" t="str">
        <f>IF('EE System Designed BOM'!E80="","",IF('EE System Designed BOM'!H80="Y","",'EE System Designed BOM'!E80))</f>
        <v/>
      </c>
      <c r="D80" s="79" t="str">
        <f>IF('EE System Designed BOM'!E80="","",IF('EE System Designed BOM'!H80="Y","",'EE System Designed BOM'!E80))</f>
        <v/>
      </c>
      <c r="E80" s="36" t="str">
        <f t="shared" si="11"/>
        <v/>
      </c>
      <c r="F80" s="39">
        <f t="shared" si="12"/>
        <v>0</v>
      </c>
      <c r="G80" s="124" t="s">
        <v>8604</v>
      </c>
      <c r="H80" s="54" t="str">
        <f>IF(D80="","",'START-HERE'!$C$16)</f>
        <v/>
      </c>
      <c r="I80" s="39" t="str">
        <f>VLOOKUP('START-HERE'!$C$17,DATA!$J$3:$K$6,2,FALSE)</f>
        <v>USD</v>
      </c>
      <c r="J80" s="125" t="str">
        <f t="shared" si="13"/>
        <v/>
      </c>
      <c r="K80" s="39" t="str">
        <f t="shared" si="14"/>
        <v/>
      </c>
      <c r="L80" s="39" t="str">
        <f>IF(J80="","",IF('START-HERE'!$C$17="USA",1110,""))</f>
        <v/>
      </c>
      <c r="M80" s="39" t="str">
        <f>VLOOKUP('START-HERE'!$D$20,DATA!$J$9:$K$12,2,FALSE)</f>
        <v>037 US Project (NB)</v>
      </c>
      <c r="N80" s="39">
        <f t="shared" si="15"/>
        <v>0</v>
      </c>
      <c r="O80" s="39" t="str">
        <f t="shared" si="16"/>
        <v/>
      </c>
      <c r="P80" s="126">
        <f t="shared" si="17"/>
        <v>0</v>
      </c>
      <c r="R80" s="115">
        <f t="shared" si="18"/>
        <v>79</v>
      </c>
      <c r="S80" s="115">
        <f t="shared" si="19"/>
        <v>0</v>
      </c>
      <c r="T80" s="29" t="str">
        <f>'EE System Designed BOM'!Q80</f>
        <v/>
      </c>
    </row>
    <row r="81" spans="1:20" s="29" customFormat="1" x14ac:dyDescent="0.25">
      <c r="A81" s="40">
        <f t="shared" si="10"/>
        <v>80</v>
      </c>
      <c r="B81" s="34" t="s">
        <v>9624</v>
      </c>
      <c r="C81" s="39" t="str">
        <f>IF('EE System Designed BOM'!E81="","",IF('EE System Designed BOM'!H81="Y","",'EE System Designed BOM'!E81))</f>
        <v/>
      </c>
      <c r="D81" s="79" t="str">
        <f>IF('EE System Designed BOM'!E81="","",IF('EE System Designed BOM'!H81="Y","",'EE System Designed BOM'!E81))</f>
        <v/>
      </c>
      <c r="E81" s="36" t="str">
        <f t="shared" si="11"/>
        <v/>
      </c>
      <c r="F81" s="39">
        <f t="shared" si="12"/>
        <v>0</v>
      </c>
      <c r="G81" s="124" t="s">
        <v>8604</v>
      </c>
      <c r="H81" s="54" t="str">
        <f>IF(D81="","",'START-HERE'!$C$16)</f>
        <v/>
      </c>
      <c r="I81" s="39" t="str">
        <f>VLOOKUP('START-HERE'!$C$17,DATA!$J$3:$K$6,2,FALSE)</f>
        <v>USD</v>
      </c>
      <c r="J81" s="125" t="str">
        <f t="shared" si="13"/>
        <v/>
      </c>
      <c r="K81" s="39" t="str">
        <f t="shared" si="14"/>
        <v/>
      </c>
      <c r="L81" s="39" t="str">
        <f>IF(J81="","",IF('START-HERE'!$C$17="USA",1110,""))</f>
        <v/>
      </c>
      <c r="M81" s="39" t="str">
        <f>VLOOKUP('START-HERE'!$D$20,DATA!$J$9:$K$12,2,FALSE)</f>
        <v>037 US Project (NB)</v>
      </c>
      <c r="N81" s="39">
        <f t="shared" si="15"/>
        <v>0</v>
      </c>
      <c r="O81" s="39" t="str">
        <f t="shared" si="16"/>
        <v/>
      </c>
      <c r="P81" s="126">
        <f t="shared" si="17"/>
        <v>0</v>
      </c>
      <c r="R81" s="115">
        <f t="shared" si="18"/>
        <v>80</v>
      </c>
      <c r="S81" s="115">
        <f t="shared" si="19"/>
        <v>0</v>
      </c>
      <c r="T81" s="29" t="str">
        <f>'EE System Designed BOM'!Q81</f>
        <v/>
      </c>
    </row>
    <row r="82" spans="1:20" s="29" customFormat="1" x14ac:dyDescent="0.25">
      <c r="A82" s="40">
        <f t="shared" si="10"/>
        <v>81</v>
      </c>
      <c r="B82" s="34" t="s">
        <v>9624</v>
      </c>
      <c r="C82" s="39" t="str">
        <f>IF('EE System Designed BOM'!E82="","",IF('EE System Designed BOM'!H82="Y","",'EE System Designed BOM'!E82))</f>
        <v/>
      </c>
      <c r="D82" s="79" t="str">
        <f>IF('EE System Designed BOM'!E82="","",IF('EE System Designed BOM'!H82="Y","",'EE System Designed BOM'!E82))</f>
        <v/>
      </c>
      <c r="E82" s="36" t="str">
        <f t="shared" si="11"/>
        <v/>
      </c>
      <c r="F82" s="39">
        <f t="shared" si="12"/>
        <v>0</v>
      </c>
      <c r="G82" s="124" t="s">
        <v>8604</v>
      </c>
      <c r="H82" s="54" t="str">
        <f>IF(D82="","",'START-HERE'!$C$16)</f>
        <v/>
      </c>
      <c r="I82" s="39" t="str">
        <f>VLOOKUP('START-HERE'!$C$17,DATA!$J$3:$K$6,2,FALSE)</f>
        <v>USD</v>
      </c>
      <c r="J82" s="125" t="str">
        <f t="shared" si="13"/>
        <v/>
      </c>
      <c r="K82" s="39" t="str">
        <f t="shared" si="14"/>
        <v/>
      </c>
      <c r="L82" s="39" t="str">
        <f>IF(J82="","",IF('START-HERE'!$C$17="USA",1110,""))</f>
        <v/>
      </c>
      <c r="M82" s="39" t="str">
        <f>VLOOKUP('START-HERE'!$D$20,DATA!$J$9:$K$12,2,FALSE)</f>
        <v>037 US Project (NB)</v>
      </c>
      <c r="N82" s="39">
        <f t="shared" si="15"/>
        <v>0</v>
      </c>
      <c r="O82" s="39" t="str">
        <f t="shared" si="16"/>
        <v/>
      </c>
      <c r="P82" s="126">
        <f t="shared" si="17"/>
        <v>0</v>
      </c>
      <c r="R82" s="115">
        <f t="shared" si="18"/>
        <v>81</v>
      </c>
      <c r="S82" s="115">
        <f t="shared" si="19"/>
        <v>0</v>
      </c>
      <c r="T82" s="29" t="str">
        <f>'EE System Designed BOM'!Q82</f>
        <v/>
      </c>
    </row>
    <row r="83" spans="1:20" s="29" customFormat="1" x14ac:dyDescent="0.25">
      <c r="A83" s="40">
        <f t="shared" si="10"/>
        <v>82</v>
      </c>
      <c r="B83" s="34" t="s">
        <v>9624</v>
      </c>
      <c r="C83" s="39" t="str">
        <f>IF('EE System Designed BOM'!E83="","",IF('EE System Designed BOM'!H83="Y","",'EE System Designed BOM'!E83))</f>
        <v/>
      </c>
      <c r="D83" s="79" t="str">
        <f>IF('EE System Designed BOM'!E83="","",IF('EE System Designed BOM'!H83="Y","",'EE System Designed BOM'!E83))</f>
        <v/>
      </c>
      <c r="E83" s="36" t="str">
        <f t="shared" si="11"/>
        <v/>
      </c>
      <c r="F83" s="39">
        <f t="shared" si="12"/>
        <v>0</v>
      </c>
      <c r="G83" s="124" t="s">
        <v>8604</v>
      </c>
      <c r="H83" s="54" t="str">
        <f>IF(D83="","",'START-HERE'!$C$16)</f>
        <v/>
      </c>
      <c r="I83" s="39" t="str">
        <f>VLOOKUP('START-HERE'!$C$17,DATA!$J$3:$K$6,2,FALSE)</f>
        <v>USD</v>
      </c>
      <c r="J83" s="125" t="str">
        <f t="shared" si="13"/>
        <v/>
      </c>
      <c r="K83" s="39" t="str">
        <f t="shared" si="14"/>
        <v/>
      </c>
      <c r="L83" s="39" t="str">
        <f>IF(J83="","",IF('START-HERE'!$C$17="USA",1110,""))</f>
        <v/>
      </c>
      <c r="M83" s="39" t="str">
        <f>VLOOKUP('START-HERE'!$D$20,DATA!$J$9:$K$12,2,FALSE)</f>
        <v>037 US Project (NB)</v>
      </c>
      <c r="N83" s="39">
        <f t="shared" si="15"/>
        <v>0</v>
      </c>
      <c r="O83" s="39" t="str">
        <f t="shared" si="16"/>
        <v/>
      </c>
      <c r="P83" s="126">
        <f t="shared" si="17"/>
        <v>0</v>
      </c>
      <c r="Q83" s="84"/>
      <c r="R83" s="115">
        <f t="shared" si="18"/>
        <v>82</v>
      </c>
      <c r="S83" s="115">
        <f t="shared" si="19"/>
        <v>0</v>
      </c>
      <c r="T83" s="29" t="str">
        <f>'EE System Designed BOM'!Q83</f>
        <v/>
      </c>
    </row>
    <row r="84" spans="1:20" s="29" customFormat="1" x14ac:dyDescent="0.25">
      <c r="A84" s="40">
        <f t="shared" si="10"/>
        <v>83</v>
      </c>
      <c r="B84" s="34" t="s">
        <v>9624</v>
      </c>
      <c r="C84" s="39" t="str">
        <f>IF('EE System Designed BOM'!E84="","",IF('EE System Designed BOM'!H84="Y","",'EE System Designed BOM'!E84))</f>
        <v/>
      </c>
      <c r="D84" s="79" t="str">
        <f>IF('EE System Designed BOM'!E84="","",IF('EE System Designed BOM'!H84="Y","",'EE System Designed BOM'!E84))</f>
        <v/>
      </c>
      <c r="E84" s="36" t="str">
        <f t="shared" si="11"/>
        <v/>
      </c>
      <c r="F84" s="39">
        <f t="shared" si="12"/>
        <v>0</v>
      </c>
      <c r="G84" s="124" t="s">
        <v>8604</v>
      </c>
      <c r="H84" s="54" t="str">
        <f>IF(D84="","",'START-HERE'!$C$16)</f>
        <v/>
      </c>
      <c r="I84" s="39" t="str">
        <f>VLOOKUP('START-HERE'!$C$17,DATA!$J$3:$K$6,2,FALSE)</f>
        <v>USD</v>
      </c>
      <c r="J84" s="125" t="str">
        <f t="shared" si="13"/>
        <v/>
      </c>
      <c r="K84" s="39" t="str">
        <f t="shared" si="14"/>
        <v/>
      </c>
      <c r="L84" s="39" t="str">
        <f>IF(J84="","",IF('START-HERE'!$C$17="USA",1110,""))</f>
        <v/>
      </c>
      <c r="M84" s="39" t="str">
        <f>VLOOKUP('START-HERE'!$D$20,DATA!$J$9:$K$12,2,FALSE)</f>
        <v>037 US Project (NB)</v>
      </c>
      <c r="N84" s="39">
        <f t="shared" si="15"/>
        <v>0</v>
      </c>
      <c r="O84" s="39" t="str">
        <f t="shared" si="16"/>
        <v/>
      </c>
      <c r="P84" s="126">
        <f t="shared" si="17"/>
        <v>0</v>
      </c>
      <c r="R84" s="115">
        <f t="shared" si="18"/>
        <v>83</v>
      </c>
      <c r="S84" s="115">
        <f t="shared" si="19"/>
        <v>0</v>
      </c>
      <c r="T84" s="29" t="str">
        <f>'EE System Designed BOM'!Q84</f>
        <v/>
      </c>
    </row>
    <row r="85" spans="1:20" s="29" customFormat="1" x14ac:dyDescent="0.25">
      <c r="A85" s="40">
        <f t="shared" si="10"/>
        <v>84</v>
      </c>
      <c r="B85" s="34" t="s">
        <v>9624</v>
      </c>
      <c r="C85" s="39" t="str">
        <f>IF('EE System Designed BOM'!E85="","",IF('EE System Designed BOM'!H85="Y","",'EE System Designed BOM'!E85))</f>
        <v/>
      </c>
      <c r="D85" s="79" t="str">
        <f>IF('EE System Designed BOM'!E85="","",IF('EE System Designed BOM'!H85="Y","",'EE System Designed BOM'!E85))</f>
        <v/>
      </c>
      <c r="E85" s="36" t="str">
        <f t="shared" si="11"/>
        <v/>
      </c>
      <c r="F85" s="39">
        <f t="shared" si="12"/>
        <v>0</v>
      </c>
      <c r="G85" s="124" t="s">
        <v>8604</v>
      </c>
      <c r="H85" s="54" t="str">
        <f>IF(D85="","",'START-HERE'!$C$16)</f>
        <v/>
      </c>
      <c r="I85" s="39" t="str">
        <f>VLOOKUP('START-HERE'!$C$17,DATA!$J$3:$K$6,2,FALSE)</f>
        <v>USD</v>
      </c>
      <c r="J85" s="125" t="str">
        <f t="shared" si="13"/>
        <v/>
      </c>
      <c r="K85" s="39" t="str">
        <f t="shared" si="14"/>
        <v/>
      </c>
      <c r="L85" s="39" t="str">
        <f>IF(J85="","",IF('START-HERE'!$C$17="USA",1110,""))</f>
        <v/>
      </c>
      <c r="M85" s="39" t="str">
        <f>VLOOKUP('START-HERE'!$D$20,DATA!$J$9:$K$12,2,FALSE)</f>
        <v>037 US Project (NB)</v>
      </c>
      <c r="N85" s="39">
        <f t="shared" si="15"/>
        <v>0</v>
      </c>
      <c r="O85" s="39" t="str">
        <f t="shared" si="16"/>
        <v/>
      </c>
      <c r="P85" s="126">
        <f t="shared" si="17"/>
        <v>0</v>
      </c>
      <c r="R85" s="115">
        <f t="shared" si="18"/>
        <v>84</v>
      </c>
      <c r="S85" s="115">
        <f t="shared" si="19"/>
        <v>0</v>
      </c>
      <c r="T85" s="29" t="str">
        <f>'EE System Designed BOM'!Q85</f>
        <v/>
      </c>
    </row>
    <row r="86" spans="1:20" s="29" customFormat="1" x14ac:dyDescent="0.25">
      <c r="A86" s="40">
        <f t="shared" si="10"/>
        <v>85</v>
      </c>
      <c r="B86" s="34" t="s">
        <v>9624</v>
      </c>
      <c r="C86" s="39" t="str">
        <f>IF('EE System Designed BOM'!E86="","",IF('EE System Designed BOM'!H86="Y","",'EE System Designed BOM'!E86))</f>
        <v/>
      </c>
      <c r="D86" s="79" t="str">
        <f>IF('EE System Designed BOM'!E86="","",IF('EE System Designed BOM'!H86="Y","",'EE System Designed BOM'!E86))</f>
        <v/>
      </c>
      <c r="E86" s="36" t="str">
        <f t="shared" si="11"/>
        <v/>
      </c>
      <c r="F86" s="39">
        <f t="shared" si="12"/>
        <v>0</v>
      </c>
      <c r="G86" s="124" t="s">
        <v>8604</v>
      </c>
      <c r="H86" s="54" t="str">
        <f>IF(D86="","",'START-HERE'!$C$16)</f>
        <v/>
      </c>
      <c r="I86" s="39" t="str">
        <f>VLOOKUP('START-HERE'!$C$17,DATA!$J$3:$K$6,2,FALSE)</f>
        <v>USD</v>
      </c>
      <c r="J86" s="125" t="str">
        <f t="shared" si="13"/>
        <v/>
      </c>
      <c r="K86" s="39" t="str">
        <f t="shared" si="14"/>
        <v/>
      </c>
      <c r="L86" s="39" t="str">
        <f>IF(J86="","",IF('START-HERE'!$C$17="USA",1110,""))</f>
        <v/>
      </c>
      <c r="M86" s="39" t="str">
        <f>VLOOKUP('START-HERE'!$D$20,DATA!$J$9:$K$12,2,FALSE)</f>
        <v>037 US Project (NB)</v>
      </c>
      <c r="N86" s="39">
        <f t="shared" si="15"/>
        <v>0</v>
      </c>
      <c r="O86" s="39" t="str">
        <f t="shared" si="16"/>
        <v/>
      </c>
      <c r="P86" s="126">
        <f t="shared" si="17"/>
        <v>0</v>
      </c>
      <c r="R86" s="115">
        <f t="shared" si="18"/>
        <v>85</v>
      </c>
      <c r="S86" s="115">
        <f t="shared" si="19"/>
        <v>0</v>
      </c>
      <c r="T86" s="29" t="str">
        <f>'EE System Designed BOM'!Q86</f>
        <v/>
      </c>
    </row>
    <row r="87" spans="1:20" s="29" customFormat="1" x14ac:dyDescent="0.25">
      <c r="A87" s="40">
        <f t="shared" si="10"/>
        <v>86</v>
      </c>
      <c r="B87" s="34" t="s">
        <v>9624</v>
      </c>
      <c r="C87" s="39" t="str">
        <f>IF('EE System Designed BOM'!E87="","",IF('EE System Designed BOM'!H87="Y","",'EE System Designed BOM'!E87))</f>
        <v/>
      </c>
      <c r="D87" s="79" t="str">
        <f>IF('EE System Designed BOM'!E87="","",IF('EE System Designed BOM'!H87="Y","",'EE System Designed BOM'!E87))</f>
        <v/>
      </c>
      <c r="E87" s="36" t="str">
        <f t="shared" si="11"/>
        <v/>
      </c>
      <c r="F87" s="39">
        <f t="shared" si="12"/>
        <v>0</v>
      </c>
      <c r="G87" s="124" t="s">
        <v>8604</v>
      </c>
      <c r="H87" s="54" t="str">
        <f>IF(D87="","",'START-HERE'!$C$16)</f>
        <v/>
      </c>
      <c r="I87" s="39" t="str">
        <f>VLOOKUP('START-HERE'!$C$17,DATA!$J$3:$K$6,2,FALSE)</f>
        <v>USD</v>
      </c>
      <c r="J87" s="125" t="str">
        <f t="shared" si="13"/>
        <v/>
      </c>
      <c r="K87" s="39" t="str">
        <f t="shared" si="14"/>
        <v/>
      </c>
      <c r="L87" s="39" t="str">
        <f>IF(J87="","",IF('START-HERE'!$C$17="USA",1110,""))</f>
        <v/>
      </c>
      <c r="M87" s="39" t="str">
        <f>VLOOKUP('START-HERE'!$D$20,DATA!$J$9:$K$12,2,FALSE)</f>
        <v>037 US Project (NB)</v>
      </c>
      <c r="N87" s="39">
        <f t="shared" si="15"/>
        <v>0</v>
      </c>
      <c r="O87" s="39" t="str">
        <f t="shared" si="16"/>
        <v/>
      </c>
      <c r="P87" s="126">
        <f t="shared" si="17"/>
        <v>0</v>
      </c>
      <c r="Q87" s="84"/>
      <c r="R87" s="115">
        <f t="shared" si="18"/>
        <v>86</v>
      </c>
      <c r="S87" s="115">
        <f t="shared" si="19"/>
        <v>0</v>
      </c>
      <c r="T87" s="29" t="str">
        <f>'EE System Designed BOM'!Q87</f>
        <v/>
      </c>
    </row>
    <row r="88" spans="1:20" s="29" customFormat="1" x14ac:dyDescent="0.25">
      <c r="A88" s="40">
        <f t="shared" si="10"/>
        <v>87</v>
      </c>
      <c r="B88" s="34" t="s">
        <v>9624</v>
      </c>
      <c r="C88" s="39" t="str">
        <f>IF('EE System Designed BOM'!E88="","",IF('EE System Designed BOM'!H88="Y","",'EE System Designed BOM'!E88))</f>
        <v/>
      </c>
      <c r="D88" s="79" t="str">
        <f>IF('EE System Designed BOM'!E88="","",IF('EE System Designed BOM'!H88="Y","",'EE System Designed BOM'!E88))</f>
        <v/>
      </c>
      <c r="E88" s="36" t="str">
        <f t="shared" si="11"/>
        <v/>
      </c>
      <c r="F88" s="39">
        <f t="shared" si="12"/>
        <v>0</v>
      </c>
      <c r="G88" s="124" t="s">
        <v>8604</v>
      </c>
      <c r="H88" s="54" t="str">
        <f>IF(D88="","",'START-HERE'!$C$16)</f>
        <v/>
      </c>
      <c r="I88" s="39" t="str">
        <f>VLOOKUP('START-HERE'!$C$17,DATA!$J$3:$K$6,2,FALSE)</f>
        <v>USD</v>
      </c>
      <c r="J88" s="125" t="str">
        <f t="shared" si="13"/>
        <v/>
      </c>
      <c r="K88" s="39" t="str">
        <f t="shared" si="14"/>
        <v/>
      </c>
      <c r="L88" s="39" t="str">
        <f>IF(J88="","",IF('START-HERE'!$C$17="USA",1110,""))</f>
        <v/>
      </c>
      <c r="M88" s="39" t="str">
        <f>VLOOKUP('START-HERE'!$D$20,DATA!$J$9:$K$12,2,FALSE)</f>
        <v>037 US Project (NB)</v>
      </c>
      <c r="N88" s="39">
        <f t="shared" si="15"/>
        <v>0</v>
      </c>
      <c r="O88" s="39" t="str">
        <f t="shared" si="16"/>
        <v/>
      </c>
      <c r="P88" s="126">
        <f t="shared" si="17"/>
        <v>0</v>
      </c>
      <c r="R88" s="115">
        <f t="shared" si="18"/>
        <v>87</v>
      </c>
      <c r="S88" s="115">
        <f t="shared" si="19"/>
        <v>0</v>
      </c>
      <c r="T88" s="29" t="str">
        <f>'EE System Designed BOM'!Q88</f>
        <v/>
      </c>
    </row>
    <row r="89" spans="1:20" s="29" customFormat="1" x14ac:dyDescent="0.25">
      <c r="A89" s="40">
        <f t="shared" si="10"/>
        <v>88</v>
      </c>
      <c r="B89" s="34" t="s">
        <v>9624</v>
      </c>
      <c r="C89" s="39" t="str">
        <f>IF('EE System Designed BOM'!E89="","",IF('EE System Designed BOM'!H89="Y","",'EE System Designed BOM'!E89))</f>
        <v/>
      </c>
      <c r="D89" s="79" t="str">
        <f>IF('EE System Designed BOM'!E89="","",IF('EE System Designed BOM'!H89="Y","",'EE System Designed BOM'!E89))</f>
        <v/>
      </c>
      <c r="E89" s="36" t="str">
        <f t="shared" si="11"/>
        <v/>
      </c>
      <c r="F89" s="39">
        <f t="shared" si="12"/>
        <v>0</v>
      </c>
      <c r="G89" s="124" t="s">
        <v>8604</v>
      </c>
      <c r="H89" s="54" t="str">
        <f>IF(D89="","",'START-HERE'!$C$16)</f>
        <v/>
      </c>
      <c r="I89" s="39" t="str">
        <f>VLOOKUP('START-HERE'!$C$17,DATA!$J$3:$K$6,2,FALSE)</f>
        <v>USD</v>
      </c>
      <c r="J89" s="125" t="str">
        <f t="shared" si="13"/>
        <v/>
      </c>
      <c r="K89" s="39" t="str">
        <f t="shared" si="14"/>
        <v/>
      </c>
      <c r="L89" s="39" t="str">
        <f>IF(J89="","",IF('START-HERE'!$C$17="USA",1110,""))</f>
        <v/>
      </c>
      <c r="M89" s="39" t="str">
        <f>VLOOKUP('START-HERE'!$D$20,DATA!$J$9:$K$12,2,FALSE)</f>
        <v>037 US Project (NB)</v>
      </c>
      <c r="N89" s="39">
        <f t="shared" si="15"/>
        <v>0</v>
      </c>
      <c r="O89" s="39" t="str">
        <f t="shared" si="16"/>
        <v/>
      </c>
      <c r="P89" s="126">
        <f t="shared" si="17"/>
        <v>0</v>
      </c>
      <c r="R89" s="115">
        <f t="shared" si="18"/>
        <v>88</v>
      </c>
      <c r="S89" s="115">
        <f t="shared" si="19"/>
        <v>0</v>
      </c>
      <c r="T89" s="29" t="str">
        <f>'EE System Designed BOM'!Q89</f>
        <v/>
      </c>
    </row>
    <row r="90" spans="1:20" s="29" customFormat="1" x14ac:dyDescent="0.25">
      <c r="A90" s="40">
        <f t="shared" si="10"/>
        <v>89</v>
      </c>
      <c r="B90" s="34" t="s">
        <v>9624</v>
      </c>
      <c r="C90" s="39" t="str">
        <f>IF('EE System Designed BOM'!E90="","",IF('EE System Designed BOM'!H90="Y","",'EE System Designed BOM'!E90))</f>
        <v/>
      </c>
      <c r="D90" s="79" t="str">
        <f>IF('EE System Designed BOM'!E90="","",IF('EE System Designed BOM'!H90="Y","",'EE System Designed BOM'!E90))</f>
        <v/>
      </c>
      <c r="E90" s="36" t="str">
        <f t="shared" si="11"/>
        <v/>
      </c>
      <c r="F90" s="39">
        <f t="shared" si="12"/>
        <v>0</v>
      </c>
      <c r="G90" s="124" t="s">
        <v>8604</v>
      </c>
      <c r="H90" s="54" t="str">
        <f>IF(D90="","",'START-HERE'!$C$16)</f>
        <v/>
      </c>
      <c r="I90" s="39" t="str">
        <f>VLOOKUP('START-HERE'!$C$17,DATA!$J$3:$K$6,2,FALSE)</f>
        <v>USD</v>
      </c>
      <c r="J90" s="125" t="str">
        <f t="shared" si="13"/>
        <v/>
      </c>
      <c r="K90" s="39" t="str">
        <f t="shared" si="14"/>
        <v/>
      </c>
      <c r="L90" s="39" t="str">
        <f>IF(J90="","",IF('START-HERE'!$C$17="USA",1110,""))</f>
        <v/>
      </c>
      <c r="M90" s="39" t="str">
        <f>VLOOKUP('START-HERE'!$D$20,DATA!$J$9:$K$12,2,FALSE)</f>
        <v>037 US Project (NB)</v>
      </c>
      <c r="N90" s="39">
        <f t="shared" si="15"/>
        <v>0</v>
      </c>
      <c r="O90" s="39" t="str">
        <f t="shared" si="16"/>
        <v/>
      </c>
      <c r="P90" s="126">
        <f t="shared" si="17"/>
        <v>0</v>
      </c>
      <c r="R90" s="115">
        <f t="shared" si="18"/>
        <v>89</v>
      </c>
      <c r="S90" s="115">
        <f t="shared" si="19"/>
        <v>0</v>
      </c>
      <c r="T90" s="29" t="str">
        <f>'EE System Designed BOM'!Q90</f>
        <v/>
      </c>
    </row>
    <row r="91" spans="1:20" s="29" customFormat="1" x14ac:dyDescent="0.25">
      <c r="A91" s="40">
        <f t="shared" si="10"/>
        <v>90</v>
      </c>
      <c r="B91" s="34" t="s">
        <v>9624</v>
      </c>
      <c r="C91" s="39" t="str">
        <f>IF('EE System Designed BOM'!E91="","",IF('EE System Designed BOM'!H91="Y","",'EE System Designed BOM'!E91))</f>
        <v/>
      </c>
      <c r="D91" s="79" t="str">
        <f>IF('EE System Designed BOM'!E91="","",IF('EE System Designed BOM'!H91="Y","",'EE System Designed BOM'!E91))</f>
        <v/>
      </c>
      <c r="E91" s="36" t="str">
        <f t="shared" si="11"/>
        <v/>
      </c>
      <c r="F91" s="39">
        <f t="shared" si="12"/>
        <v>0</v>
      </c>
      <c r="G91" s="124" t="s">
        <v>8604</v>
      </c>
      <c r="H91" s="54" t="str">
        <f>IF(D91="","",'START-HERE'!$C$16)</f>
        <v/>
      </c>
      <c r="I91" s="39" t="str">
        <f>VLOOKUP('START-HERE'!$C$17,DATA!$J$3:$K$6,2,FALSE)</f>
        <v>USD</v>
      </c>
      <c r="J91" s="125" t="str">
        <f t="shared" si="13"/>
        <v/>
      </c>
      <c r="K91" s="39" t="str">
        <f t="shared" si="14"/>
        <v/>
      </c>
      <c r="L91" s="39" t="str">
        <f>IF(J91="","",IF('START-HERE'!$C$17="USA",1110,""))</f>
        <v/>
      </c>
      <c r="M91" s="39" t="str">
        <f>VLOOKUP('START-HERE'!$D$20,DATA!$J$9:$K$12,2,FALSE)</f>
        <v>037 US Project (NB)</v>
      </c>
      <c r="N91" s="39">
        <f t="shared" si="15"/>
        <v>0</v>
      </c>
      <c r="O91" s="39" t="str">
        <f t="shared" si="16"/>
        <v/>
      </c>
      <c r="P91" s="126">
        <f t="shared" si="17"/>
        <v>0</v>
      </c>
      <c r="Q91" s="84"/>
      <c r="R91" s="115">
        <f t="shared" si="18"/>
        <v>90</v>
      </c>
      <c r="S91" s="115">
        <f t="shared" si="19"/>
        <v>0</v>
      </c>
      <c r="T91" s="29" t="str">
        <f>'EE System Designed BOM'!Q91</f>
        <v/>
      </c>
    </row>
    <row r="92" spans="1:20" s="29" customFormat="1" x14ac:dyDescent="0.25">
      <c r="A92" s="40">
        <f t="shared" si="10"/>
        <v>91</v>
      </c>
      <c r="B92" s="34" t="s">
        <v>9624</v>
      </c>
      <c r="C92" s="39" t="str">
        <f>IF('EE System Designed BOM'!E92="","",IF('EE System Designed BOM'!H92="Y","",'EE System Designed BOM'!E92))</f>
        <v/>
      </c>
      <c r="D92" s="79" t="str">
        <f>IF('EE System Designed BOM'!E92="","",IF('EE System Designed BOM'!H92="Y","",'EE System Designed BOM'!E92))</f>
        <v/>
      </c>
      <c r="E92" s="36" t="str">
        <f t="shared" si="11"/>
        <v/>
      </c>
      <c r="F92" s="39">
        <f t="shared" si="12"/>
        <v>0</v>
      </c>
      <c r="G92" s="124" t="s">
        <v>8604</v>
      </c>
      <c r="H92" s="54" t="str">
        <f>IF(D92="","",'START-HERE'!$C$16)</f>
        <v/>
      </c>
      <c r="I92" s="39" t="str">
        <f>VLOOKUP('START-HERE'!$C$17,DATA!$J$3:$K$6,2,FALSE)</f>
        <v>USD</v>
      </c>
      <c r="J92" s="125" t="str">
        <f t="shared" si="13"/>
        <v/>
      </c>
      <c r="K92" s="39" t="str">
        <f t="shared" si="14"/>
        <v/>
      </c>
      <c r="L92" s="39" t="str">
        <f>IF(J92="","",IF('START-HERE'!$C$17="USA",1110,""))</f>
        <v/>
      </c>
      <c r="M92" s="39" t="str">
        <f>VLOOKUP('START-HERE'!$D$20,DATA!$J$9:$K$12,2,FALSE)</f>
        <v>037 US Project (NB)</v>
      </c>
      <c r="N92" s="39">
        <f t="shared" si="15"/>
        <v>0</v>
      </c>
      <c r="O92" s="39" t="str">
        <f t="shared" si="16"/>
        <v/>
      </c>
      <c r="P92" s="126">
        <f t="shared" si="17"/>
        <v>0</v>
      </c>
      <c r="R92" s="115">
        <f t="shared" si="18"/>
        <v>91</v>
      </c>
      <c r="S92" s="115">
        <f t="shared" si="19"/>
        <v>0</v>
      </c>
      <c r="T92" s="29" t="str">
        <f>'EE System Designed BOM'!Q92</f>
        <v/>
      </c>
    </row>
    <row r="93" spans="1:20" s="29" customFormat="1" x14ac:dyDescent="0.25">
      <c r="A93" s="40">
        <f t="shared" si="10"/>
        <v>92</v>
      </c>
      <c r="B93" s="34" t="s">
        <v>9624</v>
      </c>
      <c r="C93" s="39" t="str">
        <f>IF('EE System Designed BOM'!E93="","",IF('EE System Designed BOM'!H93="Y","",'EE System Designed BOM'!E93))</f>
        <v/>
      </c>
      <c r="D93" s="79" t="str">
        <f>IF('EE System Designed BOM'!E93="","",IF('EE System Designed BOM'!H93="Y","",'EE System Designed BOM'!E93))</f>
        <v/>
      </c>
      <c r="E93" s="36" t="str">
        <f t="shared" si="11"/>
        <v/>
      </c>
      <c r="F93" s="39">
        <f t="shared" si="12"/>
        <v>0</v>
      </c>
      <c r="G93" s="124" t="s">
        <v>8604</v>
      </c>
      <c r="H93" s="54" t="str">
        <f>IF(D93="","",'START-HERE'!$C$16)</f>
        <v/>
      </c>
      <c r="I93" s="39" t="str">
        <f>VLOOKUP('START-HERE'!$C$17,DATA!$J$3:$K$6,2,FALSE)</f>
        <v>USD</v>
      </c>
      <c r="J93" s="125" t="str">
        <f t="shared" si="13"/>
        <v/>
      </c>
      <c r="K93" s="39" t="str">
        <f t="shared" si="14"/>
        <v/>
      </c>
      <c r="L93" s="39" t="str">
        <f>IF(J93="","",IF('START-HERE'!$C$17="USA",1110,""))</f>
        <v/>
      </c>
      <c r="M93" s="39" t="str">
        <f>VLOOKUP('START-HERE'!$D$20,DATA!$J$9:$K$12,2,FALSE)</f>
        <v>037 US Project (NB)</v>
      </c>
      <c r="N93" s="39">
        <f t="shared" si="15"/>
        <v>0</v>
      </c>
      <c r="O93" s="39" t="str">
        <f t="shared" si="16"/>
        <v/>
      </c>
      <c r="P93" s="126">
        <f t="shared" si="17"/>
        <v>0</v>
      </c>
      <c r="R93" s="115">
        <f t="shared" si="18"/>
        <v>92</v>
      </c>
      <c r="S93" s="115">
        <f t="shared" si="19"/>
        <v>0</v>
      </c>
      <c r="T93" s="29" t="str">
        <f>'EE System Designed BOM'!Q93</f>
        <v/>
      </c>
    </row>
    <row r="94" spans="1:20" s="29" customFormat="1" x14ac:dyDescent="0.25">
      <c r="A94" s="40">
        <f t="shared" si="10"/>
        <v>93</v>
      </c>
      <c r="B94" s="34" t="s">
        <v>9624</v>
      </c>
      <c r="C94" s="39" t="str">
        <f>IF('EE System Designed BOM'!E94="","",IF('EE System Designed BOM'!H94="Y","",'EE System Designed BOM'!E94))</f>
        <v/>
      </c>
      <c r="D94" s="79" t="str">
        <f>IF('EE System Designed BOM'!E94="","",IF('EE System Designed BOM'!H94="Y","",'EE System Designed BOM'!E94))</f>
        <v/>
      </c>
      <c r="E94" s="36" t="str">
        <f t="shared" si="11"/>
        <v/>
      </c>
      <c r="F94" s="39">
        <f t="shared" si="12"/>
        <v>0</v>
      </c>
      <c r="G94" s="124" t="s">
        <v>8604</v>
      </c>
      <c r="H94" s="54" t="str">
        <f>IF(D94="","",'START-HERE'!$C$16)</f>
        <v/>
      </c>
      <c r="I94" s="39" t="str">
        <f>VLOOKUP('START-HERE'!$C$17,DATA!$J$3:$K$6,2,FALSE)</f>
        <v>USD</v>
      </c>
      <c r="J94" s="125" t="str">
        <f t="shared" si="13"/>
        <v/>
      </c>
      <c r="K94" s="39" t="str">
        <f t="shared" si="14"/>
        <v/>
      </c>
      <c r="L94" s="39" t="str">
        <f>IF(J94="","",IF('START-HERE'!$C$17="USA",1110,""))</f>
        <v/>
      </c>
      <c r="M94" s="39" t="str">
        <f>VLOOKUP('START-HERE'!$D$20,DATA!$J$9:$K$12,2,FALSE)</f>
        <v>037 US Project (NB)</v>
      </c>
      <c r="N94" s="39">
        <f t="shared" si="15"/>
        <v>0</v>
      </c>
      <c r="O94" s="39" t="str">
        <f t="shared" si="16"/>
        <v/>
      </c>
      <c r="P94" s="126">
        <f t="shared" si="17"/>
        <v>0</v>
      </c>
      <c r="R94" s="115">
        <f t="shared" si="18"/>
        <v>93</v>
      </c>
      <c r="S94" s="115">
        <f t="shared" si="19"/>
        <v>0</v>
      </c>
      <c r="T94" s="29" t="str">
        <f>'EE System Designed BOM'!Q94</f>
        <v/>
      </c>
    </row>
    <row r="95" spans="1:20" s="29" customFormat="1" x14ac:dyDescent="0.25">
      <c r="A95" s="40">
        <f t="shared" si="10"/>
        <v>94</v>
      </c>
      <c r="B95" s="34" t="s">
        <v>9624</v>
      </c>
      <c r="C95" s="39" t="str">
        <f>IF('EE System Designed BOM'!E95="","",IF('EE System Designed BOM'!H95="Y","",'EE System Designed BOM'!E95))</f>
        <v/>
      </c>
      <c r="D95" s="79" t="str">
        <f>IF('EE System Designed BOM'!E95="","",IF('EE System Designed BOM'!H95="Y","",'EE System Designed BOM'!E95))</f>
        <v/>
      </c>
      <c r="E95" s="36" t="str">
        <f t="shared" si="11"/>
        <v/>
      </c>
      <c r="F95" s="39">
        <f t="shared" si="12"/>
        <v>0</v>
      </c>
      <c r="G95" s="124" t="s">
        <v>8604</v>
      </c>
      <c r="H95" s="54" t="str">
        <f>IF(D95="","",'START-HERE'!$C$16)</f>
        <v/>
      </c>
      <c r="I95" s="39" t="str">
        <f>VLOOKUP('START-HERE'!$C$17,DATA!$J$3:$K$6,2,FALSE)</f>
        <v>USD</v>
      </c>
      <c r="J95" s="125" t="str">
        <f t="shared" si="13"/>
        <v/>
      </c>
      <c r="K95" s="39" t="str">
        <f t="shared" si="14"/>
        <v/>
      </c>
      <c r="L95" s="39" t="str">
        <f>IF(J95="","",IF('START-HERE'!$C$17="USA",1110,""))</f>
        <v/>
      </c>
      <c r="M95" s="39" t="str">
        <f>VLOOKUP('START-HERE'!$D$20,DATA!$J$9:$K$12,2,FALSE)</f>
        <v>037 US Project (NB)</v>
      </c>
      <c r="N95" s="39">
        <f t="shared" si="15"/>
        <v>0</v>
      </c>
      <c r="O95" s="39" t="str">
        <f t="shared" si="16"/>
        <v/>
      </c>
      <c r="P95" s="126">
        <f t="shared" si="17"/>
        <v>0</v>
      </c>
      <c r="Q95" s="84"/>
      <c r="R95" s="115">
        <f t="shared" si="18"/>
        <v>94</v>
      </c>
      <c r="S95" s="115">
        <f t="shared" si="19"/>
        <v>0</v>
      </c>
      <c r="T95" s="29" t="str">
        <f>'EE System Designed BOM'!Q95</f>
        <v/>
      </c>
    </row>
    <row r="96" spans="1:20" s="29" customFormat="1" x14ac:dyDescent="0.25">
      <c r="A96" s="40">
        <f t="shared" si="10"/>
        <v>95</v>
      </c>
      <c r="B96" s="34" t="s">
        <v>9624</v>
      </c>
      <c r="C96" s="39" t="str">
        <f>IF('EE System Designed BOM'!E96="","",IF('EE System Designed BOM'!H96="Y","",'EE System Designed BOM'!E96))</f>
        <v/>
      </c>
      <c r="D96" s="79" t="str">
        <f>IF('EE System Designed BOM'!E96="","",IF('EE System Designed BOM'!H96="Y","",'EE System Designed BOM'!E96))</f>
        <v/>
      </c>
      <c r="E96" s="36" t="str">
        <f t="shared" si="11"/>
        <v/>
      </c>
      <c r="F96" s="39">
        <f t="shared" si="12"/>
        <v>0</v>
      </c>
      <c r="G96" s="124" t="s">
        <v>8604</v>
      </c>
      <c r="H96" s="54" t="str">
        <f>IF(D96="","",'START-HERE'!$C$16)</f>
        <v/>
      </c>
      <c r="I96" s="39" t="str">
        <f>VLOOKUP('START-HERE'!$C$17,DATA!$J$3:$K$6,2,FALSE)</f>
        <v>USD</v>
      </c>
      <c r="J96" s="125" t="str">
        <f t="shared" si="13"/>
        <v/>
      </c>
      <c r="K96" s="39" t="str">
        <f t="shared" si="14"/>
        <v/>
      </c>
      <c r="L96" s="39" t="str">
        <f>IF(J96="","",IF('START-HERE'!$C$17="USA",1110,""))</f>
        <v/>
      </c>
      <c r="M96" s="39" t="str">
        <f>VLOOKUP('START-HERE'!$D$20,DATA!$J$9:$K$12,2,FALSE)</f>
        <v>037 US Project (NB)</v>
      </c>
      <c r="N96" s="39">
        <f t="shared" si="15"/>
        <v>0</v>
      </c>
      <c r="O96" s="39" t="str">
        <f t="shared" si="16"/>
        <v/>
      </c>
      <c r="P96" s="126">
        <f t="shared" si="17"/>
        <v>0</v>
      </c>
      <c r="R96" s="115">
        <f t="shared" si="18"/>
        <v>95</v>
      </c>
      <c r="S96" s="115">
        <f t="shared" si="19"/>
        <v>0</v>
      </c>
      <c r="T96" s="29" t="str">
        <f>'EE System Designed BOM'!Q96</f>
        <v/>
      </c>
    </row>
    <row r="97" spans="1:20" s="29" customFormat="1" x14ac:dyDescent="0.25">
      <c r="A97" s="40">
        <f t="shared" si="10"/>
        <v>96</v>
      </c>
      <c r="B97" s="34" t="s">
        <v>9624</v>
      </c>
      <c r="C97" s="39" t="str">
        <f>IF('EE System Designed BOM'!E97="","",IF('EE System Designed BOM'!H97="Y","",'EE System Designed BOM'!E97))</f>
        <v/>
      </c>
      <c r="D97" s="79" t="str">
        <f>IF('EE System Designed BOM'!E97="","",IF('EE System Designed BOM'!H97="Y","",'EE System Designed BOM'!E97))</f>
        <v/>
      </c>
      <c r="E97" s="36" t="str">
        <f t="shared" si="11"/>
        <v/>
      </c>
      <c r="F97" s="39">
        <f t="shared" si="12"/>
        <v>0</v>
      </c>
      <c r="G97" s="124" t="s">
        <v>8604</v>
      </c>
      <c r="H97" s="54" t="str">
        <f>IF(D97="","",'START-HERE'!$C$16)</f>
        <v/>
      </c>
      <c r="I97" s="39" t="str">
        <f>VLOOKUP('START-HERE'!$C$17,DATA!$J$3:$K$6,2,FALSE)</f>
        <v>USD</v>
      </c>
      <c r="J97" s="125" t="str">
        <f t="shared" si="13"/>
        <v/>
      </c>
      <c r="K97" s="39" t="str">
        <f t="shared" si="14"/>
        <v/>
      </c>
      <c r="L97" s="39" t="str">
        <f>IF(J97="","",IF('START-HERE'!$C$17="USA",1110,""))</f>
        <v/>
      </c>
      <c r="M97" s="39" t="str">
        <f>VLOOKUP('START-HERE'!$D$20,DATA!$J$9:$K$12,2,FALSE)</f>
        <v>037 US Project (NB)</v>
      </c>
      <c r="N97" s="39">
        <f t="shared" si="15"/>
        <v>0</v>
      </c>
      <c r="O97" s="39" t="str">
        <f t="shared" si="16"/>
        <v/>
      </c>
      <c r="P97" s="126">
        <f t="shared" si="17"/>
        <v>0</v>
      </c>
      <c r="R97" s="115">
        <f t="shared" si="18"/>
        <v>96</v>
      </c>
      <c r="S97" s="115">
        <f t="shared" si="19"/>
        <v>0</v>
      </c>
      <c r="T97" s="29" t="str">
        <f>'EE System Designed BOM'!Q97</f>
        <v/>
      </c>
    </row>
    <row r="98" spans="1:20" s="29" customFormat="1" x14ac:dyDescent="0.25">
      <c r="A98" s="40">
        <f t="shared" si="10"/>
        <v>97</v>
      </c>
      <c r="B98" s="34" t="s">
        <v>9624</v>
      </c>
      <c r="C98" s="39" t="str">
        <f>IF('EE System Designed BOM'!E98="","",IF('EE System Designed BOM'!H98="Y","",'EE System Designed BOM'!E98))</f>
        <v/>
      </c>
      <c r="D98" s="79" t="str">
        <f>IF('EE System Designed BOM'!E98="","",IF('EE System Designed BOM'!H98="Y","",'EE System Designed BOM'!E98))</f>
        <v/>
      </c>
      <c r="E98" s="36" t="str">
        <f t="shared" si="11"/>
        <v/>
      </c>
      <c r="F98" s="39">
        <f t="shared" si="12"/>
        <v>0</v>
      </c>
      <c r="G98" s="124" t="s">
        <v>8604</v>
      </c>
      <c r="H98" s="54" t="str">
        <f>IF(D98="","",'START-HERE'!$C$16)</f>
        <v/>
      </c>
      <c r="I98" s="39" t="str">
        <f>VLOOKUP('START-HERE'!$C$17,DATA!$J$3:$K$6,2,FALSE)</f>
        <v>USD</v>
      </c>
      <c r="J98" s="125" t="str">
        <f t="shared" si="13"/>
        <v/>
      </c>
      <c r="K98" s="39" t="str">
        <f t="shared" si="14"/>
        <v/>
      </c>
      <c r="L98" s="39" t="str">
        <f>IF(J98="","",IF('START-HERE'!$C$17="USA",1110,""))</f>
        <v/>
      </c>
      <c r="M98" s="39" t="str">
        <f>VLOOKUP('START-HERE'!$D$20,DATA!$J$9:$K$12,2,FALSE)</f>
        <v>037 US Project (NB)</v>
      </c>
      <c r="N98" s="39">
        <f t="shared" si="15"/>
        <v>0</v>
      </c>
      <c r="O98" s="39" t="str">
        <f t="shared" si="16"/>
        <v/>
      </c>
      <c r="P98" s="126">
        <f t="shared" si="17"/>
        <v>0</v>
      </c>
      <c r="R98" s="115">
        <f t="shared" si="18"/>
        <v>97</v>
      </c>
      <c r="S98" s="115">
        <f t="shared" si="19"/>
        <v>0</v>
      </c>
      <c r="T98" s="29" t="str">
        <f>'EE System Designed BOM'!Q98</f>
        <v/>
      </c>
    </row>
    <row r="99" spans="1:20" s="29" customFormat="1" x14ac:dyDescent="0.25">
      <c r="A99" s="40">
        <f t="shared" si="10"/>
        <v>98</v>
      </c>
      <c r="B99" s="34" t="s">
        <v>9624</v>
      </c>
      <c r="C99" s="39" t="str">
        <f>IF('EE System Designed BOM'!E99="","",IF('EE System Designed BOM'!H99="Y","",'EE System Designed BOM'!E99))</f>
        <v/>
      </c>
      <c r="D99" s="79" t="str">
        <f>IF('EE System Designed BOM'!E99="","",IF('EE System Designed BOM'!H99="Y","",'EE System Designed BOM'!E99))</f>
        <v/>
      </c>
      <c r="E99" s="36" t="str">
        <f t="shared" si="11"/>
        <v/>
      </c>
      <c r="F99" s="39">
        <f t="shared" si="12"/>
        <v>0</v>
      </c>
      <c r="G99" s="124" t="s">
        <v>8604</v>
      </c>
      <c r="H99" s="54" t="str">
        <f>IF(D99="","",'START-HERE'!$C$16)</f>
        <v/>
      </c>
      <c r="I99" s="39" t="str">
        <f>VLOOKUP('START-HERE'!$C$17,DATA!$J$3:$K$6,2,FALSE)</f>
        <v>USD</v>
      </c>
      <c r="J99" s="125" t="str">
        <f t="shared" si="13"/>
        <v/>
      </c>
      <c r="K99" s="39" t="str">
        <f t="shared" si="14"/>
        <v/>
      </c>
      <c r="L99" s="39" t="str">
        <f>IF(J99="","",IF('START-HERE'!$C$17="USA",1110,""))</f>
        <v/>
      </c>
      <c r="M99" s="39" t="str">
        <f>VLOOKUP('START-HERE'!$D$20,DATA!$J$9:$K$12,2,FALSE)</f>
        <v>037 US Project (NB)</v>
      </c>
      <c r="N99" s="39">
        <f t="shared" si="15"/>
        <v>0</v>
      </c>
      <c r="O99" s="39" t="str">
        <f t="shared" si="16"/>
        <v/>
      </c>
      <c r="P99" s="126">
        <f t="shared" si="17"/>
        <v>0</v>
      </c>
      <c r="Q99" s="84"/>
      <c r="R99" s="115">
        <f t="shared" si="18"/>
        <v>98</v>
      </c>
      <c r="S99" s="115">
        <f t="shared" si="19"/>
        <v>0</v>
      </c>
      <c r="T99" s="29" t="str">
        <f>'EE System Designed BOM'!Q99</f>
        <v/>
      </c>
    </row>
    <row r="100" spans="1:20" s="29" customFormat="1" x14ac:dyDescent="0.25">
      <c r="A100" s="40">
        <f t="shared" si="10"/>
        <v>99</v>
      </c>
      <c r="B100" s="34" t="s">
        <v>9624</v>
      </c>
      <c r="C100" s="39" t="str">
        <f>IF('EE System Designed BOM'!E100="","",IF('EE System Designed BOM'!H100="Y","",'EE System Designed BOM'!E100))</f>
        <v/>
      </c>
      <c r="D100" s="79" t="str">
        <f>IF('EE System Designed BOM'!E100="","",IF('EE System Designed BOM'!H100="Y","",'EE System Designed BOM'!E100))</f>
        <v/>
      </c>
      <c r="E100" s="36" t="str">
        <f t="shared" si="11"/>
        <v/>
      </c>
      <c r="F100" s="39">
        <f t="shared" si="12"/>
        <v>0</v>
      </c>
      <c r="G100" s="124" t="s">
        <v>8604</v>
      </c>
      <c r="H100" s="54" t="str">
        <f>IF(D100="","",'START-HERE'!$C$16)</f>
        <v/>
      </c>
      <c r="I100" s="39" t="str">
        <f>VLOOKUP('START-HERE'!$C$17,DATA!$J$3:$K$6,2,FALSE)</f>
        <v>USD</v>
      </c>
      <c r="J100" s="125" t="str">
        <f t="shared" si="13"/>
        <v/>
      </c>
      <c r="K100" s="39" t="str">
        <f t="shared" si="14"/>
        <v/>
      </c>
      <c r="L100" s="39" t="str">
        <f>IF(J100="","",IF('START-HERE'!$C$17="USA",1110,""))</f>
        <v/>
      </c>
      <c r="M100" s="39" t="str">
        <f>VLOOKUP('START-HERE'!$D$20,DATA!$J$9:$K$12,2,FALSE)</f>
        <v>037 US Project (NB)</v>
      </c>
      <c r="N100" s="39">
        <f t="shared" si="15"/>
        <v>0</v>
      </c>
      <c r="O100" s="39" t="str">
        <f t="shared" si="16"/>
        <v/>
      </c>
      <c r="P100" s="126">
        <f t="shared" si="17"/>
        <v>0</v>
      </c>
      <c r="R100" s="115">
        <f t="shared" si="18"/>
        <v>99</v>
      </c>
      <c r="S100" s="115">
        <f t="shared" si="19"/>
        <v>0</v>
      </c>
      <c r="T100" s="29" t="str">
        <f>'EE System Designed BOM'!Q100</f>
        <v/>
      </c>
    </row>
    <row r="101" spans="1:20" s="29" customFormat="1" x14ac:dyDescent="0.25">
      <c r="A101" s="40">
        <f t="shared" si="10"/>
        <v>100</v>
      </c>
      <c r="B101" s="34" t="s">
        <v>9624</v>
      </c>
      <c r="C101" s="39" t="str">
        <f>IF('EE System Designed BOM'!E101="","",IF('EE System Designed BOM'!H101="Y","",'EE System Designed BOM'!E101))</f>
        <v/>
      </c>
      <c r="D101" s="79" t="str">
        <f>IF('EE System Designed BOM'!E101="","",IF('EE System Designed BOM'!H101="Y","",'EE System Designed BOM'!E101))</f>
        <v/>
      </c>
      <c r="E101" s="36" t="str">
        <f t="shared" si="11"/>
        <v/>
      </c>
      <c r="F101" s="39">
        <f t="shared" si="12"/>
        <v>0</v>
      </c>
      <c r="G101" s="124" t="s">
        <v>8604</v>
      </c>
      <c r="H101" s="54" t="str">
        <f>IF(D101="","",'START-HERE'!$C$16)</f>
        <v/>
      </c>
      <c r="I101" s="39" t="str">
        <f>VLOOKUP('START-HERE'!$C$17,DATA!$J$3:$K$6,2,FALSE)</f>
        <v>USD</v>
      </c>
      <c r="J101" s="125" t="str">
        <f t="shared" si="13"/>
        <v/>
      </c>
      <c r="K101" s="39" t="str">
        <f t="shared" si="14"/>
        <v/>
      </c>
      <c r="L101" s="39" t="str">
        <f>IF(J101="","",IF('START-HERE'!$C$17="USA",1110,""))</f>
        <v/>
      </c>
      <c r="M101" s="39" t="str">
        <f>VLOOKUP('START-HERE'!$D$20,DATA!$J$9:$K$12,2,FALSE)</f>
        <v>037 US Project (NB)</v>
      </c>
      <c r="N101" s="39">
        <f t="shared" si="15"/>
        <v>0</v>
      </c>
      <c r="O101" s="39" t="str">
        <f t="shared" si="16"/>
        <v/>
      </c>
      <c r="P101" s="126">
        <f t="shared" si="17"/>
        <v>0</v>
      </c>
      <c r="R101" s="115">
        <f t="shared" si="18"/>
        <v>100</v>
      </c>
      <c r="S101" s="115">
        <f t="shared" si="19"/>
        <v>0</v>
      </c>
      <c r="T101" s="29" t="str">
        <f>'EE System Designed BOM'!Q101</f>
        <v/>
      </c>
    </row>
    <row r="102" spans="1:20" s="29" customFormat="1" x14ac:dyDescent="0.25">
      <c r="A102" s="40">
        <f t="shared" si="10"/>
        <v>101</v>
      </c>
      <c r="B102" s="34" t="s">
        <v>9624</v>
      </c>
      <c r="C102" s="39" t="str">
        <f>IF('EE System Designed BOM'!E102="","",IF('EE System Designed BOM'!H102="Y","",'EE System Designed BOM'!E102))</f>
        <v/>
      </c>
      <c r="D102" s="79" t="str">
        <f>IF('EE System Designed BOM'!E102="","",IF('EE System Designed BOM'!H102="Y","",'EE System Designed BOM'!E102))</f>
        <v/>
      </c>
      <c r="E102" s="36" t="str">
        <f t="shared" si="11"/>
        <v/>
      </c>
      <c r="F102" s="39">
        <f t="shared" si="12"/>
        <v>0</v>
      </c>
      <c r="G102" s="124" t="s">
        <v>8604</v>
      </c>
      <c r="H102" s="54" t="str">
        <f>IF(D102="","",'START-HERE'!$C$16)</f>
        <v/>
      </c>
      <c r="I102" s="39" t="str">
        <f>VLOOKUP('START-HERE'!$C$17,DATA!$J$3:$K$6,2,FALSE)</f>
        <v>USD</v>
      </c>
      <c r="J102" s="125" t="str">
        <f t="shared" si="13"/>
        <v/>
      </c>
      <c r="K102" s="39" t="str">
        <f t="shared" si="14"/>
        <v/>
      </c>
      <c r="L102" s="39" t="str">
        <f>IF(J102="","",IF('START-HERE'!$C$17="USA",1110,""))</f>
        <v/>
      </c>
      <c r="M102" s="39" t="str">
        <f>VLOOKUP('START-HERE'!$D$20,DATA!$J$9:$K$12,2,FALSE)</f>
        <v>037 US Project (NB)</v>
      </c>
      <c r="N102" s="39">
        <f t="shared" si="15"/>
        <v>0</v>
      </c>
      <c r="O102" s="39" t="str">
        <f t="shared" si="16"/>
        <v/>
      </c>
      <c r="P102" s="126">
        <f t="shared" si="17"/>
        <v>0</v>
      </c>
      <c r="R102" s="115">
        <f t="shared" si="18"/>
        <v>101</v>
      </c>
      <c r="S102" s="115">
        <f t="shared" si="19"/>
        <v>0</v>
      </c>
      <c r="T102" s="29" t="str">
        <f>'EE System Designed BOM'!Q102</f>
        <v/>
      </c>
    </row>
    <row r="103" spans="1:20" s="29" customFormat="1" x14ac:dyDescent="0.25">
      <c r="A103" s="40">
        <f t="shared" si="10"/>
        <v>102</v>
      </c>
      <c r="B103" s="34" t="s">
        <v>9624</v>
      </c>
      <c r="C103" s="39" t="str">
        <f>IF('EE System Designed BOM'!E103="","",IF('EE System Designed BOM'!H103="Y","",'EE System Designed BOM'!E103))</f>
        <v/>
      </c>
      <c r="D103" s="79" t="str">
        <f>IF('EE System Designed BOM'!E103="","",IF('EE System Designed BOM'!H103="Y","",'EE System Designed BOM'!E103))</f>
        <v/>
      </c>
      <c r="E103" s="36" t="str">
        <f t="shared" si="11"/>
        <v/>
      </c>
      <c r="F103" s="39">
        <f t="shared" si="12"/>
        <v>0</v>
      </c>
      <c r="G103" s="124" t="s">
        <v>8604</v>
      </c>
      <c r="H103" s="54" t="str">
        <f>IF(D103="","",'START-HERE'!$C$16)</f>
        <v/>
      </c>
      <c r="I103" s="39" t="str">
        <f>VLOOKUP('START-HERE'!$C$17,DATA!$J$3:$K$6,2,FALSE)</f>
        <v>USD</v>
      </c>
      <c r="J103" s="125" t="str">
        <f t="shared" si="13"/>
        <v/>
      </c>
      <c r="K103" s="39" t="str">
        <f t="shared" si="14"/>
        <v/>
      </c>
      <c r="L103" s="39" t="str">
        <f>IF(J103="","",IF('START-HERE'!$C$17="USA",1110,""))</f>
        <v/>
      </c>
      <c r="M103" s="39" t="str">
        <f>VLOOKUP('START-HERE'!$D$20,DATA!$J$9:$K$12,2,FALSE)</f>
        <v>037 US Project (NB)</v>
      </c>
      <c r="N103" s="39">
        <f t="shared" si="15"/>
        <v>0</v>
      </c>
      <c r="O103" s="39" t="str">
        <f t="shared" si="16"/>
        <v/>
      </c>
      <c r="P103" s="126">
        <f t="shared" si="17"/>
        <v>0</v>
      </c>
      <c r="Q103" s="84"/>
      <c r="R103" s="115">
        <f t="shared" si="18"/>
        <v>102</v>
      </c>
      <c r="S103" s="115">
        <f t="shared" si="19"/>
        <v>0</v>
      </c>
      <c r="T103" s="29" t="str">
        <f>'EE System Designed BOM'!Q103</f>
        <v/>
      </c>
    </row>
    <row r="104" spans="1:20" s="29" customFormat="1" x14ac:dyDescent="0.25">
      <c r="A104" s="40">
        <f t="shared" si="10"/>
        <v>103</v>
      </c>
      <c r="B104" s="34" t="s">
        <v>9624</v>
      </c>
      <c r="C104" s="39" t="str">
        <f>IF('EE System Designed BOM'!E104="","",IF('EE System Designed BOM'!H104="Y","",'EE System Designed BOM'!E104))</f>
        <v/>
      </c>
      <c r="D104" s="79" t="str">
        <f>IF('EE System Designed BOM'!E104="","",IF('EE System Designed BOM'!H104="Y","",'EE System Designed BOM'!E104))</f>
        <v/>
      </c>
      <c r="E104" s="36" t="str">
        <f t="shared" si="11"/>
        <v/>
      </c>
      <c r="F104" s="39">
        <f t="shared" si="12"/>
        <v>0</v>
      </c>
      <c r="G104" s="124" t="s">
        <v>8604</v>
      </c>
      <c r="H104" s="54" t="str">
        <f>IF(D104="","",'START-HERE'!$C$16)</f>
        <v/>
      </c>
      <c r="I104" s="39" t="str">
        <f>VLOOKUP('START-HERE'!$C$17,DATA!$J$3:$K$6,2,FALSE)</f>
        <v>USD</v>
      </c>
      <c r="J104" s="125" t="str">
        <f t="shared" si="13"/>
        <v/>
      </c>
      <c r="K104" s="39" t="str">
        <f t="shared" si="14"/>
        <v/>
      </c>
      <c r="L104" s="39" t="str">
        <f>IF(J104="","",IF('START-HERE'!$C$17="USA",1110,""))</f>
        <v/>
      </c>
      <c r="M104" s="39" t="str">
        <f>VLOOKUP('START-HERE'!$D$20,DATA!$J$9:$K$12,2,FALSE)</f>
        <v>037 US Project (NB)</v>
      </c>
      <c r="N104" s="39">
        <f t="shared" si="15"/>
        <v>0</v>
      </c>
      <c r="O104" s="39" t="str">
        <f t="shared" si="16"/>
        <v/>
      </c>
      <c r="P104" s="126">
        <f t="shared" si="17"/>
        <v>0</v>
      </c>
      <c r="R104" s="115">
        <f t="shared" si="18"/>
        <v>103</v>
      </c>
      <c r="S104" s="115">
        <f t="shared" si="19"/>
        <v>0</v>
      </c>
      <c r="T104" s="29" t="str">
        <f>'EE System Designed BOM'!Q104</f>
        <v/>
      </c>
    </row>
    <row r="105" spans="1:20" s="29" customFormat="1" x14ac:dyDescent="0.25">
      <c r="A105" s="40">
        <f t="shared" si="10"/>
        <v>104</v>
      </c>
      <c r="B105" s="34" t="s">
        <v>9624</v>
      </c>
      <c r="C105" s="39" t="str">
        <f>IF('EE System Designed BOM'!E105="","",IF('EE System Designed BOM'!H105="Y","",'EE System Designed BOM'!E105))</f>
        <v/>
      </c>
      <c r="D105" s="79" t="str">
        <f>IF('EE System Designed BOM'!E105="","",IF('EE System Designed BOM'!H105="Y","",'EE System Designed BOM'!E105))</f>
        <v/>
      </c>
      <c r="E105" s="36" t="str">
        <f t="shared" si="11"/>
        <v/>
      </c>
      <c r="F105" s="39">
        <f t="shared" si="12"/>
        <v>0</v>
      </c>
      <c r="G105" s="124" t="s">
        <v>8604</v>
      </c>
      <c r="H105" s="54" t="str">
        <f>IF(D105="","",'START-HERE'!$C$16)</f>
        <v/>
      </c>
      <c r="I105" s="39" t="str">
        <f>VLOOKUP('START-HERE'!$C$17,DATA!$J$3:$K$6,2,FALSE)</f>
        <v>USD</v>
      </c>
      <c r="J105" s="125" t="str">
        <f t="shared" si="13"/>
        <v/>
      </c>
      <c r="K105" s="39" t="str">
        <f t="shared" si="14"/>
        <v/>
      </c>
      <c r="L105" s="39" t="str">
        <f>IF(J105="","",IF('START-HERE'!$C$17="USA",1110,""))</f>
        <v/>
      </c>
      <c r="M105" s="39" t="str">
        <f>VLOOKUP('START-HERE'!$D$20,DATA!$J$9:$K$12,2,FALSE)</f>
        <v>037 US Project (NB)</v>
      </c>
      <c r="N105" s="39">
        <f t="shared" si="15"/>
        <v>0</v>
      </c>
      <c r="O105" s="39" t="str">
        <f t="shared" si="16"/>
        <v/>
      </c>
      <c r="P105" s="126">
        <f t="shared" si="17"/>
        <v>0</v>
      </c>
      <c r="R105" s="115">
        <f t="shared" si="18"/>
        <v>104</v>
      </c>
      <c r="S105" s="115">
        <f t="shared" si="19"/>
        <v>0</v>
      </c>
      <c r="T105" s="29" t="str">
        <f>'EE System Designed BOM'!Q105</f>
        <v/>
      </c>
    </row>
    <row r="106" spans="1:20" s="29" customFormat="1" x14ac:dyDescent="0.25">
      <c r="A106" s="40">
        <f t="shared" si="10"/>
        <v>105</v>
      </c>
      <c r="B106" s="34" t="s">
        <v>9624</v>
      </c>
      <c r="C106" s="39" t="str">
        <f>IF('EE System Designed BOM'!E106="","",IF('EE System Designed BOM'!H106="Y","",'EE System Designed BOM'!E106))</f>
        <v/>
      </c>
      <c r="D106" s="79" t="str">
        <f>IF('EE System Designed BOM'!E106="","",IF('EE System Designed BOM'!H106="Y","",'EE System Designed BOM'!E106))</f>
        <v/>
      </c>
      <c r="E106" s="36" t="str">
        <f t="shared" si="11"/>
        <v/>
      </c>
      <c r="F106" s="39">
        <f t="shared" si="12"/>
        <v>0</v>
      </c>
      <c r="G106" s="124" t="s">
        <v>8604</v>
      </c>
      <c r="H106" s="54" t="str">
        <f>IF(D106="","",'START-HERE'!$C$16)</f>
        <v/>
      </c>
      <c r="I106" s="39" t="str">
        <f>VLOOKUP('START-HERE'!$C$17,DATA!$J$3:$K$6,2,FALSE)</f>
        <v>USD</v>
      </c>
      <c r="J106" s="125" t="str">
        <f t="shared" si="13"/>
        <v/>
      </c>
      <c r="K106" s="39" t="str">
        <f t="shared" si="14"/>
        <v/>
      </c>
      <c r="L106" s="39" t="str">
        <f>IF(J106="","",IF('START-HERE'!$C$17="USA",1110,""))</f>
        <v/>
      </c>
      <c r="M106" s="39" t="str">
        <f>VLOOKUP('START-HERE'!$D$20,DATA!$J$9:$K$12,2,FALSE)</f>
        <v>037 US Project (NB)</v>
      </c>
      <c r="N106" s="39">
        <f t="shared" si="15"/>
        <v>0</v>
      </c>
      <c r="O106" s="39" t="str">
        <f t="shared" si="16"/>
        <v/>
      </c>
      <c r="P106" s="126">
        <f t="shared" si="17"/>
        <v>0</v>
      </c>
      <c r="R106" s="115">
        <f t="shared" si="18"/>
        <v>105</v>
      </c>
      <c r="S106" s="115">
        <f t="shared" si="19"/>
        <v>0</v>
      </c>
      <c r="T106" s="29" t="str">
        <f>'EE System Designed BOM'!Q106</f>
        <v/>
      </c>
    </row>
    <row r="107" spans="1:20" s="29" customFormat="1" x14ac:dyDescent="0.25">
      <c r="A107" s="40">
        <f t="shared" si="10"/>
        <v>106</v>
      </c>
      <c r="B107" s="34" t="s">
        <v>9624</v>
      </c>
      <c r="C107" s="39" t="str">
        <f>IF('EE System Designed BOM'!E107="","",IF('EE System Designed BOM'!H107="Y","",'EE System Designed BOM'!E107))</f>
        <v/>
      </c>
      <c r="D107" s="79" t="str">
        <f>IF('EE System Designed BOM'!E107="","",IF('EE System Designed BOM'!H107="Y","",'EE System Designed BOM'!E107))</f>
        <v/>
      </c>
      <c r="E107" s="36" t="str">
        <f t="shared" si="11"/>
        <v/>
      </c>
      <c r="F107" s="39">
        <f t="shared" si="12"/>
        <v>0</v>
      </c>
      <c r="G107" s="124" t="s">
        <v>8604</v>
      </c>
      <c r="H107" s="54" t="str">
        <f>IF(D107="","",'START-HERE'!$C$16)</f>
        <v/>
      </c>
      <c r="I107" s="39" t="str">
        <f>VLOOKUP('START-HERE'!$C$17,DATA!$J$3:$K$6,2,FALSE)</f>
        <v>USD</v>
      </c>
      <c r="J107" s="125" t="str">
        <f t="shared" si="13"/>
        <v/>
      </c>
      <c r="K107" s="39" t="str">
        <f t="shared" si="14"/>
        <v/>
      </c>
      <c r="L107" s="39" t="str">
        <f>IF(J107="","",IF('START-HERE'!$C$17="USA",1110,""))</f>
        <v/>
      </c>
      <c r="M107" s="39" t="str">
        <f>VLOOKUP('START-HERE'!$D$20,DATA!$J$9:$K$12,2,FALSE)</f>
        <v>037 US Project (NB)</v>
      </c>
      <c r="N107" s="39">
        <f t="shared" si="15"/>
        <v>0</v>
      </c>
      <c r="O107" s="39" t="str">
        <f t="shared" si="16"/>
        <v/>
      </c>
      <c r="P107" s="126">
        <f t="shared" si="17"/>
        <v>0</v>
      </c>
      <c r="Q107" s="84"/>
      <c r="R107" s="115">
        <f t="shared" si="18"/>
        <v>106</v>
      </c>
      <c r="S107" s="115">
        <f t="shared" si="19"/>
        <v>0</v>
      </c>
      <c r="T107" s="29" t="str">
        <f>'EE System Designed BOM'!Q107</f>
        <v/>
      </c>
    </row>
    <row r="108" spans="1:20" s="29" customFormat="1" x14ac:dyDescent="0.25">
      <c r="A108" s="40">
        <f t="shared" si="10"/>
        <v>107</v>
      </c>
      <c r="B108" s="34" t="s">
        <v>9624</v>
      </c>
      <c r="C108" s="39" t="str">
        <f>IF('EE System Designed BOM'!E108="","",IF('EE System Designed BOM'!H108="Y","",'EE System Designed BOM'!E108))</f>
        <v/>
      </c>
      <c r="D108" s="79" t="str">
        <f>IF('EE System Designed BOM'!E108="","",IF('EE System Designed BOM'!H108="Y","",'EE System Designed BOM'!E108))</f>
        <v/>
      </c>
      <c r="E108" s="36" t="str">
        <f t="shared" si="11"/>
        <v/>
      </c>
      <c r="F108" s="39">
        <f t="shared" si="12"/>
        <v>0</v>
      </c>
      <c r="G108" s="124" t="s">
        <v>8604</v>
      </c>
      <c r="H108" s="54" t="str">
        <f>IF(D108="","",'START-HERE'!$C$16)</f>
        <v/>
      </c>
      <c r="I108" s="39" t="str">
        <f>VLOOKUP('START-HERE'!$C$17,DATA!$J$3:$K$6,2,FALSE)</f>
        <v>USD</v>
      </c>
      <c r="J108" s="125" t="str">
        <f t="shared" si="13"/>
        <v/>
      </c>
      <c r="K108" s="39" t="str">
        <f t="shared" si="14"/>
        <v/>
      </c>
      <c r="L108" s="39" t="str">
        <f>IF(J108="","",IF('START-HERE'!$C$17="USA",1110,""))</f>
        <v/>
      </c>
      <c r="M108" s="39" t="str">
        <f>VLOOKUP('START-HERE'!$D$20,DATA!$J$9:$K$12,2,FALSE)</f>
        <v>037 US Project (NB)</v>
      </c>
      <c r="N108" s="39">
        <f t="shared" si="15"/>
        <v>0</v>
      </c>
      <c r="O108" s="39" t="str">
        <f t="shared" si="16"/>
        <v/>
      </c>
      <c r="P108" s="126">
        <f t="shared" si="17"/>
        <v>0</v>
      </c>
      <c r="R108" s="115">
        <f t="shared" si="18"/>
        <v>107</v>
      </c>
      <c r="S108" s="115">
        <f t="shared" si="19"/>
        <v>0</v>
      </c>
      <c r="T108" s="29" t="str">
        <f>'EE System Designed BOM'!Q108</f>
        <v/>
      </c>
    </row>
    <row r="109" spans="1:20" s="29" customFormat="1" x14ac:dyDescent="0.25">
      <c r="A109" s="40">
        <f t="shared" si="10"/>
        <v>108</v>
      </c>
      <c r="B109" s="34" t="s">
        <v>9624</v>
      </c>
      <c r="C109" s="39" t="str">
        <f>IF('EE System Designed BOM'!E109="","",IF('EE System Designed BOM'!H109="Y","",'EE System Designed BOM'!E109))</f>
        <v/>
      </c>
      <c r="D109" s="79" t="str">
        <f>IF('EE System Designed BOM'!E109="","",IF('EE System Designed BOM'!H109="Y","",'EE System Designed BOM'!E109))</f>
        <v/>
      </c>
      <c r="E109" s="36" t="str">
        <f t="shared" si="11"/>
        <v/>
      </c>
      <c r="F109" s="39">
        <f t="shared" si="12"/>
        <v>0</v>
      </c>
      <c r="G109" s="124" t="s">
        <v>8604</v>
      </c>
      <c r="H109" s="54" t="str">
        <f>IF(D109="","",'START-HERE'!$C$16)</f>
        <v/>
      </c>
      <c r="I109" s="39" t="str">
        <f>VLOOKUP('START-HERE'!$C$17,DATA!$J$3:$K$6,2,FALSE)</f>
        <v>USD</v>
      </c>
      <c r="J109" s="125" t="str">
        <f t="shared" si="13"/>
        <v/>
      </c>
      <c r="K109" s="39" t="str">
        <f t="shared" si="14"/>
        <v/>
      </c>
      <c r="L109" s="39" t="str">
        <f>IF(J109="","",IF('START-HERE'!$C$17="USA",1110,""))</f>
        <v/>
      </c>
      <c r="M109" s="39" t="str">
        <f>VLOOKUP('START-HERE'!$D$20,DATA!$J$9:$K$12,2,FALSE)</f>
        <v>037 US Project (NB)</v>
      </c>
      <c r="N109" s="39">
        <f t="shared" si="15"/>
        <v>0</v>
      </c>
      <c r="O109" s="39" t="str">
        <f t="shared" si="16"/>
        <v/>
      </c>
      <c r="P109" s="126">
        <f t="shared" si="17"/>
        <v>0</v>
      </c>
      <c r="R109" s="115">
        <f t="shared" si="18"/>
        <v>108</v>
      </c>
      <c r="S109" s="115">
        <f t="shared" si="19"/>
        <v>0</v>
      </c>
      <c r="T109" s="29" t="str">
        <f>'EE System Designed BOM'!Q109</f>
        <v/>
      </c>
    </row>
    <row r="110" spans="1:20" s="29" customFormat="1" x14ac:dyDescent="0.25">
      <c r="A110" s="40">
        <f t="shared" si="10"/>
        <v>109</v>
      </c>
      <c r="B110" s="34" t="s">
        <v>9624</v>
      </c>
      <c r="C110" s="39" t="str">
        <f>IF('EE System Designed BOM'!E110="","",IF('EE System Designed BOM'!H110="Y","",'EE System Designed BOM'!E110))</f>
        <v/>
      </c>
      <c r="D110" s="79" t="str">
        <f>IF('EE System Designed BOM'!E110="","",IF('EE System Designed BOM'!H110="Y","",'EE System Designed BOM'!E110))</f>
        <v/>
      </c>
      <c r="E110" s="36" t="str">
        <f t="shared" si="11"/>
        <v/>
      </c>
      <c r="F110" s="39">
        <f t="shared" si="12"/>
        <v>0</v>
      </c>
      <c r="G110" s="124" t="s">
        <v>8604</v>
      </c>
      <c r="H110" s="54" t="str">
        <f>IF(D110="","",'START-HERE'!$C$16)</f>
        <v/>
      </c>
      <c r="I110" s="39" t="str">
        <f>VLOOKUP('START-HERE'!$C$17,DATA!$J$3:$K$6,2,FALSE)</f>
        <v>USD</v>
      </c>
      <c r="J110" s="125" t="str">
        <f t="shared" si="13"/>
        <v/>
      </c>
      <c r="K110" s="39" t="str">
        <f t="shared" si="14"/>
        <v/>
      </c>
      <c r="L110" s="39" t="str">
        <f>IF(J110="","",IF('START-HERE'!$C$17="USA",1110,""))</f>
        <v/>
      </c>
      <c r="M110" s="39" t="str">
        <f>VLOOKUP('START-HERE'!$D$20,DATA!$J$9:$K$12,2,FALSE)</f>
        <v>037 US Project (NB)</v>
      </c>
      <c r="N110" s="39">
        <f t="shared" si="15"/>
        <v>0</v>
      </c>
      <c r="O110" s="39" t="str">
        <f t="shared" si="16"/>
        <v/>
      </c>
      <c r="P110" s="126">
        <f t="shared" si="17"/>
        <v>0</v>
      </c>
      <c r="R110" s="115">
        <f t="shared" si="18"/>
        <v>109</v>
      </c>
      <c r="S110" s="115">
        <f t="shared" si="19"/>
        <v>0</v>
      </c>
      <c r="T110" s="29" t="str">
        <f>'EE System Designed BOM'!Q110</f>
        <v/>
      </c>
    </row>
    <row r="111" spans="1:20" s="29" customFormat="1" x14ac:dyDescent="0.25">
      <c r="A111" s="40">
        <f t="shared" si="10"/>
        <v>110</v>
      </c>
      <c r="B111" s="34" t="s">
        <v>9624</v>
      </c>
      <c r="C111" s="39" t="str">
        <f>IF('EE System Designed BOM'!E111="","",IF('EE System Designed BOM'!H111="Y","",'EE System Designed BOM'!E111))</f>
        <v/>
      </c>
      <c r="D111" s="79" t="str">
        <f>IF('EE System Designed BOM'!E111="","",IF('EE System Designed BOM'!H111="Y","",'EE System Designed BOM'!E111))</f>
        <v/>
      </c>
      <c r="E111" s="36" t="str">
        <f t="shared" si="11"/>
        <v/>
      </c>
      <c r="F111" s="39">
        <f t="shared" si="12"/>
        <v>0</v>
      </c>
      <c r="G111" s="124" t="s">
        <v>8604</v>
      </c>
      <c r="H111" s="54" t="str">
        <f>IF(D111="","",'START-HERE'!$C$16)</f>
        <v/>
      </c>
      <c r="I111" s="39" t="str">
        <f>VLOOKUP('START-HERE'!$C$17,DATA!$J$3:$K$6,2,FALSE)</f>
        <v>USD</v>
      </c>
      <c r="J111" s="125" t="str">
        <f t="shared" si="13"/>
        <v/>
      </c>
      <c r="K111" s="39" t="str">
        <f t="shared" si="14"/>
        <v/>
      </c>
      <c r="L111" s="39" t="str">
        <f>IF(J111="","",IF('START-HERE'!$C$17="USA",1110,""))</f>
        <v/>
      </c>
      <c r="M111" s="39" t="str">
        <f>VLOOKUP('START-HERE'!$D$20,DATA!$J$9:$K$12,2,FALSE)</f>
        <v>037 US Project (NB)</v>
      </c>
      <c r="N111" s="39">
        <f t="shared" si="15"/>
        <v>0</v>
      </c>
      <c r="O111" s="39" t="str">
        <f t="shared" si="16"/>
        <v/>
      </c>
      <c r="P111" s="126">
        <f t="shared" si="17"/>
        <v>0</v>
      </c>
      <c r="Q111" s="84"/>
      <c r="R111" s="115">
        <f t="shared" si="18"/>
        <v>110</v>
      </c>
      <c r="S111" s="115">
        <f t="shared" si="19"/>
        <v>0</v>
      </c>
      <c r="T111" s="29" t="str">
        <f>'EE System Designed BOM'!Q111</f>
        <v/>
      </c>
    </row>
    <row r="112" spans="1:20" s="29" customFormat="1" x14ac:dyDescent="0.25">
      <c r="A112" s="40">
        <f t="shared" si="10"/>
        <v>111</v>
      </c>
      <c r="B112" s="34" t="s">
        <v>9624</v>
      </c>
      <c r="C112" s="39" t="str">
        <f>IF('EE System Designed BOM'!E112="","",IF('EE System Designed BOM'!H112="Y","",'EE System Designed BOM'!E112))</f>
        <v/>
      </c>
      <c r="D112" s="79" t="str">
        <f>IF('EE System Designed BOM'!E112="","",IF('EE System Designed BOM'!H112="Y","",'EE System Designed BOM'!E112))</f>
        <v/>
      </c>
      <c r="E112" s="36" t="str">
        <f t="shared" si="11"/>
        <v/>
      </c>
      <c r="F112" s="39">
        <f t="shared" si="12"/>
        <v>0</v>
      </c>
      <c r="G112" s="124" t="s">
        <v>8604</v>
      </c>
      <c r="H112" s="54" t="str">
        <f>IF(D112="","",'START-HERE'!$C$16)</f>
        <v/>
      </c>
      <c r="I112" s="39" t="str">
        <f>VLOOKUP('START-HERE'!$C$17,DATA!$J$3:$K$6,2,FALSE)</f>
        <v>USD</v>
      </c>
      <c r="J112" s="125" t="str">
        <f t="shared" si="13"/>
        <v/>
      </c>
      <c r="K112" s="39" t="str">
        <f t="shared" si="14"/>
        <v/>
      </c>
      <c r="L112" s="39" t="str">
        <f>IF(J112="","",IF('START-HERE'!$C$17="USA",1110,""))</f>
        <v/>
      </c>
      <c r="M112" s="39" t="str">
        <f>VLOOKUP('START-HERE'!$D$20,DATA!$J$9:$K$12,2,FALSE)</f>
        <v>037 US Project (NB)</v>
      </c>
      <c r="N112" s="39">
        <f t="shared" si="15"/>
        <v>0</v>
      </c>
      <c r="O112" s="39" t="str">
        <f t="shared" si="16"/>
        <v/>
      </c>
      <c r="P112" s="126">
        <f t="shared" si="17"/>
        <v>0</v>
      </c>
      <c r="R112" s="115">
        <f t="shared" si="18"/>
        <v>111</v>
      </c>
      <c r="S112" s="115">
        <f t="shared" si="19"/>
        <v>0</v>
      </c>
      <c r="T112" s="29" t="str">
        <f>'EE System Designed BOM'!Q112</f>
        <v/>
      </c>
    </row>
    <row r="113" spans="1:20" s="29" customFormat="1" x14ac:dyDescent="0.25">
      <c r="A113" s="40">
        <f t="shared" si="10"/>
        <v>112</v>
      </c>
      <c r="B113" s="34" t="s">
        <v>9624</v>
      </c>
      <c r="C113" s="39" t="str">
        <f>IF('EE System Designed BOM'!E113="","",IF('EE System Designed BOM'!H113="Y","",'EE System Designed BOM'!E113))</f>
        <v/>
      </c>
      <c r="D113" s="79" t="str">
        <f>IF('EE System Designed BOM'!E113="","",IF('EE System Designed BOM'!H113="Y","",'EE System Designed BOM'!E113))</f>
        <v/>
      </c>
      <c r="E113" s="36" t="str">
        <f t="shared" si="11"/>
        <v/>
      </c>
      <c r="F113" s="39">
        <f t="shared" si="12"/>
        <v>0</v>
      </c>
      <c r="G113" s="124" t="s">
        <v>8604</v>
      </c>
      <c r="H113" s="54" t="str">
        <f>IF(D113="","",'START-HERE'!$C$16)</f>
        <v/>
      </c>
      <c r="I113" s="39" t="str">
        <f>VLOOKUP('START-HERE'!$C$17,DATA!$J$3:$K$6,2,FALSE)</f>
        <v>USD</v>
      </c>
      <c r="J113" s="125" t="str">
        <f t="shared" si="13"/>
        <v/>
      </c>
      <c r="K113" s="39" t="str">
        <f t="shared" si="14"/>
        <v/>
      </c>
      <c r="L113" s="39" t="str">
        <f>IF(J113="","",IF('START-HERE'!$C$17="USA",1110,""))</f>
        <v/>
      </c>
      <c r="M113" s="39" t="str">
        <f>VLOOKUP('START-HERE'!$D$20,DATA!$J$9:$K$12,2,FALSE)</f>
        <v>037 US Project (NB)</v>
      </c>
      <c r="N113" s="39">
        <f t="shared" si="15"/>
        <v>0</v>
      </c>
      <c r="O113" s="39" t="str">
        <f t="shared" si="16"/>
        <v/>
      </c>
      <c r="P113" s="126">
        <f t="shared" si="17"/>
        <v>0</v>
      </c>
      <c r="R113" s="115">
        <f t="shared" si="18"/>
        <v>112</v>
      </c>
      <c r="S113" s="115">
        <f t="shared" si="19"/>
        <v>0</v>
      </c>
      <c r="T113" s="29" t="str">
        <f>'EE System Designed BOM'!Q113</f>
        <v/>
      </c>
    </row>
    <row r="114" spans="1:20" s="29" customFormat="1" x14ac:dyDescent="0.25">
      <c r="A114" s="40">
        <f t="shared" si="10"/>
        <v>113</v>
      </c>
      <c r="B114" s="34" t="s">
        <v>9624</v>
      </c>
      <c r="C114" s="39" t="str">
        <f>IF('EE System Designed BOM'!E114="","",IF('EE System Designed BOM'!H114="Y","",'EE System Designed BOM'!E114))</f>
        <v/>
      </c>
      <c r="D114" s="79" t="str">
        <f>IF('EE System Designed BOM'!E114="","",IF('EE System Designed BOM'!H114="Y","",'EE System Designed BOM'!E114))</f>
        <v/>
      </c>
      <c r="E114" s="36" t="str">
        <f t="shared" si="11"/>
        <v/>
      </c>
      <c r="F114" s="39">
        <f t="shared" si="12"/>
        <v>0</v>
      </c>
      <c r="G114" s="124" t="s">
        <v>8604</v>
      </c>
      <c r="H114" s="54" t="str">
        <f>IF(D114="","",'START-HERE'!$C$16)</f>
        <v/>
      </c>
      <c r="I114" s="39" t="str">
        <f>VLOOKUP('START-HERE'!$C$17,DATA!$J$3:$K$6,2,FALSE)</f>
        <v>USD</v>
      </c>
      <c r="J114" s="125" t="str">
        <f t="shared" si="13"/>
        <v/>
      </c>
      <c r="K114" s="39" t="str">
        <f t="shared" si="14"/>
        <v/>
      </c>
      <c r="L114" s="39" t="str">
        <f>IF(J114="","",IF('START-HERE'!$C$17="USA",1110,""))</f>
        <v/>
      </c>
      <c r="M114" s="39" t="str">
        <f>VLOOKUP('START-HERE'!$D$20,DATA!$J$9:$K$12,2,FALSE)</f>
        <v>037 US Project (NB)</v>
      </c>
      <c r="N114" s="39">
        <f t="shared" si="15"/>
        <v>0</v>
      </c>
      <c r="O114" s="39" t="str">
        <f t="shared" si="16"/>
        <v/>
      </c>
      <c r="P114" s="126">
        <f t="shared" si="17"/>
        <v>0</v>
      </c>
      <c r="R114" s="115">
        <f t="shared" si="18"/>
        <v>113</v>
      </c>
      <c r="S114" s="115">
        <f t="shared" si="19"/>
        <v>0</v>
      </c>
      <c r="T114" s="29" t="str">
        <f>'EE System Designed BOM'!Q114</f>
        <v/>
      </c>
    </row>
    <row r="115" spans="1:20" s="29" customFormat="1" x14ac:dyDescent="0.25">
      <c r="A115" s="40">
        <f t="shared" si="10"/>
        <v>114</v>
      </c>
      <c r="B115" s="34" t="s">
        <v>9624</v>
      </c>
      <c r="C115" s="39" t="str">
        <f>IF('EE System Designed BOM'!E115="","",IF('EE System Designed BOM'!H115="Y","",'EE System Designed BOM'!E115))</f>
        <v/>
      </c>
      <c r="D115" s="79" t="str">
        <f>IF('EE System Designed BOM'!E115="","",IF('EE System Designed BOM'!H115="Y","",'EE System Designed BOM'!E115))</f>
        <v/>
      </c>
      <c r="E115" s="36" t="str">
        <f t="shared" si="11"/>
        <v/>
      </c>
      <c r="F115" s="39">
        <f t="shared" si="12"/>
        <v>0</v>
      </c>
      <c r="G115" s="124" t="s">
        <v>8604</v>
      </c>
      <c r="H115" s="54" t="str">
        <f>IF(D115="","",'START-HERE'!$C$16)</f>
        <v/>
      </c>
      <c r="I115" s="39" t="str">
        <f>VLOOKUP('START-HERE'!$C$17,DATA!$J$3:$K$6,2,FALSE)</f>
        <v>USD</v>
      </c>
      <c r="J115" s="125" t="str">
        <f t="shared" si="13"/>
        <v/>
      </c>
      <c r="K115" s="39" t="str">
        <f t="shared" si="14"/>
        <v/>
      </c>
      <c r="L115" s="39" t="str">
        <f>IF(J115="","",IF('START-HERE'!$C$17="USA",1110,""))</f>
        <v/>
      </c>
      <c r="M115" s="39" t="str">
        <f>VLOOKUP('START-HERE'!$D$20,DATA!$J$9:$K$12,2,FALSE)</f>
        <v>037 US Project (NB)</v>
      </c>
      <c r="N115" s="39">
        <f t="shared" si="15"/>
        <v>0</v>
      </c>
      <c r="O115" s="39" t="str">
        <f t="shared" si="16"/>
        <v/>
      </c>
      <c r="P115" s="126">
        <f t="shared" si="17"/>
        <v>0</v>
      </c>
      <c r="Q115" s="84"/>
      <c r="R115" s="115">
        <f t="shared" si="18"/>
        <v>114</v>
      </c>
      <c r="S115" s="115">
        <f t="shared" si="19"/>
        <v>0</v>
      </c>
      <c r="T115" s="29" t="str">
        <f>'EE System Designed BOM'!Q115</f>
        <v/>
      </c>
    </row>
    <row r="116" spans="1:20" s="29" customFormat="1" x14ac:dyDescent="0.25">
      <c r="A116" s="40">
        <f t="shared" si="10"/>
        <v>115</v>
      </c>
      <c r="B116" s="34" t="s">
        <v>9624</v>
      </c>
      <c r="C116" s="39" t="str">
        <f>IF('EE System Designed BOM'!E116="","",IF('EE System Designed BOM'!H116="Y","",'EE System Designed BOM'!E116))</f>
        <v/>
      </c>
      <c r="D116" s="79" t="str">
        <f>IF('EE System Designed BOM'!E116="","",IF('EE System Designed BOM'!H116="Y","",'EE System Designed BOM'!E116))</f>
        <v/>
      </c>
      <c r="E116" s="36" t="str">
        <f t="shared" si="11"/>
        <v/>
      </c>
      <c r="F116" s="39">
        <f t="shared" si="12"/>
        <v>0</v>
      </c>
      <c r="G116" s="124" t="s">
        <v>8604</v>
      </c>
      <c r="H116" s="54" t="str">
        <f>IF(D116="","",'START-HERE'!$C$16)</f>
        <v/>
      </c>
      <c r="I116" s="39" t="str">
        <f>VLOOKUP('START-HERE'!$C$17,DATA!$J$3:$K$6,2,FALSE)</f>
        <v>USD</v>
      </c>
      <c r="J116" s="125" t="str">
        <f t="shared" si="13"/>
        <v/>
      </c>
      <c r="K116" s="39" t="str">
        <f t="shared" si="14"/>
        <v/>
      </c>
      <c r="L116" s="39" t="str">
        <f>IF(J116="","",IF('START-HERE'!$C$17="USA",1110,""))</f>
        <v/>
      </c>
      <c r="M116" s="39" t="str">
        <f>VLOOKUP('START-HERE'!$D$20,DATA!$J$9:$K$12,2,FALSE)</f>
        <v>037 US Project (NB)</v>
      </c>
      <c r="N116" s="39">
        <f t="shared" si="15"/>
        <v>0</v>
      </c>
      <c r="O116" s="39" t="str">
        <f t="shared" si="16"/>
        <v/>
      </c>
      <c r="P116" s="126">
        <f t="shared" si="17"/>
        <v>0</v>
      </c>
      <c r="R116" s="115">
        <f t="shared" si="18"/>
        <v>115</v>
      </c>
      <c r="S116" s="115">
        <f t="shared" si="19"/>
        <v>0</v>
      </c>
      <c r="T116" s="29" t="str">
        <f>'EE System Designed BOM'!Q116</f>
        <v/>
      </c>
    </row>
    <row r="117" spans="1:20" s="29" customFormat="1" x14ac:dyDescent="0.25">
      <c r="A117" s="40">
        <f t="shared" si="10"/>
        <v>116</v>
      </c>
      <c r="B117" s="34" t="s">
        <v>9624</v>
      </c>
      <c r="C117" s="39" t="str">
        <f>IF('EE System Designed BOM'!E117="","",IF('EE System Designed BOM'!H117="Y","",'EE System Designed BOM'!E117))</f>
        <v/>
      </c>
      <c r="D117" s="79" t="str">
        <f>IF('EE System Designed BOM'!E117="","",IF('EE System Designed BOM'!H117="Y","",'EE System Designed BOM'!E117))</f>
        <v/>
      </c>
      <c r="E117" s="36" t="str">
        <f t="shared" si="11"/>
        <v/>
      </c>
      <c r="F117" s="39">
        <f t="shared" si="12"/>
        <v>0</v>
      </c>
      <c r="G117" s="124" t="s">
        <v>8604</v>
      </c>
      <c r="H117" s="54" t="str">
        <f>IF(D117="","",'START-HERE'!$C$16)</f>
        <v/>
      </c>
      <c r="I117" s="39" t="str">
        <f>VLOOKUP('START-HERE'!$C$17,DATA!$J$3:$K$6,2,FALSE)</f>
        <v>USD</v>
      </c>
      <c r="J117" s="125" t="str">
        <f t="shared" si="13"/>
        <v/>
      </c>
      <c r="K117" s="39" t="str">
        <f t="shared" si="14"/>
        <v/>
      </c>
      <c r="L117" s="39" t="str">
        <f>IF(J117="","",IF('START-HERE'!$C$17="USA",1110,""))</f>
        <v/>
      </c>
      <c r="M117" s="39" t="str">
        <f>VLOOKUP('START-HERE'!$D$20,DATA!$J$9:$K$12,2,FALSE)</f>
        <v>037 US Project (NB)</v>
      </c>
      <c r="N117" s="39">
        <f t="shared" si="15"/>
        <v>0</v>
      </c>
      <c r="O117" s="39" t="str">
        <f t="shared" si="16"/>
        <v/>
      </c>
      <c r="P117" s="126">
        <f t="shared" si="17"/>
        <v>0</v>
      </c>
      <c r="R117" s="115">
        <f t="shared" si="18"/>
        <v>116</v>
      </c>
      <c r="S117" s="115">
        <f t="shared" si="19"/>
        <v>0</v>
      </c>
      <c r="T117" s="29" t="str">
        <f>'EE System Designed BOM'!Q117</f>
        <v/>
      </c>
    </row>
    <row r="118" spans="1:20" s="29" customFormat="1" x14ac:dyDescent="0.25">
      <c r="A118" s="40">
        <f t="shared" si="10"/>
        <v>117</v>
      </c>
      <c r="B118" s="34" t="s">
        <v>9624</v>
      </c>
      <c r="C118" s="39" t="str">
        <f>IF('EE System Designed BOM'!E118="","",IF('EE System Designed BOM'!H118="Y","",'EE System Designed BOM'!E118))</f>
        <v/>
      </c>
      <c r="D118" s="79" t="str">
        <f>IF('EE System Designed BOM'!E118="","",IF('EE System Designed BOM'!H118="Y","",'EE System Designed BOM'!E118))</f>
        <v/>
      </c>
      <c r="E118" s="36" t="str">
        <f t="shared" si="11"/>
        <v/>
      </c>
      <c r="F118" s="39">
        <f t="shared" si="12"/>
        <v>0</v>
      </c>
      <c r="G118" s="124" t="s">
        <v>8604</v>
      </c>
      <c r="H118" s="54" t="str">
        <f>IF(D118="","",'START-HERE'!$C$16)</f>
        <v/>
      </c>
      <c r="I118" s="39" t="str">
        <f>VLOOKUP('START-HERE'!$C$17,DATA!$J$3:$K$6,2,FALSE)</f>
        <v>USD</v>
      </c>
      <c r="J118" s="125" t="str">
        <f t="shared" si="13"/>
        <v/>
      </c>
      <c r="K118" s="39" t="str">
        <f t="shared" si="14"/>
        <v/>
      </c>
      <c r="L118" s="39" t="str">
        <f>IF(J118="","",IF('START-HERE'!$C$17="USA",1110,""))</f>
        <v/>
      </c>
      <c r="M118" s="39" t="str">
        <f>VLOOKUP('START-HERE'!$D$20,DATA!$J$9:$K$12,2,FALSE)</f>
        <v>037 US Project (NB)</v>
      </c>
      <c r="N118" s="39">
        <f t="shared" si="15"/>
        <v>0</v>
      </c>
      <c r="O118" s="39" t="str">
        <f t="shared" si="16"/>
        <v/>
      </c>
      <c r="P118" s="126">
        <f t="shared" si="17"/>
        <v>0</v>
      </c>
      <c r="R118" s="115">
        <f t="shared" si="18"/>
        <v>117</v>
      </c>
      <c r="S118" s="115">
        <f t="shared" si="19"/>
        <v>0</v>
      </c>
      <c r="T118" s="29" t="str">
        <f>'EE System Designed BOM'!Q118</f>
        <v/>
      </c>
    </row>
    <row r="119" spans="1:20" s="29" customFormat="1" x14ac:dyDescent="0.25">
      <c r="A119" s="40">
        <f t="shared" si="10"/>
        <v>118</v>
      </c>
      <c r="B119" s="34" t="s">
        <v>9624</v>
      </c>
      <c r="C119" s="39" t="str">
        <f>IF('EE System Designed BOM'!E119="","",IF('EE System Designed BOM'!H119="Y","",'EE System Designed BOM'!E119))</f>
        <v/>
      </c>
      <c r="D119" s="79" t="str">
        <f>IF('EE System Designed BOM'!E119="","",IF('EE System Designed BOM'!H119="Y","",'EE System Designed BOM'!E119))</f>
        <v/>
      </c>
      <c r="E119" s="36" t="str">
        <f t="shared" si="11"/>
        <v/>
      </c>
      <c r="F119" s="39">
        <f t="shared" si="12"/>
        <v>0</v>
      </c>
      <c r="G119" s="124" t="s">
        <v>8604</v>
      </c>
      <c r="H119" s="54" t="str">
        <f>IF(D119="","",'START-HERE'!$C$16)</f>
        <v/>
      </c>
      <c r="I119" s="39" t="str">
        <f>VLOOKUP('START-HERE'!$C$17,DATA!$J$3:$K$6,2,FALSE)</f>
        <v>USD</v>
      </c>
      <c r="J119" s="125" t="str">
        <f t="shared" si="13"/>
        <v/>
      </c>
      <c r="K119" s="39" t="str">
        <f t="shared" si="14"/>
        <v/>
      </c>
      <c r="L119" s="39" t="str">
        <f>IF(J119="","",IF('START-HERE'!$C$17="USA",1110,""))</f>
        <v/>
      </c>
      <c r="M119" s="39" t="str">
        <f>VLOOKUP('START-HERE'!$D$20,DATA!$J$9:$K$12,2,FALSE)</f>
        <v>037 US Project (NB)</v>
      </c>
      <c r="N119" s="39">
        <f t="shared" si="15"/>
        <v>0</v>
      </c>
      <c r="O119" s="39" t="str">
        <f t="shared" si="16"/>
        <v/>
      </c>
      <c r="P119" s="126">
        <f t="shared" si="17"/>
        <v>0</v>
      </c>
      <c r="Q119" s="84"/>
      <c r="R119" s="115">
        <f t="shared" si="18"/>
        <v>118</v>
      </c>
      <c r="S119" s="115">
        <f t="shared" si="19"/>
        <v>0</v>
      </c>
      <c r="T119" s="29" t="str">
        <f>'EE System Designed BOM'!Q119</f>
        <v/>
      </c>
    </row>
    <row r="120" spans="1:20" s="29" customFormat="1" x14ac:dyDescent="0.25">
      <c r="A120" s="40">
        <f t="shared" si="10"/>
        <v>119</v>
      </c>
      <c r="B120" s="34" t="s">
        <v>9624</v>
      </c>
      <c r="C120" s="39" t="str">
        <f>IF('EE System Designed BOM'!E120="","",IF('EE System Designed BOM'!H120="Y","",'EE System Designed BOM'!E120))</f>
        <v/>
      </c>
      <c r="D120" s="79" t="str">
        <f>IF('EE System Designed BOM'!E120="","",IF('EE System Designed BOM'!H120="Y","",'EE System Designed BOM'!E120))</f>
        <v/>
      </c>
      <c r="E120" s="36" t="str">
        <f t="shared" si="11"/>
        <v/>
      </c>
      <c r="F120" s="39">
        <f t="shared" si="12"/>
        <v>0</v>
      </c>
      <c r="G120" s="124" t="s">
        <v>8604</v>
      </c>
      <c r="H120" s="54" t="str">
        <f>IF(D120="","",'START-HERE'!$C$16)</f>
        <v/>
      </c>
      <c r="I120" s="39" t="str">
        <f>VLOOKUP('START-HERE'!$C$17,DATA!$J$3:$K$6,2,FALSE)</f>
        <v>USD</v>
      </c>
      <c r="J120" s="125" t="str">
        <f t="shared" si="13"/>
        <v/>
      </c>
      <c r="K120" s="39" t="str">
        <f t="shared" si="14"/>
        <v/>
      </c>
      <c r="L120" s="39" t="str">
        <f>IF(J120="","",IF('START-HERE'!$C$17="USA",1110,""))</f>
        <v/>
      </c>
      <c r="M120" s="39" t="str">
        <f>VLOOKUP('START-HERE'!$D$20,DATA!$J$9:$K$12,2,FALSE)</f>
        <v>037 US Project (NB)</v>
      </c>
      <c r="N120" s="39">
        <f t="shared" si="15"/>
        <v>0</v>
      </c>
      <c r="O120" s="39" t="str">
        <f t="shared" si="16"/>
        <v/>
      </c>
      <c r="P120" s="126">
        <f t="shared" si="17"/>
        <v>0</v>
      </c>
      <c r="R120" s="115">
        <f t="shared" si="18"/>
        <v>119</v>
      </c>
      <c r="S120" s="115">
        <f t="shared" si="19"/>
        <v>0</v>
      </c>
      <c r="T120" s="29" t="str">
        <f>'EE System Designed BOM'!Q120</f>
        <v/>
      </c>
    </row>
    <row r="121" spans="1:20" s="29" customFormat="1" x14ac:dyDescent="0.25">
      <c r="A121" s="40">
        <f t="shared" si="10"/>
        <v>120</v>
      </c>
      <c r="B121" s="34" t="s">
        <v>9624</v>
      </c>
      <c r="C121" s="39" t="str">
        <f>IF('EE System Designed BOM'!E121="","",IF('EE System Designed BOM'!H121="Y","",'EE System Designed BOM'!E121))</f>
        <v/>
      </c>
      <c r="D121" s="79" t="str">
        <f>IF('EE System Designed BOM'!E121="","",IF('EE System Designed BOM'!H121="Y","",'EE System Designed BOM'!E121))</f>
        <v/>
      </c>
      <c r="E121" s="36" t="str">
        <f t="shared" si="11"/>
        <v/>
      </c>
      <c r="F121" s="39">
        <f t="shared" si="12"/>
        <v>0</v>
      </c>
      <c r="G121" s="124" t="s">
        <v>8604</v>
      </c>
      <c r="H121" s="54" t="str">
        <f>IF(D121="","",'START-HERE'!$C$16)</f>
        <v/>
      </c>
      <c r="I121" s="39" t="str">
        <f>VLOOKUP('START-HERE'!$C$17,DATA!$J$3:$K$6,2,FALSE)</f>
        <v>USD</v>
      </c>
      <c r="J121" s="125" t="str">
        <f t="shared" si="13"/>
        <v/>
      </c>
      <c r="K121" s="39" t="str">
        <f t="shared" si="14"/>
        <v/>
      </c>
      <c r="L121" s="39" t="str">
        <f>IF(J121="","",IF('START-HERE'!$C$17="USA",1110,""))</f>
        <v/>
      </c>
      <c r="M121" s="39" t="str">
        <f>VLOOKUP('START-HERE'!$D$20,DATA!$J$9:$K$12,2,FALSE)</f>
        <v>037 US Project (NB)</v>
      </c>
      <c r="N121" s="39">
        <f t="shared" si="15"/>
        <v>0</v>
      </c>
      <c r="O121" s="39" t="str">
        <f t="shared" si="16"/>
        <v/>
      </c>
      <c r="P121" s="126">
        <f t="shared" si="17"/>
        <v>0</v>
      </c>
      <c r="R121" s="115">
        <f t="shared" si="18"/>
        <v>120</v>
      </c>
      <c r="S121" s="115">
        <f t="shared" si="19"/>
        <v>0</v>
      </c>
      <c r="T121" s="29" t="str">
        <f>'EE System Designed BOM'!Q121</f>
        <v/>
      </c>
    </row>
    <row r="122" spans="1:20" s="29" customFormat="1" x14ac:dyDescent="0.25">
      <c r="A122" s="40">
        <f t="shared" si="10"/>
        <v>121</v>
      </c>
      <c r="B122" s="34" t="s">
        <v>9624</v>
      </c>
      <c r="C122" s="39" t="str">
        <f>IF('EE System Designed BOM'!E122="","",IF('EE System Designed BOM'!H122="Y","",'EE System Designed BOM'!E122))</f>
        <v/>
      </c>
      <c r="D122" s="79" t="str">
        <f>IF('EE System Designed BOM'!E122="","",IF('EE System Designed BOM'!H122="Y","",'EE System Designed BOM'!E122))</f>
        <v/>
      </c>
      <c r="E122" s="36" t="str">
        <f t="shared" si="11"/>
        <v/>
      </c>
      <c r="F122" s="39">
        <f t="shared" si="12"/>
        <v>0</v>
      </c>
      <c r="G122" s="124" t="s">
        <v>8604</v>
      </c>
      <c r="H122" s="54" t="str">
        <f>IF(D122="","",'START-HERE'!$C$16)</f>
        <v/>
      </c>
      <c r="I122" s="39" t="str">
        <f>VLOOKUP('START-HERE'!$C$17,DATA!$J$3:$K$6,2,FALSE)</f>
        <v>USD</v>
      </c>
      <c r="J122" s="125" t="str">
        <f t="shared" si="13"/>
        <v/>
      </c>
      <c r="K122" s="39" t="str">
        <f t="shared" si="14"/>
        <v/>
      </c>
      <c r="L122" s="39" t="str">
        <f>IF(J122="","",IF('START-HERE'!$C$17="USA",1110,""))</f>
        <v/>
      </c>
      <c r="M122" s="39" t="str">
        <f>VLOOKUP('START-HERE'!$D$20,DATA!$J$9:$K$12,2,FALSE)</f>
        <v>037 US Project (NB)</v>
      </c>
      <c r="N122" s="39">
        <f t="shared" si="15"/>
        <v>0</v>
      </c>
      <c r="O122" s="39" t="str">
        <f t="shared" si="16"/>
        <v/>
      </c>
      <c r="P122" s="126">
        <f t="shared" si="17"/>
        <v>0</v>
      </c>
      <c r="R122" s="115">
        <f t="shared" si="18"/>
        <v>121</v>
      </c>
      <c r="S122" s="115">
        <f t="shared" si="19"/>
        <v>0</v>
      </c>
      <c r="T122" s="29" t="str">
        <f>'EE System Designed BOM'!Q122</f>
        <v/>
      </c>
    </row>
    <row r="123" spans="1:20" s="29" customFormat="1" x14ac:dyDescent="0.25">
      <c r="A123" s="40">
        <f t="shared" si="10"/>
        <v>122</v>
      </c>
      <c r="B123" s="34" t="s">
        <v>9624</v>
      </c>
      <c r="C123" s="39" t="str">
        <f>IF('EE System Designed BOM'!E123="","",IF('EE System Designed BOM'!H123="Y","",'EE System Designed BOM'!E123))</f>
        <v/>
      </c>
      <c r="D123" s="79" t="str">
        <f>IF('EE System Designed BOM'!E123="","",IF('EE System Designed BOM'!H123="Y","",'EE System Designed BOM'!E123))</f>
        <v/>
      </c>
      <c r="E123" s="36" t="str">
        <f t="shared" si="11"/>
        <v/>
      </c>
      <c r="F123" s="39">
        <f t="shared" si="12"/>
        <v>0</v>
      </c>
      <c r="G123" s="124" t="s">
        <v>8604</v>
      </c>
      <c r="H123" s="54" t="str">
        <f>IF(D123="","",'START-HERE'!$C$16)</f>
        <v/>
      </c>
      <c r="I123" s="39" t="str">
        <f>VLOOKUP('START-HERE'!$C$17,DATA!$J$3:$K$6,2,FALSE)</f>
        <v>USD</v>
      </c>
      <c r="J123" s="125" t="str">
        <f t="shared" si="13"/>
        <v/>
      </c>
      <c r="K123" s="39" t="str">
        <f t="shared" si="14"/>
        <v/>
      </c>
      <c r="L123" s="39" t="str">
        <f>IF(J123="","",IF('START-HERE'!$C$17="USA",1110,""))</f>
        <v/>
      </c>
      <c r="M123" s="39" t="str">
        <f>VLOOKUP('START-HERE'!$D$20,DATA!$J$9:$K$12,2,FALSE)</f>
        <v>037 US Project (NB)</v>
      </c>
      <c r="N123" s="39">
        <f t="shared" si="15"/>
        <v>0</v>
      </c>
      <c r="O123" s="39" t="str">
        <f t="shared" si="16"/>
        <v/>
      </c>
      <c r="P123" s="126">
        <f t="shared" si="17"/>
        <v>0</v>
      </c>
      <c r="Q123" s="84"/>
      <c r="R123" s="115">
        <f t="shared" si="18"/>
        <v>122</v>
      </c>
      <c r="S123" s="115">
        <f t="shared" si="19"/>
        <v>0</v>
      </c>
      <c r="T123" s="29" t="str">
        <f>'EE System Designed BOM'!Q123</f>
        <v/>
      </c>
    </row>
    <row r="124" spans="1:20" s="29" customFormat="1" x14ac:dyDescent="0.25">
      <c r="A124" s="40">
        <f t="shared" si="10"/>
        <v>123</v>
      </c>
      <c r="B124" s="34" t="s">
        <v>9624</v>
      </c>
      <c r="C124" s="39" t="str">
        <f>IF('EE System Designed BOM'!E124="","",IF('EE System Designed BOM'!H124="Y","",'EE System Designed BOM'!E124))</f>
        <v/>
      </c>
      <c r="D124" s="79" t="str">
        <f>IF('EE System Designed BOM'!E124="","",IF('EE System Designed BOM'!H124="Y","",'EE System Designed BOM'!E124))</f>
        <v/>
      </c>
      <c r="E124" s="36" t="str">
        <f t="shared" si="11"/>
        <v/>
      </c>
      <c r="F124" s="39">
        <f t="shared" si="12"/>
        <v>0</v>
      </c>
      <c r="G124" s="124" t="s">
        <v>8604</v>
      </c>
      <c r="H124" s="54" t="str">
        <f>IF(D124="","",'START-HERE'!$C$16)</f>
        <v/>
      </c>
      <c r="I124" s="39" t="str">
        <f>VLOOKUP('START-HERE'!$C$17,DATA!$J$3:$K$6,2,FALSE)</f>
        <v>USD</v>
      </c>
      <c r="J124" s="125" t="str">
        <f t="shared" si="13"/>
        <v/>
      </c>
      <c r="K124" s="39" t="str">
        <f t="shared" si="14"/>
        <v/>
      </c>
      <c r="L124" s="39" t="str">
        <f>IF(J124="","",IF('START-HERE'!$C$17="USA",1110,""))</f>
        <v/>
      </c>
      <c r="M124" s="39" t="str">
        <f>VLOOKUP('START-HERE'!$D$20,DATA!$J$9:$K$12,2,FALSE)</f>
        <v>037 US Project (NB)</v>
      </c>
      <c r="N124" s="39">
        <f t="shared" si="15"/>
        <v>0</v>
      </c>
      <c r="O124" s="39" t="str">
        <f t="shared" si="16"/>
        <v/>
      </c>
      <c r="P124" s="126">
        <f t="shared" si="17"/>
        <v>0</v>
      </c>
      <c r="R124" s="115">
        <f t="shared" si="18"/>
        <v>123</v>
      </c>
      <c r="S124" s="115">
        <f t="shared" si="19"/>
        <v>0</v>
      </c>
      <c r="T124" s="29" t="str">
        <f>'EE System Designed BOM'!Q124</f>
        <v/>
      </c>
    </row>
    <row r="125" spans="1:20" s="29" customFormat="1" x14ac:dyDescent="0.25">
      <c r="A125" s="40">
        <f t="shared" si="10"/>
        <v>124</v>
      </c>
      <c r="B125" s="34" t="s">
        <v>9624</v>
      </c>
      <c r="C125" s="39" t="str">
        <f>IF('EE System Designed BOM'!E125="","",IF('EE System Designed BOM'!H125="Y","",'EE System Designed BOM'!E125))</f>
        <v/>
      </c>
      <c r="D125" s="79" t="str">
        <f>IF('EE System Designed BOM'!E125="","",IF('EE System Designed BOM'!H125="Y","",'EE System Designed BOM'!E125))</f>
        <v/>
      </c>
      <c r="E125" s="36" t="str">
        <f t="shared" si="11"/>
        <v/>
      </c>
      <c r="F125" s="39">
        <f t="shared" si="12"/>
        <v>0</v>
      </c>
      <c r="G125" s="124" t="s">
        <v>8604</v>
      </c>
      <c r="H125" s="54" t="str">
        <f>IF(D125="","",'START-HERE'!$C$16)</f>
        <v/>
      </c>
      <c r="I125" s="39" t="str">
        <f>VLOOKUP('START-HERE'!$C$17,DATA!$J$3:$K$6,2,FALSE)</f>
        <v>USD</v>
      </c>
      <c r="J125" s="125" t="str">
        <f t="shared" si="13"/>
        <v/>
      </c>
      <c r="K125" s="39" t="str">
        <f t="shared" si="14"/>
        <v/>
      </c>
      <c r="L125" s="39" t="str">
        <f>IF(J125="","",IF('START-HERE'!$C$17="USA",1110,""))</f>
        <v/>
      </c>
      <c r="M125" s="39" t="str">
        <f>VLOOKUP('START-HERE'!$D$20,DATA!$J$9:$K$12,2,FALSE)</f>
        <v>037 US Project (NB)</v>
      </c>
      <c r="N125" s="39">
        <f t="shared" si="15"/>
        <v>0</v>
      </c>
      <c r="O125" s="39" t="str">
        <f t="shared" si="16"/>
        <v/>
      </c>
      <c r="P125" s="126">
        <f t="shared" si="17"/>
        <v>0</v>
      </c>
      <c r="R125" s="115">
        <f t="shared" si="18"/>
        <v>124</v>
      </c>
      <c r="S125" s="115">
        <f t="shared" si="19"/>
        <v>0</v>
      </c>
      <c r="T125" s="29" t="str">
        <f>'EE System Designed BOM'!Q125</f>
        <v/>
      </c>
    </row>
    <row r="126" spans="1:20" s="29" customFormat="1" x14ac:dyDescent="0.25">
      <c r="A126" s="40">
        <f t="shared" si="10"/>
        <v>125</v>
      </c>
      <c r="B126" s="34" t="s">
        <v>9624</v>
      </c>
      <c r="C126" s="39" t="str">
        <f>IF('EE System Designed BOM'!E126="","",IF('EE System Designed BOM'!H126="Y","",'EE System Designed BOM'!E126))</f>
        <v/>
      </c>
      <c r="D126" s="79" t="str">
        <f>IF('EE System Designed BOM'!E126="","",IF('EE System Designed BOM'!H126="Y","",'EE System Designed BOM'!E126))</f>
        <v/>
      </c>
      <c r="E126" s="36" t="str">
        <f t="shared" si="11"/>
        <v/>
      </c>
      <c r="F126" s="39">
        <f t="shared" si="12"/>
        <v>0</v>
      </c>
      <c r="G126" s="124" t="s">
        <v>8604</v>
      </c>
      <c r="H126" s="54" t="str">
        <f>IF(D126="","",'START-HERE'!$C$16)</f>
        <v/>
      </c>
      <c r="I126" s="39" t="str">
        <f>VLOOKUP('START-HERE'!$C$17,DATA!$J$3:$K$6,2,FALSE)</f>
        <v>USD</v>
      </c>
      <c r="J126" s="125" t="str">
        <f t="shared" si="13"/>
        <v/>
      </c>
      <c r="K126" s="39" t="str">
        <f t="shared" si="14"/>
        <v/>
      </c>
      <c r="L126" s="39" t="str">
        <f>IF(J126="","",IF('START-HERE'!$C$17="USA",1110,""))</f>
        <v/>
      </c>
      <c r="M126" s="39" t="str">
        <f>VLOOKUP('START-HERE'!$D$20,DATA!$J$9:$K$12,2,FALSE)</f>
        <v>037 US Project (NB)</v>
      </c>
      <c r="N126" s="39">
        <f t="shared" si="15"/>
        <v>0</v>
      </c>
      <c r="O126" s="39" t="str">
        <f t="shared" si="16"/>
        <v/>
      </c>
      <c r="P126" s="126">
        <f t="shared" si="17"/>
        <v>0</v>
      </c>
      <c r="R126" s="115">
        <f t="shared" si="18"/>
        <v>125</v>
      </c>
      <c r="S126" s="115">
        <f t="shared" si="19"/>
        <v>0</v>
      </c>
      <c r="T126" s="29" t="str">
        <f>'EE System Designed BOM'!Q126</f>
        <v/>
      </c>
    </row>
    <row r="127" spans="1:20" s="29" customFormat="1" x14ac:dyDescent="0.25">
      <c r="A127" s="40">
        <f t="shared" si="10"/>
        <v>126</v>
      </c>
      <c r="B127" s="34" t="s">
        <v>9624</v>
      </c>
      <c r="C127" s="39" t="str">
        <f>IF('EE System Designed BOM'!E127="","",IF('EE System Designed BOM'!H127="Y","",'EE System Designed BOM'!E127))</f>
        <v/>
      </c>
      <c r="D127" s="79" t="str">
        <f>IF('EE System Designed BOM'!E127="","",IF('EE System Designed BOM'!H127="Y","",'EE System Designed BOM'!E127))</f>
        <v/>
      </c>
      <c r="E127" s="36" t="str">
        <f t="shared" si="11"/>
        <v/>
      </c>
      <c r="F127" s="39">
        <f t="shared" si="12"/>
        <v>0</v>
      </c>
      <c r="G127" s="124" t="s">
        <v>8604</v>
      </c>
      <c r="H127" s="54" t="str">
        <f>IF(D127="","",'START-HERE'!$C$16)</f>
        <v/>
      </c>
      <c r="I127" s="39" t="str">
        <f>VLOOKUP('START-HERE'!$C$17,DATA!$J$3:$K$6,2,FALSE)</f>
        <v>USD</v>
      </c>
      <c r="J127" s="125" t="str">
        <f t="shared" si="13"/>
        <v/>
      </c>
      <c r="K127" s="39" t="str">
        <f t="shared" si="14"/>
        <v/>
      </c>
      <c r="L127" s="39" t="str">
        <f>IF(J127="","",IF('START-HERE'!$C$17="USA",1110,""))</f>
        <v/>
      </c>
      <c r="M127" s="39" t="str">
        <f>VLOOKUP('START-HERE'!$D$20,DATA!$J$9:$K$12,2,FALSE)</f>
        <v>037 US Project (NB)</v>
      </c>
      <c r="N127" s="39">
        <f t="shared" si="15"/>
        <v>0</v>
      </c>
      <c r="O127" s="39" t="str">
        <f t="shared" si="16"/>
        <v/>
      </c>
      <c r="P127" s="126">
        <f t="shared" si="17"/>
        <v>0</v>
      </c>
      <c r="Q127" s="84"/>
      <c r="R127" s="115">
        <f t="shared" si="18"/>
        <v>126</v>
      </c>
      <c r="S127" s="115">
        <f t="shared" si="19"/>
        <v>0</v>
      </c>
      <c r="T127" s="29" t="str">
        <f>'EE System Designed BOM'!Q127</f>
        <v/>
      </c>
    </row>
    <row r="128" spans="1:20" s="29" customFormat="1" x14ac:dyDescent="0.25">
      <c r="A128" s="40">
        <f t="shared" si="10"/>
        <v>127</v>
      </c>
      <c r="B128" s="34" t="s">
        <v>9624</v>
      </c>
      <c r="C128" s="39" t="str">
        <f>IF('EE System Designed BOM'!E128="","",IF('EE System Designed BOM'!H128="Y","",'EE System Designed BOM'!E128))</f>
        <v/>
      </c>
      <c r="D128" s="79" t="str">
        <f>IF('EE System Designed BOM'!E128="","",IF('EE System Designed BOM'!H128="Y","",'EE System Designed BOM'!E128))</f>
        <v/>
      </c>
      <c r="E128" s="36" t="str">
        <f t="shared" si="11"/>
        <v/>
      </c>
      <c r="F128" s="39">
        <f t="shared" si="12"/>
        <v>0</v>
      </c>
      <c r="G128" s="124" t="s">
        <v>8604</v>
      </c>
      <c r="H128" s="54" t="str">
        <f>IF(D128="","",'START-HERE'!$C$16)</f>
        <v/>
      </c>
      <c r="I128" s="39" t="str">
        <f>VLOOKUP('START-HERE'!$C$17,DATA!$J$3:$K$6,2,FALSE)</f>
        <v>USD</v>
      </c>
      <c r="J128" s="125" t="str">
        <f t="shared" si="13"/>
        <v/>
      </c>
      <c r="K128" s="39" t="str">
        <f t="shared" si="14"/>
        <v/>
      </c>
      <c r="L128" s="39" t="str">
        <f>IF(J128="","",IF('START-HERE'!$C$17="USA",1110,""))</f>
        <v/>
      </c>
      <c r="M128" s="39" t="str">
        <f>VLOOKUP('START-HERE'!$D$20,DATA!$J$9:$K$12,2,FALSE)</f>
        <v>037 US Project (NB)</v>
      </c>
      <c r="N128" s="39">
        <f t="shared" si="15"/>
        <v>0</v>
      </c>
      <c r="O128" s="39" t="str">
        <f t="shared" si="16"/>
        <v/>
      </c>
      <c r="P128" s="126">
        <f t="shared" si="17"/>
        <v>0</v>
      </c>
      <c r="R128" s="115">
        <f t="shared" si="18"/>
        <v>127</v>
      </c>
      <c r="S128" s="115">
        <f t="shared" si="19"/>
        <v>0</v>
      </c>
      <c r="T128" s="29" t="str">
        <f>'EE System Designed BOM'!Q128</f>
        <v/>
      </c>
    </row>
    <row r="129" spans="1:20" s="29" customFormat="1" x14ac:dyDescent="0.25">
      <c r="A129" s="40">
        <f t="shared" si="10"/>
        <v>128</v>
      </c>
      <c r="B129" s="34" t="s">
        <v>9624</v>
      </c>
      <c r="C129" s="39" t="str">
        <f>IF('EE System Designed BOM'!E129="","",IF('EE System Designed BOM'!H129="Y","",'EE System Designed BOM'!E129))</f>
        <v/>
      </c>
      <c r="D129" s="79" t="str">
        <f>IF('EE System Designed BOM'!E129="","",IF('EE System Designed BOM'!H129="Y","",'EE System Designed BOM'!E129))</f>
        <v/>
      </c>
      <c r="E129" s="36" t="str">
        <f t="shared" si="11"/>
        <v/>
      </c>
      <c r="F129" s="39">
        <f t="shared" si="12"/>
        <v>0</v>
      </c>
      <c r="G129" s="124" t="s">
        <v>8604</v>
      </c>
      <c r="H129" s="54" t="str">
        <f>IF(D129="","",'START-HERE'!$C$16)</f>
        <v/>
      </c>
      <c r="I129" s="39" t="str">
        <f>VLOOKUP('START-HERE'!$C$17,DATA!$J$3:$K$6,2,FALSE)</f>
        <v>USD</v>
      </c>
      <c r="J129" s="125" t="str">
        <f t="shared" si="13"/>
        <v/>
      </c>
      <c r="K129" s="39" t="str">
        <f t="shared" si="14"/>
        <v/>
      </c>
      <c r="L129" s="39" t="str">
        <f>IF(J129="","",IF('START-HERE'!$C$17="USA",1110,""))</f>
        <v/>
      </c>
      <c r="M129" s="39" t="str">
        <f>VLOOKUP('START-HERE'!$D$20,DATA!$J$9:$K$12,2,FALSE)</f>
        <v>037 US Project (NB)</v>
      </c>
      <c r="N129" s="39">
        <f t="shared" si="15"/>
        <v>0</v>
      </c>
      <c r="O129" s="39" t="str">
        <f t="shared" si="16"/>
        <v/>
      </c>
      <c r="P129" s="126">
        <f t="shared" si="17"/>
        <v>0</v>
      </c>
      <c r="R129" s="115">
        <f t="shared" si="18"/>
        <v>128</v>
      </c>
      <c r="S129" s="115">
        <f t="shared" si="19"/>
        <v>0</v>
      </c>
      <c r="T129" s="29" t="str">
        <f>'EE System Designed BOM'!Q129</f>
        <v/>
      </c>
    </row>
    <row r="130" spans="1:20" s="29" customFormat="1" x14ac:dyDescent="0.25">
      <c r="A130" s="40">
        <f t="shared" ref="A130:A193" si="20">ROW()-1</f>
        <v>129</v>
      </c>
      <c r="B130" s="34" t="s">
        <v>9624</v>
      </c>
      <c r="C130" s="39" t="str">
        <f>IF('EE System Designed BOM'!E130="","",IF('EE System Designed BOM'!H130="Y","",'EE System Designed BOM'!E130))</f>
        <v/>
      </c>
      <c r="D130" s="79" t="str">
        <f>IF('EE System Designed BOM'!E130="","",IF('EE System Designed BOM'!H130="Y","",'EE System Designed BOM'!E130))</f>
        <v/>
      </c>
      <c r="E130" s="36" t="str">
        <f t="shared" ref="E130:E193" si="21">IF(D130="","","C.id-"&amp;R130&amp;"-  "&amp;IFERROR(INDEX(ONGEN_PRICING_DESCRIPTIONS,MATCH(D130,ONGEN_PRICING_PARTS,0)),""))</f>
        <v/>
      </c>
      <c r="F130" s="39">
        <f t="shared" ref="F130:F193" si="22">IFERROR(INDEX(ONGEN_EEBOM_QTY,MATCH(T130,ONGEN_EEBOM_KEYS,0)),0)</f>
        <v>0</v>
      </c>
      <c r="G130" s="124" t="s">
        <v>8604</v>
      </c>
      <c r="H130" s="54" t="str">
        <f>IF(D130="","",'START-HERE'!$C$16)</f>
        <v/>
      </c>
      <c r="I130" s="39" t="str">
        <f>VLOOKUP('START-HERE'!$C$17,DATA!$J$3:$K$6,2,FALSE)</f>
        <v>USD</v>
      </c>
      <c r="J130" s="125" t="str">
        <f t="shared" ref="J130:J193" si="23">IFERROR(IF(INDEX(ONGEN_EEBOM_PURCHASE_BY,MATCH(D130,ONGEN_EEBOM_PARTS,0))="By EE Installer","",IF(D130="","",INDEX(ONGEN_PRICING_COSTS,MATCH(D130,ONGEN_PRICING_PARTS,0))*F130)),"")</f>
        <v/>
      </c>
      <c r="K130" s="39" t="str">
        <f t="shared" ref="K130:K193" si="24">IF(D130="","",IFERROR(INDEX(ONGEN_PRICING_MATGROUP,MATCH(D130,ONGEN_PRICING_PARTS,0)),""))</f>
        <v/>
      </c>
      <c r="L130" s="39" t="str">
        <f>IF(J130="","",IF('START-HERE'!$C$17="USA",1110,""))</f>
        <v/>
      </c>
      <c r="M130" s="39" t="str">
        <f>VLOOKUP('START-HERE'!$D$20,DATA!$J$9:$K$12,2,FALSE)</f>
        <v>037 US Project (NB)</v>
      </c>
      <c r="N130" s="39">
        <f t="shared" ref="N130:N193" si="25">IFERROR(INDEX(ONGEN_EEBOM_SAP_VENDOR,MATCH(T130,ONGEN_EEBOM_KEYS,0)),0)</f>
        <v>0</v>
      </c>
      <c r="O130" s="39" t="str">
        <f t="shared" ref="O130:O193" si="26">IF(L130=1110,1100,"")</f>
        <v/>
      </c>
      <c r="P130" s="126">
        <f t="shared" ref="P130:P193" si="27">IFERROR(INDEX(ONGEN_EEBOM_CONVID,MATCH(T130,ONGEN_EEBOM_KEYS,0)),0)</f>
        <v>0</v>
      </c>
      <c r="R130" s="115">
        <f t="shared" ref="R130:R193" si="28">ROW()-1</f>
        <v>129</v>
      </c>
      <c r="S130" s="115">
        <f t="shared" ref="S130:S193" si="29">IFERROR(INDEX(ONGEN_EEBOM_PLC,MATCH(T130,ONGEN_EEBOM_KEYS,0)),0)</f>
        <v>0</v>
      </c>
      <c r="T130" s="29" t="str">
        <f>'EE System Designed BOM'!Q130</f>
        <v/>
      </c>
    </row>
    <row r="131" spans="1:20" s="29" customFormat="1" x14ac:dyDescent="0.25">
      <c r="A131" s="40">
        <f t="shared" si="20"/>
        <v>130</v>
      </c>
      <c r="B131" s="34" t="s">
        <v>9624</v>
      </c>
      <c r="C131" s="39" t="str">
        <f>IF('EE System Designed BOM'!E131="","",IF('EE System Designed BOM'!H131="Y","",'EE System Designed BOM'!E131))</f>
        <v/>
      </c>
      <c r="D131" s="79" t="str">
        <f>IF('EE System Designed BOM'!E131="","",IF('EE System Designed BOM'!H131="Y","",'EE System Designed BOM'!E131))</f>
        <v/>
      </c>
      <c r="E131" s="36" t="str">
        <f t="shared" si="21"/>
        <v/>
      </c>
      <c r="F131" s="39">
        <f t="shared" si="22"/>
        <v>0</v>
      </c>
      <c r="G131" s="124" t="s">
        <v>8604</v>
      </c>
      <c r="H131" s="54" t="str">
        <f>IF(D131="","",'START-HERE'!$C$16)</f>
        <v/>
      </c>
      <c r="I131" s="39" t="str">
        <f>VLOOKUP('START-HERE'!$C$17,DATA!$J$3:$K$6,2,FALSE)</f>
        <v>USD</v>
      </c>
      <c r="J131" s="125" t="str">
        <f t="shared" si="23"/>
        <v/>
      </c>
      <c r="K131" s="39" t="str">
        <f t="shared" si="24"/>
        <v/>
      </c>
      <c r="L131" s="39" t="str">
        <f>IF(J131="","",IF('START-HERE'!$C$17="USA",1110,""))</f>
        <v/>
      </c>
      <c r="M131" s="39" t="str">
        <f>VLOOKUP('START-HERE'!$D$20,DATA!$J$9:$K$12,2,FALSE)</f>
        <v>037 US Project (NB)</v>
      </c>
      <c r="N131" s="39">
        <f t="shared" si="25"/>
        <v>0</v>
      </c>
      <c r="O131" s="39" t="str">
        <f t="shared" si="26"/>
        <v/>
      </c>
      <c r="P131" s="126">
        <f t="shared" si="27"/>
        <v>0</v>
      </c>
      <c r="Q131" s="84"/>
      <c r="R131" s="115">
        <f t="shared" si="28"/>
        <v>130</v>
      </c>
      <c r="S131" s="115">
        <f t="shared" si="29"/>
        <v>0</v>
      </c>
      <c r="T131" s="29" t="str">
        <f>'EE System Designed BOM'!Q131</f>
        <v/>
      </c>
    </row>
    <row r="132" spans="1:20" s="29" customFormat="1" x14ac:dyDescent="0.25">
      <c r="A132" s="40">
        <f t="shared" si="20"/>
        <v>131</v>
      </c>
      <c r="B132" s="34" t="s">
        <v>9624</v>
      </c>
      <c r="C132" s="39" t="str">
        <f>IF('EE System Designed BOM'!E132="","",IF('EE System Designed BOM'!H132="Y","",'EE System Designed BOM'!E132))</f>
        <v/>
      </c>
      <c r="D132" s="79" t="str">
        <f>IF('EE System Designed BOM'!E132="","",IF('EE System Designed BOM'!H132="Y","",'EE System Designed BOM'!E132))</f>
        <v/>
      </c>
      <c r="E132" s="36" t="str">
        <f t="shared" si="21"/>
        <v/>
      </c>
      <c r="F132" s="39">
        <f t="shared" si="22"/>
        <v>0</v>
      </c>
      <c r="G132" s="124" t="s">
        <v>8604</v>
      </c>
      <c r="H132" s="54" t="str">
        <f>IF(D132="","",'START-HERE'!$C$16)</f>
        <v/>
      </c>
      <c r="I132" s="39" t="str">
        <f>VLOOKUP('START-HERE'!$C$17,DATA!$J$3:$K$6,2,FALSE)</f>
        <v>USD</v>
      </c>
      <c r="J132" s="125" t="str">
        <f t="shared" si="23"/>
        <v/>
      </c>
      <c r="K132" s="39" t="str">
        <f t="shared" si="24"/>
        <v/>
      </c>
      <c r="L132" s="39" t="str">
        <f>IF(J132="","",IF('START-HERE'!$C$17="USA",1110,""))</f>
        <v/>
      </c>
      <c r="M132" s="39" t="str">
        <f>VLOOKUP('START-HERE'!$D$20,DATA!$J$9:$K$12,2,FALSE)</f>
        <v>037 US Project (NB)</v>
      </c>
      <c r="N132" s="39">
        <f t="shared" si="25"/>
        <v>0</v>
      </c>
      <c r="O132" s="39" t="str">
        <f t="shared" si="26"/>
        <v/>
      </c>
      <c r="P132" s="126">
        <f t="shared" si="27"/>
        <v>0</v>
      </c>
      <c r="R132" s="115">
        <f t="shared" si="28"/>
        <v>131</v>
      </c>
      <c r="S132" s="115">
        <f t="shared" si="29"/>
        <v>0</v>
      </c>
      <c r="T132" s="29" t="str">
        <f>'EE System Designed BOM'!Q132</f>
        <v/>
      </c>
    </row>
    <row r="133" spans="1:20" s="29" customFormat="1" x14ac:dyDescent="0.25">
      <c r="A133" s="40">
        <f t="shared" si="20"/>
        <v>132</v>
      </c>
      <c r="B133" s="34" t="s">
        <v>9624</v>
      </c>
      <c r="C133" s="39" t="str">
        <f>IF('EE System Designed BOM'!E133="","",IF('EE System Designed BOM'!H133="Y","",'EE System Designed BOM'!E133))</f>
        <v/>
      </c>
      <c r="D133" s="79" t="str">
        <f>IF('EE System Designed BOM'!E133="","",IF('EE System Designed BOM'!H133="Y","",'EE System Designed BOM'!E133))</f>
        <v/>
      </c>
      <c r="E133" s="36" t="str">
        <f t="shared" si="21"/>
        <v/>
      </c>
      <c r="F133" s="39">
        <f t="shared" si="22"/>
        <v>0</v>
      </c>
      <c r="G133" s="124" t="s">
        <v>8604</v>
      </c>
      <c r="H133" s="54" t="str">
        <f>IF(D133="","",'START-HERE'!$C$16)</f>
        <v/>
      </c>
      <c r="I133" s="39" t="str">
        <f>VLOOKUP('START-HERE'!$C$17,DATA!$J$3:$K$6,2,FALSE)</f>
        <v>USD</v>
      </c>
      <c r="J133" s="125" t="str">
        <f t="shared" si="23"/>
        <v/>
      </c>
      <c r="K133" s="39" t="str">
        <f t="shared" si="24"/>
        <v/>
      </c>
      <c r="L133" s="39" t="str">
        <f>IF(J133="","",IF('START-HERE'!$C$17="USA",1110,""))</f>
        <v/>
      </c>
      <c r="M133" s="39" t="str">
        <f>VLOOKUP('START-HERE'!$D$20,DATA!$J$9:$K$12,2,FALSE)</f>
        <v>037 US Project (NB)</v>
      </c>
      <c r="N133" s="39">
        <f t="shared" si="25"/>
        <v>0</v>
      </c>
      <c r="O133" s="39" t="str">
        <f t="shared" si="26"/>
        <v/>
      </c>
      <c r="P133" s="126">
        <f t="shared" si="27"/>
        <v>0</v>
      </c>
      <c r="R133" s="115">
        <f t="shared" si="28"/>
        <v>132</v>
      </c>
      <c r="S133" s="115">
        <f t="shared" si="29"/>
        <v>0</v>
      </c>
      <c r="T133" s="29" t="str">
        <f>'EE System Designed BOM'!Q133</f>
        <v/>
      </c>
    </row>
    <row r="134" spans="1:20" s="29" customFormat="1" x14ac:dyDescent="0.25">
      <c r="A134" s="40">
        <f t="shared" si="20"/>
        <v>133</v>
      </c>
      <c r="B134" s="34" t="s">
        <v>9624</v>
      </c>
      <c r="C134" s="39" t="str">
        <f>IF('EE System Designed BOM'!E134="","",IF('EE System Designed BOM'!H134="Y","",'EE System Designed BOM'!E134))</f>
        <v/>
      </c>
      <c r="D134" s="79" t="str">
        <f>IF('EE System Designed BOM'!E134="","",IF('EE System Designed BOM'!H134="Y","",'EE System Designed BOM'!E134))</f>
        <v/>
      </c>
      <c r="E134" s="36" t="str">
        <f t="shared" si="21"/>
        <v/>
      </c>
      <c r="F134" s="39">
        <f t="shared" si="22"/>
        <v>0</v>
      </c>
      <c r="G134" s="124" t="s">
        <v>8604</v>
      </c>
      <c r="H134" s="54" t="str">
        <f>IF(D134="","",'START-HERE'!$C$16)</f>
        <v/>
      </c>
      <c r="I134" s="39" t="str">
        <f>VLOOKUP('START-HERE'!$C$17,DATA!$J$3:$K$6,2,FALSE)</f>
        <v>USD</v>
      </c>
      <c r="J134" s="125" t="str">
        <f t="shared" si="23"/>
        <v/>
      </c>
      <c r="K134" s="39" t="str">
        <f t="shared" si="24"/>
        <v/>
      </c>
      <c r="L134" s="39" t="str">
        <f>IF(J134="","",IF('START-HERE'!$C$17="USA",1110,""))</f>
        <v/>
      </c>
      <c r="M134" s="39" t="str">
        <f>VLOOKUP('START-HERE'!$D$20,DATA!$J$9:$K$12,2,FALSE)</f>
        <v>037 US Project (NB)</v>
      </c>
      <c r="N134" s="39">
        <f t="shared" si="25"/>
        <v>0</v>
      </c>
      <c r="O134" s="39" t="str">
        <f t="shared" si="26"/>
        <v/>
      </c>
      <c r="P134" s="126">
        <f t="shared" si="27"/>
        <v>0</v>
      </c>
      <c r="R134" s="115">
        <f t="shared" si="28"/>
        <v>133</v>
      </c>
      <c r="S134" s="115">
        <f t="shared" si="29"/>
        <v>0</v>
      </c>
      <c r="T134" s="29" t="str">
        <f>'EE System Designed BOM'!Q134</f>
        <v/>
      </c>
    </row>
    <row r="135" spans="1:20" s="29" customFormat="1" x14ac:dyDescent="0.25">
      <c r="A135" s="40">
        <f t="shared" si="20"/>
        <v>134</v>
      </c>
      <c r="B135" s="34" t="s">
        <v>9624</v>
      </c>
      <c r="C135" s="39" t="str">
        <f>IF('EE System Designed BOM'!E135="","",IF('EE System Designed BOM'!H135="Y","",'EE System Designed BOM'!E135))</f>
        <v/>
      </c>
      <c r="D135" s="79" t="str">
        <f>IF('EE System Designed BOM'!E135="","",IF('EE System Designed BOM'!H135="Y","",'EE System Designed BOM'!E135))</f>
        <v/>
      </c>
      <c r="E135" s="36" t="str">
        <f t="shared" si="21"/>
        <v/>
      </c>
      <c r="F135" s="39">
        <f t="shared" si="22"/>
        <v>0</v>
      </c>
      <c r="G135" s="124" t="s">
        <v>8604</v>
      </c>
      <c r="H135" s="54" t="str">
        <f>IF(D135="","",'START-HERE'!$C$16)</f>
        <v/>
      </c>
      <c r="I135" s="39" t="str">
        <f>VLOOKUP('START-HERE'!$C$17,DATA!$J$3:$K$6,2,FALSE)</f>
        <v>USD</v>
      </c>
      <c r="J135" s="125" t="str">
        <f t="shared" si="23"/>
        <v/>
      </c>
      <c r="K135" s="39" t="str">
        <f t="shared" si="24"/>
        <v/>
      </c>
      <c r="L135" s="39" t="str">
        <f>IF(J135="","",IF('START-HERE'!$C$17="USA",1110,""))</f>
        <v/>
      </c>
      <c r="M135" s="39" t="str">
        <f>VLOOKUP('START-HERE'!$D$20,DATA!$J$9:$K$12,2,FALSE)</f>
        <v>037 US Project (NB)</v>
      </c>
      <c r="N135" s="39">
        <f t="shared" si="25"/>
        <v>0</v>
      </c>
      <c r="O135" s="39" t="str">
        <f t="shared" si="26"/>
        <v/>
      </c>
      <c r="P135" s="126">
        <f t="shared" si="27"/>
        <v>0</v>
      </c>
      <c r="Q135" s="84"/>
      <c r="R135" s="115">
        <f t="shared" si="28"/>
        <v>134</v>
      </c>
      <c r="S135" s="115">
        <f t="shared" si="29"/>
        <v>0</v>
      </c>
      <c r="T135" s="29" t="str">
        <f>'EE System Designed BOM'!Q135</f>
        <v/>
      </c>
    </row>
    <row r="136" spans="1:20" s="29" customFormat="1" x14ac:dyDescent="0.25">
      <c r="A136" s="40">
        <f t="shared" si="20"/>
        <v>135</v>
      </c>
      <c r="B136" s="34" t="s">
        <v>9624</v>
      </c>
      <c r="C136" s="39" t="str">
        <f>IF('EE System Designed BOM'!E136="","",IF('EE System Designed BOM'!H136="Y","",'EE System Designed BOM'!E136))</f>
        <v/>
      </c>
      <c r="D136" s="79" t="str">
        <f>IF('EE System Designed BOM'!E136="","",IF('EE System Designed BOM'!H136="Y","",'EE System Designed BOM'!E136))</f>
        <v/>
      </c>
      <c r="E136" s="36" t="str">
        <f t="shared" si="21"/>
        <v/>
      </c>
      <c r="F136" s="39">
        <f t="shared" si="22"/>
        <v>0</v>
      </c>
      <c r="G136" s="124" t="s">
        <v>8604</v>
      </c>
      <c r="H136" s="54" t="str">
        <f>IF(D136="","",'START-HERE'!$C$16)</f>
        <v/>
      </c>
      <c r="I136" s="39" t="str">
        <f>VLOOKUP('START-HERE'!$C$17,DATA!$J$3:$K$6,2,FALSE)</f>
        <v>USD</v>
      </c>
      <c r="J136" s="125" t="str">
        <f t="shared" si="23"/>
        <v/>
      </c>
      <c r="K136" s="39" t="str">
        <f t="shared" si="24"/>
        <v/>
      </c>
      <c r="L136" s="39" t="str">
        <f>IF(J136="","",IF('START-HERE'!$C$17="USA",1110,""))</f>
        <v/>
      </c>
      <c r="M136" s="39" t="str">
        <f>VLOOKUP('START-HERE'!$D$20,DATA!$J$9:$K$12,2,FALSE)</f>
        <v>037 US Project (NB)</v>
      </c>
      <c r="N136" s="39">
        <f t="shared" si="25"/>
        <v>0</v>
      </c>
      <c r="O136" s="39" t="str">
        <f t="shared" si="26"/>
        <v/>
      </c>
      <c r="P136" s="126">
        <f t="shared" si="27"/>
        <v>0</v>
      </c>
      <c r="R136" s="115">
        <f t="shared" si="28"/>
        <v>135</v>
      </c>
      <c r="S136" s="115">
        <f t="shared" si="29"/>
        <v>0</v>
      </c>
      <c r="T136" s="29" t="str">
        <f>'EE System Designed BOM'!Q136</f>
        <v/>
      </c>
    </row>
    <row r="137" spans="1:20" s="29" customFormat="1" x14ac:dyDescent="0.25">
      <c r="A137" s="40">
        <f t="shared" si="20"/>
        <v>136</v>
      </c>
      <c r="B137" s="34" t="s">
        <v>9624</v>
      </c>
      <c r="C137" s="39" t="str">
        <f>IF('EE System Designed BOM'!E137="","",IF('EE System Designed BOM'!H137="Y","",'EE System Designed BOM'!E137))</f>
        <v/>
      </c>
      <c r="D137" s="79" t="str">
        <f>IF('EE System Designed BOM'!E137="","",IF('EE System Designed BOM'!H137="Y","",'EE System Designed BOM'!E137))</f>
        <v/>
      </c>
      <c r="E137" s="36" t="str">
        <f t="shared" si="21"/>
        <v/>
      </c>
      <c r="F137" s="39">
        <f t="shared" si="22"/>
        <v>0</v>
      </c>
      <c r="G137" s="124" t="s">
        <v>8604</v>
      </c>
      <c r="H137" s="54" t="str">
        <f>IF(D137="","",'START-HERE'!$C$16)</f>
        <v/>
      </c>
      <c r="I137" s="39" t="str">
        <f>VLOOKUP('START-HERE'!$C$17,DATA!$J$3:$K$6,2,FALSE)</f>
        <v>USD</v>
      </c>
      <c r="J137" s="125" t="str">
        <f t="shared" si="23"/>
        <v/>
      </c>
      <c r="K137" s="39" t="str">
        <f t="shared" si="24"/>
        <v/>
      </c>
      <c r="L137" s="39" t="str">
        <f>IF(J137="","",IF('START-HERE'!$C$17="USA",1110,""))</f>
        <v/>
      </c>
      <c r="M137" s="39" t="str">
        <f>VLOOKUP('START-HERE'!$D$20,DATA!$J$9:$K$12,2,FALSE)</f>
        <v>037 US Project (NB)</v>
      </c>
      <c r="N137" s="39">
        <f t="shared" si="25"/>
        <v>0</v>
      </c>
      <c r="O137" s="39" t="str">
        <f t="shared" si="26"/>
        <v/>
      </c>
      <c r="P137" s="126">
        <f t="shared" si="27"/>
        <v>0</v>
      </c>
      <c r="R137" s="115">
        <f t="shared" si="28"/>
        <v>136</v>
      </c>
      <c r="S137" s="115">
        <f t="shared" si="29"/>
        <v>0</v>
      </c>
      <c r="T137" s="29" t="str">
        <f>'EE System Designed BOM'!Q137</f>
        <v/>
      </c>
    </row>
    <row r="138" spans="1:20" s="29" customFormat="1" x14ac:dyDescent="0.25">
      <c r="A138" s="40">
        <f t="shared" si="20"/>
        <v>137</v>
      </c>
      <c r="B138" s="34" t="s">
        <v>9624</v>
      </c>
      <c r="C138" s="39" t="str">
        <f>IF('EE System Designed BOM'!E138="","",IF('EE System Designed BOM'!H138="Y","",'EE System Designed BOM'!E138))</f>
        <v/>
      </c>
      <c r="D138" s="79" t="str">
        <f>IF('EE System Designed BOM'!E138="","",IF('EE System Designed BOM'!H138="Y","",'EE System Designed BOM'!E138))</f>
        <v/>
      </c>
      <c r="E138" s="36" t="str">
        <f t="shared" si="21"/>
        <v/>
      </c>
      <c r="F138" s="39">
        <f t="shared" si="22"/>
        <v>0</v>
      </c>
      <c r="G138" s="124" t="s">
        <v>8604</v>
      </c>
      <c r="H138" s="54" t="str">
        <f>IF(D138="","",'START-HERE'!$C$16)</f>
        <v/>
      </c>
      <c r="I138" s="39" t="str">
        <f>VLOOKUP('START-HERE'!$C$17,DATA!$J$3:$K$6,2,FALSE)</f>
        <v>USD</v>
      </c>
      <c r="J138" s="125" t="str">
        <f t="shared" si="23"/>
        <v/>
      </c>
      <c r="K138" s="39" t="str">
        <f t="shared" si="24"/>
        <v/>
      </c>
      <c r="L138" s="39" t="str">
        <f>IF(J138="","",IF('START-HERE'!$C$17="USA",1110,""))</f>
        <v/>
      </c>
      <c r="M138" s="39" t="str">
        <f>VLOOKUP('START-HERE'!$D$20,DATA!$J$9:$K$12,2,FALSE)</f>
        <v>037 US Project (NB)</v>
      </c>
      <c r="N138" s="39">
        <f t="shared" si="25"/>
        <v>0</v>
      </c>
      <c r="O138" s="39" t="str">
        <f t="shared" si="26"/>
        <v/>
      </c>
      <c r="P138" s="126">
        <f t="shared" si="27"/>
        <v>0</v>
      </c>
      <c r="R138" s="115">
        <f t="shared" si="28"/>
        <v>137</v>
      </c>
      <c r="S138" s="115">
        <f t="shared" si="29"/>
        <v>0</v>
      </c>
      <c r="T138" s="29" t="str">
        <f>'EE System Designed BOM'!Q138</f>
        <v/>
      </c>
    </row>
    <row r="139" spans="1:20" s="29" customFormat="1" x14ac:dyDescent="0.25">
      <c r="A139" s="40">
        <f t="shared" si="20"/>
        <v>138</v>
      </c>
      <c r="B139" s="34" t="s">
        <v>9624</v>
      </c>
      <c r="C139" s="39" t="str">
        <f>IF('EE System Designed BOM'!E139="","",IF('EE System Designed BOM'!H139="Y","",'EE System Designed BOM'!E139))</f>
        <v/>
      </c>
      <c r="D139" s="79" t="str">
        <f>IF('EE System Designed BOM'!E139="","",IF('EE System Designed BOM'!H139="Y","",'EE System Designed BOM'!E139))</f>
        <v/>
      </c>
      <c r="E139" s="36" t="str">
        <f t="shared" si="21"/>
        <v/>
      </c>
      <c r="F139" s="39">
        <f t="shared" si="22"/>
        <v>0</v>
      </c>
      <c r="G139" s="124" t="s">
        <v>8604</v>
      </c>
      <c r="H139" s="54" t="str">
        <f>IF(D139="","",'START-HERE'!$C$16)</f>
        <v/>
      </c>
      <c r="I139" s="39" t="str">
        <f>VLOOKUP('START-HERE'!$C$17,DATA!$J$3:$K$6,2,FALSE)</f>
        <v>USD</v>
      </c>
      <c r="J139" s="125" t="str">
        <f t="shared" si="23"/>
        <v/>
      </c>
      <c r="K139" s="39" t="str">
        <f t="shared" si="24"/>
        <v/>
      </c>
      <c r="L139" s="39" t="str">
        <f>IF(J139="","",IF('START-HERE'!$C$17="USA",1110,""))</f>
        <v/>
      </c>
      <c r="M139" s="39" t="str">
        <f>VLOOKUP('START-HERE'!$D$20,DATA!$J$9:$K$12,2,FALSE)</f>
        <v>037 US Project (NB)</v>
      </c>
      <c r="N139" s="39">
        <f t="shared" si="25"/>
        <v>0</v>
      </c>
      <c r="O139" s="39" t="str">
        <f t="shared" si="26"/>
        <v/>
      </c>
      <c r="P139" s="126">
        <f t="shared" si="27"/>
        <v>0</v>
      </c>
      <c r="Q139" s="84"/>
      <c r="R139" s="115">
        <f t="shared" si="28"/>
        <v>138</v>
      </c>
      <c r="S139" s="115">
        <f t="shared" si="29"/>
        <v>0</v>
      </c>
      <c r="T139" s="29" t="str">
        <f>'EE System Designed BOM'!Q139</f>
        <v/>
      </c>
    </row>
    <row r="140" spans="1:20" s="29" customFormat="1" x14ac:dyDescent="0.25">
      <c r="A140" s="40">
        <f t="shared" si="20"/>
        <v>139</v>
      </c>
      <c r="B140" s="34" t="s">
        <v>9624</v>
      </c>
      <c r="C140" s="39" t="str">
        <f>IF('EE System Designed BOM'!E140="","",IF('EE System Designed BOM'!H140="Y","",'EE System Designed BOM'!E140))</f>
        <v/>
      </c>
      <c r="D140" s="79" t="str">
        <f>IF('EE System Designed BOM'!E140="","",IF('EE System Designed BOM'!H140="Y","",'EE System Designed BOM'!E140))</f>
        <v/>
      </c>
      <c r="E140" s="36" t="str">
        <f t="shared" si="21"/>
        <v/>
      </c>
      <c r="F140" s="39">
        <f t="shared" si="22"/>
        <v>0</v>
      </c>
      <c r="G140" s="124" t="s">
        <v>8604</v>
      </c>
      <c r="H140" s="54" t="str">
        <f>IF(D140="","",'START-HERE'!$C$16)</f>
        <v/>
      </c>
      <c r="I140" s="39" t="str">
        <f>VLOOKUP('START-HERE'!$C$17,DATA!$J$3:$K$6,2,FALSE)</f>
        <v>USD</v>
      </c>
      <c r="J140" s="125" t="str">
        <f t="shared" si="23"/>
        <v/>
      </c>
      <c r="K140" s="39" t="str">
        <f t="shared" si="24"/>
        <v/>
      </c>
      <c r="L140" s="39" t="str">
        <f>IF(J140="","",IF('START-HERE'!$C$17="USA",1110,""))</f>
        <v/>
      </c>
      <c r="M140" s="39" t="str">
        <f>VLOOKUP('START-HERE'!$D$20,DATA!$J$9:$K$12,2,FALSE)</f>
        <v>037 US Project (NB)</v>
      </c>
      <c r="N140" s="39">
        <f t="shared" si="25"/>
        <v>0</v>
      </c>
      <c r="O140" s="39" t="str">
        <f t="shared" si="26"/>
        <v/>
      </c>
      <c r="P140" s="126">
        <f t="shared" si="27"/>
        <v>0</v>
      </c>
      <c r="R140" s="115">
        <f t="shared" si="28"/>
        <v>139</v>
      </c>
      <c r="S140" s="115">
        <f t="shared" si="29"/>
        <v>0</v>
      </c>
      <c r="T140" s="29" t="str">
        <f>'EE System Designed BOM'!Q140</f>
        <v/>
      </c>
    </row>
    <row r="141" spans="1:20" s="29" customFormat="1" x14ac:dyDescent="0.25">
      <c r="A141" s="40">
        <f t="shared" si="20"/>
        <v>140</v>
      </c>
      <c r="B141" s="34" t="s">
        <v>9624</v>
      </c>
      <c r="C141" s="39" t="str">
        <f>IF('EE System Designed BOM'!E141="","",IF('EE System Designed BOM'!H141="Y","",'EE System Designed BOM'!E141))</f>
        <v/>
      </c>
      <c r="D141" s="79" t="str">
        <f>IF('EE System Designed BOM'!E141="","",IF('EE System Designed BOM'!H141="Y","",'EE System Designed BOM'!E141))</f>
        <v/>
      </c>
      <c r="E141" s="36" t="str">
        <f t="shared" si="21"/>
        <v/>
      </c>
      <c r="F141" s="39">
        <f t="shared" si="22"/>
        <v>0</v>
      </c>
      <c r="G141" s="124" t="s">
        <v>8604</v>
      </c>
      <c r="H141" s="54" t="str">
        <f>IF(D141="","",'START-HERE'!$C$16)</f>
        <v/>
      </c>
      <c r="I141" s="39" t="str">
        <f>VLOOKUP('START-HERE'!$C$17,DATA!$J$3:$K$6,2,FALSE)</f>
        <v>USD</v>
      </c>
      <c r="J141" s="125" t="str">
        <f t="shared" si="23"/>
        <v/>
      </c>
      <c r="K141" s="39" t="str">
        <f t="shared" si="24"/>
        <v/>
      </c>
      <c r="L141" s="39" t="str">
        <f>IF(J141="","",IF('START-HERE'!$C$17="USA",1110,""))</f>
        <v/>
      </c>
      <c r="M141" s="39" t="str">
        <f>VLOOKUP('START-HERE'!$D$20,DATA!$J$9:$K$12,2,FALSE)</f>
        <v>037 US Project (NB)</v>
      </c>
      <c r="N141" s="39">
        <f t="shared" si="25"/>
        <v>0</v>
      </c>
      <c r="O141" s="39" t="str">
        <f t="shared" si="26"/>
        <v/>
      </c>
      <c r="P141" s="126">
        <f t="shared" si="27"/>
        <v>0</v>
      </c>
      <c r="R141" s="115">
        <f t="shared" si="28"/>
        <v>140</v>
      </c>
      <c r="S141" s="115">
        <f t="shared" si="29"/>
        <v>0</v>
      </c>
      <c r="T141" s="29" t="str">
        <f>'EE System Designed BOM'!Q141</f>
        <v/>
      </c>
    </row>
    <row r="142" spans="1:20" s="29" customFormat="1" x14ac:dyDescent="0.25">
      <c r="A142" s="40">
        <f t="shared" si="20"/>
        <v>141</v>
      </c>
      <c r="B142" s="34" t="s">
        <v>9624</v>
      </c>
      <c r="C142" s="39" t="str">
        <f>IF('EE System Designed BOM'!E142="","",IF('EE System Designed BOM'!H142="Y","",'EE System Designed BOM'!E142))</f>
        <v/>
      </c>
      <c r="D142" s="79" t="str">
        <f>IF('EE System Designed BOM'!E142="","",IF('EE System Designed BOM'!H142="Y","",'EE System Designed BOM'!E142))</f>
        <v/>
      </c>
      <c r="E142" s="36" t="str">
        <f t="shared" si="21"/>
        <v/>
      </c>
      <c r="F142" s="39">
        <f t="shared" si="22"/>
        <v>0</v>
      </c>
      <c r="G142" s="124" t="s">
        <v>8604</v>
      </c>
      <c r="H142" s="54" t="str">
        <f>IF(D142="","",'START-HERE'!$C$16)</f>
        <v/>
      </c>
      <c r="I142" s="39" t="str">
        <f>VLOOKUP('START-HERE'!$C$17,DATA!$J$3:$K$6,2,FALSE)</f>
        <v>USD</v>
      </c>
      <c r="J142" s="125" t="str">
        <f t="shared" si="23"/>
        <v/>
      </c>
      <c r="K142" s="39" t="str">
        <f t="shared" si="24"/>
        <v/>
      </c>
      <c r="L142" s="39" t="str">
        <f>IF(J142="","",IF('START-HERE'!$C$17="USA",1110,""))</f>
        <v/>
      </c>
      <c r="M142" s="39" t="str">
        <f>VLOOKUP('START-HERE'!$D$20,DATA!$J$9:$K$12,2,FALSE)</f>
        <v>037 US Project (NB)</v>
      </c>
      <c r="N142" s="39">
        <f t="shared" si="25"/>
        <v>0</v>
      </c>
      <c r="O142" s="39" t="str">
        <f t="shared" si="26"/>
        <v/>
      </c>
      <c r="P142" s="126">
        <f t="shared" si="27"/>
        <v>0</v>
      </c>
      <c r="R142" s="115">
        <f t="shared" si="28"/>
        <v>141</v>
      </c>
      <c r="S142" s="115">
        <f t="shared" si="29"/>
        <v>0</v>
      </c>
      <c r="T142" s="29" t="str">
        <f>'EE System Designed BOM'!Q142</f>
        <v/>
      </c>
    </row>
    <row r="143" spans="1:20" s="29" customFormat="1" x14ac:dyDescent="0.25">
      <c r="A143" s="40">
        <f t="shared" si="20"/>
        <v>142</v>
      </c>
      <c r="B143" s="34" t="s">
        <v>9624</v>
      </c>
      <c r="C143" s="39" t="str">
        <f>IF('EE System Designed BOM'!E143="","",IF('EE System Designed BOM'!H143="Y","",'EE System Designed BOM'!E143))</f>
        <v/>
      </c>
      <c r="D143" s="79" t="str">
        <f>IF('EE System Designed BOM'!E143="","",IF('EE System Designed BOM'!H143="Y","",'EE System Designed BOM'!E143))</f>
        <v/>
      </c>
      <c r="E143" s="36" t="str">
        <f t="shared" si="21"/>
        <v/>
      </c>
      <c r="F143" s="39">
        <f t="shared" si="22"/>
        <v>0</v>
      </c>
      <c r="G143" s="124" t="s">
        <v>8604</v>
      </c>
      <c r="H143" s="54" t="str">
        <f>IF(D143="","",'START-HERE'!$C$16)</f>
        <v/>
      </c>
      <c r="I143" s="39" t="str">
        <f>VLOOKUP('START-HERE'!$C$17,DATA!$J$3:$K$6,2,FALSE)</f>
        <v>USD</v>
      </c>
      <c r="J143" s="125" t="str">
        <f t="shared" si="23"/>
        <v/>
      </c>
      <c r="K143" s="39" t="str">
        <f t="shared" si="24"/>
        <v/>
      </c>
      <c r="L143" s="39" t="str">
        <f>IF(J143="","",IF('START-HERE'!$C$17="USA",1110,""))</f>
        <v/>
      </c>
      <c r="M143" s="39" t="str">
        <f>VLOOKUP('START-HERE'!$D$20,DATA!$J$9:$K$12,2,FALSE)</f>
        <v>037 US Project (NB)</v>
      </c>
      <c r="N143" s="39">
        <f t="shared" si="25"/>
        <v>0</v>
      </c>
      <c r="O143" s="39" t="str">
        <f t="shared" si="26"/>
        <v/>
      </c>
      <c r="P143" s="126">
        <f t="shared" si="27"/>
        <v>0</v>
      </c>
      <c r="Q143" s="84"/>
      <c r="R143" s="115">
        <f t="shared" si="28"/>
        <v>142</v>
      </c>
      <c r="S143" s="115">
        <f t="shared" si="29"/>
        <v>0</v>
      </c>
      <c r="T143" s="29" t="str">
        <f>'EE System Designed BOM'!Q143</f>
        <v/>
      </c>
    </row>
    <row r="144" spans="1:20" s="29" customFormat="1" x14ac:dyDescent="0.25">
      <c r="A144" s="40">
        <f t="shared" si="20"/>
        <v>143</v>
      </c>
      <c r="B144" s="34" t="s">
        <v>9624</v>
      </c>
      <c r="C144" s="39" t="str">
        <f>IF('EE System Designed BOM'!E144="","",IF('EE System Designed BOM'!H144="Y","",'EE System Designed BOM'!E144))</f>
        <v/>
      </c>
      <c r="D144" s="79" t="str">
        <f>IF('EE System Designed BOM'!E144="","",IF('EE System Designed BOM'!H144="Y","",'EE System Designed BOM'!E144))</f>
        <v/>
      </c>
      <c r="E144" s="36" t="str">
        <f t="shared" si="21"/>
        <v/>
      </c>
      <c r="F144" s="39">
        <f t="shared" si="22"/>
        <v>0</v>
      </c>
      <c r="G144" s="124" t="s">
        <v>8604</v>
      </c>
      <c r="H144" s="54" t="str">
        <f>IF(D144="","",'START-HERE'!$C$16)</f>
        <v/>
      </c>
      <c r="I144" s="39" t="str">
        <f>VLOOKUP('START-HERE'!$C$17,DATA!$J$3:$K$6,2,FALSE)</f>
        <v>USD</v>
      </c>
      <c r="J144" s="125" t="str">
        <f t="shared" si="23"/>
        <v/>
      </c>
      <c r="K144" s="39" t="str">
        <f t="shared" si="24"/>
        <v/>
      </c>
      <c r="L144" s="39" t="str">
        <f>IF(J144="","",IF('START-HERE'!$C$17="USA",1110,""))</f>
        <v/>
      </c>
      <c r="M144" s="39" t="str">
        <f>VLOOKUP('START-HERE'!$D$20,DATA!$J$9:$K$12,2,FALSE)</f>
        <v>037 US Project (NB)</v>
      </c>
      <c r="N144" s="39">
        <f t="shared" si="25"/>
        <v>0</v>
      </c>
      <c r="O144" s="39" t="str">
        <f t="shared" si="26"/>
        <v/>
      </c>
      <c r="P144" s="126">
        <f t="shared" si="27"/>
        <v>0</v>
      </c>
      <c r="R144" s="115">
        <f t="shared" si="28"/>
        <v>143</v>
      </c>
      <c r="S144" s="115">
        <f t="shared" si="29"/>
        <v>0</v>
      </c>
      <c r="T144" s="29" t="str">
        <f>'EE System Designed BOM'!Q144</f>
        <v/>
      </c>
    </row>
    <row r="145" spans="1:20" s="29" customFormat="1" x14ac:dyDescent="0.25">
      <c r="A145" s="40">
        <f t="shared" si="20"/>
        <v>144</v>
      </c>
      <c r="B145" s="34" t="s">
        <v>9624</v>
      </c>
      <c r="C145" s="39" t="str">
        <f>IF('EE System Designed BOM'!E145="","",IF('EE System Designed BOM'!H145="Y","",'EE System Designed BOM'!E145))</f>
        <v/>
      </c>
      <c r="D145" s="79" t="str">
        <f>IF('EE System Designed BOM'!E145="","",IF('EE System Designed BOM'!H145="Y","",'EE System Designed BOM'!E145))</f>
        <v/>
      </c>
      <c r="E145" s="36" t="str">
        <f t="shared" si="21"/>
        <v/>
      </c>
      <c r="F145" s="39">
        <f t="shared" si="22"/>
        <v>0</v>
      </c>
      <c r="G145" s="124" t="s">
        <v>8604</v>
      </c>
      <c r="H145" s="54" t="str">
        <f>IF(D145="","",'START-HERE'!$C$16)</f>
        <v/>
      </c>
      <c r="I145" s="39" t="str">
        <f>VLOOKUP('START-HERE'!$C$17,DATA!$J$3:$K$6,2,FALSE)</f>
        <v>USD</v>
      </c>
      <c r="J145" s="125" t="str">
        <f t="shared" si="23"/>
        <v/>
      </c>
      <c r="K145" s="39" t="str">
        <f t="shared" si="24"/>
        <v/>
      </c>
      <c r="L145" s="39" t="str">
        <f>IF(J145="","",IF('START-HERE'!$C$17="USA",1110,""))</f>
        <v/>
      </c>
      <c r="M145" s="39" t="str">
        <f>VLOOKUP('START-HERE'!$D$20,DATA!$J$9:$K$12,2,FALSE)</f>
        <v>037 US Project (NB)</v>
      </c>
      <c r="N145" s="39">
        <f t="shared" si="25"/>
        <v>0</v>
      </c>
      <c r="O145" s="39" t="str">
        <f t="shared" si="26"/>
        <v/>
      </c>
      <c r="P145" s="126">
        <f t="shared" si="27"/>
        <v>0</v>
      </c>
      <c r="R145" s="115">
        <f t="shared" si="28"/>
        <v>144</v>
      </c>
      <c r="S145" s="115">
        <f t="shared" si="29"/>
        <v>0</v>
      </c>
      <c r="T145" s="29" t="str">
        <f>'EE System Designed BOM'!Q145</f>
        <v/>
      </c>
    </row>
    <row r="146" spans="1:20" s="29" customFormat="1" x14ac:dyDescent="0.25">
      <c r="A146" s="40">
        <f t="shared" si="20"/>
        <v>145</v>
      </c>
      <c r="B146" s="34" t="s">
        <v>9624</v>
      </c>
      <c r="C146" s="39" t="str">
        <f>IF('EE System Designed BOM'!E146="","",IF('EE System Designed BOM'!H146="Y","",'EE System Designed BOM'!E146))</f>
        <v/>
      </c>
      <c r="D146" s="79" t="str">
        <f>IF('EE System Designed BOM'!E146="","",IF('EE System Designed BOM'!H146="Y","",'EE System Designed BOM'!E146))</f>
        <v/>
      </c>
      <c r="E146" s="36" t="str">
        <f t="shared" si="21"/>
        <v/>
      </c>
      <c r="F146" s="39">
        <f t="shared" si="22"/>
        <v>0</v>
      </c>
      <c r="G146" s="124" t="s">
        <v>8604</v>
      </c>
      <c r="H146" s="54" t="str">
        <f>IF(D146="","",'START-HERE'!$C$16)</f>
        <v/>
      </c>
      <c r="I146" s="39" t="str">
        <f>VLOOKUP('START-HERE'!$C$17,DATA!$J$3:$K$6,2,FALSE)</f>
        <v>USD</v>
      </c>
      <c r="J146" s="125" t="str">
        <f t="shared" si="23"/>
        <v/>
      </c>
      <c r="K146" s="39" t="str">
        <f t="shared" si="24"/>
        <v/>
      </c>
      <c r="L146" s="39" t="str">
        <f>IF(J146="","",IF('START-HERE'!$C$17="USA",1110,""))</f>
        <v/>
      </c>
      <c r="M146" s="39" t="str">
        <f>VLOOKUP('START-HERE'!$D$20,DATA!$J$9:$K$12,2,FALSE)</f>
        <v>037 US Project (NB)</v>
      </c>
      <c r="N146" s="39">
        <f t="shared" si="25"/>
        <v>0</v>
      </c>
      <c r="O146" s="39" t="str">
        <f t="shared" si="26"/>
        <v/>
      </c>
      <c r="P146" s="126">
        <f t="shared" si="27"/>
        <v>0</v>
      </c>
      <c r="R146" s="115">
        <f t="shared" si="28"/>
        <v>145</v>
      </c>
      <c r="S146" s="115">
        <f t="shared" si="29"/>
        <v>0</v>
      </c>
      <c r="T146" s="29" t="str">
        <f>'EE System Designed BOM'!Q146</f>
        <v/>
      </c>
    </row>
    <row r="147" spans="1:20" s="29" customFormat="1" x14ac:dyDescent="0.25">
      <c r="A147" s="40">
        <f t="shared" si="20"/>
        <v>146</v>
      </c>
      <c r="B147" s="34" t="s">
        <v>9624</v>
      </c>
      <c r="C147" s="39" t="str">
        <f>IF('EE System Designed BOM'!E147="","",IF('EE System Designed BOM'!H147="Y","",'EE System Designed BOM'!E147))</f>
        <v/>
      </c>
      <c r="D147" s="79" t="str">
        <f>IF('EE System Designed BOM'!E147="","",IF('EE System Designed BOM'!H147="Y","",'EE System Designed BOM'!E147))</f>
        <v/>
      </c>
      <c r="E147" s="36" t="str">
        <f t="shared" si="21"/>
        <v/>
      </c>
      <c r="F147" s="39">
        <f t="shared" si="22"/>
        <v>0</v>
      </c>
      <c r="G147" s="124" t="s">
        <v>8604</v>
      </c>
      <c r="H147" s="54" t="str">
        <f>IF(D147="","",'START-HERE'!$C$16)</f>
        <v/>
      </c>
      <c r="I147" s="39" t="str">
        <f>VLOOKUP('START-HERE'!$C$17,DATA!$J$3:$K$6,2,FALSE)</f>
        <v>USD</v>
      </c>
      <c r="J147" s="125" t="str">
        <f t="shared" si="23"/>
        <v/>
      </c>
      <c r="K147" s="39" t="str">
        <f t="shared" si="24"/>
        <v/>
      </c>
      <c r="L147" s="39" t="str">
        <f>IF(J147="","",IF('START-HERE'!$C$17="USA",1110,""))</f>
        <v/>
      </c>
      <c r="M147" s="39" t="str">
        <f>VLOOKUP('START-HERE'!$D$20,DATA!$J$9:$K$12,2,FALSE)</f>
        <v>037 US Project (NB)</v>
      </c>
      <c r="N147" s="39">
        <f t="shared" si="25"/>
        <v>0</v>
      </c>
      <c r="O147" s="39" t="str">
        <f t="shared" si="26"/>
        <v/>
      </c>
      <c r="P147" s="126">
        <f t="shared" si="27"/>
        <v>0</v>
      </c>
      <c r="Q147" s="84"/>
      <c r="R147" s="115">
        <f t="shared" si="28"/>
        <v>146</v>
      </c>
      <c r="S147" s="115">
        <f t="shared" si="29"/>
        <v>0</v>
      </c>
      <c r="T147" s="29" t="str">
        <f>'EE System Designed BOM'!Q147</f>
        <v/>
      </c>
    </row>
    <row r="148" spans="1:20" s="29" customFormat="1" x14ac:dyDescent="0.25">
      <c r="A148" s="40">
        <f t="shared" si="20"/>
        <v>147</v>
      </c>
      <c r="B148" s="34" t="s">
        <v>9624</v>
      </c>
      <c r="C148" s="39" t="str">
        <f>IF('EE System Designed BOM'!E148="","",IF('EE System Designed BOM'!H148="Y","",'EE System Designed BOM'!E148))</f>
        <v/>
      </c>
      <c r="D148" s="79" t="str">
        <f>IF('EE System Designed BOM'!E148="","",IF('EE System Designed BOM'!H148="Y","",'EE System Designed BOM'!E148))</f>
        <v/>
      </c>
      <c r="E148" s="36" t="str">
        <f t="shared" si="21"/>
        <v/>
      </c>
      <c r="F148" s="39">
        <f t="shared" si="22"/>
        <v>0</v>
      </c>
      <c r="G148" s="124" t="s">
        <v>8604</v>
      </c>
      <c r="H148" s="54" t="str">
        <f>IF(D148="","",'START-HERE'!$C$16)</f>
        <v/>
      </c>
      <c r="I148" s="39" t="str">
        <f>VLOOKUP('START-HERE'!$C$17,DATA!$J$3:$K$6,2,FALSE)</f>
        <v>USD</v>
      </c>
      <c r="J148" s="125" t="str">
        <f t="shared" si="23"/>
        <v/>
      </c>
      <c r="K148" s="39" t="str">
        <f t="shared" si="24"/>
        <v/>
      </c>
      <c r="L148" s="39" t="str">
        <f>IF(J148="","",IF('START-HERE'!$C$17="USA",1110,""))</f>
        <v/>
      </c>
      <c r="M148" s="39" t="str">
        <f>VLOOKUP('START-HERE'!$D$20,DATA!$J$9:$K$12,2,FALSE)</f>
        <v>037 US Project (NB)</v>
      </c>
      <c r="N148" s="39">
        <f t="shared" si="25"/>
        <v>0</v>
      </c>
      <c r="O148" s="39" t="str">
        <f t="shared" si="26"/>
        <v/>
      </c>
      <c r="P148" s="126">
        <f t="shared" si="27"/>
        <v>0</v>
      </c>
      <c r="R148" s="115">
        <f t="shared" si="28"/>
        <v>147</v>
      </c>
      <c r="S148" s="115">
        <f t="shared" si="29"/>
        <v>0</v>
      </c>
      <c r="T148" s="29" t="str">
        <f>'EE System Designed BOM'!Q148</f>
        <v/>
      </c>
    </row>
    <row r="149" spans="1:20" s="29" customFormat="1" x14ac:dyDescent="0.25">
      <c r="A149" s="40">
        <f t="shared" si="20"/>
        <v>148</v>
      </c>
      <c r="B149" s="34" t="s">
        <v>9624</v>
      </c>
      <c r="C149" s="39" t="str">
        <f>IF('EE System Designed BOM'!E149="","",IF('EE System Designed BOM'!H149="Y","",'EE System Designed BOM'!E149))</f>
        <v/>
      </c>
      <c r="D149" s="79" t="str">
        <f>IF('EE System Designed BOM'!E149="","",IF('EE System Designed BOM'!H149="Y","",'EE System Designed BOM'!E149))</f>
        <v/>
      </c>
      <c r="E149" s="36" t="str">
        <f t="shared" si="21"/>
        <v/>
      </c>
      <c r="F149" s="39">
        <f t="shared" si="22"/>
        <v>0</v>
      </c>
      <c r="G149" s="124" t="s">
        <v>8604</v>
      </c>
      <c r="H149" s="54" t="str">
        <f>IF(D149="","",'START-HERE'!$C$16)</f>
        <v/>
      </c>
      <c r="I149" s="39" t="str">
        <f>VLOOKUP('START-HERE'!$C$17,DATA!$J$3:$K$6,2,FALSE)</f>
        <v>USD</v>
      </c>
      <c r="J149" s="125" t="str">
        <f t="shared" si="23"/>
        <v/>
      </c>
      <c r="K149" s="39" t="str">
        <f t="shared" si="24"/>
        <v/>
      </c>
      <c r="L149" s="39" t="str">
        <f>IF(J149="","",IF('START-HERE'!$C$17="USA",1110,""))</f>
        <v/>
      </c>
      <c r="M149" s="39" t="str">
        <f>VLOOKUP('START-HERE'!$D$20,DATA!$J$9:$K$12,2,FALSE)</f>
        <v>037 US Project (NB)</v>
      </c>
      <c r="N149" s="39">
        <f t="shared" si="25"/>
        <v>0</v>
      </c>
      <c r="O149" s="39" t="str">
        <f t="shared" si="26"/>
        <v/>
      </c>
      <c r="P149" s="126">
        <f t="shared" si="27"/>
        <v>0</v>
      </c>
      <c r="R149" s="115">
        <f t="shared" si="28"/>
        <v>148</v>
      </c>
      <c r="S149" s="115">
        <f t="shared" si="29"/>
        <v>0</v>
      </c>
      <c r="T149" s="29" t="str">
        <f>'EE System Designed BOM'!Q149</f>
        <v/>
      </c>
    </row>
    <row r="150" spans="1:20" s="29" customFormat="1" x14ac:dyDescent="0.25">
      <c r="A150" s="40">
        <f t="shared" si="20"/>
        <v>149</v>
      </c>
      <c r="B150" s="34" t="s">
        <v>9624</v>
      </c>
      <c r="C150" s="39" t="str">
        <f>IF('EE System Designed BOM'!E150="","",IF('EE System Designed BOM'!H150="Y","",'EE System Designed BOM'!E150))</f>
        <v/>
      </c>
      <c r="D150" s="79" t="str">
        <f>IF('EE System Designed BOM'!E150="","",IF('EE System Designed BOM'!H150="Y","",'EE System Designed BOM'!E150))</f>
        <v/>
      </c>
      <c r="E150" s="36" t="str">
        <f t="shared" si="21"/>
        <v/>
      </c>
      <c r="F150" s="39">
        <f t="shared" si="22"/>
        <v>0</v>
      </c>
      <c r="G150" s="124" t="s">
        <v>8604</v>
      </c>
      <c r="H150" s="54" t="str">
        <f>IF(D150="","",'START-HERE'!$C$16)</f>
        <v/>
      </c>
      <c r="I150" s="39" t="str">
        <f>VLOOKUP('START-HERE'!$C$17,DATA!$J$3:$K$6,2,FALSE)</f>
        <v>USD</v>
      </c>
      <c r="J150" s="125" t="str">
        <f t="shared" si="23"/>
        <v/>
      </c>
      <c r="K150" s="39" t="str">
        <f t="shared" si="24"/>
        <v/>
      </c>
      <c r="L150" s="39" t="str">
        <f>IF(J150="","",IF('START-HERE'!$C$17="USA",1110,""))</f>
        <v/>
      </c>
      <c r="M150" s="39" t="str">
        <f>VLOOKUP('START-HERE'!$D$20,DATA!$J$9:$K$12,2,FALSE)</f>
        <v>037 US Project (NB)</v>
      </c>
      <c r="N150" s="39">
        <f t="shared" si="25"/>
        <v>0</v>
      </c>
      <c r="O150" s="39" t="str">
        <f t="shared" si="26"/>
        <v/>
      </c>
      <c r="P150" s="126">
        <f t="shared" si="27"/>
        <v>0</v>
      </c>
      <c r="R150" s="115">
        <f t="shared" si="28"/>
        <v>149</v>
      </c>
      <c r="S150" s="115">
        <f t="shared" si="29"/>
        <v>0</v>
      </c>
      <c r="T150" s="29" t="str">
        <f>'EE System Designed BOM'!Q150</f>
        <v/>
      </c>
    </row>
    <row r="151" spans="1:20" s="29" customFormat="1" x14ac:dyDescent="0.25">
      <c r="A151" s="40">
        <f t="shared" si="20"/>
        <v>150</v>
      </c>
      <c r="B151" s="34" t="s">
        <v>9624</v>
      </c>
      <c r="C151" s="39" t="str">
        <f>IF('EE System Designed BOM'!E151="","",IF('EE System Designed BOM'!H151="Y","",'EE System Designed BOM'!E151))</f>
        <v/>
      </c>
      <c r="D151" s="79" t="str">
        <f>IF('EE System Designed BOM'!E151="","",IF('EE System Designed BOM'!H151="Y","",'EE System Designed BOM'!E151))</f>
        <v/>
      </c>
      <c r="E151" s="36" t="str">
        <f t="shared" si="21"/>
        <v/>
      </c>
      <c r="F151" s="39">
        <f t="shared" si="22"/>
        <v>0</v>
      </c>
      <c r="G151" s="124" t="s">
        <v>8604</v>
      </c>
      <c r="H151" s="54" t="str">
        <f>IF(D151="","",'START-HERE'!$C$16)</f>
        <v/>
      </c>
      <c r="I151" s="39" t="str">
        <f>VLOOKUP('START-HERE'!$C$17,DATA!$J$3:$K$6,2,FALSE)</f>
        <v>USD</v>
      </c>
      <c r="J151" s="125" t="str">
        <f t="shared" si="23"/>
        <v/>
      </c>
      <c r="K151" s="39" t="str">
        <f t="shared" si="24"/>
        <v/>
      </c>
      <c r="L151" s="39" t="str">
        <f>IF(J151="","",IF('START-HERE'!$C$17="USA",1110,""))</f>
        <v/>
      </c>
      <c r="M151" s="39" t="str">
        <f>VLOOKUP('START-HERE'!$D$20,DATA!$J$9:$K$12,2,FALSE)</f>
        <v>037 US Project (NB)</v>
      </c>
      <c r="N151" s="39">
        <f t="shared" si="25"/>
        <v>0</v>
      </c>
      <c r="O151" s="39" t="str">
        <f t="shared" si="26"/>
        <v/>
      </c>
      <c r="P151" s="126">
        <f t="shared" si="27"/>
        <v>0</v>
      </c>
      <c r="Q151" s="84"/>
      <c r="R151" s="115">
        <f t="shared" si="28"/>
        <v>150</v>
      </c>
      <c r="S151" s="115">
        <f t="shared" si="29"/>
        <v>0</v>
      </c>
      <c r="T151" s="29" t="str">
        <f>'EE System Designed BOM'!Q151</f>
        <v/>
      </c>
    </row>
    <row r="152" spans="1:20" s="29" customFormat="1" x14ac:dyDescent="0.25">
      <c r="A152" s="40">
        <f t="shared" si="20"/>
        <v>151</v>
      </c>
      <c r="B152" s="34" t="s">
        <v>9624</v>
      </c>
      <c r="C152" s="39" t="str">
        <f>IF('EE System Designed BOM'!E152="","",IF('EE System Designed BOM'!H152="Y","",'EE System Designed BOM'!E152))</f>
        <v/>
      </c>
      <c r="D152" s="79" t="str">
        <f>IF('EE System Designed BOM'!E152="","",IF('EE System Designed BOM'!H152="Y","",'EE System Designed BOM'!E152))</f>
        <v/>
      </c>
      <c r="E152" s="36" t="str">
        <f t="shared" si="21"/>
        <v/>
      </c>
      <c r="F152" s="39">
        <f t="shared" si="22"/>
        <v>0</v>
      </c>
      <c r="G152" s="124" t="s">
        <v>8604</v>
      </c>
      <c r="H152" s="54" t="str">
        <f>IF(D152="","",'START-HERE'!$C$16)</f>
        <v/>
      </c>
      <c r="I152" s="39" t="str">
        <f>VLOOKUP('START-HERE'!$C$17,DATA!$J$3:$K$6,2,FALSE)</f>
        <v>USD</v>
      </c>
      <c r="J152" s="125" t="str">
        <f t="shared" si="23"/>
        <v/>
      </c>
      <c r="K152" s="39" t="str">
        <f t="shared" si="24"/>
        <v/>
      </c>
      <c r="L152" s="39" t="str">
        <f>IF(J152="","",IF('START-HERE'!$C$17="USA",1110,""))</f>
        <v/>
      </c>
      <c r="M152" s="39" t="str">
        <f>VLOOKUP('START-HERE'!$D$20,DATA!$J$9:$K$12,2,FALSE)</f>
        <v>037 US Project (NB)</v>
      </c>
      <c r="N152" s="39">
        <f t="shared" si="25"/>
        <v>0</v>
      </c>
      <c r="O152" s="39" t="str">
        <f t="shared" si="26"/>
        <v/>
      </c>
      <c r="P152" s="126">
        <f t="shared" si="27"/>
        <v>0</v>
      </c>
      <c r="R152" s="115">
        <f t="shared" si="28"/>
        <v>151</v>
      </c>
      <c r="S152" s="115">
        <f t="shared" si="29"/>
        <v>0</v>
      </c>
      <c r="T152" s="29" t="str">
        <f>'EE System Designed BOM'!Q152</f>
        <v/>
      </c>
    </row>
    <row r="153" spans="1:20" s="29" customFormat="1" x14ac:dyDescent="0.25">
      <c r="A153" s="40">
        <f t="shared" si="20"/>
        <v>152</v>
      </c>
      <c r="B153" s="34" t="s">
        <v>9624</v>
      </c>
      <c r="C153" s="39" t="str">
        <f>IF('EE System Designed BOM'!E153="","",IF('EE System Designed BOM'!H153="Y","",'EE System Designed BOM'!E153))</f>
        <v/>
      </c>
      <c r="D153" s="79" t="str">
        <f>IF('EE System Designed BOM'!E153="","",IF('EE System Designed BOM'!H153="Y","",'EE System Designed BOM'!E153))</f>
        <v/>
      </c>
      <c r="E153" s="36" t="str">
        <f t="shared" si="21"/>
        <v/>
      </c>
      <c r="F153" s="39">
        <f t="shared" si="22"/>
        <v>0</v>
      </c>
      <c r="G153" s="124" t="s">
        <v>8604</v>
      </c>
      <c r="H153" s="54" t="str">
        <f>IF(D153="","",'START-HERE'!$C$16)</f>
        <v/>
      </c>
      <c r="I153" s="39" t="str">
        <f>VLOOKUP('START-HERE'!$C$17,DATA!$J$3:$K$6,2,FALSE)</f>
        <v>USD</v>
      </c>
      <c r="J153" s="125" t="str">
        <f t="shared" si="23"/>
        <v/>
      </c>
      <c r="K153" s="39" t="str">
        <f t="shared" si="24"/>
        <v/>
      </c>
      <c r="L153" s="39" t="str">
        <f>IF(J153="","",IF('START-HERE'!$C$17="USA",1110,""))</f>
        <v/>
      </c>
      <c r="M153" s="39" t="str">
        <f>VLOOKUP('START-HERE'!$D$20,DATA!$J$9:$K$12,2,FALSE)</f>
        <v>037 US Project (NB)</v>
      </c>
      <c r="N153" s="39">
        <f t="shared" si="25"/>
        <v>0</v>
      </c>
      <c r="O153" s="39" t="str">
        <f t="shared" si="26"/>
        <v/>
      </c>
      <c r="P153" s="126">
        <f t="shared" si="27"/>
        <v>0</v>
      </c>
      <c r="R153" s="115">
        <f t="shared" si="28"/>
        <v>152</v>
      </c>
      <c r="S153" s="115">
        <f t="shared" si="29"/>
        <v>0</v>
      </c>
      <c r="T153" s="29" t="str">
        <f>'EE System Designed BOM'!Q153</f>
        <v/>
      </c>
    </row>
    <row r="154" spans="1:20" s="29" customFormat="1" x14ac:dyDescent="0.25">
      <c r="A154" s="40">
        <f t="shared" si="20"/>
        <v>153</v>
      </c>
      <c r="B154" s="34" t="s">
        <v>9624</v>
      </c>
      <c r="C154" s="39" t="str">
        <f>IF('EE System Designed BOM'!E154="","",IF('EE System Designed BOM'!H154="Y","",'EE System Designed BOM'!E154))</f>
        <v/>
      </c>
      <c r="D154" s="79" t="str">
        <f>IF('EE System Designed BOM'!E154="","",IF('EE System Designed BOM'!H154="Y","",'EE System Designed BOM'!E154))</f>
        <v/>
      </c>
      <c r="E154" s="36" t="str">
        <f t="shared" si="21"/>
        <v/>
      </c>
      <c r="F154" s="39">
        <f t="shared" si="22"/>
        <v>0</v>
      </c>
      <c r="G154" s="124" t="s">
        <v>8604</v>
      </c>
      <c r="H154" s="54" t="str">
        <f>IF(D154="","",'START-HERE'!$C$16)</f>
        <v/>
      </c>
      <c r="I154" s="39" t="str">
        <f>VLOOKUP('START-HERE'!$C$17,DATA!$J$3:$K$6,2,FALSE)</f>
        <v>USD</v>
      </c>
      <c r="J154" s="125" t="str">
        <f t="shared" si="23"/>
        <v/>
      </c>
      <c r="K154" s="39" t="str">
        <f t="shared" si="24"/>
        <v/>
      </c>
      <c r="L154" s="39" t="str">
        <f>IF(J154="","",IF('START-HERE'!$C$17="USA",1110,""))</f>
        <v/>
      </c>
      <c r="M154" s="39" t="str">
        <f>VLOOKUP('START-HERE'!$D$20,DATA!$J$9:$K$12,2,FALSE)</f>
        <v>037 US Project (NB)</v>
      </c>
      <c r="N154" s="39">
        <f t="shared" si="25"/>
        <v>0</v>
      </c>
      <c r="O154" s="39" t="str">
        <f t="shared" si="26"/>
        <v/>
      </c>
      <c r="P154" s="126">
        <f t="shared" si="27"/>
        <v>0</v>
      </c>
      <c r="R154" s="115">
        <f t="shared" si="28"/>
        <v>153</v>
      </c>
      <c r="S154" s="115">
        <f t="shared" si="29"/>
        <v>0</v>
      </c>
      <c r="T154" s="29" t="str">
        <f>'EE System Designed BOM'!Q154</f>
        <v/>
      </c>
    </row>
    <row r="155" spans="1:20" s="29" customFormat="1" x14ac:dyDescent="0.25">
      <c r="A155" s="40">
        <f t="shared" si="20"/>
        <v>154</v>
      </c>
      <c r="B155" s="34" t="s">
        <v>9624</v>
      </c>
      <c r="C155" s="39" t="str">
        <f>IF('EE System Designed BOM'!E155="","",IF('EE System Designed BOM'!H155="Y","",'EE System Designed BOM'!E155))</f>
        <v/>
      </c>
      <c r="D155" s="79" t="str">
        <f>IF('EE System Designed BOM'!E155="","",IF('EE System Designed BOM'!H155="Y","",'EE System Designed BOM'!E155))</f>
        <v/>
      </c>
      <c r="E155" s="36" t="str">
        <f t="shared" si="21"/>
        <v/>
      </c>
      <c r="F155" s="39">
        <f t="shared" si="22"/>
        <v>0</v>
      </c>
      <c r="G155" s="124" t="s">
        <v>8604</v>
      </c>
      <c r="H155" s="54" t="str">
        <f>IF(D155="","",'START-HERE'!$C$16)</f>
        <v/>
      </c>
      <c r="I155" s="39" t="str">
        <f>VLOOKUP('START-HERE'!$C$17,DATA!$J$3:$K$6,2,FALSE)</f>
        <v>USD</v>
      </c>
      <c r="J155" s="125" t="str">
        <f t="shared" si="23"/>
        <v/>
      </c>
      <c r="K155" s="39" t="str">
        <f t="shared" si="24"/>
        <v/>
      </c>
      <c r="L155" s="39" t="str">
        <f>IF(J155="","",IF('START-HERE'!$C$17="USA",1110,""))</f>
        <v/>
      </c>
      <c r="M155" s="39" t="str">
        <f>VLOOKUP('START-HERE'!$D$20,DATA!$J$9:$K$12,2,FALSE)</f>
        <v>037 US Project (NB)</v>
      </c>
      <c r="N155" s="39">
        <f t="shared" si="25"/>
        <v>0</v>
      </c>
      <c r="O155" s="39" t="str">
        <f t="shared" si="26"/>
        <v/>
      </c>
      <c r="P155" s="126">
        <f t="shared" si="27"/>
        <v>0</v>
      </c>
      <c r="Q155" s="84"/>
      <c r="R155" s="115">
        <f t="shared" si="28"/>
        <v>154</v>
      </c>
      <c r="S155" s="115">
        <f t="shared" si="29"/>
        <v>0</v>
      </c>
      <c r="T155" s="29" t="str">
        <f>'EE System Designed BOM'!Q155</f>
        <v/>
      </c>
    </row>
    <row r="156" spans="1:20" s="29" customFormat="1" x14ac:dyDescent="0.25">
      <c r="A156" s="40">
        <f t="shared" si="20"/>
        <v>155</v>
      </c>
      <c r="B156" s="34" t="s">
        <v>9624</v>
      </c>
      <c r="C156" s="39" t="str">
        <f>IF('EE System Designed BOM'!E156="","",IF('EE System Designed BOM'!H156="Y","",'EE System Designed BOM'!E156))</f>
        <v/>
      </c>
      <c r="D156" s="79" t="str">
        <f>IF('EE System Designed BOM'!E156="","",IF('EE System Designed BOM'!H156="Y","",'EE System Designed BOM'!E156))</f>
        <v/>
      </c>
      <c r="E156" s="36" t="str">
        <f t="shared" si="21"/>
        <v/>
      </c>
      <c r="F156" s="39">
        <f t="shared" si="22"/>
        <v>0</v>
      </c>
      <c r="G156" s="124" t="s">
        <v>8604</v>
      </c>
      <c r="H156" s="54" t="str">
        <f>IF(D156="","",'START-HERE'!$C$16)</f>
        <v/>
      </c>
      <c r="I156" s="39" t="str">
        <f>VLOOKUP('START-HERE'!$C$17,DATA!$J$3:$K$6,2,FALSE)</f>
        <v>USD</v>
      </c>
      <c r="J156" s="125" t="str">
        <f t="shared" si="23"/>
        <v/>
      </c>
      <c r="K156" s="39" t="str">
        <f t="shared" si="24"/>
        <v/>
      </c>
      <c r="L156" s="39" t="str">
        <f>IF(J156="","",IF('START-HERE'!$C$17="USA",1110,""))</f>
        <v/>
      </c>
      <c r="M156" s="39" t="str">
        <f>VLOOKUP('START-HERE'!$D$20,DATA!$J$9:$K$12,2,FALSE)</f>
        <v>037 US Project (NB)</v>
      </c>
      <c r="N156" s="39">
        <f t="shared" si="25"/>
        <v>0</v>
      </c>
      <c r="O156" s="39" t="str">
        <f t="shared" si="26"/>
        <v/>
      </c>
      <c r="P156" s="126">
        <f t="shared" si="27"/>
        <v>0</v>
      </c>
      <c r="R156" s="115">
        <f t="shared" si="28"/>
        <v>155</v>
      </c>
      <c r="S156" s="115">
        <f t="shared" si="29"/>
        <v>0</v>
      </c>
      <c r="T156" s="29" t="str">
        <f>'EE System Designed BOM'!Q156</f>
        <v/>
      </c>
    </row>
    <row r="157" spans="1:20" s="29" customFormat="1" x14ac:dyDescent="0.25">
      <c r="A157" s="40">
        <f t="shared" si="20"/>
        <v>156</v>
      </c>
      <c r="B157" s="34" t="s">
        <v>9624</v>
      </c>
      <c r="C157" s="39" t="str">
        <f>IF('EE System Designed BOM'!E157="","",IF('EE System Designed BOM'!H157="Y","",'EE System Designed BOM'!E157))</f>
        <v/>
      </c>
      <c r="D157" s="79" t="str">
        <f>IF('EE System Designed BOM'!E157="","",IF('EE System Designed BOM'!H157="Y","",'EE System Designed BOM'!E157))</f>
        <v/>
      </c>
      <c r="E157" s="36" t="str">
        <f t="shared" si="21"/>
        <v/>
      </c>
      <c r="F157" s="39">
        <f t="shared" si="22"/>
        <v>0</v>
      </c>
      <c r="G157" s="124" t="s">
        <v>8604</v>
      </c>
      <c r="H157" s="54" t="str">
        <f>IF(D157="","",'START-HERE'!$C$16)</f>
        <v/>
      </c>
      <c r="I157" s="39" t="str">
        <f>VLOOKUP('START-HERE'!$C$17,DATA!$J$3:$K$6,2,FALSE)</f>
        <v>USD</v>
      </c>
      <c r="J157" s="125" t="str">
        <f t="shared" si="23"/>
        <v/>
      </c>
      <c r="K157" s="39" t="str">
        <f t="shared" si="24"/>
        <v/>
      </c>
      <c r="L157" s="39" t="str">
        <f>IF(J157="","",IF('START-HERE'!$C$17="USA",1110,""))</f>
        <v/>
      </c>
      <c r="M157" s="39" t="str">
        <f>VLOOKUP('START-HERE'!$D$20,DATA!$J$9:$K$12,2,FALSE)</f>
        <v>037 US Project (NB)</v>
      </c>
      <c r="N157" s="39">
        <f t="shared" si="25"/>
        <v>0</v>
      </c>
      <c r="O157" s="39" t="str">
        <f t="shared" si="26"/>
        <v/>
      </c>
      <c r="P157" s="126">
        <f t="shared" si="27"/>
        <v>0</v>
      </c>
      <c r="R157" s="115">
        <f t="shared" si="28"/>
        <v>156</v>
      </c>
      <c r="S157" s="115">
        <f t="shared" si="29"/>
        <v>0</v>
      </c>
      <c r="T157" s="29" t="str">
        <f>'EE System Designed BOM'!Q157</f>
        <v/>
      </c>
    </row>
    <row r="158" spans="1:20" s="29" customFormat="1" x14ac:dyDescent="0.25">
      <c r="A158" s="40">
        <f t="shared" si="20"/>
        <v>157</v>
      </c>
      <c r="B158" s="34" t="s">
        <v>9624</v>
      </c>
      <c r="C158" s="39" t="str">
        <f>IF('EE System Designed BOM'!E158="","",IF('EE System Designed BOM'!H158="Y","",'EE System Designed BOM'!E158))</f>
        <v/>
      </c>
      <c r="D158" s="79" t="str">
        <f>IF('EE System Designed BOM'!E158="","",IF('EE System Designed BOM'!H158="Y","",'EE System Designed BOM'!E158))</f>
        <v/>
      </c>
      <c r="E158" s="36" t="str">
        <f t="shared" si="21"/>
        <v/>
      </c>
      <c r="F158" s="39">
        <f t="shared" si="22"/>
        <v>0</v>
      </c>
      <c r="G158" s="124" t="s">
        <v>8604</v>
      </c>
      <c r="H158" s="54" t="str">
        <f>IF(D158="","",'START-HERE'!$C$16)</f>
        <v/>
      </c>
      <c r="I158" s="39" t="str">
        <f>VLOOKUP('START-HERE'!$C$17,DATA!$J$3:$K$6,2,FALSE)</f>
        <v>USD</v>
      </c>
      <c r="J158" s="125" t="str">
        <f t="shared" si="23"/>
        <v/>
      </c>
      <c r="K158" s="39" t="str">
        <f t="shared" si="24"/>
        <v/>
      </c>
      <c r="L158" s="39" t="str">
        <f>IF(J158="","",IF('START-HERE'!$C$17="USA",1110,""))</f>
        <v/>
      </c>
      <c r="M158" s="39" t="str">
        <f>VLOOKUP('START-HERE'!$D$20,DATA!$J$9:$K$12,2,FALSE)</f>
        <v>037 US Project (NB)</v>
      </c>
      <c r="N158" s="39">
        <f t="shared" si="25"/>
        <v>0</v>
      </c>
      <c r="O158" s="39" t="str">
        <f t="shared" si="26"/>
        <v/>
      </c>
      <c r="P158" s="126">
        <f t="shared" si="27"/>
        <v>0</v>
      </c>
      <c r="R158" s="115">
        <f t="shared" si="28"/>
        <v>157</v>
      </c>
      <c r="S158" s="115">
        <f t="shared" si="29"/>
        <v>0</v>
      </c>
      <c r="T158" s="29" t="str">
        <f>'EE System Designed BOM'!Q158</f>
        <v/>
      </c>
    </row>
    <row r="159" spans="1:20" s="29" customFormat="1" x14ac:dyDescent="0.25">
      <c r="A159" s="40">
        <f t="shared" si="20"/>
        <v>158</v>
      </c>
      <c r="B159" s="34" t="s">
        <v>9624</v>
      </c>
      <c r="C159" s="39" t="str">
        <f>IF('EE System Designed BOM'!E159="","",IF('EE System Designed BOM'!H159="Y","",'EE System Designed BOM'!E159))</f>
        <v/>
      </c>
      <c r="D159" s="79" t="str">
        <f>IF('EE System Designed BOM'!E159="","",IF('EE System Designed BOM'!H159="Y","",'EE System Designed BOM'!E159))</f>
        <v/>
      </c>
      <c r="E159" s="36" t="str">
        <f t="shared" si="21"/>
        <v/>
      </c>
      <c r="F159" s="39">
        <f t="shared" si="22"/>
        <v>0</v>
      </c>
      <c r="G159" s="124" t="s">
        <v>8604</v>
      </c>
      <c r="H159" s="54" t="str">
        <f>IF(D159="","",'START-HERE'!$C$16)</f>
        <v/>
      </c>
      <c r="I159" s="39" t="str">
        <f>VLOOKUP('START-HERE'!$C$17,DATA!$J$3:$K$6,2,FALSE)</f>
        <v>USD</v>
      </c>
      <c r="J159" s="125" t="str">
        <f t="shared" si="23"/>
        <v/>
      </c>
      <c r="K159" s="39" t="str">
        <f t="shared" si="24"/>
        <v/>
      </c>
      <c r="L159" s="39" t="str">
        <f>IF(J159="","",IF('START-HERE'!$C$17="USA",1110,""))</f>
        <v/>
      </c>
      <c r="M159" s="39" t="str">
        <f>VLOOKUP('START-HERE'!$D$20,DATA!$J$9:$K$12,2,FALSE)</f>
        <v>037 US Project (NB)</v>
      </c>
      <c r="N159" s="39">
        <f t="shared" si="25"/>
        <v>0</v>
      </c>
      <c r="O159" s="39" t="str">
        <f t="shared" si="26"/>
        <v/>
      </c>
      <c r="P159" s="126">
        <f t="shared" si="27"/>
        <v>0</v>
      </c>
      <c r="Q159" s="84"/>
      <c r="R159" s="115">
        <f t="shared" si="28"/>
        <v>158</v>
      </c>
      <c r="S159" s="115">
        <f t="shared" si="29"/>
        <v>0</v>
      </c>
      <c r="T159" s="29" t="str">
        <f>'EE System Designed BOM'!Q159</f>
        <v/>
      </c>
    </row>
    <row r="160" spans="1:20" s="29" customFormat="1" x14ac:dyDescent="0.25">
      <c r="A160" s="40">
        <f t="shared" si="20"/>
        <v>159</v>
      </c>
      <c r="B160" s="34" t="s">
        <v>9624</v>
      </c>
      <c r="C160" s="39" t="str">
        <f>IF('EE System Designed BOM'!E160="","",IF('EE System Designed BOM'!H160="Y","",'EE System Designed BOM'!E160))</f>
        <v/>
      </c>
      <c r="D160" s="79" t="str">
        <f>IF('EE System Designed BOM'!E160="","",IF('EE System Designed BOM'!H160="Y","",'EE System Designed BOM'!E160))</f>
        <v/>
      </c>
      <c r="E160" s="36" t="str">
        <f t="shared" si="21"/>
        <v/>
      </c>
      <c r="F160" s="39">
        <f t="shared" si="22"/>
        <v>0</v>
      </c>
      <c r="G160" s="124" t="s">
        <v>8604</v>
      </c>
      <c r="H160" s="54" t="str">
        <f>IF(D160="","",'START-HERE'!$C$16)</f>
        <v/>
      </c>
      <c r="I160" s="39" t="str">
        <f>VLOOKUP('START-HERE'!$C$17,DATA!$J$3:$K$6,2,FALSE)</f>
        <v>USD</v>
      </c>
      <c r="J160" s="125" t="str">
        <f t="shared" si="23"/>
        <v/>
      </c>
      <c r="K160" s="39" t="str">
        <f t="shared" si="24"/>
        <v/>
      </c>
      <c r="L160" s="39" t="str">
        <f>IF(J160="","",IF('START-HERE'!$C$17="USA",1110,""))</f>
        <v/>
      </c>
      <c r="M160" s="39" t="str">
        <f>VLOOKUP('START-HERE'!$D$20,DATA!$J$9:$K$12,2,FALSE)</f>
        <v>037 US Project (NB)</v>
      </c>
      <c r="N160" s="39">
        <f t="shared" si="25"/>
        <v>0</v>
      </c>
      <c r="O160" s="39" t="str">
        <f t="shared" si="26"/>
        <v/>
      </c>
      <c r="P160" s="126">
        <f t="shared" si="27"/>
        <v>0</v>
      </c>
      <c r="R160" s="115">
        <f t="shared" si="28"/>
        <v>159</v>
      </c>
      <c r="S160" s="115">
        <f t="shared" si="29"/>
        <v>0</v>
      </c>
      <c r="T160" s="29" t="str">
        <f>'EE System Designed BOM'!Q160</f>
        <v/>
      </c>
    </row>
    <row r="161" spans="1:20" s="29" customFormat="1" x14ac:dyDescent="0.25">
      <c r="A161" s="40">
        <f t="shared" si="20"/>
        <v>160</v>
      </c>
      <c r="B161" s="34" t="s">
        <v>9624</v>
      </c>
      <c r="C161" s="39" t="str">
        <f>IF('EE System Designed BOM'!E161="","",IF('EE System Designed BOM'!H161="Y","",'EE System Designed BOM'!E161))</f>
        <v/>
      </c>
      <c r="D161" s="79" t="str">
        <f>IF('EE System Designed BOM'!E161="","",IF('EE System Designed BOM'!H161="Y","",'EE System Designed BOM'!E161))</f>
        <v/>
      </c>
      <c r="E161" s="36" t="str">
        <f t="shared" si="21"/>
        <v/>
      </c>
      <c r="F161" s="39">
        <f t="shared" si="22"/>
        <v>0</v>
      </c>
      <c r="G161" s="124" t="s">
        <v>8604</v>
      </c>
      <c r="H161" s="54" t="str">
        <f>IF(D161="","",'START-HERE'!$C$16)</f>
        <v/>
      </c>
      <c r="I161" s="39" t="str">
        <f>VLOOKUP('START-HERE'!$C$17,DATA!$J$3:$K$6,2,FALSE)</f>
        <v>USD</v>
      </c>
      <c r="J161" s="125" t="str">
        <f t="shared" si="23"/>
        <v/>
      </c>
      <c r="K161" s="39" t="str">
        <f t="shared" si="24"/>
        <v/>
      </c>
      <c r="L161" s="39" t="str">
        <f>IF(J161="","",IF('START-HERE'!$C$17="USA",1110,""))</f>
        <v/>
      </c>
      <c r="M161" s="39" t="str">
        <f>VLOOKUP('START-HERE'!$D$20,DATA!$J$9:$K$12,2,FALSE)</f>
        <v>037 US Project (NB)</v>
      </c>
      <c r="N161" s="39">
        <f t="shared" si="25"/>
        <v>0</v>
      </c>
      <c r="O161" s="39" t="str">
        <f t="shared" si="26"/>
        <v/>
      </c>
      <c r="P161" s="126">
        <f t="shared" si="27"/>
        <v>0</v>
      </c>
      <c r="R161" s="115">
        <f t="shared" si="28"/>
        <v>160</v>
      </c>
      <c r="S161" s="115">
        <f t="shared" si="29"/>
        <v>0</v>
      </c>
      <c r="T161" s="29" t="str">
        <f>'EE System Designed BOM'!Q161</f>
        <v/>
      </c>
    </row>
    <row r="162" spans="1:20" s="29" customFormat="1" x14ac:dyDescent="0.25">
      <c r="A162" s="40">
        <f t="shared" si="20"/>
        <v>161</v>
      </c>
      <c r="B162" s="34" t="s">
        <v>9624</v>
      </c>
      <c r="C162" s="39" t="str">
        <f>IF('EE System Designed BOM'!E162="","",IF('EE System Designed BOM'!H162="Y","",'EE System Designed BOM'!E162))</f>
        <v/>
      </c>
      <c r="D162" s="79" t="str">
        <f>IF('EE System Designed BOM'!E162="","",IF('EE System Designed BOM'!H162="Y","",'EE System Designed BOM'!E162))</f>
        <v/>
      </c>
      <c r="E162" s="36" t="str">
        <f t="shared" si="21"/>
        <v/>
      </c>
      <c r="F162" s="39">
        <f t="shared" si="22"/>
        <v>0</v>
      </c>
      <c r="G162" s="124" t="s">
        <v>8604</v>
      </c>
      <c r="H162" s="54" t="str">
        <f>IF(D162="","",'START-HERE'!$C$16)</f>
        <v/>
      </c>
      <c r="I162" s="39" t="str">
        <f>VLOOKUP('START-HERE'!$C$17,DATA!$J$3:$K$6,2,FALSE)</f>
        <v>USD</v>
      </c>
      <c r="J162" s="125" t="str">
        <f t="shared" si="23"/>
        <v/>
      </c>
      <c r="K162" s="39" t="str">
        <f t="shared" si="24"/>
        <v/>
      </c>
      <c r="L162" s="39" t="str">
        <f>IF(J162="","",IF('START-HERE'!$C$17="USA",1110,""))</f>
        <v/>
      </c>
      <c r="M162" s="39" t="str">
        <f>VLOOKUP('START-HERE'!$D$20,DATA!$J$9:$K$12,2,FALSE)</f>
        <v>037 US Project (NB)</v>
      </c>
      <c r="N162" s="39">
        <f t="shared" si="25"/>
        <v>0</v>
      </c>
      <c r="O162" s="39" t="str">
        <f t="shared" si="26"/>
        <v/>
      </c>
      <c r="P162" s="126">
        <f t="shared" si="27"/>
        <v>0</v>
      </c>
      <c r="R162" s="115">
        <f t="shared" si="28"/>
        <v>161</v>
      </c>
      <c r="S162" s="115">
        <f t="shared" si="29"/>
        <v>0</v>
      </c>
      <c r="T162" s="29" t="str">
        <f>'EE System Designed BOM'!Q162</f>
        <v/>
      </c>
    </row>
    <row r="163" spans="1:20" s="29" customFormat="1" x14ac:dyDescent="0.25">
      <c r="A163" s="40">
        <f t="shared" si="20"/>
        <v>162</v>
      </c>
      <c r="B163" s="34" t="s">
        <v>9624</v>
      </c>
      <c r="C163" s="39" t="str">
        <f>IF('EE System Designed BOM'!E163="","",IF('EE System Designed BOM'!H163="Y","",'EE System Designed BOM'!E163))</f>
        <v/>
      </c>
      <c r="D163" s="79" t="str">
        <f>IF('EE System Designed BOM'!E163="","",IF('EE System Designed BOM'!H163="Y","",'EE System Designed BOM'!E163))</f>
        <v/>
      </c>
      <c r="E163" s="36" t="str">
        <f t="shared" si="21"/>
        <v/>
      </c>
      <c r="F163" s="39">
        <f t="shared" si="22"/>
        <v>0</v>
      </c>
      <c r="G163" s="124" t="s">
        <v>8604</v>
      </c>
      <c r="H163" s="54" t="str">
        <f>IF(D163="","",'START-HERE'!$C$16)</f>
        <v/>
      </c>
      <c r="I163" s="39" t="str">
        <f>VLOOKUP('START-HERE'!$C$17,DATA!$J$3:$K$6,2,FALSE)</f>
        <v>USD</v>
      </c>
      <c r="J163" s="125" t="str">
        <f t="shared" si="23"/>
        <v/>
      </c>
      <c r="K163" s="39" t="str">
        <f t="shared" si="24"/>
        <v/>
      </c>
      <c r="L163" s="39" t="str">
        <f>IF(J163="","",IF('START-HERE'!$C$17="USA",1110,""))</f>
        <v/>
      </c>
      <c r="M163" s="39" t="str">
        <f>VLOOKUP('START-HERE'!$D$20,DATA!$J$9:$K$12,2,FALSE)</f>
        <v>037 US Project (NB)</v>
      </c>
      <c r="N163" s="39">
        <f t="shared" si="25"/>
        <v>0</v>
      </c>
      <c r="O163" s="39" t="str">
        <f t="shared" si="26"/>
        <v/>
      </c>
      <c r="P163" s="126">
        <f t="shared" si="27"/>
        <v>0</v>
      </c>
      <c r="Q163" s="84"/>
      <c r="R163" s="115">
        <f t="shared" si="28"/>
        <v>162</v>
      </c>
      <c r="S163" s="115">
        <f t="shared" si="29"/>
        <v>0</v>
      </c>
      <c r="T163" s="29" t="str">
        <f>'EE System Designed BOM'!Q163</f>
        <v/>
      </c>
    </row>
    <row r="164" spans="1:20" s="29" customFormat="1" x14ac:dyDescent="0.25">
      <c r="A164" s="40">
        <f t="shared" si="20"/>
        <v>163</v>
      </c>
      <c r="B164" s="34" t="s">
        <v>9624</v>
      </c>
      <c r="C164" s="39" t="str">
        <f>IF('EE System Designed BOM'!E164="","",IF('EE System Designed BOM'!H164="Y","",'EE System Designed BOM'!E164))</f>
        <v/>
      </c>
      <c r="D164" s="79" t="str">
        <f>IF('EE System Designed BOM'!E164="","",IF('EE System Designed BOM'!H164="Y","",'EE System Designed BOM'!E164))</f>
        <v/>
      </c>
      <c r="E164" s="36" t="str">
        <f t="shared" si="21"/>
        <v/>
      </c>
      <c r="F164" s="39">
        <f t="shared" si="22"/>
        <v>0</v>
      </c>
      <c r="G164" s="124" t="s">
        <v>8604</v>
      </c>
      <c r="H164" s="54" t="str">
        <f>IF(D164="","",'START-HERE'!$C$16)</f>
        <v/>
      </c>
      <c r="I164" s="39" t="str">
        <f>VLOOKUP('START-HERE'!$C$17,DATA!$J$3:$K$6,2,FALSE)</f>
        <v>USD</v>
      </c>
      <c r="J164" s="125" t="str">
        <f t="shared" si="23"/>
        <v/>
      </c>
      <c r="K164" s="39" t="str">
        <f t="shared" si="24"/>
        <v/>
      </c>
      <c r="L164" s="39" t="str">
        <f>IF(J164="","",IF('START-HERE'!$C$17="USA",1110,""))</f>
        <v/>
      </c>
      <c r="M164" s="39" t="str">
        <f>VLOOKUP('START-HERE'!$D$20,DATA!$J$9:$K$12,2,FALSE)</f>
        <v>037 US Project (NB)</v>
      </c>
      <c r="N164" s="39">
        <f t="shared" si="25"/>
        <v>0</v>
      </c>
      <c r="O164" s="39" t="str">
        <f t="shared" si="26"/>
        <v/>
      </c>
      <c r="P164" s="126">
        <f t="shared" si="27"/>
        <v>0</v>
      </c>
      <c r="R164" s="115">
        <f t="shared" si="28"/>
        <v>163</v>
      </c>
      <c r="S164" s="115">
        <f t="shared" si="29"/>
        <v>0</v>
      </c>
      <c r="T164" s="29" t="str">
        <f>'EE System Designed BOM'!Q164</f>
        <v/>
      </c>
    </row>
    <row r="165" spans="1:20" s="29" customFormat="1" x14ac:dyDescent="0.25">
      <c r="A165" s="40">
        <f t="shared" si="20"/>
        <v>164</v>
      </c>
      <c r="B165" s="34" t="s">
        <v>9624</v>
      </c>
      <c r="C165" s="39" t="str">
        <f>IF('EE System Designed BOM'!E165="","",IF('EE System Designed BOM'!H165="Y","",'EE System Designed BOM'!E165))</f>
        <v/>
      </c>
      <c r="D165" s="79" t="str">
        <f>IF('EE System Designed BOM'!E165="","",IF('EE System Designed BOM'!H165="Y","",'EE System Designed BOM'!E165))</f>
        <v/>
      </c>
      <c r="E165" s="36" t="str">
        <f t="shared" si="21"/>
        <v/>
      </c>
      <c r="F165" s="39">
        <f t="shared" si="22"/>
        <v>0</v>
      </c>
      <c r="G165" s="124" t="s">
        <v>8604</v>
      </c>
      <c r="H165" s="54" t="str">
        <f>IF(D165="","",'START-HERE'!$C$16)</f>
        <v/>
      </c>
      <c r="I165" s="39" t="str">
        <f>VLOOKUP('START-HERE'!$C$17,DATA!$J$3:$K$6,2,FALSE)</f>
        <v>USD</v>
      </c>
      <c r="J165" s="125" t="str">
        <f t="shared" si="23"/>
        <v/>
      </c>
      <c r="K165" s="39" t="str">
        <f t="shared" si="24"/>
        <v/>
      </c>
      <c r="L165" s="39" t="str">
        <f>IF(J165="","",IF('START-HERE'!$C$17="USA",1110,""))</f>
        <v/>
      </c>
      <c r="M165" s="39" t="str">
        <f>VLOOKUP('START-HERE'!$D$20,DATA!$J$9:$K$12,2,FALSE)</f>
        <v>037 US Project (NB)</v>
      </c>
      <c r="N165" s="39">
        <f t="shared" si="25"/>
        <v>0</v>
      </c>
      <c r="O165" s="39" t="str">
        <f t="shared" si="26"/>
        <v/>
      </c>
      <c r="P165" s="126">
        <f t="shared" si="27"/>
        <v>0</v>
      </c>
      <c r="R165" s="115">
        <f t="shared" si="28"/>
        <v>164</v>
      </c>
      <c r="S165" s="115">
        <f t="shared" si="29"/>
        <v>0</v>
      </c>
      <c r="T165" s="29" t="str">
        <f>'EE System Designed BOM'!Q165</f>
        <v/>
      </c>
    </row>
    <row r="166" spans="1:20" s="29" customFormat="1" x14ac:dyDescent="0.25">
      <c r="A166" s="40">
        <f t="shared" si="20"/>
        <v>165</v>
      </c>
      <c r="B166" s="34" t="s">
        <v>9624</v>
      </c>
      <c r="C166" s="39" t="str">
        <f>IF('EE System Designed BOM'!E166="","",IF('EE System Designed BOM'!H166="Y","",'EE System Designed BOM'!E166))</f>
        <v/>
      </c>
      <c r="D166" s="79" t="str">
        <f>IF('EE System Designed BOM'!E166="","",IF('EE System Designed BOM'!H166="Y","",'EE System Designed BOM'!E166))</f>
        <v/>
      </c>
      <c r="E166" s="36" t="str">
        <f t="shared" si="21"/>
        <v/>
      </c>
      <c r="F166" s="39">
        <f t="shared" si="22"/>
        <v>0</v>
      </c>
      <c r="G166" s="124" t="s">
        <v>8604</v>
      </c>
      <c r="H166" s="54" t="str">
        <f>IF(D166="","",'START-HERE'!$C$16)</f>
        <v/>
      </c>
      <c r="I166" s="39" t="str">
        <f>VLOOKUP('START-HERE'!$C$17,DATA!$J$3:$K$6,2,FALSE)</f>
        <v>USD</v>
      </c>
      <c r="J166" s="125" t="str">
        <f t="shared" si="23"/>
        <v/>
      </c>
      <c r="K166" s="39" t="str">
        <f t="shared" si="24"/>
        <v/>
      </c>
      <c r="L166" s="39" t="str">
        <f>IF(J166="","",IF('START-HERE'!$C$17="USA",1110,""))</f>
        <v/>
      </c>
      <c r="M166" s="39" t="str">
        <f>VLOOKUP('START-HERE'!$D$20,DATA!$J$9:$K$12,2,FALSE)</f>
        <v>037 US Project (NB)</v>
      </c>
      <c r="N166" s="39">
        <f t="shared" si="25"/>
        <v>0</v>
      </c>
      <c r="O166" s="39" t="str">
        <f t="shared" si="26"/>
        <v/>
      </c>
      <c r="P166" s="126">
        <f t="shared" si="27"/>
        <v>0</v>
      </c>
      <c r="R166" s="115">
        <f t="shared" si="28"/>
        <v>165</v>
      </c>
      <c r="S166" s="115">
        <f t="shared" si="29"/>
        <v>0</v>
      </c>
      <c r="T166" s="29" t="str">
        <f>'EE System Designed BOM'!Q166</f>
        <v/>
      </c>
    </row>
    <row r="167" spans="1:20" s="29" customFormat="1" x14ac:dyDescent="0.25">
      <c r="A167" s="40">
        <f t="shared" si="20"/>
        <v>166</v>
      </c>
      <c r="B167" s="34" t="s">
        <v>9624</v>
      </c>
      <c r="C167" s="39" t="str">
        <f>IF('EE System Designed BOM'!E167="","",IF('EE System Designed BOM'!H167="Y","",'EE System Designed BOM'!E167))</f>
        <v/>
      </c>
      <c r="D167" s="79" t="str">
        <f>IF('EE System Designed BOM'!E167="","",IF('EE System Designed BOM'!H167="Y","",'EE System Designed BOM'!E167))</f>
        <v/>
      </c>
      <c r="E167" s="36" t="str">
        <f t="shared" si="21"/>
        <v/>
      </c>
      <c r="F167" s="39">
        <f t="shared" si="22"/>
        <v>0</v>
      </c>
      <c r="G167" s="124" t="s">
        <v>8604</v>
      </c>
      <c r="H167" s="54" t="str">
        <f>IF(D167="","",'START-HERE'!$C$16)</f>
        <v/>
      </c>
      <c r="I167" s="39" t="str">
        <f>VLOOKUP('START-HERE'!$C$17,DATA!$J$3:$K$6,2,FALSE)</f>
        <v>USD</v>
      </c>
      <c r="J167" s="125" t="str">
        <f t="shared" si="23"/>
        <v/>
      </c>
      <c r="K167" s="39" t="str">
        <f t="shared" si="24"/>
        <v/>
      </c>
      <c r="L167" s="39" t="str">
        <f>IF(J167="","",IF('START-HERE'!$C$17="USA",1110,""))</f>
        <v/>
      </c>
      <c r="M167" s="39" t="str">
        <f>VLOOKUP('START-HERE'!$D$20,DATA!$J$9:$K$12,2,FALSE)</f>
        <v>037 US Project (NB)</v>
      </c>
      <c r="N167" s="39">
        <f t="shared" si="25"/>
        <v>0</v>
      </c>
      <c r="O167" s="39" t="str">
        <f t="shared" si="26"/>
        <v/>
      </c>
      <c r="P167" s="126">
        <f t="shared" si="27"/>
        <v>0</v>
      </c>
      <c r="Q167" s="84"/>
      <c r="R167" s="115">
        <f t="shared" si="28"/>
        <v>166</v>
      </c>
      <c r="S167" s="115">
        <f t="shared" si="29"/>
        <v>0</v>
      </c>
      <c r="T167" s="29" t="str">
        <f>'EE System Designed BOM'!Q167</f>
        <v/>
      </c>
    </row>
    <row r="168" spans="1:20" s="29" customFormat="1" x14ac:dyDescent="0.25">
      <c r="A168" s="40">
        <f t="shared" si="20"/>
        <v>167</v>
      </c>
      <c r="B168" s="34" t="s">
        <v>9624</v>
      </c>
      <c r="C168" s="39" t="str">
        <f>IF('EE System Designed BOM'!E168="","",IF('EE System Designed BOM'!H168="Y","",'EE System Designed BOM'!E168))</f>
        <v/>
      </c>
      <c r="D168" s="79" t="str">
        <f>IF('EE System Designed BOM'!E168="","",IF('EE System Designed BOM'!H168="Y","",'EE System Designed BOM'!E168))</f>
        <v/>
      </c>
      <c r="E168" s="36" t="str">
        <f t="shared" si="21"/>
        <v/>
      </c>
      <c r="F168" s="39">
        <f t="shared" si="22"/>
        <v>0</v>
      </c>
      <c r="G168" s="124" t="s">
        <v>8604</v>
      </c>
      <c r="H168" s="54" t="str">
        <f>IF(D168="","",'START-HERE'!$C$16)</f>
        <v/>
      </c>
      <c r="I168" s="39" t="str">
        <f>VLOOKUP('START-HERE'!$C$17,DATA!$J$3:$K$6,2,FALSE)</f>
        <v>USD</v>
      </c>
      <c r="J168" s="125" t="str">
        <f t="shared" si="23"/>
        <v/>
      </c>
      <c r="K168" s="39" t="str">
        <f t="shared" si="24"/>
        <v/>
      </c>
      <c r="L168" s="39" t="str">
        <f>IF(J168="","",IF('START-HERE'!$C$17="USA",1110,""))</f>
        <v/>
      </c>
      <c r="M168" s="39" t="str">
        <f>VLOOKUP('START-HERE'!$D$20,DATA!$J$9:$K$12,2,FALSE)</f>
        <v>037 US Project (NB)</v>
      </c>
      <c r="N168" s="39">
        <f t="shared" si="25"/>
        <v>0</v>
      </c>
      <c r="O168" s="39" t="str">
        <f t="shared" si="26"/>
        <v/>
      </c>
      <c r="P168" s="126">
        <f t="shared" si="27"/>
        <v>0</v>
      </c>
      <c r="R168" s="115">
        <f t="shared" si="28"/>
        <v>167</v>
      </c>
      <c r="S168" s="115">
        <f t="shared" si="29"/>
        <v>0</v>
      </c>
      <c r="T168" s="29" t="str">
        <f>'EE System Designed BOM'!Q168</f>
        <v/>
      </c>
    </row>
    <row r="169" spans="1:20" s="29" customFormat="1" x14ac:dyDescent="0.25">
      <c r="A169" s="40">
        <f t="shared" si="20"/>
        <v>168</v>
      </c>
      <c r="B169" s="34" t="s">
        <v>9624</v>
      </c>
      <c r="C169" s="39" t="str">
        <f>IF('EE System Designed BOM'!E169="","",IF('EE System Designed BOM'!H169="Y","",'EE System Designed BOM'!E169))</f>
        <v/>
      </c>
      <c r="D169" s="79" t="str">
        <f>IF('EE System Designed BOM'!E169="","",IF('EE System Designed BOM'!H169="Y","",'EE System Designed BOM'!E169))</f>
        <v/>
      </c>
      <c r="E169" s="36" t="str">
        <f t="shared" si="21"/>
        <v/>
      </c>
      <c r="F169" s="39">
        <f t="shared" si="22"/>
        <v>0</v>
      </c>
      <c r="G169" s="124" t="s">
        <v>8604</v>
      </c>
      <c r="H169" s="54" t="str">
        <f>IF(D169="","",'START-HERE'!$C$16)</f>
        <v/>
      </c>
      <c r="I169" s="39" t="str">
        <f>VLOOKUP('START-HERE'!$C$17,DATA!$J$3:$K$6,2,FALSE)</f>
        <v>USD</v>
      </c>
      <c r="J169" s="125" t="str">
        <f t="shared" si="23"/>
        <v/>
      </c>
      <c r="K169" s="39" t="str">
        <f t="shared" si="24"/>
        <v/>
      </c>
      <c r="L169" s="39" t="str">
        <f>IF(J169="","",IF('START-HERE'!$C$17="USA",1110,""))</f>
        <v/>
      </c>
      <c r="M169" s="39" t="str">
        <f>VLOOKUP('START-HERE'!$D$20,DATA!$J$9:$K$12,2,FALSE)</f>
        <v>037 US Project (NB)</v>
      </c>
      <c r="N169" s="39">
        <f t="shared" si="25"/>
        <v>0</v>
      </c>
      <c r="O169" s="39" t="str">
        <f t="shared" si="26"/>
        <v/>
      </c>
      <c r="P169" s="126">
        <f t="shared" si="27"/>
        <v>0</v>
      </c>
      <c r="R169" s="115">
        <f t="shared" si="28"/>
        <v>168</v>
      </c>
      <c r="S169" s="115">
        <f t="shared" si="29"/>
        <v>0</v>
      </c>
      <c r="T169" s="29" t="str">
        <f>'EE System Designed BOM'!Q169</f>
        <v/>
      </c>
    </row>
    <row r="170" spans="1:20" s="29" customFormat="1" x14ac:dyDescent="0.25">
      <c r="A170" s="40">
        <f t="shared" si="20"/>
        <v>169</v>
      </c>
      <c r="B170" s="34" t="s">
        <v>9624</v>
      </c>
      <c r="C170" s="39" t="str">
        <f>IF('EE System Designed BOM'!E170="","",IF('EE System Designed BOM'!H170="Y","",'EE System Designed BOM'!E170))</f>
        <v/>
      </c>
      <c r="D170" s="79" t="str">
        <f>IF('EE System Designed BOM'!E170="","",IF('EE System Designed BOM'!H170="Y","",'EE System Designed BOM'!E170))</f>
        <v/>
      </c>
      <c r="E170" s="36" t="str">
        <f t="shared" si="21"/>
        <v/>
      </c>
      <c r="F170" s="39">
        <f t="shared" si="22"/>
        <v>0</v>
      </c>
      <c r="G170" s="124" t="s">
        <v>8604</v>
      </c>
      <c r="H170" s="54" t="str">
        <f>IF(D170="","",'START-HERE'!$C$16)</f>
        <v/>
      </c>
      <c r="I170" s="39" t="str">
        <f>VLOOKUP('START-HERE'!$C$17,DATA!$J$3:$K$6,2,FALSE)</f>
        <v>USD</v>
      </c>
      <c r="J170" s="125" t="str">
        <f t="shared" si="23"/>
        <v/>
      </c>
      <c r="K170" s="39" t="str">
        <f t="shared" si="24"/>
        <v/>
      </c>
      <c r="L170" s="39" t="str">
        <f>IF(J170="","",IF('START-HERE'!$C$17="USA",1110,""))</f>
        <v/>
      </c>
      <c r="M170" s="39" t="str">
        <f>VLOOKUP('START-HERE'!$D$20,DATA!$J$9:$K$12,2,FALSE)</f>
        <v>037 US Project (NB)</v>
      </c>
      <c r="N170" s="39">
        <f t="shared" si="25"/>
        <v>0</v>
      </c>
      <c r="O170" s="39" t="str">
        <f t="shared" si="26"/>
        <v/>
      </c>
      <c r="P170" s="126">
        <f t="shared" si="27"/>
        <v>0</v>
      </c>
      <c r="R170" s="115">
        <f t="shared" si="28"/>
        <v>169</v>
      </c>
      <c r="S170" s="115">
        <f t="shared" si="29"/>
        <v>0</v>
      </c>
      <c r="T170" s="29" t="str">
        <f>'EE System Designed BOM'!Q170</f>
        <v/>
      </c>
    </row>
    <row r="171" spans="1:20" s="29" customFormat="1" x14ac:dyDescent="0.25">
      <c r="A171" s="40">
        <f t="shared" si="20"/>
        <v>170</v>
      </c>
      <c r="B171" s="34" t="s">
        <v>9624</v>
      </c>
      <c r="C171" s="39" t="str">
        <f>IF('EE System Designed BOM'!E171="","",IF('EE System Designed BOM'!H171="Y","",'EE System Designed BOM'!E171))</f>
        <v/>
      </c>
      <c r="D171" s="79" t="str">
        <f>IF('EE System Designed BOM'!E171="","",IF('EE System Designed BOM'!H171="Y","",'EE System Designed BOM'!E171))</f>
        <v/>
      </c>
      <c r="E171" s="36" t="str">
        <f t="shared" si="21"/>
        <v/>
      </c>
      <c r="F171" s="39">
        <f t="shared" si="22"/>
        <v>0</v>
      </c>
      <c r="G171" s="124" t="s">
        <v>8604</v>
      </c>
      <c r="H171" s="54" t="str">
        <f>IF(D171="","",'START-HERE'!$C$16)</f>
        <v/>
      </c>
      <c r="I171" s="39" t="str">
        <f>VLOOKUP('START-HERE'!$C$17,DATA!$J$3:$K$6,2,FALSE)</f>
        <v>USD</v>
      </c>
      <c r="J171" s="125" t="str">
        <f t="shared" si="23"/>
        <v/>
      </c>
      <c r="K171" s="39" t="str">
        <f t="shared" si="24"/>
        <v/>
      </c>
      <c r="L171" s="39" t="str">
        <f>IF(J171="","",IF('START-HERE'!$C$17="USA",1110,""))</f>
        <v/>
      </c>
      <c r="M171" s="39" t="str">
        <f>VLOOKUP('START-HERE'!$D$20,DATA!$J$9:$K$12,2,FALSE)</f>
        <v>037 US Project (NB)</v>
      </c>
      <c r="N171" s="39">
        <f t="shared" si="25"/>
        <v>0</v>
      </c>
      <c r="O171" s="39" t="str">
        <f t="shared" si="26"/>
        <v/>
      </c>
      <c r="P171" s="126">
        <f t="shared" si="27"/>
        <v>0</v>
      </c>
      <c r="Q171" s="84"/>
      <c r="R171" s="115">
        <f t="shared" si="28"/>
        <v>170</v>
      </c>
      <c r="S171" s="115">
        <f t="shared" si="29"/>
        <v>0</v>
      </c>
      <c r="T171" s="29" t="str">
        <f>'EE System Designed BOM'!Q171</f>
        <v/>
      </c>
    </row>
    <row r="172" spans="1:20" s="29" customFormat="1" x14ac:dyDescent="0.25">
      <c r="A172" s="40">
        <f t="shared" si="20"/>
        <v>171</v>
      </c>
      <c r="B172" s="34" t="s">
        <v>9624</v>
      </c>
      <c r="C172" s="39" t="str">
        <f>IF('EE System Designed BOM'!E172="","",IF('EE System Designed BOM'!H172="Y","",'EE System Designed BOM'!E172))</f>
        <v/>
      </c>
      <c r="D172" s="79" t="str">
        <f>IF('EE System Designed BOM'!E172="","",IF('EE System Designed BOM'!H172="Y","",'EE System Designed BOM'!E172))</f>
        <v/>
      </c>
      <c r="E172" s="36" t="str">
        <f t="shared" si="21"/>
        <v/>
      </c>
      <c r="F172" s="39">
        <f t="shared" si="22"/>
        <v>0</v>
      </c>
      <c r="G172" s="124" t="s">
        <v>8604</v>
      </c>
      <c r="H172" s="54" t="str">
        <f>IF(D172="","",'START-HERE'!$C$16)</f>
        <v/>
      </c>
      <c r="I172" s="39" t="str">
        <f>VLOOKUP('START-HERE'!$C$17,DATA!$J$3:$K$6,2,FALSE)</f>
        <v>USD</v>
      </c>
      <c r="J172" s="125" t="str">
        <f t="shared" si="23"/>
        <v/>
      </c>
      <c r="K172" s="39" t="str">
        <f t="shared" si="24"/>
        <v/>
      </c>
      <c r="L172" s="39" t="str">
        <f>IF(J172="","",IF('START-HERE'!$C$17="USA",1110,""))</f>
        <v/>
      </c>
      <c r="M172" s="39" t="str">
        <f>VLOOKUP('START-HERE'!$D$20,DATA!$J$9:$K$12,2,FALSE)</f>
        <v>037 US Project (NB)</v>
      </c>
      <c r="N172" s="39">
        <f t="shared" si="25"/>
        <v>0</v>
      </c>
      <c r="O172" s="39" t="str">
        <f t="shared" si="26"/>
        <v/>
      </c>
      <c r="P172" s="126">
        <f t="shared" si="27"/>
        <v>0</v>
      </c>
      <c r="R172" s="115">
        <f t="shared" si="28"/>
        <v>171</v>
      </c>
      <c r="S172" s="115">
        <f t="shared" si="29"/>
        <v>0</v>
      </c>
      <c r="T172" s="29" t="str">
        <f>'EE System Designed BOM'!Q172</f>
        <v/>
      </c>
    </row>
    <row r="173" spans="1:20" s="29" customFormat="1" x14ac:dyDescent="0.25">
      <c r="A173" s="40">
        <f t="shared" si="20"/>
        <v>172</v>
      </c>
      <c r="B173" s="34" t="s">
        <v>9624</v>
      </c>
      <c r="C173" s="39" t="str">
        <f>IF('EE System Designed BOM'!E173="","",IF('EE System Designed BOM'!H173="Y","",'EE System Designed BOM'!E173))</f>
        <v/>
      </c>
      <c r="D173" s="79" t="str">
        <f>IF('EE System Designed BOM'!E173="","",IF('EE System Designed BOM'!H173="Y","",'EE System Designed BOM'!E173))</f>
        <v/>
      </c>
      <c r="E173" s="36" t="str">
        <f t="shared" si="21"/>
        <v/>
      </c>
      <c r="F173" s="39">
        <f t="shared" si="22"/>
        <v>0</v>
      </c>
      <c r="G173" s="124" t="s">
        <v>8604</v>
      </c>
      <c r="H173" s="54" t="str">
        <f>IF(D173="","",'START-HERE'!$C$16)</f>
        <v/>
      </c>
      <c r="I173" s="39" t="str">
        <f>VLOOKUP('START-HERE'!$C$17,DATA!$J$3:$K$6,2,FALSE)</f>
        <v>USD</v>
      </c>
      <c r="J173" s="125" t="str">
        <f t="shared" si="23"/>
        <v/>
      </c>
      <c r="K173" s="39" t="str">
        <f t="shared" si="24"/>
        <v/>
      </c>
      <c r="L173" s="39" t="str">
        <f>IF(J173="","",IF('START-HERE'!$C$17="USA",1110,""))</f>
        <v/>
      </c>
      <c r="M173" s="39" t="str">
        <f>VLOOKUP('START-HERE'!$D$20,DATA!$J$9:$K$12,2,FALSE)</f>
        <v>037 US Project (NB)</v>
      </c>
      <c r="N173" s="39">
        <f t="shared" si="25"/>
        <v>0</v>
      </c>
      <c r="O173" s="39" t="str">
        <f t="shared" si="26"/>
        <v/>
      </c>
      <c r="P173" s="126">
        <f t="shared" si="27"/>
        <v>0</v>
      </c>
      <c r="R173" s="115">
        <f t="shared" si="28"/>
        <v>172</v>
      </c>
      <c r="S173" s="115">
        <f t="shared" si="29"/>
        <v>0</v>
      </c>
      <c r="T173" s="29" t="str">
        <f>'EE System Designed BOM'!Q173</f>
        <v/>
      </c>
    </row>
    <row r="174" spans="1:20" s="29" customFormat="1" x14ac:dyDescent="0.25">
      <c r="A174" s="40">
        <f t="shared" si="20"/>
        <v>173</v>
      </c>
      <c r="B174" s="34" t="s">
        <v>9624</v>
      </c>
      <c r="C174" s="39" t="str">
        <f>IF('EE System Designed BOM'!E174="","",IF('EE System Designed BOM'!H174="Y","",'EE System Designed BOM'!E174))</f>
        <v/>
      </c>
      <c r="D174" s="79" t="str">
        <f>IF('EE System Designed BOM'!E174="","",IF('EE System Designed BOM'!H174="Y","",'EE System Designed BOM'!E174))</f>
        <v/>
      </c>
      <c r="E174" s="36" t="str">
        <f t="shared" si="21"/>
        <v/>
      </c>
      <c r="F174" s="39">
        <f t="shared" si="22"/>
        <v>0</v>
      </c>
      <c r="G174" s="124" t="s">
        <v>8604</v>
      </c>
      <c r="H174" s="54" t="str">
        <f>IF(D174="","",'START-HERE'!$C$16)</f>
        <v/>
      </c>
      <c r="I174" s="39" t="str">
        <f>VLOOKUP('START-HERE'!$C$17,DATA!$J$3:$K$6,2,FALSE)</f>
        <v>USD</v>
      </c>
      <c r="J174" s="125" t="str">
        <f t="shared" si="23"/>
        <v/>
      </c>
      <c r="K174" s="39" t="str">
        <f t="shared" si="24"/>
        <v/>
      </c>
      <c r="L174" s="39" t="str">
        <f>IF(J174="","",IF('START-HERE'!$C$17="USA",1110,""))</f>
        <v/>
      </c>
      <c r="M174" s="39" t="str">
        <f>VLOOKUP('START-HERE'!$D$20,DATA!$J$9:$K$12,2,FALSE)</f>
        <v>037 US Project (NB)</v>
      </c>
      <c r="N174" s="39">
        <f t="shared" si="25"/>
        <v>0</v>
      </c>
      <c r="O174" s="39" t="str">
        <f t="shared" si="26"/>
        <v/>
      </c>
      <c r="P174" s="126">
        <f t="shared" si="27"/>
        <v>0</v>
      </c>
      <c r="R174" s="115">
        <f t="shared" si="28"/>
        <v>173</v>
      </c>
      <c r="S174" s="115">
        <f t="shared" si="29"/>
        <v>0</v>
      </c>
      <c r="T174" s="29" t="str">
        <f>'EE System Designed BOM'!Q174</f>
        <v/>
      </c>
    </row>
    <row r="175" spans="1:20" s="29" customFormat="1" x14ac:dyDescent="0.25">
      <c r="A175" s="40">
        <f t="shared" si="20"/>
        <v>174</v>
      </c>
      <c r="B175" s="34" t="s">
        <v>9624</v>
      </c>
      <c r="C175" s="39" t="str">
        <f>IF('EE System Designed BOM'!E175="","",IF('EE System Designed BOM'!H175="Y","",'EE System Designed BOM'!E175))</f>
        <v/>
      </c>
      <c r="D175" s="79" t="str">
        <f>IF('EE System Designed BOM'!E175="","",IF('EE System Designed BOM'!H175="Y","",'EE System Designed BOM'!E175))</f>
        <v/>
      </c>
      <c r="E175" s="36" t="str">
        <f t="shared" si="21"/>
        <v/>
      </c>
      <c r="F175" s="39">
        <f t="shared" si="22"/>
        <v>0</v>
      </c>
      <c r="G175" s="124" t="s">
        <v>8604</v>
      </c>
      <c r="H175" s="54" t="str">
        <f>IF(D175="","",'START-HERE'!$C$16)</f>
        <v/>
      </c>
      <c r="I175" s="39" t="str">
        <f>VLOOKUP('START-HERE'!$C$17,DATA!$J$3:$K$6,2,FALSE)</f>
        <v>USD</v>
      </c>
      <c r="J175" s="125" t="str">
        <f t="shared" si="23"/>
        <v/>
      </c>
      <c r="K175" s="39" t="str">
        <f t="shared" si="24"/>
        <v/>
      </c>
      <c r="L175" s="39" t="str">
        <f>IF(J175="","",IF('START-HERE'!$C$17="USA",1110,""))</f>
        <v/>
      </c>
      <c r="M175" s="39" t="str">
        <f>VLOOKUP('START-HERE'!$D$20,DATA!$J$9:$K$12,2,FALSE)</f>
        <v>037 US Project (NB)</v>
      </c>
      <c r="N175" s="39">
        <f t="shared" si="25"/>
        <v>0</v>
      </c>
      <c r="O175" s="39" t="str">
        <f t="shared" si="26"/>
        <v/>
      </c>
      <c r="P175" s="126">
        <f t="shared" si="27"/>
        <v>0</v>
      </c>
      <c r="Q175" s="84"/>
      <c r="R175" s="115">
        <f t="shared" si="28"/>
        <v>174</v>
      </c>
      <c r="S175" s="115">
        <f t="shared" si="29"/>
        <v>0</v>
      </c>
      <c r="T175" s="29" t="str">
        <f>'EE System Designed BOM'!Q175</f>
        <v/>
      </c>
    </row>
    <row r="176" spans="1:20" s="29" customFormat="1" x14ac:dyDescent="0.25">
      <c r="A176" s="40">
        <f t="shared" si="20"/>
        <v>175</v>
      </c>
      <c r="B176" s="34" t="s">
        <v>9624</v>
      </c>
      <c r="C176" s="39" t="str">
        <f>IF('EE System Designed BOM'!E176="","",IF('EE System Designed BOM'!H176="Y","",'EE System Designed BOM'!E176))</f>
        <v/>
      </c>
      <c r="D176" s="79" t="str">
        <f>IF('EE System Designed BOM'!E176="","",IF('EE System Designed BOM'!H176="Y","",'EE System Designed BOM'!E176))</f>
        <v/>
      </c>
      <c r="E176" s="36" t="str">
        <f t="shared" si="21"/>
        <v/>
      </c>
      <c r="F176" s="39">
        <f t="shared" si="22"/>
        <v>0</v>
      </c>
      <c r="G176" s="124" t="s">
        <v>8604</v>
      </c>
      <c r="H176" s="54" t="str">
        <f>IF(D176="","",'START-HERE'!$C$16)</f>
        <v/>
      </c>
      <c r="I176" s="39" t="str">
        <f>VLOOKUP('START-HERE'!$C$17,DATA!$J$3:$K$6,2,FALSE)</f>
        <v>USD</v>
      </c>
      <c r="J176" s="125" t="str">
        <f t="shared" si="23"/>
        <v/>
      </c>
      <c r="K176" s="39" t="str">
        <f t="shared" si="24"/>
        <v/>
      </c>
      <c r="L176" s="39" t="str">
        <f>IF(J176="","",IF('START-HERE'!$C$17="USA",1110,""))</f>
        <v/>
      </c>
      <c r="M176" s="39" t="str">
        <f>VLOOKUP('START-HERE'!$D$20,DATA!$J$9:$K$12,2,FALSE)</f>
        <v>037 US Project (NB)</v>
      </c>
      <c r="N176" s="39">
        <f t="shared" si="25"/>
        <v>0</v>
      </c>
      <c r="O176" s="39" t="str">
        <f t="shared" si="26"/>
        <v/>
      </c>
      <c r="P176" s="126">
        <f t="shared" si="27"/>
        <v>0</v>
      </c>
      <c r="R176" s="115">
        <f t="shared" si="28"/>
        <v>175</v>
      </c>
      <c r="S176" s="115">
        <f t="shared" si="29"/>
        <v>0</v>
      </c>
      <c r="T176" s="29" t="str">
        <f>'EE System Designed BOM'!Q176</f>
        <v/>
      </c>
    </row>
    <row r="177" spans="1:20" s="29" customFormat="1" x14ac:dyDescent="0.25">
      <c r="A177" s="40">
        <f t="shared" si="20"/>
        <v>176</v>
      </c>
      <c r="B177" s="34" t="s">
        <v>9624</v>
      </c>
      <c r="C177" s="39" t="str">
        <f>IF('EE System Designed BOM'!E177="","",IF('EE System Designed BOM'!H177="Y","",'EE System Designed BOM'!E177))</f>
        <v/>
      </c>
      <c r="D177" s="79" t="str">
        <f>IF('EE System Designed BOM'!E177="","",IF('EE System Designed BOM'!H177="Y","",'EE System Designed BOM'!E177))</f>
        <v/>
      </c>
      <c r="E177" s="36" t="str">
        <f t="shared" si="21"/>
        <v/>
      </c>
      <c r="F177" s="39">
        <f t="shared" si="22"/>
        <v>0</v>
      </c>
      <c r="G177" s="124" t="s">
        <v>8604</v>
      </c>
      <c r="H177" s="54" t="str">
        <f>IF(D177="","",'START-HERE'!$C$16)</f>
        <v/>
      </c>
      <c r="I177" s="39" t="str">
        <f>VLOOKUP('START-HERE'!$C$17,DATA!$J$3:$K$6,2,FALSE)</f>
        <v>USD</v>
      </c>
      <c r="J177" s="125" t="str">
        <f t="shared" si="23"/>
        <v/>
      </c>
      <c r="K177" s="39" t="str">
        <f t="shared" si="24"/>
        <v/>
      </c>
      <c r="L177" s="39" t="str">
        <f>IF(J177="","",IF('START-HERE'!$C$17="USA",1110,""))</f>
        <v/>
      </c>
      <c r="M177" s="39" t="str">
        <f>VLOOKUP('START-HERE'!$D$20,DATA!$J$9:$K$12,2,FALSE)</f>
        <v>037 US Project (NB)</v>
      </c>
      <c r="N177" s="39">
        <f t="shared" si="25"/>
        <v>0</v>
      </c>
      <c r="O177" s="39" t="str">
        <f t="shared" si="26"/>
        <v/>
      </c>
      <c r="P177" s="126">
        <f t="shared" si="27"/>
        <v>0</v>
      </c>
      <c r="R177" s="115">
        <f t="shared" si="28"/>
        <v>176</v>
      </c>
      <c r="S177" s="115">
        <f t="shared" si="29"/>
        <v>0</v>
      </c>
      <c r="T177" s="29" t="str">
        <f>'EE System Designed BOM'!Q177</f>
        <v/>
      </c>
    </row>
    <row r="178" spans="1:20" s="29" customFormat="1" x14ac:dyDescent="0.25">
      <c r="A178" s="40">
        <f t="shared" si="20"/>
        <v>177</v>
      </c>
      <c r="B178" s="34" t="s">
        <v>9624</v>
      </c>
      <c r="C178" s="39" t="str">
        <f>IF('EE System Designed BOM'!E178="","",IF('EE System Designed BOM'!H178="Y","",'EE System Designed BOM'!E178))</f>
        <v/>
      </c>
      <c r="D178" s="79" t="str">
        <f>IF('EE System Designed BOM'!E178="","",IF('EE System Designed BOM'!H178="Y","",'EE System Designed BOM'!E178))</f>
        <v/>
      </c>
      <c r="E178" s="36" t="str">
        <f t="shared" si="21"/>
        <v/>
      </c>
      <c r="F178" s="39">
        <f t="shared" si="22"/>
        <v>0</v>
      </c>
      <c r="G178" s="124" t="s">
        <v>8604</v>
      </c>
      <c r="H178" s="54" t="str">
        <f>IF(D178="","",'START-HERE'!$C$16)</f>
        <v/>
      </c>
      <c r="I178" s="39" t="str">
        <f>VLOOKUP('START-HERE'!$C$17,DATA!$J$3:$K$6,2,FALSE)</f>
        <v>USD</v>
      </c>
      <c r="J178" s="125" t="str">
        <f t="shared" si="23"/>
        <v/>
      </c>
      <c r="K178" s="39" t="str">
        <f t="shared" si="24"/>
        <v/>
      </c>
      <c r="L178" s="39" t="str">
        <f>IF(J178="","",IF('START-HERE'!$C$17="USA",1110,""))</f>
        <v/>
      </c>
      <c r="M178" s="39" t="str">
        <f>VLOOKUP('START-HERE'!$D$20,DATA!$J$9:$K$12,2,FALSE)</f>
        <v>037 US Project (NB)</v>
      </c>
      <c r="N178" s="39">
        <f t="shared" si="25"/>
        <v>0</v>
      </c>
      <c r="O178" s="39" t="str">
        <f t="shared" si="26"/>
        <v/>
      </c>
      <c r="P178" s="126">
        <f t="shared" si="27"/>
        <v>0</v>
      </c>
      <c r="R178" s="115">
        <f t="shared" si="28"/>
        <v>177</v>
      </c>
      <c r="S178" s="115">
        <f t="shared" si="29"/>
        <v>0</v>
      </c>
      <c r="T178" s="29" t="str">
        <f>'EE System Designed BOM'!Q178</f>
        <v/>
      </c>
    </row>
    <row r="179" spans="1:20" s="29" customFormat="1" x14ac:dyDescent="0.25">
      <c r="A179" s="40">
        <f t="shared" si="20"/>
        <v>178</v>
      </c>
      <c r="B179" s="34" t="s">
        <v>9624</v>
      </c>
      <c r="C179" s="39" t="str">
        <f>IF('EE System Designed BOM'!E179="","",IF('EE System Designed BOM'!H179="Y","",'EE System Designed BOM'!E179))</f>
        <v/>
      </c>
      <c r="D179" s="79" t="str">
        <f>IF('EE System Designed BOM'!E179="","",IF('EE System Designed BOM'!H179="Y","",'EE System Designed BOM'!E179))</f>
        <v/>
      </c>
      <c r="E179" s="36" t="str">
        <f t="shared" si="21"/>
        <v/>
      </c>
      <c r="F179" s="39">
        <f t="shared" si="22"/>
        <v>0</v>
      </c>
      <c r="G179" s="124" t="s">
        <v>8604</v>
      </c>
      <c r="H179" s="54" t="str">
        <f>IF(D179="","",'START-HERE'!$C$16)</f>
        <v/>
      </c>
      <c r="I179" s="39" t="str">
        <f>VLOOKUP('START-HERE'!$C$17,DATA!$J$3:$K$6,2,FALSE)</f>
        <v>USD</v>
      </c>
      <c r="J179" s="125" t="str">
        <f t="shared" si="23"/>
        <v/>
      </c>
      <c r="K179" s="39" t="str">
        <f t="shared" si="24"/>
        <v/>
      </c>
      <c r="L179" s="39" t="str">
        <f>IF(J179="","",IF('START-HERE'!$C$17="USA",1110,""))</f>
        <v/>
      </c>
      <c r="M179" s="39" t="str">
        <f>VLOOKUP('START-HERE'!$D$20,DATA!$J$9:$K$12,2,FALSE)</f>
        <v>037 US Project (NB)</v>
      </c>
      <c r="N179" s="39">
        <f t="shared" si="25"/>
        <v>0</v>
      </c>
      <c r="O179" s="39" t="str">
        <f t="shared" si="26"/>
        <v/>
      </c>
      <c r="P179" s="126">
        <f t="shared" si="27"/>
        <v>0</v>
      </c>
      <c r="Q179" s="84"/>
      <c r="R179" s="115">
        <f t="shared" si="28"/>
        <v>178</v>
      </c>
      <c r="S179" s="115">
        <f t="shared" si="29"/>
        <v>0</v>
      </c>
      <c r="T179" s="29" t="str">
        <f>'EE System Designed BOM'!Q179</f>
        <v/>
      </c>
    </row>
    <row r="180" spans="1:20" s="29" customFormat="1" x14ac:dyDescent="0.25">
      <c r="A180" s="40">
        <f t="shared" si="20"/>
        <v>179</v>
      </c>
      <c r="B180" s="34" t="s">
        <v>9624</v>
      </c>
      <c r="C180" s="39" t="str">
        <f>IF('EE System Designed BOM'!E180="","",IF('EE System Designed BOM'!H180="Y","",'EE System Designed BOM'!E180))</f>
        <v/>
      </c>
      <c r="D180" s="79" t="str">
        <f>IF('EE System Designed BOM'!E180="","",IF('EE System Designed BOM'!H180="Y","",'EE System Designed BOM'!E180))</f>
        <v/>
      </c>
      <c r="E180" s="36" t="str">
        <f t="shared" si="21"/>
        <v/>
      </c>
      <c r="F180" s="39">
        <f t="shared" si="22"/>
        <v>0</v>
      </c>
      <c r="G180" s="124" t="s">
        <v>8604</v>
      </c>
      <c r="H180" s="54" t="str">
        <f>IF(D180="","",'START-HERE'!$C$16)</f>
        <v/>
      </c>
      <c r="I180" s="39" t="str">
        <f>VLOOKUP('START-HERE'!$C$17,DATA!$J$3:$K$6,2,FALSE)</f>
        <v>USD</v>
      </c>
      <c r="J180" s="125" t="str">
        <f t="shared" si="23"/>
        <v/>
      </c>
      <c r="K180" s="39" t="str">
        <f t="shared" si="24"/>
        <v/>
      </c>
      <c r="L180" s="39" t="str">
        <f>IF(J180="","",IF('START-HERE'!$C$17="USA",1110,""))</f>
        <v/>
      </c>
      <c r="M180" s="39" t="str">
        <f>VLOOKUP('START-HERE'!$D$20,DATA!$J$9:$K$12,2,FALSE)</f>
        <v>037 US Project (NB)</v>
      </c>
      <c r="N180" s="39">
        <f t="shared" si="25"/>
        <v>0</v>
      </c>
      <c r="O180" s="39" t="str">
        <f t="shared" si="26"/>
        <v/>
      </c>
      <c r="P180" s="126">
        <f t="shared" si="27"/>
        <v>0</v>
      </c>
      <c r="R180" s="115">
        <f t="shared" si="28"/>
        <v>179</v>
      </c>
      <c r="S180" s="115">
        <f t="shared" si="29"/>
        <v>0</v>
      </c>
      <c r="T180" s="29" t="str">
        <f>'EE System Designed BOM'!Q180</f>
        <v/>
      </c>
    </row>
    <row r="181" spans="1:20" s="29" customFormat="1" x14ac:dyDescent="0.25">
      <c r="A181" s="40">
        <f t="shared" si="20"/>
        <v>180</v>
      </c>
      <c r="B181" s="34" t="s">
        <v>9624</v>
      </c>
      <c r="C181" s="39" t="str">
        <f>IF('EE System Designed BOM'!E181="","",IF('EE System Designed BOM'!H181="Y","",'EE System Designed BOM'!E181))</f>
        <v/>
      </c>
      <c r="D181" s="79" t="str">
        <f>IF('EE System Designed BOM'!E181="","",IF('EE System Designed BOM'!H181="Y","",'EE System Designed BOM'!E181))</f>
        <v/>
      </c>
      <c r="E181" s="36" t="str">
        <f t="shared" si="21"/>
        <v/>
      </c>
      <c r="F181" s="39">
        <f t="shared" si="22"/>
        <v>0</v>
      </c>
      <c r="G181" s="124" t="s">
        <v>8604</v>
      </c>
      <c r="H181" s="54" t="str">
        <f>IF(D181="","",'START-HERE'!$C$16)</f>
        <v/>
      </c>
      <c r="I181" s="39" t="str">
        <f>VLOOKUP('START-HERE'!$C$17,DATA!$J$3:$K$6,2,FALSE)</f>
        <v>USD</v>
      </c>
      <c r="J181" s="125" t="str">
        <f t="shared" si="23"/>
        <v/>
      </c>
      <c r="K181" s="39" t="str">
        <f t="shared" si="24"/>
        <v/>
      </c>
      <c r="L181" s="39" t="str">
        <f>IF(J181="","",IF('START-HERE'!$C$17="USA",1110,""))</f>
        <v/>
      </c>
      <c r="M181" s="39" t="str">
        <f>VLOOKUP('START-HERE'!$D$20,DATA!$J$9:$K$12,2,FALSE)</f>
        <v>037 US Project (NB)</v>
      </c>
      <c r="N181" s="39">
        <f t="shared" si="25"/>
        <v>0</v>
      </c>
      <c r="O181" s="39" t="str">
        <f t="shared" si="26"/>
        <v/>
      </c>
      <c r="P181" s="126">
        <f t="shared" si="27"/>
        <v>0</v>
      </c>
      <c r="R181" s="115">
        <f t="shared" si="28"/>
        <v>180</v>
      </c>
      <c r="S181" s="115">
        <f t="shared" si="29"/>
        <v>0</v>
      </c>
      <c r="T181" s="29" t="str">
        <f>'EE System Designed BOM'!Q181</f>
        <v/>
      </c>
    </row>
    <row r="182" spans="1:20" s="29" customFormat="1" x14ac:dyDescent="0.25">
      <c r="A182" s="40">
        <f t="shared" si="20"/>
        <v>181</v>
      </c>
      <c r="B182" s="34" t="s">
        <v>9624</v>
      </c>
      <c r="C182" s="39" t="str">
        <f>IF('EE System Designed BOM'!E182="","",IF('EE System Designed BOM'!H182="Y","",'EE System Designed BOM'!E182))</f>
        <v/>
      </c>
      <c r="D182" s="79" t="str">
        <f>IF('EE System Designed BOM'!E182="","",IF('EE System Designed BOM'!H182="Y","",'EE System Designed BOM'!E182))</f>
        <v/>
      </c>
      <c r="E182" s="36" t="str">
        <f t="shared" si="21"/>
        <v/>
      </c>
      <c r="F182" s="39">
        <f t="shared" si="22"/>
        <v>0</v>
      </c>
      <c r="G182" s="124" t="s">
        <v>8604</v>
      </c>
      <c r="H182" s="54" t="str">
        <f>IF(D182="","",'START-HERE'!$C$16)</f>
        <v/>
      </c>
      <c r="I182" s="39" t="str">
        <f>VLOOKUP('START-HERE'!$C$17,DATA!$J$3:$K$6,2,FALSE)</f>
        <v>USD</v>
      </c>
      <c r="J182" s="125" t="str">
        <f t="shared" si="23"/>
        <v/>
      </c>
      <c r="K182" s="39" t="str">
        <f t="shared" si="24"/>
        <v/>
      </c>
      <c r="L182" s="39" t="str">
        <f>IF(J182="","",IF('START-HERE'!$C$17="USA",1110,""))</f>
        <v/>
      </c>
      <c r="M182" s="39" t="str">
        <f>VLOOKUP('START-HERE'!$D$20,DATA!$J$9:$K$12,2,FALSE)</f>
        <v>037 US Project (NB)</v>
      </c>
      <c r="N182" s="39">
        <f t="shared" si="25"/>
        <v>0</v>
      </c>
      <c r="O182" s="39" t="str">
        <f t="shared" si="26"/>
        <v/>
      </c>
      <c r="P182" s="126">
        <f t="shared" si="27"/>
        <v>0</v>
      </c>
      <c r="R182" s="115">
        <f t="shared" si="28"/>
        <v>181</v>
      </c>
      <c r="S182" s="115">
        <f t="shared" si="29"/>
        <v>0</v>
      </c>
      <c r="T182" s="29" t="str">
        <f>'EE System Designed BOM'!Q182</f>
        <v/>
      </c>
    </row>
    <row r="183" spans="1:20" s="29" customFormat="1" x14ac:dyDescent="0.25">
      <c r="A183" s="40">
        <f t="shared" si="20"/>
        <v>182</v>
      </c>
      <c r="B183" s="34" t="s">
        <v>9624</v>
      </c>
      <c r="C183" s="39" t="str">
        <f>IF('EE System Designed BOM'!E183="","",IF('EE System Designed BOM'!H183="Y","",'EE System Designed BOM'!E183))</f>
        <v/>
      </c>
      <c r="D183" s="79" t="str">
        <f>IF('EE System Designed BOM'!E183="","",IF('EE System Designed BOM'!H183="Y","",'EE System Designed BOM'!E183))</f>
        <v/>
      </c>
      <c r="E183" s="36" t="str">
        <f t="shared" si="21"/>
        <v/>
      </c>
      <c r="F183" s="39">
        <f t="shared" si="22"/>
        <v>0</v>
      </c>
      <c r="G183" s="124" t="s">
        <v>8604</v>
      </c>
      <c r="H183" s="54" t="str">
        <f>IF(D183="","",'START-HERE'!$C$16)</f>
        <v/>
      </c>
      <c r="I183" s="39" t="str">
        <f>VLOOKUP('START-HERE'!$C$17,DATA!$J$3:$K$6,2,FALSE)</f>
        <v>USD</v>
      </c>
      <c r="J183" s="125" t="str">
        <f t="shared" si="23"/>
        <v/>
      </c>
      <c r="K183" s="39" t="str">
        <f t="shared" si="24"/>
        <v/>
      </c>
      <c r="L183" s="39" t="str">
        <f>IF(J183="","",IF('START-HERE'!$C$17="USA",1110,""))</f>
        <v/>
      </c>
      <c r="M183" s="39" t="str">
        <f>VLOOKUP('START-HERE'!$D$20,DATA!$J$9:$K$12,2,FALSE)</f>
        <v>037 US Project (NB)</v>
      </c>
      <c r="N183" s="39">
        <f t="shared" si="25"/>
        <v>0</v>
      </c>
      <c r="O183" s="39" t="str">
        <f t="shared" si="26"/>
        <v/>
      </c>
      <c r="P183" s="126">
        <f t="shared" si="27"/>
        <v>0</v>
      </c>
      <c r="Q183" s="84"/>
      <c r="R183" s="115">
        <f t="shared" si="28"/>
        <v>182</v>
      </c>
      <c r="S183" s="115">
        <f t="shared" si="29"/>
        <v>0</v>
      </c>
      <c r="T183" s="29" t="str">
        <f>'EE System Designed BOM'!Q183</f>
        <v/>
      </c>
    </row>
    <row r="184" spans="1:20" s="29" customFormat="1" x14ac:dyDescent="0.25">
      <c r="A184" s="40">
        <f t="shared" si="20"/>
        <v>183</v>
      </c>
      <c r="B184" s="34" t="s">
        <v>9624</v>
      </c>
      <c r="C184" s="39" t="str">
        <f>IF('EE System Designed BOM'!E184="","",IF('EE System Designed BOM'!H184="Y","",'EE System Designed BOM'!E184))</f>
        <v/>
      </c>
      <c r="D184" s="79" t="str">
        <f>IF('EE System Designed BOM'!E184="","",IF('EE System Designed BOM'!H184="Y","",'EE System Designed BOM'!E184))</f>
        <v/>
      </c>
      <c r="E184" s="36" t="str">
        <f t="shared" si="21"/>
        <v/>
      </c>
      <c r="F184" s="39">
        <f t="shared" si="22"/>
        <v>0</v>
      </c>
      <c r="G184" s="124" t="s">
        <v>8604</v>
      </c>
      <c r="H184" s="54" t="str">
        <f>IF(D184="","",'START-HERE'!$C$16)</f>
        <v/>
      </c>
      <c r="I184" s="39" t="str">
        <f>VLOOKUP('START-HERE'!$C$17,DATA!$J$3:$K$6,2,FALSE)</f>
        <v>USD</v>
      </c>
      <c r="J184" s="125" t="str">
        <f t="shared" si="23"/>
        <v/>
      </c>
      <c r="K184" s="39" t="str">
        <f t="shared" si="24"/>
        <v/>
      </c>
      <c r="L184" s="39" t="str">
        <f>IF(J184="","",IF('START-HERE'!$C$17="USA",1110,""))</f>
        <v/>
      </c>
      <c r="M184" s="39" t="str">
        <f>VLOOKUP('START-HERE'!$D$20,DATA!$J$9:$K$12,2,FALSE)</f>
        <v>037 US Project (NB)</v>
      </c>
      <c r="N184" s="39">
        <f t="shared" si="25"/>
        <v>0</v>
      </c>
      <c r="O184" s="39" t="str">
        <f t="shared" si="26"/>
        <v/>
      </c>
      <c r="P184" s="126">
        <f t="shared" si="27"/>
        <v>0</v>
      </c>
      <c r="R184" s="115">
        <f t="shared" si="28"/>
        <v>183</v>
      </c>
      <c r="S184" s="115">
        <f t="shared" si="29"/>
        <v>0</v>
      </c>
      <c r="T184" s="29" t="str">
        <f>'EE System Designed BOM'!Q184</f>
        <v/>
      </c>
    </row>
    <row r="185" spans="1:20" s="29" customFormat="1" x14ac:dyDescent="0.25">
      <c r="A185" s="40">
        <f t="shared" si="20"/>
        <v>184</v>
      </c>
      <c r="B185" s="34" t="s">
        <v>9624</v>
      </c>
      <c r="C185" s="39" t="str">
        <f>IF('EE System Designed BOM'!E185="","",IF('EE System Designed BOM'!H185="Y","",'EE System Designed BOM'!E185))</f>
        <v/>
      </c>
      <c r="D185" s="79" t="str">
        <f>IF('EE System Designed BOM'!E185="","",IF('EE System Designed BOM'!H185="Y","",'EE System Designed BOM'!E185))</f>
        <v/>
      </c>
      <c r="E185" s="36" t="str">
        <f t="shared" si="21"/>
        <v/>
      </c>
      <c r="F185" s="39">
        <f t="shared" si="22"/>
        <v>0</v>
      </c>
      <c r="G185" s="124" t="s">
        <v>8604</v>
      </c>
      <c r="H185" s="54" t="str">
        <f>IF(D185="","",'START-HERE'!$C$16)</f>
        <v/>
      </c>
      <c r="I185" s="39" t="str">
        <f>VLOOKUP('START-HERE'!$C$17,DATA!$J$3:$K$6,2,FALSE)</f>
        <v>USD</v>
      </c>
      <c r="J185" s="125" t="str">
        <f t="shared" si="23"/>
        <v/>
      </c>
      <c r="K185" s="39" t="str">
        <f t="shared" si="24"/>
        <v/>
      </c>
      <c r="L185" s="39" t="str">
        <f>IF(J185="","",IF('START-HERE'!$C$17="USA",1110,""))</f>
        <v/>
      </c>
      <c r="M185" s="39" t="str">
        <f>VLOOKUP('START-HERE'!$D$20,DATA!$J$9:$K$12,2,FALSE)</f>
        <v>037 US Project (NB)</v>
      </c>
      <c r="N185" s="39">
        <f t="shared" si="25"/>
        <v>0</v>
      </c>
      <c r="O185" s="39" t="str">
        <f t="shared" si="26"/>
        <v/>
      </c>
      <c r="P185" s="126">
        <f t="shared" si="27"/>
        <v>0</v>
      </c>
      <c r="R185" s="115">
        <f t="shared" si="28"/>
        <v>184</v>
      </c>
      <c r="S185" s="115">
        <f t="shared" si="29"/>
        <v>0</v>
      </c>
      <c r="T185" s="29" t="str">
        <f>'EE System Designed BOM'!Q185</f>
        <v/>
      </c>
    </row>
    <row r="186" spans="1:20" s="29" customFormat="1" x14ac:dyDescent="0.25">
      <c r="A186" s="40">
        <f t="shared" si="20"/>
        <v>185</v>
      </c>
      <c r="B186" s="34" t="s">
        <v>9624</v>
      </c>
      <c r="C186" s="39" t="str">
        <f>IF('EE System Designed BOM'!E186="","",IF('EE System Designed BOM'!H186="Y","",'EE System Designed BOM'!E186))</f>
        <v/>
      </c>
      <c r="D186" s="79" t="str">
        <f>IF('EE System Designed BOM'!E186="","",IF('EE System Designed BOM'!H186="Y","",'EE System Designed BOM'!E186))</f>
        <v/>
      </c>
      <c r="E186" s="36" t="str">
        <f t="shared" si="21"/>
        <v/>
      </c>
      <c r="F186" s="39">
        <f t="shared" si="22"/>
        <v>0</v>
      </c>
      <c r="G186" s="124" t="s">
        <v>8604</v>
      </c>
      <c r="H186" s="54" t="str">
        <f>IF(D186="","",'START-HERE'!$C$16)</f>
        <v/>
      </c>
      <c r="I186" s="39" t="str">
        <f>VLOOKUP('START-HERE'!$C$17,DATA!$J$3:$K$6,2,FALSE)</f>
        <v>USD</v>
      </c>
      <c r="J186" s="125" t="str">
        <f t="shared" si="23"/>
        <v/>
      </c>
      <c r="K186" s="39" t="str">
        <f t="shared" si="24"/>
        <v/>
      </c>
      <c r="L186" s="39" t="str">
        <f>IF(J186="","",IF('START-HERE'!$C$17="USA",1110,""))</f>
        <v/>
      </c>
      <c r="M186" s="39" t="str">
        <f>VLOOKUP('START-HERE'!$D$20,DATA!$J$9:$K$12,2,FALSE)</f>
        <v>037 US Project (NB)</v>
      </c>
      <c r="N186" s="39">
        <f t="shared" si="25"/>
        <v>0</v>
      </c>
      <c r="O186" s="39" t="str">
        <f t="shared" si="26"/>
        <v/>
      </c>
      <c r="P186" s="126">
        <f t="shared" si="27"/>
        <v>0</v>
      </c>
      <c r="R186" s="115">
        <f t="shared" si="28"/>
        <v>185</v>
      </c>
      <c r="S186" s="115">
        <f t="shared" si="29"/>
        <v>0</v>
      </c>
      <c r="T186" s="29" t="str">
        <f>'EE System Designed BOM'!Q186</f>
        <v/>
      </c>
    </row>
    <row r="187" spans="1:20" s="29" customFormat="1" x14ac:dyDescent="0.25">
      <c r="A187" s="40">
        <f t="shared" si="20"/>
        <v>186</v>
      </c>
      <c r="B187" s="34" t="s">
        <v>9624</v>
      </c>
      <c r="C187" s="39" t="str">
        <f>IF('EE System Designed BOM'!E187="","",IF('EE System Designed BOM'!H187="Y","",'EE System Designed BOM'!E187))</f>
        <v/>
      </c>
      <c r="D187" s="79" t="str">
        <f>IF('EE System Designed BOM'!E187="","",IF('EE System Designed BOM'!H187="Y","",'EE System Designed BOM'!E187))</f>
        <v/>
      </c>
      <c r="E187" s="36" t="str">
        <f t="shared" si="21"/>
        <v/>
      </c>
      <c r="F187" s="39">
        <f t="shared" si="22"/>
        <v>0</v>
      </c>
      <c r="G187" s="124" t="s">
        <v>8604</v>
      </c>
      <c r="H187" s="54" t="str">
        <f>IF(D187="","",'START-HERE'!$C$16)</f>
        <v/>
      </c>
      <c r="I187" s="39" t="str">
        <f>VLOOKUP('START-HERE'!$C$17,DATA!$J$3:$K$6,2,FALSE)</f>
        <v>USD</v>
      </c>
      <c r="J187" s="125" t="str">
        <f t="shared" si="23"/>
        <v/>
      </c>
      <c r="K187" s="39" t="str">
        <f t="shared" si="24"/>
        <v/>
      </c>
      <c r="L187" s="39" t="str">
        <f>IF(J187="","",IF('START-HERE'!$C$17="USA",1110,""))</f>
        <v/>
      </c>
      <c r="M187" s="39" t="str">
        <f>VLOOKUP('START-HERE'!$D$20,DATA!$J$9:$K$12,2,FALSE)</f>
        <v>037 US Project (NB)</v>
      </c>
      <c r="N187" s="39">
        <f t="shared" si="25"/>
        <v>0</v>
      </c>
      <c r="O187" s="39" t="str">
        <f t="shared" si="26"/>
        <v/>
      </c>
      <c r="P187" s="126">
        <f t="shared" si="27"/>
        <v>0</v>
      </c>
      <c r="Q187" s="84"/>
      <c r="R187" s="115">
        <f t="shared" si="28"/>
        <v>186</v>
      </c>
      <c r="S187" s="115">
        <f t="shared" si="29"/>
        <v>0</v>
      </c>
      <c r="T187" s="29" t="str">
        <f>'EE System Designed BOM'!Q187</f>
        <v/>
      </c>
    </row>
    <row r="188" spans="1:20" s="29" customFormat="1" x14ac:dyDescent="0.25">
      <c r="A188" s="40">
        <f t="shared" si="20"/>
        <v>187</v>
      </c>
      <c r="B188" s="34" t="s">
        <v>9624</v>
      </c>
      <c r="C188" s="39" t="str">
        <f>IF('EE System Designed BOM'!E188="","",IF('EE System Designed BOM'!H188="Y","",'EE System Designed BOM'!E188))</f>
        <v/>
      </c>
      <c r="D188" s="79" t="str">
        <f>IF('EE System Designed BOM'!E188="","",IF('EE System Designed BOM'!H188="Y","",'EE System Designed BOM'!E188))</f>
        <v/>
      </c>
      <c r="E188" s="36" t="str">
        <f t="shared" si="21"/>
        <v/>
      </c>
      <c r="F188" s="39">
        <f t="shared" si="22"/>
        <v>0</v>
      </c>
      <c r="G188" s="124" t="s">
        <v>8604</v>
      </c>
      <c r="H188" s="54" t="str">
        <f>IF(D188="","",'START-HERE'!$C$16)</f>
        <v/>
      </c>
      <c r="I188" s="39" t="str">
        <f>VLOOKUP('START-HERE'!$C$17,DATA!$J$3:$K$6,2,FALSE)</f>
        <v>USD</v>
      </c>
      <c r="J188" s="125" t="str">
        <f t="shared" si="23"/>
        <v/>
      </c>
      <c r="K188" s="39" t="str">
        <f t="shared" si="24"/>
        <v/>
      </c>
      <c r="L188" s="39" t="str">
        <f>IF(J188="","",IF('START-HERE'!$C$17="USA",1110,""))</f>
        <v/>
      </c>
      <c r="M188" s="39" t="str">
        <f>VLOOKUP('START-HERE'!$D$20,DATA!$J$9:$K$12,2,FALSE)</f>
        <v>037 US Project (NB)</v>
      </c>
      <c r="N188" s="39">
        <f t="shared" si="25"/>
        <v>0</v>
      </c>
      <c r="O188" s="39" t="str">
        <f t="shared" si="26"/>
        <v/>
      </c>
      <c r="P188" s="126">
        <f t="shared" si="27"/>
        <v>0</v>
      </c>
      <c r="R188" s="115">
        <f t="shared" si="28"/>
        <v>187</v>
      </c>
      <c r="S188" s="115">
        <f t="shared" si="29"/>
        <v>0</v>
      </c>
      <c r="T188" s="29" t="str">
        <f>'EE System Designed BOM'!Q188</f>
        <v/>
      </c>
    </row>
    <row r="189" spans="1:20" s="29" customFormat="1" x14ac:dyDescent="0.25">
      <c r="A189" s="40">
        <f t="shared" si="20"/>
        <v>188</v>
      </c>
      <c r="B189" s="34" t="s">
        <v>9624</v>
      </c>
      <c r="C189" s="39" t="str">
        <f>IF('EE System Designed BOM'!E189="","",IF('EE System Designed BOM'!H189="Y","",'EE System Designed BOM'!E189))</f>
        <v/>
      </c>
      <c r="D189" s="79" t="str">
        <f>IF('EE System Designed BOM'!E189="","",IF('EE System Designed BOM'!H189="Y","",'EE System Designed BOM'!E189))</f>
        <v/>
      </c>
      <c r="E189" s="36" t="str">
        <f t="shared" si="21"/>
        <v/>
      </c>
      <c r="F189" s="39">
        <f t="shared" si="22"/>
        <v>0</v>
      </c>
      <c r="G189" s="124" t="s">
        <v>8604</v>
      </c>
      <c r="H189" s="54" t="str">
        <f>IF(D189="","",'START-HERE'!$C$16)</f>
        <v/>
      </c>
      <c r="I189" s="39" t="str">
        <f>VLOOKUP('START-HERE'!$C$17,DATA!$J$3:$K$6,2,FALSE)</f>
        <v>USD</v>
      </c>
      <c r="J189" s="125" t="str">
        <f t="shared" si="23"/>
        <v/>
      </c>
      <c r="K189" s="39" t="str">
        <f t="shared" si="24"/>
        <v/>
      </c>
      <c r="L189" s="39" t="str">
        <f>IF(J189="","",IF('START-HERE'!$C$17="USA",1110,""))</f>
        <v/>
      </c>
      <c r="M189" s="39" t="str">
        <f>VLOOKUP('START-HERE'!$D$20,DATA!$J$9:$K$12,2,FALSE)</f>
        <v>037 US Project (NB)</v>
      </c>
      <c r="N189" s="39">
        <f t="shared" si="25"/>
        <v>0</v>
      </c>
      <c r="O189" s="39" t="str">
        <f t="shared" si="26"/>
        <v/>
      </c>
      <c r="P189" s="126">
        <f t="shared" si="27"/>
        <v>0</v>
      </c>
      <c r="R189" s="115">
        <f t="shared" si="28"/>
        <v>188</v>
      </c>
      <c r="S189" s="115">
        <f t="shared" si="29"/>
        <v>0</v>
      </c>
      <c r="T189" s="29" t="str">
        <f>'EE System Designed BOM'!Q189</f>
        <v/>
      </c>
    </row>
    <row r="190" spans="1:20" s="29" customFormat="1" x14ac:dyDescent="0.25">
      <c r="A190" s="40">
        <f t="shared" si="20"/>
        <v>189</v>
      </c>
      <c r="B190" s="34" t="s">
        <v>9624</v>
      </c>
      <c r="C190" s="39" t="str">
        <f>IF('EE System Designed BOM'!E190="","",IF('EE System Designed BOM'!H190="Y","",'EE System Designed BOM'!E190))</f>
        <v/>
      </c>
      <c r="D190" s="79" t="str">
        <f>IF('EE System Designed BOM'!E190="","",IF('EE System Designed BOM'!H190="Y","",'EE System Designed BOM'!E190))</f>
        <v/>
      </c>
      <c r="E190" s="36" t="str">
        <f t="shared" si="21"/>
        <v/>
      </c>
      <c r="F190" s="39">
        <f t="shared" si="22"/>
        <v>0</v>
      </c>
      <c r="G190" s="124" t="s">
        <v>8604</v>
      </c>
      <c r="H190" s="54" t="str">
        <f>IF(D190="","",'START-HERE'!$C$16)</f>
        <v/>
      </c>
      <c r="I190" s="39" t="str">
        <f>VLOOKUP('START-HERE'!$C$17,DATA!$J$3:$K$6,2,FALSE)</f>
        <v>USD</v>
      </c>
      <c r="J190" s="125" t="str">
        <f t="shared" si="23"/>
        <v/>
      </c>
      <c r="K190" s="39" t="str">
        <f t="shared" si="24"/>
        <v/>
      </c>
      <c r="L190" s="39" t="str">
        <f>IF(J190="","",IF('START-HERE'!$C$17="USA",1110,""))</f>
        <v/>
      </c>
      <c r="M190" s="39" t="str">
        <f>VLOOKUP('START-HERE'!$D$20,DATA!$J$9:$K$12,2,FALSE)</f>
        <v>037 US Project (NB)</v>
      </c>
      <c r="N190" s="39">
        <f t="shared" si="25"/>
        <v>0</v>
      </c>
      <c r="O190" s="39" t="str">
        <f t="shared" si="26"/>
        <v/>
      </c>
      <c r="P190" s="126">
        <f t="shared" si="27"/>
        <v>0</v>
      </c>
      <c r="R190" s="115">
        <f t="shared" si="28"/>
        <v>189</v>
      </c>
      <c r="S190" s="115">
        <f t="shared" si="29"/>
        <v>0</v>
      </c>
      <c r="T190" s="29" t="str">
        <f>'EE System Designed BOM'!Q190</f>
        <v/>
      </c>
    </row>
    <row r="191" spans="1:20" s="29" customFormat="1" x14ac:dyDescent="0.25">
      <c r="A191" s="40">
        <f t="shared" si="20"/>
        <v>190</v>
      </c>
      <c r="B191" s="34" t="s">
        <v>9624</v>
      </c>
      <c r="C191" s="39" t="str">
        <f>IF('EE System Designed BOM'!E191="","",IF('EE System Designed BOM'!H191="Y","",'EE System Designed BOM'!E191))</f>
        <v/>
      </c>
      <c r="D191" s="79" t="str">
        <f>IF('EE System Designed BOM'!E191="","",IF('EE System Designed BOM'!H191="Y","",'EE System Designed BOM'!E191))</f>
        <v/>
      </c>
      <c r="E191" s="36" t="str">
        <f t="shared" si="21"/>
        <v/>
      </c>
      <c r="F191" s="39">
        <f t="shared" si="22"/>
        <v>0</v>
      </c>
      <c r="G191" s="124" t="s">
        <v>8604</v>
      </c>
      <c r="H191" s="54" t="str">
        <f>IF(D191="","",'START-HERE'!$C$16)</f>
        <v/>
      </c>
      <c r="I191" s="39" t="str">
        <f>VLOOKUP('START-HERE'!$C$17,DATA!$J$3:$K$6,2,FALSE)</f>
        <v>USD</v>
      </c>
      <c r="J191" s="125" t="str">
        <f t="shared" si="23"/>
        <v/>
      </c>
      <c r="K191" s="39" t="str">
        <f t="shared" si="24"/>
        <v/>
      </c>
      <c r="L191" s="39" t="str">
        <f>IF(J191="","",IF('START-HERE'!$C$17="USA",1110,""))</f>
        <v/>
      </c>
      <c r="M191" s="39" t="str">
        <f>VLOOKUP('START-HERE'!$D$20,DATA!$J$9:$K$12,2,FALSE)</f>
        <v>037 US Project (NB)</v>
      </c>
      <c r="N191" s="39">
        <f t="shared" si="25"/>
        <v>0</v>
      </c>
      <c r="O191" s="39" t="str">
        <f t="shared" si="26"/>
        <v/>
      </c>
      <c r="P191" s="126">
        <f t="shared" si="27"/>
        <v>0</v>
      </c>
      <c r="Q191" s="84"/>
      <c r="R191" s="115">
        <f t="shared" si="28"/>
        <v>190</v>
      </c>
      <c r="S191" s="115">
        <f t="shared" si="29"/>
        <v>0</v>
      </c>
      <c r="T191" s="29" t="str">
        <f>'EE System Designed BOM'!Q191</f>
        <v/>
      </c>
    </row>
    <row r="192" spans="1:20" s="29" customFormat="1" x14ac:dyDescent="0.25">
      <c r="A192" s="40">
        <f t="shared" si="20"/>
        <v>191</v>
      </c>
      <c r="B192" s="34" t="s">
        <v>9624</v>
      </c>
      <c r="C192" s="39" t="str">
        <f>IF('EE System Designed BOM'!E192="","",IF('EE System Designed BOM'!H192="Y","",'EE System Designed BOM'!E192))</f>
        <v/>
      </c>
      <c r="D192" s="79" t="str">
        <f>IF('EE System Designed BOM'!E192="","",IF('EE System Designed BOM'!H192="Y","",'EE System Designed BOM'!E192))</f>
        <v/>
      </c>
      <c r="E192" s="36" t="str">
        <f t="shared" si="21"/>
        <v/>
      </c>
      <c r="F192" s="39">
        <f t="shared" si="22"/>
        <v>0</v>
      </c>
      <c r="G192" s="124" t="s">
        <v>8604</v>
      </c>
      <c r="H192" s="54" t="str">
        <f>IF(D192="","",'START-HERE'!$C$16)</f>
        <v/>
      </c>
      <c r="I192" s="39" t="str">
        <f>VLOOKUP('START-HERE'!$C$17,DATA!$J$3:$K$6,2,FALSE)</f>
        <v>USD</v>
      </c>
      <c r="J192" s="125" t="str">
        <f t="shared" si="23"/>
        <v/>
      </c>
      <c r="K192" s="39" t="str">
        <f t="shared" si="24"/>
        <v/>
      </c>
      <c r="L192" s="39" t="str">
        <f>IF(J192="","",IF('START-HERE'!$C$17="USA",1110,""))</f>
        <v/>
      </c>
      <c r="M192" s="39" t="str">
        <f>VLOOKUP('START-HERE'!$D$20,DATA!$J$9:$K$12,2,FALSE)</f>
        <v>037 US Project (NB)</v>
      </c>
      <c r="N192" s="39">
        <f t="shared" si="25"/>
        <v>0</v>
      </c>
      <c r="O192" s="39" t="str">
        <f t="shared" si="26"/>
        <v/>
      </c>
      <c r="P192" s="126">
        <f t="shared" si="27"/>
        <v>0</v>
      </c>
      <c r="R192" s="115">
        <f t="shared" si="28"/>
        <v>191</v>
      </c>
      <c r="S192" s="115">
        <f t="shared" si="29"/>
        <v>0</v>
      </c>
      <c r="T192" s="29" t="str">
        <f>'EE System Designed BOM'!Q192</f>
        <v/>
      </c>
    </row>
    <row r="193" spans="1:20" s="29" customFormat="1" x14ac:dyDescent="0.25">
      <c r="A193" s="40">
        <f t="shared" si="20"/>
        <v>192</v>
      </c>
      <c r="B193" s="34" t="s">
        <v>9624</v>
      </c>
      <c r="C193" s="39" t="str">
        <f>IF('EE System Designed BOM'!E193="","",IF('EE System Designed BOM'!H193="Y","",'EE System Designed BOM'!E193))</f>
        <v/>
      </c>
      <c r="D193" s="79" t="str">
        <f>IF('EE System Designed BOM'!E193="","",IF('EE System Designed BOM'!H193="Y","",'EE System Designed BOM'!E193))</f>
        <v/>
      </c>
      <c r="E193" s="36" t="str">
        <f t="shared" si="21"/>
        <v/>
      </c>
      <c r="F193" s="39">
        <f t="shared" si="22"/>
        <v>0</v>
      </c>
      <c r="G193" s="124" t="s">
        <v>8604</v>
      </c>
      <c r="H193" s="54" t="str">
        <f>IF(D193="","",'START-HERE'!$C$16)</f>
        <v/>
      </c>
      <c r="I193" s="39" t="str">
        <f>VLOOKUP('START-HERE'!$C$17,DATA!$J$3:$K$6,2,FALSE)</f>
        <v>USD</v>
      </c>
      <c r="J193" s="125" t="str">
        <f t="shared" si="23"/>
        <v/>
      </c>
      <c r="K193" s="39" t="str">
        <f t="shared" si="24"/>
        <v/>
      </c>
      <c r="L193" s="39" t="str">
        <f>IF(J193="","",IF('START-HERE'!$C$17="USA",1110,""))</f>
        <v/>
      </c>
      <c r="M193" s="39" t="str">
        <f>VLOOKUP('START-HERE'!$D$20,DATA!$J$9:$K$12,2,FALSE)</f>
        <v>037 US Project (NB)</v>
      </c>
      <c r="N193" s="39">
        <f t="shared" si="25"/>
        <v>0</v>
      </c>
      <c r="O193" s="39" t="str">
        <f t="shared" si="26"/>
        <v/>
      </c>
      <c r="P193" s="126">
        <f t="shared" si="27"/>
        <v>0</v>
      </c>
      <c r="R193" s="115">
        <f t="shared" si="28"/>
        <v>192</v>
      </c>
      <c r="S193" s="115">
        <f t="shared" si="29"/>
        <v>0</v>
      </c>
      <c r="T193" s="29" t="str">
        <f>'EE System Designed BOM'!Q193</f>
        <v/>
      </c>
    </row>
    <row r="194" spans="1:20" s="29" customFormat="1" x14ac:dyDescent="0.25">
      <c r="A194" s="40">
        <f t="shared" ref="A194:A250" si="30">ROW()-1</f>
        <v>193</v>
      </c>
      <c r="B194" s="34" t="s">
        <v>9624</v>
      </c>
      <c r="C194" s="39" t="str">
        <f>IF('EE System Designed BOM'!E194="","",IF('EE System Designed BOM'!H194="Y","",'EE System Designed BOM'!E194))</f>
        <v/>
      </c>
      <c r="D194" s="79" t="str">
        <f>IF('EE System Designed BOM'!E194="","",IF('EE System Designed BOM'!H194="Y","",'EE System Designed BOM'!E194))</f>
        <v/>
      </c>
      <c r="E194" s="36" t="str">
        <f t="shared" ref="E194:E250" si="31">IF(D194="","","C.id-"&amp;R194&amp;"-  "&amp;IFERROR(INDEX(ONGEN_PRICING_DESCRIPTIONS,MATCH(D194,ONGEN_PRICING_PARTS,0)),""))</f>
        <v/>
      </c>
      <c r="F194" s="39">
        <f t="shared" ref="F194:F250" si="32">IFERROR(INDEX(ONGEN_EEBOM_QTY,MATCH(T194,ONGEN_EEBOM_KEYS,0)),0)</f>
        <v>0</v>
      </c>
      <c r="G194" s="124" t="s">
        <v>8604</v>
      </c>
      <c r="H194" s="54" t="str">
        <f>IF(D194="","",'START-HERE'!$C$16)</f>
        <v/>
      </c>
      <c r="I194" s="39" t="str">
        <f>VLOOKUP('START-HERE'!$C$17,DATA!$J$3:$K$6,2,FALSE)</f>
        <v>USD</v>
      </c>
      <c r="J194" s="125" t="str">
        <f t="shared" ref="J194:J250" si="33">IFERROR(IF(INDEX(ONGEN_EEBOM_PURCHASE_BY,MATCH(D194,ONGEN_EEBOM_PARTS,0))="By EE Installer","",IF(D194="","",INDEX(ONGEN_PRICING_COSTS,MATCH(D194,ONGEN_PRICING_PARTS,0))*F194)),"")</f>
        <v/>
      </c>
      <c r="K194" s="39" t="str">
        <f t="shared" ref="K194:K250" si="34">IF(D194="","",IFERROR(INDEX(ONGEN_PRICING_MATGROUP,MATCH(D194,ONGEN_PRICING_PARTS,0)),""))</f>
        <v/>
      </c>
      <c r="L194" s="39" t="str">
        <f>IF(J194="","",IF('START-HERE'!$C$17="USA",1110,""))</f>
        <v/>
      </c>
      <c r="M194" s="39" t="str">
        <f>VLOOKUP('START-HERE'!$D$20,DATA!$J$9:$K$12,2,FALSE)</f>
        <v>037 US Project (NB)</v>
      </c>
      <c r="N194" s="39">
        <f t="shared" ref="N194:N250" si="35">IFERROR(INDEX(ONGEN_EEBOM_SAP_VENDOR,MATCH(T194,ONGEN_EEBOM_KEYS,0)),0)</f>
        <v>0</v>
      </c>
      <c r="O194" s="39" t="str">
        <f t="shared" ref="O194:O250" si="36">IF(L194=1110,1100,"")</f>
        <v/>
      </c>
      <c r="P194" s="126">
        <f t="shared" ref="P194:P250" si="37">IFERROR(INDEX(ONGEN_EEBOM_CONVID,MATCH(T194,ONGEN_EEBOM_KEYS,0)),0)</f>
        <v>0</v>
      </c>
      <c r="R194" s="115">
        <f t="shared" ref="R194:R250" si="38">ROW()-1</f>
        <v>193</v>
      </c>
      <c r="S194" s="115">
        <f t="shared" ref="S194:S250" si="39">IFERROR(INDEX(ONGEN_EEBOM_PLC,MATCH(T194,ONGEN_EEBOM_KEYS,0)),0)</f>
        <v>0</v>
      </c>
      <c r="T194" s="29" t="str">
        <f>'EE System Designed BOM'!Q194</f>
        <v/>
      </c>
    </row>
    <row r="195" spans="1:20" s="29" customFormat="1" x14ac:dyDescent="0.25">
      <c r="A195" s="40">
        <f t="shared" si="30"/>
        <v>194</v>
      </c>
      <c r="B195" s="34" t="s">
        <v>9624</v>
      </c>
      <c r="C195" s="39" t="str">
        <f>IF('EE System Designed BOM'!E195="","",IF('EE System Designed BOM'!H195="Y","",'EE System Designed BOM'!E195))</f>
        <v/>
      </c>
      <c r="D195" s="79" t="str">
        <f>IF('EE System Designed BOM'!E195="","",IF('EE System Designed BOM'!H195="Y","",'EE System Designed BOM'!E195))</f>
        <v/>
      </c>
      <c r="E195" s="36" t="str">
        <f t="shared" si="31"/>
        <v/>
      </c>
      <c r="F195" s="39">
        <f t="shared" si="32"/>
        <v>0</v>
      </c>
      <c r="G195" s="124" t="s">
        <v>8604</v>
      </c>
      <c r="H195" s="54" t="str">
        <f>IF(D195="","",'START-HERE'!$C$16)</f>
        <v/>
      </c>
      <c r="I195" s="39" t="str">
        <f>VLOOKUP('START-HERE'!$C$17,DATA!$J$3:$K$6,2,FALSE)</f>
        <v>USD</v>
      </c>
      <c r="J195" s="125" t="str">
        <f t="shared" si="33"/>
        <v/>
      </c>
      <c r="K195" s="39" t="str">
        <f t="shared" si="34"/>
        <v/>
      </c>
      <c r="L195" s="39" t="str">
        <f>IF(J195="","",IF('START-HERE'!$C$17="USA",1110,""))</f>
        <v/>
      </c>
      <c r="M195" s="39" t="str">
        <f>VLOOKUP('START-HERE'!$D$20,DATA!$J$9:$K$12,2,FALSE)</f>
        <v>037 US Project (NB)</v>
      </c>
      <c r="N195" s="39">
        <f t="shared" si="35"/>
        <v>0</v>
      </c>
      <c r="O195" s="39" t="str">
        <f t="shared" si="36"/>
        <v/>
      </c>
      <c r="P195" s="126">
        <f t="shared" si="37"/>
        <v>0</v>
      </c>
      <c r="Q195" s="84"/>
      <c r="R195" s="115">
        <f t="shared" si="38"/>
        <v>194</v>
      </c>
      <c r="S195" s="115">
        <f t="shared" si="39"/>
        <v>0</v>
      </c>
      <c r="T195" s="29" t="str">
        <f>'EE System Designed BOM'!Q195</f>
        <v/>
      </c>
    </row>
    <row r="196" spans="1:20" s="29" customFormat="1" x14ac:dyDescent="0.25">
      <c r="A196" s="40">
        <f t="shared" si="30"/>
        <v>195</v>
      </c>
      <c r="B196" s="34" t="s">
        <v>9624</v>
      </c>
      <c r="C196" s="39" t="str">
        <f>IF('EE System Designed BOM'!E196="","",IF('EE System Designed BOM'!H196="Y","",'EE System Designed BOM'!E196))</f>
        <v/>
      </c>
      <c r="D196" s="79" t="str">
        <f>IF('EE System Designed BOM'!E196="","",IF('EE System Designed BOM'!H196="Y","",'EE System Designed BOM'!E196))</f>
        <v/>
      </c>
      <c r="E196" s="36" t="str">
        <f t="shared" si="31"/>
        <v/>
      </c>
      <c r="F196" s="39">
        <f t="shared" si="32"/>
        <v>0</v>
      </c>
      <c r="G196" s="124" t="s">
        <v>8604</v>
      </c>
      <c r="H196" s="54" t="str">
        <f>IF(D196="","",'START-HERE'!$C$16)</f>
        <v/>
      </c>
      <c r="I196" s="39" t="str">
        <f>VLOOKUP('START-HERE'!$C$17,DATA!$J$3:$K$6,2,FALSE)</f>
        <v>USD</v>
      </c>
      <c r="J196" s="125" t="str">
        <f t="shared" si="33"/>
        <v/>
      </c>
      <c r="K196" s="39" t="str">
        <f t="shared" si="34"/>
        <v/>
      </c>
      <c r="L196" s="39" t="str">
        <f>IF(J196="","",IF('START-HERE'!$C$17="USA",1110,""))</f>
        <v/>
      </c>
      <c r="M196" s="39" t="str">
        <f>VLOOKUP('START-HERE'!$D$20,DATA!$J$9:$K$12,2,FALSE)</f>
        <v>037 US Project (NB)</v>
      </c>
      <c r="N196" s="39">
        <f t="shared" si="35"/>
        <v>0</v>
      </c>
      <c r="O196" s="39" t="str">
        <f t="shared" si="36"/>
        <v/>
      </c>
      <c r="P196" s="126">
        <f t="shared" si="37"/>
        <v>0</v>
      </c>
      <c r="R196" s="115">
        <f t="shared" si="38"/>
        <v>195</v>
      </c>
      <c r="S196" s="115">
        <f t="shared" si="39"/>
        <v>0</v>
      </c>
      <c r="T196" s="29" t="str">
        <f>'EE System Designed BOM'!Q196</f>
        <v/>
      </c>
    </row>
    <row r="197" spans="1:20" s="29" customFormat="1" x14ac:dyDescent="0.25">
      <c r="A197" s="40">
        <f t="shared" si="30"/>
        <v>196</v>
      </c>
      <c r="B197" s="34" t="s">
        <v>9624</v>
      </c>
      <c r="C197" s="39" t="str">
        <f>IF('EE System Designed BOM'!E197="","",IF('EE System Designed BOM'!H197="Y","",'EE System Designed BOM'!E197))</f>
        <v/>
      </c>
      <c r="D197" s="79" t="str">
        <f>IF('EE System Designed BOM'!E197="","",IF('EE System Designed BOM'!H197="Y","",'EE System Designed BOM'!E197))</f>
        <v/>
      </c>
      <c r="E197" s="36" t="str">
        <f t="shared" si="31"/>
        <v/>
      </c>
      <c r="F197" s="39">
        <f t="shared" si="32"/>
        <v>0</v>
      </c>
      <c r="G197" s="124" t="s">
        <v>8604</v>
      </c>
      <c r="H197" s="54" t="str">
        <f>IF(D197="","",'START-HERE'!$C$16)</f>
        <v/>
      </c>
      <c r="I197" s="39" t="str">
        <f>VLOOKUP('START-HERE'!$C$17,DATA!$J$3:$K$6,2,FALSE)</f>
        <v>USD</v>
      </c>
      <c r="J197" s="125" t="str">
        <f t="shared" si="33"/>
        <v/>
      </c>
      <c r="K197" s="39" t="str">
        <f t="shared" si="34"/>
        <v/>
      </c>
      <c r="L197" s="39" t="str">
        <f>IF(J197="","",IF('START-HERE'!$C$17="USA",1110,""))</f>
        <v/>
      </c>
      <c r="M197" s="39" t="str">
        <f>VLOOKUP('START-HERE'!$D$20,DATA!$J$9:$K$12,2,FALSE)</f>
        <v>037 US Project (NB)</v>
      </c>
      <c r="N197" s="39">
        <f t="shared" si="35"/>
        <v>0</v>
      </c>
      <c r="O197" s="39" t="str">
        <f t="shared" si="36"/>
        <v/>
      </c>
      <c r="P197" s="126">
        <f t="shared" si="37"/>
        <v>0</v>
      </c>
      <c r="R197" s="115">
        <f t="shared" si="38"/>
        <v>196</v>
      </c>
      <c r="S197" s="115">
        <f t="shared" si="39"/>
        <v>0</v>
      </c>
      <c r="T197" s="29" t="str">
        <f>'EE System Designed BOM'!Q197</f>
        <v/>
      </c>
    </row>
    <row r="198" spans="1:20" s="29" customFormat="1" x14ac:dyDescent="0.25">
      <c r="A198" s="40">
        <f t="shared" si="30"/>
        <v>197</v>
      </c>
      <c r="B198" s="34" t="s">
        <v>9624</v>
      </c>
      <c r="C198" s="39" t="str">
        <f>IF('EE System Designed BOM'!E198="","",IF('EE System Designed BOM'!H198="Y","",'EE System Designed BOM'!E198))</f>
        <v/>
      </c>
      <c r="D198" s="79" t="str">
        <f>IF('EE System Designed BOM'!E198="","",IF('EE System Designed BOM'!H198="Y","",'EE System Designed BOM'!E198))</f>
        <v/>
      </c>
      <c r="E198" s="36" t="str">
        <f t="shared" si="31"/>
        <v/>
      </c>
      <c r="F198" s="39">
        <f t="shared" si="32"/>
        <v>0</v>
      </c>
      <c r="G198" s="124" t="s">
        <v>8604</v>
      </c>
      <c r="H198" s="54" t="str">
        <f>IF(D198="","",'START-HERE'!$C$16)</f>
        <v/>
      </c>
      <c r="I198" s="39" t="str">
        <f>VLOOKUP('START-HERE'!$C$17,DATA!$J$3:$K$6,2,FALSE)</f>
        <v>USD</v>
      </c>
      <c r="J198" s="125" t="str">
        <f t="shared" si="33"/>
        <v/>
      </c>
      <c r="K198" s="39" t="str">
        <f t="shared" si="34"/>
        <v/>
      </c>
      <c r="L198" s="39" t="str">
        <f>IF(J198="","",IF('START-HERE'!$C$17="USA",1110,""))</f>
        <v/>
      </c>
      <c r="M198" s="39" t="str">
        <f>VLOOKUP('START-HERE'!$D$20,DATA!$J$9:$K$12,2,FALSE)</f>
        <v>037 US Project (NB)</v>
      </c>
      <c r="N198" s="39">
        <f t="shared" si="35"/>
        <v>0</v>
      </c>
      <c r="O198" s="39" t="str">
        <f t="shared" si="36"/>
        <v/>
      </c>
      <c r="P198" s="126">
        <f t="shared" si="37"/>
        <v>0</v>
      </c>
      <c r="R198" s="115">
        <f t="shared" si="38"/>
        <v>197</v>
      </c>
      <c r="S198" s="115">
        <f t="shared" si="39"/>
        <v>0</v>
      </c>
      <c r="T198" s="29" t="str">
        <f>'EE System Designed BOM'!Q198</f>
        <v/>
      </c>
    </row>
    <row r="199" spans="1:20" s="29" customFormat="1" x14ac:dyDescent="0.25">
      <c r="A199" s="40">
        <f t="shared" si="30"/>
        <v>198</v>
      </c>
      <c r="B199" s="34" t="s">
        <v>9624</v>
      </c>
      <c r="C199" s="39" t="str">
        <f>IF('EE System Designed BOM'!E199="","",IF('EE System Designed BOM'!H199="Y","",'EE System Designed BOM'!E199))</f>
        <v/>
      </c>
      <c r="D199" s="79" t="str">
        <f>IF('EE System Designed BOM'!E199="","",IF('EE System Designed BOM'!H199="Y","",'EE System Designed BOM'!E199))</f>
        <v/>
      </c>
      <c r="E199" s="36" t="str">
        <f t="shared" si="31"/>
        <v/>
      </c>
      <c r="F199" s="39">
        <f t="shared" si="32"/>
        <v>0</v>
      </c>
      <c r="G199" s="124" t="s">
        <v>8604</v>
      </c>
      <c r="H199" s="54" t="str">
        <f>IF(D199="","",'START-HERE'!$C$16)</f>
        <v/>
      </c>
      <c r="I199" s="39" t="str">
        <f>VLOOKUP('START-HERE'!$C$17,DATA!$J$3:$K$6,2,FALSE)</f>
        <v>USD</v>
      </c>
      <c r="J199" s="125" t="str">
        <f t="shared" si="33"/>
        <v/>
      </c>
      <c r="K199" s="39" t="str">
        <f t="shared" si="34"/>
        <v/>
      </c>
      <c r="L199" s="39" t="str">
        <f>IF(J199="","",IF('START-HERE'!$C$17="USA",1110,""))</f>
        <v/>
      </c>
      <c r="M199" s="39" t="str">
        <f>VLOOKUP('START-HERE'!$D$20,DATA!$J$9:$K$12,2,FALSE)</f>
        <v>037 US Project (NB)</v>
      </c>
      <c r="N199" s="39">
        <f t="shared" si="35"/>
        <v>0</v>
      </c>
      <c r="O199" s="39" t="str">
        <f t="shared" si="36"/>
        <v/>
      </c>
      <c r="P199" s="126">
        <f t="shared" si="37"/>
        <v>0</v>
      </c>
      <c r="Q199" s="84"/>
      <c r="R199" s="115">
        <f t="shared" si="38"/>
        <v>198</v>
      </c>
      <c r="S199" s="115">
        <f t="shared" si="39"/>
        <v>0</v>
      </c>
      <c r="T199" s="29" t="str">
        <f>'EE System Designed BOM'!Q199</f>
        <v/>
      </c>
    </row>
    <row r="200" spans="1:20" s="29" customFormat="1" x14ac:dyDescent="0.25">
      <c r="A200" s="40">
        <f t="shared" si="30"/>
        <v>199</v>
      </c>
      <c r="B200" s="34" t="s">
        <v>9624</v>
      </c>
      <c r="C200" s="39" t="str">
        <f>IF('EE System Designed BOM'!E200="","",IF('EE System Designed BOM'!H200="Y","",'EE System Designed BOM'!E200))</f>
        <v/>
      </c>
      <c r="D200" s="79" t="str">
        <f>IF('EE System Designed BOM'!E200="","",IF('EE System Designed BOM'!H200="Y","",'EE System Designed BOM'!E200))</f>
        <v/>
      </c>
      <c r="E200" s="36" t="str">
        <f t="shared" si="31"/>
        <v/>
      </c>
      <c r="F200" s="39">
        <f t="shared" si="32"/>
        <v>0</v>
      </c>
      <c r="G200" s="124" t="s">
        <v>8604</v>
      </c>
      <c r="H200" s="54" t="str">
        <f>IF(D200="","",'START-HERE'!$C$16)</f>
        <v/>
      </c>
      <c r="I200" s="39" t="str">
        <f>VLOOKUP('START-HERE'!$C$17,DATA!$J$3:$K$6,2,FALSE)</f>
        <v>USD</v>
      </c>
      <c r="J200" s="125" t="str">
        <f t="shared" si="33"/>
        <v/>
      </c>
      <c r="K200" s="39" t="str">
        <f t="shared" si="34"/>
        <v/>
      </c>
      <c r="L200" s="39" t="str">
        <f>IF(J200="","",IF('START-HERE'!$C$17="USA",1110,""))</f>
        <v/>
      </c>
      <c r="M200" s="39" t="str">
        <f>VLOOKUP('START-HERE'!$D$20,DATA!$J$9:$K$12,2,FALSE)</f>
        <v>037 US Project (NB)</v>
      </c>
      <c r="N200" s="39">
        <f t="shared" si="35"/>
        <v>0</v>
      </c>
      <c r="O200" s="39" t="str">
        <f t="shared" si="36"/>
        <v/>
      </c>
      <c r="P200" s="126">
        <f t="shared" si="37"/>
        <v>0</v>
      </c>
      <c r="R200" s="115">
        <f t="shared" si="38"/>
        <v>199</v>
      </c>
      <c r="S200" s="115">
        <f t="shared" si="39"/>
        <v>0</v>
      </c>
      <c r="T200" s="29" t="str">
        <f>'EE System Designed BOM'!Q200</f>
        <v/>
      </c>
    </row>
    <row r="201" spans="1:20" s="29" customFormat="1" x14ac:dyDescent="0.25">
      <c r="A201" s="40">
        <f t="shared" si="30"/>
        <v>200</v>
      </c>
      <c r="B201" s="34" t="s">
        <v>9624</v>
      </c>
      <c r="C201" s="39" t="str">
        <f>IF('EE System Designed BOM'!E201="","",IF('EE System Designed BOM'!H201="Y","",'EE System Designed BOM'!E201))</f>
        <v/>
      </c>
      <c r="D201" s="79" t="str">
        <f>IF('EE System Designed BOM'!E201="","",IF('EE System Designed BOM'!H201="Y","",'EE System Designed BOM'!E201))</f>
        <v/>
      </c>
      <c r="E201" s="36" t="str">
        <f t="shared" si="31"/>
        <v/>
      </c>
      <c r="F201" s="39">
        <f t="shared" si="32"/>
        <v>0</v>
      </c>
      <c r="G201" s="124" t="s">
        <v>8604</v>
      </c>
      <c r="H201" s="54" t="str">
        <f>IF(D201="","",'START-HERE'!$C$16)</f>
        <v/>
      </c>
      <c r="I201" s="39" t="str">
        <f>VLOOKUP('START-HERE'!$C$17,DATA!$J$3:$K$6,2,FALSE)</f>
        <v>USD</v>
      </c>
      <c r="J201" s="125" t="str">
        <f t="shared" si="33"/>
        <v/>
      </c>
      <c r="K201" s="39" t="str">
        <f t="shared" si="34"/>
        <v/>
      </c>
      <c r="L201" s="39" t="str">
        <f>IF(J201="","",IF('START-HERE'!$C$17="USA",1110,""))</f>
        <v/>
      </c>
      <c r="M201" s="39" t="str">
        <f>VLOOKUP('START-HERE'!$D$20,DATA!$J$9:$K$12,2,FALSE)</f>
        <v>037 US Project (NB)</v>
      </c>
      <c r="N201" s="39">
        <f t="shared" si="35"/>
        <v>0</v>
      </c>
      <c r="O201" s="39" t="str">
        <f t="shared" si="36"/>
        <v/>
      </c>
      <c r="P201" s="126">
        <f t="shared" si="37"/>
        <v>0</v>
      </c>
      <c r="R201" s="115">
        <f t="shared" si="38"/>
        <v>200</v>
      </c>
      <c r="S201" s="115">
        <f t="shared" si="39"/>
        <v>0</v>
      </c>
      <c r="T201" s="29" t="str">
        <f>'EE System Designed BOM'!Q201</f>
        <v/>
      </c>
    </row>
    <row r="202" spans="1:20" s="29" customFormat="1" x14ac:dyDescent="0.25">
      <c r="A202" s="40">
        <f t="shared" si="30"/>
        <v>201</v>
      </c>
      <c r="B202" s="34" t="s">
        <v>9624</v>
      </c>
      <c r="C202" s="39" t="str">
        <f>IF('EE System Designed BOM'!E202="","",IF('EE System Designed BOM'!H202="Y","",'EE System Designed BOM'!E202))</f>
        <v/>
      </c>
      <c r="D202" s="79" t="str">
        <f>IF('EE System Designed BOM'!E202="","",IF('EE System Designed BOM'!H202="Y","",'EE System Designed BOM'!E202))</f>
        <v/>
      </c>
      <c r="E202" s="36" t="str">
        <f t="shared" si="31"/>
        <v/>
      </c>
      <c r="F202" s="39">
        <f t="shared" si="32"/>
        <v>0</v>
      </c>
      <c r="G202" s="124" t="s">
        <v>8604</v>
      </c>
      <c r="H202" s="54" t="str">
        <f>IF(D202="","",'START-HERE'!$C$16)</f>
        <v/>
      </c>
      <c r="I202" s="39" t="str">
        <f>VLOOKUP('START-HERE'!$C$17,DATA!$J$3:$K$6,2,FALSE)</f>
        <v>USD</v>
      </c>
      <c r="J202" s="125" t="str">
        <f t="shared" si="33"/>
        <v/>
      </c>
      <c r="K202" s="39" t="str">
        <f t="shared" si="34"/>
        <v/>
      </c>
      <c r="L202" s="39" t="str">
        <f>IF(J202="","",IF('START-HERE'!$C$17="USA",1110,""))</f>
        <v/>
      </c>
      <c r="M202" s="39" t="str">
        <f>VLOOKUP('START-HERE'!$D$20,DATA!$J$9:$K$12,2,FALSE)</f>
        <v>037 US Project (NB)</v>
      </c>
      <c r="N202" s="39">
        <f t="shared" si="35"/>
        <v>0</v>
      </c>
      <c r="O202" s="39" t="str">
        <f t="shared" si="36"/>
        <v/>
      </c>
      <c r="P202" s="126">
        <f t="shared" si="37"/>
        <v>0</v>
      </c>
      <c r="R202" s="115">
        <f t="shared" si="38"/>
        <v>201</v>
      </c>
      <c r="S202" s="115">
        <f t="shared" si="39"/>
        <v>0</v>
      </c>
      <c r="T202" s="29" t="str">
        <f>'EE System Designed BOM'!Q202</f>
        <v/>
      </c>
    </row>
    <row r="203" spans="1:20" s="29" customFormat="1" x14ac:dyDescent="0.25">
      <c r="A203" s="40">
        <f t="shared" si="30"/>
        <v>202</v>
      </c>
      <c r="B203" s="34" t="s">
        <v>9624</v>
      </c>
      <c r="C203" s="39" t="str">
        <f>IF('EE System Designed BOM'!E203="","",IF('EE System Designed BOM'!H203="Y","",'EE System Designed BOM'!E203))</f>
        <v/>
      </c>
      <c r="D203" s="79" t="str">
        <f>IF('EE System Designed BOM'!E203="","",IF('EE System Designed BOM'!H203="Y","",'EE System Designed BOM'!E203))</f>
        <v/>
      </c>
      <c r="E203" s="36" t="str">
        <f t="shared" si="31"/>
        <v/>
      </c>
      <c r="F203" s="39">
        <f t="shared" si="32"/>
        <v>0</v>
      </c>
      <c r="G203" s="124" t="s">
        <v>8604</v>
      </c>
      <c r="H203" s="54" t="str">
        <f>IF(D203="","",'START-HERE'!$C$16)</f>
        <v/>
      </c>
      <c r="I203" s="39" t="str">
        <f>VLOOKUP('START-HERE'!$C$17,DATA!$J$3:$K$6,2,FALSE)</f>
        <v>USD</v>
      </c>
      <c r="J203" s="125" t="str">
        <f t="shared" si="33"/>
        <v/>
      </c>
      <c r="K203" s="39" t="str">
        <f t="shared" si="34"/>
        <v/>
      </c>
      <c r="L203" s="39" t="str">
        <f>IF(J203="","",IF('START-HERE'!$C$17="USA",1110,""))</f>
        <v/>
      </c>
      <c r="M203" s="39" t="str">
        <f>VLOOKUP('START-HERE'!$D$20,DATA!$J$9:$K$12,2,FALSE)</f>
        <v>037 US Project (NB)</v>
      </c>
      <c r="N203" s="39">
        <f t="shared" si="35"/>
        <v>0</v>
      </c>
      <c r="O203" s="39" t="str">
        <f t="shared" si="36"/>
        <v/>
      </c>
      <c r="P203" s="126">
        <f t="shared" si="37"/>
        <v>0</v>
      </c>
      <c r="Q203" s="84"/>
      <c r="R203" s="115">
        <f t="shared" si="38"/>
        <v>202</v>
      </c>
      <c r="S203" s="115">
        <f t="shared" si="39"/>
        <v>0</v>
      </c>
      <c r="T203" s="29" t="str">
        <f>'EE System Designed BOM'!Q203</f>
        <v/>
      </c>
    </row>
    <row r="204" spans="1:20" s="29" customFormat="1" x14ac:dyDescent="0.25">
      <c r="A204" s="40">
        <f t="shared" si="30"/>
        <v>203</v>
      </c>
      <c r="B204" s="34" t="s">
        <v>9624</v>
      </c>
      <c r="C204" s="39" t="str">
        <f>IF('EE System Designed BOM'!E204="","",IF('EE System Designed BOM'!H204="Y","",'EE System Designed BOM'!E204))</f>
        <v/>
      </c>
      <c r="D204" s="79" t="str">
        <f>IF('EE System Designed BOM'!E204="","",IF('EE System Designed BOM'!H204="Y","",'EE System Designed BOM'!E204))</f>
        <v/>
      </c>
      <c r="E204" s="36" t="str">
        <f t="shared" si="31"/>
        <v/>
      </c>
      <c r="F204" s="39">
        <f t="shared" si="32"/>
        <v>0</v>
      </c>
      <c r="G204" s="124" t="s">
        <v>8604</v>
      </c>
      <c r="H204" s="54" t="str">
        <f>IF(D204="","",'START-HERE'!$C$16)</f>
        <v/>
      </c>
      <c r="I204" s="39" t="str">
        <f>VLOOKUP('START-HERE'!$C$17,DATA!$J$3:$K$6,2,FALSE)</f>
        <v>USD</v>
      </c>
      <c r="J204" s="125" t="str">
        <f t="shared" si="33"/>
        <v/>
      </c>
      <c r="K204" s="39" t="str">
        <f t="shared" si="34"/>
        <v/>
      </c>
      <c r="L204" s="39" t="str">
        <f>IF(J204="","",IF('START-HERE'!$C$17="USA",1110,""))</f>
        <v/>
      </c>
      <c r="M204" s="39" t="str">
        <f>VLOOKUP('START-HERE'!$D$20,DATA!$J$9:$K$12,2,FALSE)</f>
        <v>037 US Project (NB)</v>
      </c>
      <c r="N204" s="39">
        <f t="shared" si="35"/>
        <v>0</v>
      </c>
      <c r="O204" s="39" t="str">
        <f t="shared" si="36"/>
        <v/>
      </c>
      <c r="P204" s="126">
        <f t="shared" si="37"/>
        <v>0</v>
      </c>
      <c r="R204" s="115">
        <f t="shared" si="38"/>
        <v>203</v>
      </c>
      <c r="S204" s="115">
        <f t="shared" si="39"/>
        <v>0</v>
      </c>
      <c r="T204" s="29" t="str">
        <f>'EE System Designed BOM'!Q204</f>
        <v/>
      </c>
    </row>
    <row r="205" spans="1:20" s="29" customFormat="1" x14ac:dyDescent="0.25">
      <c r="A205" s="40">
        <f t="shared" si="30"/>
        <v>204</v>
      </c>
      <c r="B205" s="34" t="s">
        <v>9624</v>
      </c>
      <c r="C205" s="39" t="str">
        <f>IF('EE System Designed BOM'!E205="","",IF('EE System Designed BOM'!H205="Y","",'EE System Designed BOM'!E205))</f>
        <v/>
      </c>
      <c r="D205" s="79" t="str">
        <f>IF('EE System Designed BOM'!E205="","",IF('EE System Designed BOM'!H205="Y","",'EE System Designed BOM'!E205))</f>
        <v/>
      </c>
      <c r="E205" s="36" t="str">
        <f t="shared" si="31"/>
        <v/>
      </c>
      <c r="F205" s="39">
        <f t="shared" si="32"/>
        <v>0</v>
      </c>
      <c r="G205" s="124" t="s">
        <v>8604</v>
      </c>
      <c r="H205" s="54" t="str">
        <f>IF(D205="","",'START-HERE'!$C$16)</f>
        <v/>
      </c>
      <c r="I205" s="39" t="str">
        <f>VLOOKUP('START-HERE'!$C$17,DATA!$J$3:$K$6,2,FALSE)</f>
        <v>USD</v>
      </c>
      <c r="J205" s="125" t="str">
        <f t="shared" si="33"/>
        <v/>
      </c>
      <c r="K205" s="39" t="str">
        <f t="shared" si="34"/>
        <v/>
      </c>
      <c r="L205" s="39" t="str">
        <f>IF(J205="","",IF('START-HERE'!$C$17="USA",1110,""))</f>
        <v/>
      </c>
      <c r="M205" s="39" t="str">
        <f>VLOOKUP('START-HERE'!$D$20,DATA!$J$9:$K$12,2,FALSE)</f>
        <v>037 US Project (NB)</v>
      </c>
      <c r="N205" s="39">
        <f t="shared" si="35"/>
        <v>0</v>
      </c>
      <c r="O205" s="39" t="str">
        <f t="shared" si="36"/>
        <v/>
      </c>
      <c r="P205" s="126">
        <f t="shared" si="37"/>
        <v>0</v>
      </c>
      <c r="R205" s="115">
        <f t="shared" si="38"/>
        <v>204</v>
      </c>
      <c r="S205" s="115">
        <f t="shared" si="39"/>
        <v>0</v>
      </c>
      <c r="T205" s="29" t="str">
        <f>'EE System Designed BOM'!Q205</f>
        <v/>
      </c>
    </row>
    <row r="206" spans="1:20" s="29" customFormat="1" x14ac:dyDescent="0.25">
      <c r="A206" s="40">
        <f t="shared" si="30"/>
        <v>205</v>
      </c>
      <c r="B206" s="34" t="s">
        <v>9624</v>
      </c>
      <c r="C206" s="39" t="str">
        <f>IF('EE System Designed BOM'!E206="","",IF('EE System Designed BOM'!H206="Y","",'EE System Designed BOM'!E206))</f>
        <v/>
      </c>
      <c r="D206" s="79" t="str">
        <f>IF('EE System Designed BOM'!E206="","",IF('EE System Designed BOM'!H206="Y","",'EE System Designed BOM'!E206))</f>
        <v/>
      </c>
      <c r="E206" s="36" t="str">
        <f t="shared" si="31"/>
        <v/>
      </c>
      <c r="F206" s="39">
        <f t="shared" si="32"/>
        <v>0</v>
      </c>
      <c r="G206" s="124" t="s">
        <v>8604</v>
      </c>
      <c r="H206" s="54" t="str">
        <f>IF(D206="","",'START-HERE'!$C$16)</f>
        <v/>
      </c>
      <c r="I206" s="39" t="str">
        <f>VLOOKUP('START-HERE'!$C$17,DATA!$J$3:$K$6,2,FALSE)</f>
        <v>USD</v>
      </c>
      <c r="J206" s="125" t="str">
        <f t="shared" si="33"/>
        <v/>
      </c>
      <c r="K206" s="39" t="str">
        <f t="shared" si="34"/>
        <v/>
      </c>
      <c r="L206" s="39" t="str">
        <f>IF(J206="","",IF('START-HERE'!$C$17="USA",1110,""))</f>
        <v/>
      </c>
      <c r="M206" s="39" t="str">
        <f>VLOOKUP('START-HERE'!$D$20,DATA!$J$9:$K$12,2,FALSE)</f>
        <v>037 US Project (NB)</v>
      </c>
      <c r="N206" s="39">
        <f t="shared" si="35"/>
        <v>0</v>
      </c>
      <c r="O206" s="39" t="str">
        <f t="shared" si="36"/>
        <v/>
      </c>
      <c r="P206" s="126">
        <f t="shared" si="37"/>
        <v>0</v>
      </c>
      <c r="R206" s="115">
        <f t="shared" si="38"/>
        <v>205</v>
      </c>
      <c r="S206" s="115">
        <f t="shared" si="39"/>
        <v>0</v>
      </c>
      <c r="T206" s="29" t="str">
        <f>'EE System Designed BOM'!Q206</f>
        <v/>
      </c>
    </row>
    <row r="207" spans="1:20" s="29" customFormat="1" x14ac:dyDescent="0.25">
      <c r="A207" s="40">
        <f t="shared" si="30"/>
        <v>206</v>
      </c>
      <c r="B207" s="34" t="s">
        <v>9624</v>
      </c>
      <c r="C207" s="39" t="str">
        <f>IF('EE System Designed BOM'!E207="","",IF('EE System Designed BOM'!H207="Y","",'EE System Designed BOM'!E207))</f>
        <v/>
      </c>
      <c r="D207" s="79" t="str">
        <f>IF('EE System Designed BOM'!E207="","",IF('EE System Designed BOM'!H207="Y","",'EE System Designed BOM'!E207))</f>
        <v/>
      </c>
      <c r="E207" s="36" t="str">
        <f t="shared" si="31"/>
        <v/>
      </c>
      <c r="F207" s="39">
        <f t="shared" si="32"/>
        <v>0</v>
      </c>
      <c r="G207" s="124" t="s">
        <v>8604</v>
      </c>
      <c r="H207" s="54" t="str">
        <f>IF(D207="","",'START-HERE'!$C$16)</f>
        <v/>
      </c>
      <c r="I207" s="39" t="str">
        <f>VLOOKUP('START-HERE'!$C$17,DATA!$J$3:$K$6,2,FALSE)</f>
        <v>USD</v>
      </c>
      <c r="J207" s="125" t="str">
        <f t="shared" si="33"/>
        <v/>
      </c>
      <c r="K207" s="39" t="str">
        <f t="shared" si="34"/>
        <v/>
      </c>
      <c r="L207" s="39" t="str">
        <f>IF(J207="","",IF('START-HERE'!$C$17="USA",1110,""))</f>
        <v/>
      </c>
      <c r="M207" s="39" t="str">
        <f>VLOOKUP('START-HERE'!$D$20,DATA!$J$9:$K$12,2,FALSE)</f>
        <v>037 US Project (NB)</v>
      </c>
      <c r="N207" s="39">
        <f t="shared" si="35"/>
        <v>0</v>
      </c>
      <c r="O207" s="39" t="str">
        <f t="shared" si="36"/>
        <v/>
      </c>
      <c r="P207" s="126">
        <f t="shared" si="37"/>
        <v>0</v>
      </c>
      <c r="Q207" s="84"/>
      <c r="R207" s="115">
        <f t="shared" si="38"/>
        <v>206</v>
      </c>
      <c r="S207" s="115">
        <f t="shared" si="39"/>
        <v>0</v>
      </c>
      <c r="T207" s="29" t="str">
        <f>'EE System Designed BOM'!Q207</f>
        <v/>
      </c>
    </row>
    <row r="208" spans="1:20" s="29" customFormat="1" x14ac:dyDescent="0.25">
      <c r="A208" s="40">
        <f t="shared" si="30"/>
        <v>207</v>
      </c>
      <c r="B208" s="34" t="s">
        <v>9624</v>
      </c>
      <c r="C208" s="39" t="str">
        <f>IF('EE System Designed BOM'!E208="","",IF('EE System Designed BOM'!H208="Y","",'EE System Designed BOM'!E208))</f>
        <v/>
      </c>
      <c r="D208" s="79" t="str">
        <f>IF('EE System Designed BOM'!E208="","",IF('EE System Designed BOM'!H208="Y","",'EE System Designed BOM'!E208))</f>
        <v/>
      </c>
      <c r="E208" s="36" t="str">
        <f t="shared" si="31"/>
        <v/>
      </c>
      <c r="F208" s="39">
        <f t="shared" si="32"/>
        <v>0</v>
      </c>
      <c r="G208" s="124" t="s">
        <v>8604</v>
      </c>
      <c r="H208" s="54" t="str">
        <f>IF(D208="","",'START-HERE'!$C$16)</f>
        <v/>
      </c>
      <c r="I208" s="39" t="str">
        <f>VLOOKUP('START-HERE'!$C$17,DATA!$J$3:$K$6,2,FALSE)</f>
        <v>USD</v>
      </c>
      <c r="J208" s="125" t="str">
        <f t="shared" si="33"/>
        <v/>
      </c>
      <c r="K208" s="39" t="str">
        <f t="shared" si="34"/>
        <v/>
      </c>
      <c r="L208" s="39" t="str">
        <f>IF(J208="","",IF('START-HERE'!$C$17="USA",1110,""))</f>
        <v/>
      </c>
      <c r="M208" s="39" t="str">
        <f>VLOOKUP('START-HERE'!$D$20,DATA!$J$9:$K$12,2,FALSE)</f>
        <v>037 US Project (NB)</v>
      </c>
      <c r="N208" s="39">
        <f t="shared" si="35"/>
        <v>0</v>
      </c>
      <c r="O208" s="39" t="str">
        <f t="shared" si="36"/>
        <v/>
      </c>
      <c r="P208" s="126">
        <f t="shared" si="37"/>
        <v>0</v>
      </c>
      <c r="R208" s="115">
        <f t="shared" si="38"/>
        <v>207</v>
      </c>
      <c r="S208" s="115">
        <f t="shared" si="39"/>
        <v>0</v>
      </c>
      <c r="T208" s="29" t="str">
        <f>'EE System Designed BOM'!Q208</f>
        <v/>
      </c>
    </row>
    <row r="209" spans="1:20" s="29" customFormat="1" x14ac:dyDescent="0.25">
      <c r="A209" s="40">
        <f t="shared" si="30"/>
        <v>208</v>
      </c>
      <c r="B209" s="34" t="s">
        <v>9624</v>
      </c>
      <c r="C209" s="39" t="str">
        <f>IF('EE System Designed BOM'!E209="","",IF('EE System Designed BOM'!H209="Y","",'EE System Designed BOM'!E209))</f>
        <v/>
      </c>
      <c r="D209" s="79" t="str">
        <f>IF('EE System Designed BOM'!E209="","",IF('EE System Designed BOM'!H209="Y","",'EE System Designed BOM'!E209))</f>
        <v/>
      </c>
      <c r="E209" s="36" t="str">
        <f t="shared" si="31"/>
        <v/>
      </c>
      <c r="F209" s="39">
        <f t="shared" si="32"/>
        <v>0</v>
      </c>
      <c r="G209" s="124" t="s">
        <v>8604</v>
      </c>
      <c r="H209" s="54" t="str">
        <f>IF(D209="","",'START-HERE'!$C$16)</f>
        <v/>
      </c>
      <c r="I209" s="39" t="str">
        <f>VLOOKUP('START-HERE'!$C$17,DATA!$J$3:$K$6,2,FALSE)</f>
        <v>USD</v>
      </c>
      <c r="J209" s="125" t="str">
        <f t="shared" si="33"/>
        <v/>
      </c>
      <c r="K209" s="39" t="str">
        <f t="shared" si="34"/>
        <v/>
      </c>
      <c r="L209" s="39" t="str">
        <f>IF(J209="","",IF('START-HERE'!$C$17="USA",1110,""))</f>
        <v/>
      </c>
      <c r="M209" s="39" t="str">
        <f>VLOOKUP('START-HERE'!$D$20,DATA!$J$9:$K$12,2,FALSE)</f>
        <v>037 US Project (NB)</v>
      </c>
      <c r="N209" s="39">
        <f t="shared" si="35"/>
        <v>0</v>
      </c>
      <c r="O209" s="39" t="str">
        <f t="shared" si="36"/>
        <v/>
      </c>
      <c r="P209" s="126">
        <f t="shared" si="37"/>
        <v>0</v>
      </c>
      <c r="R209" s="115">
        <f t="shared" si="38"/>
        <v>208</v>
      </c>
      <c r="S209" s="115">
        <f t="shared" si="39"/>
        <v>0</v>
      </c>
      <c r="T209" s="29" t="str">
        <f>'EE System Designed BOM'!Q209</f>
        <v/>
      </c>
    </row>
    <row r="210" spans="1:20" s="29" customFormat="1" x14ac:dyDescent="0.25">
      <c r="A210" s="40">
        <f t="shared" si="30"/>
        <v>209</v>
      </c>
      <c r="B210" s="34" t="s">
        <v>9624</v>
      </c>
      <c r="C210" s="39" t="str">
        <f>IF('EE System Designed BOM'!E210="","",IF('EE System Designed BOM'!H210="Y","",'EE System Designed BOM'!E210))</f>
        <v/>
      </c>
      <c r="D210" s="79" t="str">
        <f>IF('EE System Designed BOM'!E210="","",IF('EE System Designed BOM'!H210="Y","",'EE System Designed BOM'!E210))</f>
        <v/>
      </c>
      <c r="E210" s="36" t="str">
        <f t="shared" si="31"/>
        <v/>
      </c>
      <c r="F210" s="39">
        <f t="shared" si="32"/>
        <v>0</v>
      </c>
      <c r="G210" s="124" t="s">
        <v>8604</v>
      </c>
      <c r="H210" s="54" t="str">
        <f>IF(D210="","",'START-HERE'!$C$16)</f>
        <v/>
      </c>
      <c r="I210" s="39" t="str">
        <f>VLOOKUP('START-HERE'!$C$17,DATA!$J$3:$K$6,2,FALSE)</f>
        <v>USD</v>
      </c>
      <c r="J210" s="125" t="str">
        <f t="shared" si="33"/>
        <v/>
      </c>
      <c r="K210" s="39" t="str">
        <f t="shared" si="34"/>
        <v/>
      </c>
      <c r="L210" s="39" t="str">
        <f>IF(J210="","",IF('START-HERE'!$C$17="USA",1110,""))</f>
        <v/>
      </c>
      <c r="M210" s="39" t="str">
        <f>VLOOKUP('START-HERE'!$D$20,DATA!$J$9:$K$12,2,FALSE)</f>
        <v>037 US Project (NB)</v>
      </c>
      <c r="N210" s="39">
        <f t="shared" si="35"/>
        <v>0</v>
      </c>
      <c r="O210" s="39" t="str">
        <f t="shared" si="36"/>
        <v/>
      </c>
      <c r="P210" s="126">
        <f t="shared" si="37"/>
        <v>0</v>
      </c>
      <c r="R210" s="115">
        <f t="shared" si="38"/>
        <v>209</v>
      </c>
      <c r="S210" s="115">
        <f t="shared" si="39"/>
        <v>0</v>
      </c>
      <c r="T210" s="29" t="str">
        <f>'EE System Designed BOM'!Q210</f>
        <v/>
      </c>
    </row>
    <row r="211" spans="1:20" s="29" customFormat="1" x14ac:dyDescent="0.25">
      <c r="A211" s="40">
        <f t="shared" si="30"/>
        <v>210</v>
      </c>
      <c r="B211" s="34" t="s">
        <v>9624</v>
      </c>
      <c r="C211" s="39" t="str">
        <f>IF('EE System Designed BOM'!E211="","",IF('EE System Designed BOM'!H211="Y","",'EE System Designed BOM'!E211))</f>
        <v/>
      </c>
      <c r="D211" s="79" t="str">
        <f>IF('EE System Designed BOM'!E211="","",IF('EE System Designed BOM'!H211="Y","",'EE System Designed BOM'!E211))</f>
        <v/>
      </c>
      <c r="E211" s="36" t="str">
        <f t="shared" si="31"/>
        <v/>
      </c>
      <c r="F211" s="39">
        <f t="shared" si="32"/>
        <v>0</v>
      </c>
      <c r="G211" s="124" t="s">
        <v>8604</v>
      </c>
      <c r="H211" s="54" t="str">
        <f>IF(D211="","",'START-HERE'!$C$16)</f>
        <v/>
      </c>
      <c r="I211" s="39" t="str">
        <f>VLOOKUP('START-HERE'!$C$17,DATA!$J$3:$K$6,2,FALSE)</f>
        <v>USD</v>
      </c>
      <c r="J211" s="125" t="str">
        <f t="shared" si="33"/>
        <v/>
      </c>
      <c r="K211" s="39" t="str">
        <f t="shared" si="34"/>
        <v/>
      </c>
      <c r="L211" s="39" t="str">
        <f>IF(J211="","",IF('START-HERE'!$C$17="USA",1110,""))</f>
        <v/>
      </c>
      <c r="M211" s="39" t="str">
        <f>VLOOKUP('START-HERE'!$D$20,DATA!$J$9:$K$12,2,FALSE)</f>
        <v>037 US Project (NB)</v>
      </c>
      <c r="N211" s="39">
        <f t="shared" si="35"/>
        <v>0</v>
      </c>
      <c r="O211" s="39" t="str">
        <f t="shared" si="36"/>
        <v/>
      </c>
      <c r="P211" s="126">
        <f t="shared" si="37"/>
        <v>0</v>
      </c>
      <c r="Q211" s="84"/>
      <c r="R211" s="115">
        <f t="shared" si="38"/>
        <v>210</v>
      </c>
      <c r="S211" s="115">
        <f t="shared" si="39"/>
        <v>0</v>
      </c>
      <c r="T211" s="29" t="str">
        <f>'EE System Designed BOM'!Q211</f>
        <v/>
      </c>
    </row>
    <row r="212" spans="1:20" s="29" customFormat="1" x14ac:dyDescent="0.25">
      <c r="A212" s="40">
        <f t="shared" si="30"/>
        <v>211</v>
      </c>
      <c r="B212" s="34" t="s">
        <v>9624</v>
      </c>
      <c r="C212" s="39" t="str">
        <f>IF('EE System Designed BOM'!E212="","",IF('EE System Designed BOM'!H212="Y","",'EE System Designed BOM'!E212))</f>
        <v/>
      </c>
      <c r="D212" s="79" t="str">
        <f>IF('EE System Designed BOM'!E212="","",IF('EE System Designed BOM'!H212="Y","",'EE System Designed BOM'!E212))</f>
        <v/>
      </c>
      <c r="E212" s="36" t="str">
        <f t="shared" si="31"/>
        <v/>
      </c>
      <c r="F212" s="39">
        <f t="shared" si="32"/>
        <v>0</v>
      </c>
      <c r="G212" s="124" t="s">
        <v>8604</v>
      </c>
      <c r="H212" s="54" t="str">
        <f>IF(D212="","",'START-HERE'!$C$16)</f>
        <v/>
      </c>
      <c r="I212" s="39" t="str">
        <f>VLOOKUP('START-HERE'!$C$17,DATA!$J$3:$K$6,2,FALSE)</f>
        <v>USD</v>
      </c>
      <c r="J212" s="125" t="str">
        <f t="shared" si="33"/>
        <v/>
      </c>
      <c r="K212" s="39" t="str">
        <f t="shared" si="34"/>
        <v/>
      </c>
      <c r="L212" s="39" t="str">
        <f>IF(J212="","",IF('START-HERE'!$C$17="USA",1110,""))</f>
        <v/>
      </c>
      <c r="M212" s="39" t="str">
        <f>VLOOKUP('START-HERE'!$D$20,DATA!$J$9:$K$12,2,FALSE)</f>
        <v>037 US Project (NB)</v>
      </c>
      <c r="N212" s="39">
        <f t="shared" si="35"/>
        <v>0</v>
      </c>
      <c r="O212" s="39" t="str">
        <f t="shared" si="36"/>
        <v/>
      </c>
      <c r="P212" s="126">
        <f t="shared" si="37"/>
        <v>0</v>
      </c>
      <c r="R212" s="115">
        <f t="shared" si="38"/>
        <v>211</v>
      </c>
      <c r="S212" s="115">
        <f t="shared" si="39"/>
        <v>0</v>
      </c>
      <c r="T212" s="29" t="str">
        <f>'EE System Designed BOM'!Q212</f>
        <v/>
      </c>
    </row>
    <row r="213" spans="1:20" s="29" customFormat="1" x14ac:dyDescent="0.25">
      <c r="A213" s="40">
        <f t="shared" si="30"/>
        <v>212</v>
      </c>
      <c r="B213" s="34" t="s">
        <v>9624</v>
      </c>
      <c r="C213" s="39" t="str">
        <f>IF('EE System Designed BOM'!E213="","",IF('EE System Designed BOM'!H213="Y","",'EE System Designed BOM'!E213))</f>
        <v/>
      </c>
      <c r="D213" s="79" t="str">
        <f>IF('EE System Designed BOM'!E213="","",IF('EE System Designed BOM'!H213="Y","",'EE System Designed BOM'!E213))</f>
        <v/>
      </c>
      <c r="E213" s="36" t="str">
        <f t="shared" si="31"/>
        <v/>
      </c>
      <c r="F213" s="39">
        <f t="shared" si="32"/>
        <v>0</v>
      </c>
      <c r="G213" s="124" t="s">
        <v>8604</v>
      </c>
      <c r="H213" s="54" t="str">
        <f>IF(D213="","",'START-HERE'!$C$16)</f>
        <v/>
      </c>
      <c r="I213" s="39" t="str">
        <f>VLOOKUP('START-HERE'!$C$17,DATA!$J$3:$K$6,2,FALSE)</f>
        <v>USD</v>
      </c>
      <c r="J213" s="125" t="str">
        <f t="shared" si="33"/>
        <v/>
      </c>
      <c r="K213" s="39" t="str">
        <f t="shared" si="34"/>
        <v/>
      </c>
      <c r="L213" s="39" t="str">
        <f>IF(J213="","",IF('START-HERE'!$C$17="USA",1110,""))</f>
        <v/>
      </c>
      <c r="M213" s="39" t="str">
        <f>VLOOKUP('START-HERE'!$D$20,DATA!$J$9:$K$12,2,FALSE)</f>
        <v>037 US Project (NB)</v>
      </c>
      <c r="N213" s="39">
        <f t="shared" si="35"/>
        <v>0</v>
      </c>
      <c r="O213" s="39" t="str">
        <f t="shared" si="36"/>
        <v/>
      </c>
      <c r="P213" s="126">
        <f t="shared" si="37"/>
        <v>0</v>
      </c>
      <c r="R213" s="115">
        <f t="shared" si="38"/>
        <v>212</v>
      </c>
      <c r="S213" s="115">
        <f t="shared" si="39"/>
        <v>0</v>
      </c>
      <c r="T213" s="29" t="str">
        <f>'EE System Designed BOM'!Q213</f>
        <v/>
      </c>
    </row>
    <row r="214" spans="1:20" s="29" customFormat="1" x14ac:dyDescent="0.25">
      <c r="A214" s="40">
        <f t="shared" si="30"/>
        <v>213</v>
      </c>
      <c r="B214" s="34" t="s">
        <v>9624</v>
      </c>
      <c r="C214" s="39" t="str">
        <f>IF('EE System Designed BOM'!E214="","",IF('EE System Designed BOM'!H214="Y","",'EE System Designed BOM'!E214))</f>
        <v/>
      </c>
      <c r="D214" s="79" t="str">
        <f>IF('EE System Designed BOM'!E214="","",IF('EE System Designed BOM'!H214="Y","",'EE System Designed BOM'!E214))</f>
        <v/>
      </c>
      <c r="E214" s="36" t="str">
        <f t="shared" si="31"/>
        <v/>
      </c>
      <c r="F214" s="39">
        <f t="shared" si="32"/>
        <v>0</v>
      </c>
      <c r="G214" s="124" t="s">
        <v>8604</v>
      </c>
      <c r="H214" s="54" t="str">
        <f>IF(D214="","",'START-HERE'!$C$16)</f>
        <v/>
      </c>
      <c r="I214" s="39" t="str">
        <f>VLOOKUP('START-HERE'!$C$17,DATA!$J$3:$K$6,2,FALSE)</f>
        <v>USD</v>
      </c>
      <c r="J214" s="125" t="str">
        <f t="shared" si="33"/>
        <v/>
      </c>
      <c r="K214" s="39" t="str">
        <f t="shared" si="34"/>
        <v/>
      </c>
      <c r="L214" s="39" t="str">
        <f>IF(J214="","",IF('START-HERE'!$C$17="USA",1110,""))</f>
        <v/>
      </c>
      <c r="M214" s="39" t="str">
        <f>VLOOKUP('START-HERE'!$D$20,DATA!$J$9:$K$12,2,FALSE)</f>
        <v>037 US Project (NB)</v>
      </c>
      <c r="N214" s="39">
        <f t="shared" si="35"/>
        <v>0</v>
      </c>
      <c r="O214" s="39" t="str">
        <f t="shared" si="36"/>
        <v/>
      </c>
      <c r="P214" s="126">
        <f t="shared" si="37"/>
        <v>0</v>
      </c>
      <c r="R214" s="115">
        <f t="shared" si="38"/>
        <v>213</v>
      </c>
      <c r="S214" s="115">
        <f t="shared" si="39"/>
        <v>0</v>
      </c>
      <c r="T214" s="29" t="str">
        <f>'EE System Designed BOM'!Q214</f>
        <v/>
      </c>
    </row>
    <row r="215" spans="1:20" s="29" customFormat="1" x14ac:dyDescent="0.25">
      <c r="A215" s="40">
        <f t="shared" si="30"/>
        <v>214</v>
      </c>
      <c r="B215" s="34" t="s">
        <v>9624</v>
      </c>
      <c r="C215" s="39" t="str">
        <f>IF('EE System Designed BOM'!E215="","",IF('EE System Designed BOM'!H215="Y","",'EE System Designed BOM'!E215))</f>
        <v/>
      </c>
      <c r="D215" s="79" t="str">
        <f>IF('EE System Designed BOM'!E215="","",IF('EE System Designed BOM'!H215="Y","",'EE System Designed BOM'!E215))</f>
        <v/>
      </c>
      <c r="E215" s="36" t="str">
        <f t="shared" si="31"/>
        <v/>
      </c>
      <c r="F215" s="39">
        <f t="shared" si="32"/>
        <v>0</v>
      </c>
      <c r="G215" s="124" t="s">
        <v>8604</v>
      </c>
      <c r="H215" s="54" t="str">
        <f>IF(D215="","",'START-HERE'!$C$16)</f>
        <v/>
      </c>
      <c r="I215" s="39" t="str">
        <f>VLOOKUP('START-HERE'!$C$17,DATA!$J$3:$K$6,2,FALSE)</f>
        <v>USD</v>
      </c>
      <c r="J215" s="125" t="str">
        <f t="shared" si="33"/>
        <v/>
      </c>
      <c r="K215" s="39" t="str">
        <f t="shared" si="34"/>
        <v/>
      </c>
      <c r="L215" s="39" t="str">
        <f>IF(J215="","",IF('START-HERE'!$C$17="USA",1110,""))</f>
        <v/>
      </c>
      <c r="M215" s="39" t="str">
        <f>VLOOKUP('START-HERE'!$D$20,DATA!$J$9:$K$12,2,FALSE)</f>
        <v>037 US Project (NB)</v>
      </c>
      <c r="N215" s="39">
        <f t="shared" si="35"/>
        <v>0</v>
      </c>
      <c r="O215" s="39" t="str">
        <f t="shared" si="36"/>
        <v/>
      </c>
      <c r="P215" s="126">
        <f t="shared" si="37"/>
        <v>0</v>
      </c>
      <c r="Q215" s="84"/>
      <c r="R215" s="115">
        <f t="shared" si="38"/>
        <v>214</v>
      </c>
      <c r="S215" s="115">
        <f t="shared" si="39"/>
        <v>0</v>
      </c>
      <c r="T215" s="29" t="str">
        <f>'EE System Designed BOM'!Q215</f>
        <v/>
      </c>
    </row>
    <row r="216" spans="1:20" s="29" customFormat="1" x14ac:dyDescent="0.25">
      <c r="A216" s="40">
        <f t="shared" si="30"/>
        <v>215</v>
      </c>
      <c r="B216" s="34" t="s">
        <v>9624</v>
      </c>
      <c r="C216" s="39" t="str">
        <f>IF('EE System Designed BOM'!E216="","",IF('EE System Designed BOM'!H216="Y","",'EE System Designed BOM'!E216))</f>
        <v/>
      </c>
      <c r="D216" s="79" t="str">
        <f>IF('EE System Designed BOM'!E216="","",IF('EE System Designed BOM'!H216="Y","",'EE System Designed BOM'!E216))</f>
        <v/>
      </c>
      <c r="E216" s="36" t="str">
        <f t="shared" si="31"/>
        <v/>
      </c>
      <c r="F216" s="39">
        <f t="shared" si="32"/>
        <v>0</v>
      </c>
      <c r="G216" s="124" t="s">
        <v>8604</v>
      </c>
      <c r="H216" s="54" t="str">
        <f>IF(D216="","",'START-HERE'!$C$16)</f>
        <v/>
      </c>
      <c r="I216" s="39" t="str">
        <f>VLOOKUP('START-HERE'!$C$17,DATA!$J$3:$K$6,2,FALSE)</f>
        <v>USD</v>
      </c>
      <c r="J216" s="125" t="str">
        <f t="shared" si="33"/>
        <v/>
      </c>
      <c r="K216" s="39" t="str">
        <f t="shared" si="34"/>
        <v/>
      </c>
      <c r="L216" s="39" t="str">
        <f>IF(J216="","",IF('START-HERE'!$C$17="USA",1110,""))</f>
        <v/>
      </c>
      <c r="M216" s="39" t="str">
        <f>VLOOKUP('START-HERE'!$D$20,DATA!$J$9:$K$12,2,FALSE)</f>
        <v>037 US Project (NB)</v>
      </c>
      <c r="N216" s="39">
        <f t="shared" si="35"/>
        <v>0</v>
      </c>
      <c r="O216" s="39" t="str">
        <f t="shared" si="36"/>
        <v/>
      </c>
      <c r="P216" s="126">
        <f t="shared" si="37"/>
        <v>0</v>
      </c>
      <c r="R216" s="115">
        <f t="shared" si="38"/>
        <v>215</v>
      </c>
      <c r="S216" s="115">
        <f t="shared" si="39"/>
        <v>0</v>
      </c>
      <c r="T216" s="29" t="str">
        <f>'EE System Designed BOM'!Q216</f>
        <v/>
      </c>
    </row>
    <row r="217" spans="1:20" s="29" customFormat="1" x14ac:dyDescent="0.25">
      <c r="A217" s="40">
        <f t="shared" si="30"/>
        <v>216</v>
      </c>
      <c r="B217" s="34" t="s">
        <v>9624</v>
      </c>
      <c r="C217" s="39" t="str">
        <f>IF('EE System Designed BOM'!E217="","",IF('EE System Designed BOM'!H217="Y","",'EE System Designed BOM'!E217))</f>
        <v/>
      </c>
      <c r="D217" s="79" t="str">
        <f>IF('EE System Designed BOM'!E217="","",IF('EE System Designed BOM'!H217="Y","",'EE System Designed BOM'!E217))</f>
        <v/>
      </c>
      <c r="E217" s="36" t="str">
        <f t="shared" si="31"/>
        <v/>
      </c>
      <c r="F217" s="39">
        <f t="shared" si="32"/>
        <v>0</v>
      </c>
      <c r="G217" s="124" t="s">
        <v>8604</v>
      </c>
      <c r="H217" s="54" t="str">
        <f>IF(D217="","",'START-HERE'!$C$16)</f>
        <v/>
      </c>
      <c r="I217" s="39" t="str">
        <f>VLOOKUP('START-HERE'!$C$17,DATA!$J$3:$K$6,2,FALSE)</f>
        <v>USD</v>
      </c>
      <c r="J217" s="125" t="str">
        <f t="shared" si="33"/>
        <v/>
      </c>
      <c r="K217" s="39" t="str">
        <f t="shared" si="34"/>
        <v/>
      </c>
      <c r="L217" s="39" t="str">
        <f>IF(J217="","",IF('START-HERE'!$C$17="USA",1110,""))</f>
        <v/>
      </c>
      <c r="M217" s="39" t="str">
        <f>VLOOKUP('START-HERE'!$D$20,DATA!$J$9:$K$12,2,FALSE)</f>
        <v>037 US Project (NB)</v>
      </c>
      <c r="N217" s="39">
        <f t="shared" si="35"/>
        <v>0</v>
      </c>
      <c r="O217" s="39" t="str">
        <f t="shared" si="36"/>
        <v/>
      </c>
      <c r="P217" s="126">
        <f t="shared" si="37"/>
        <v>0</v>
      </c>
      <c r="R217" s="115">
        <f t="shared" si="38"/>
        <v>216</v>
      </c>
      <c r="S217" s="115">
        <f t="shared" si="39"/>
        <v>0</v>
      </c>
      <c r="T217" s="29" t="str">
        <f>'EE System Designed BOM'!Q217</f>
        <v/>
      </c>
    </row>
    <row r="218" spans="1:20" s="29" customFormat="1" x14ac:dyDescent="0.25">
      <c r="A218" s="40">
        <f t="shared" si="30"/>
        <v>217</v>
      </c>
      <c r="B218" s="34" t="s">
        <v>9624</v>
      </c>
      <c r="C218" s="39" t="str">
        <f>IF('EE System Designed BOM'!E218="","",IF('EE System Designed BOM'!H218="Y","",'EE System Designed BOM'!E218))</f>
        <v/>
      </c>
      <c r="D218" s="79" t="str">
        <f>IF('EE System Designed BOM'!E218="","",IF('EE System Designed BOM'!H218="Y","",'EE System Designed BOM'!E218))</f>
        <v/>
      </c>
      <c r="E218" s="36" t="str">
        <f t="shared" si="31"/>
        <v/>
      </c>
      <c r="F218" s="39">
        <f t="shared" si="32"/>
        <v>0</v>
      </c>
      <c r="G218" s="124" t="s">
        <v>8604</v>
      </c>
      <c r="H218" s="54" t="str">
        <f>IF(D218="","",'START-HERE'!$C$16)</f>
        <v/>
      </c>
      <c r="I218" s="39" t="str">
        <f>VLOOKUP('START-HERE'!$C$17,DATA!$J$3:$K$6,2,FALSE)</f>
        <v>USD</v>
      </c>
      <c r="J218" s="125" t="str">
        <f t="shared" si="33"/>
        <v/>
      </c>
      <c r="K218" s="39" t="str">
        <f t="shared" si="34"/>
        <v/>
      </c>
      <c r="L218" s="39" t="str">
        <f>IF(J218="","",IF('START-HERE'!$C$17="USA",1110,""))</f>
        <v/>
      </c>
      <c r="M218" s="39" t="str">
        <f>VLOOKUP('START-HERE'!$D$20,DATA!$J$9:$K$12,2,FALSE)</f>
        <v>037 US Project (NB)</v>
      </c>
      <c r="N218" s="39">
        <f t="shared" si="35"/>
        <v>0</v>
      </c>
      <c r="O218" s="39" t="str">
        <f t="shared" si="36"/>
        <v/>
      </c>
      <c r="P218" s="126">
        <f t="shared" si="37"/>
        <v>0</v>
      </c>
      <c r="R218" s="115">
        <f t="shared" si="38"/>
        <v>217</v>
      </c>
      <c r="S218" s="115">
        <f t="shared" si="39"/>
        <v>0</v>
      </c>
      <c r="T218" s="29" t="str">
        <f>'EE System Designed BOM'!Q218</f>
        <v/>
      </c>
    </row>
    <row r="219" spans="1:20" s="29" customFormat="1" x14ac:dyDescent="0.25">
      <c r="A219" s="40">
        <f t="shared" si="30"/>
        <v>218</v>
      </c>
      <c r="B219" s="34" t="s">
        <v>9624</v>
      </c>
      <c r="C219" s="39" t="str">
        <f>IF('EE System Designed BOM'!E219="","",IF('EE System Designed BOM'!H219="Y","",'EE System Designed BOM'!E219))</f>
        <v/>
      </c>
      <c r="D219" s="79" t="str">
        <f>IF('EE System Designed BOM'!E219="","",IF('EE System Designed BOM'!H219="Y","",'EE System Designed BOM'!E219))</f>
        <v/>
      </c>
      <c r="E219" s="36" t="str">
        <f t="shared" si="31"/>
        <v/>
      </c>
      <c r="F219" s="39">
        <f t="shared" si="32"/>
        <v>0</v>
      </c>
      <c r="G219" s="124" t="s">
        <v>8604</v>
      </c>
      <c r="H219" s="54" t="str">
        <f>IF(D219="","",'START-HERE'!$C$16)</f>
        <v/>
      </c>
      <c r="I219" s="39" t="str">
        <f>VLOOKUP('START-HERE'!$C$17,DATA!$J$3:$K$6,2,FALSE)</f>
        <v>USD</v>
      </c>
      <c r="J219" s="125" t="str">
        <f t="shared" si="33"/>
        <v/>
      </c>
      <c r="K219" s="39" t="str">
        <f t="shared" si="34"/>
        <v/>
      </c>
      <c r="L219" s="39" t="str">
        <f>IF(J219="","",IF('START-HERE'!$C$17="USA",1110,""))</f>
        <v/>
      </c>
      <c r="M219" s="39" t="str">
        <f>VLOOKUP('START-HERE'!$D$20,DATA!$J$9:$K$12,2,FALSE)</f>
        <v>037 US Project (NB)</v>
      </c>
      <c r="N219" s="39">
        <f t="shared" si="35"/>
        <v>0</v>
      </c>
      <c r="O219" s="39" t="str">
        <f t="shared" si="36"/>
        <v/>
      </c>
      <c r="P219" s="126">
        <f t="shared" si="37"/>
        <v>0</v>
      </c>
      <c r="Q219" s="84"/>
      <c r="R219" s="115">
        <f t="shared" si="38"/>
        <v>218</v>
      </c>
      <c r="S219" s="115">
        <f t="shared" si="39"/>
        <v>0</v>
      </c>
      <c r="T219" s="29" t="str">
        <f>'EE System Designed BOM'!Q219</f>
        <v/>
      </c>
    </row>
    <row r="220" spans="1:20" s="29" customFormat="1" x14ac:dyDescent="0.25">
      <c r="A220" s="40">
        <f t="shared" si="30"/>
        <v>219</v>
      </c>
      <c r="B220" s="34" t="s">
        <v>9624</v>
      </c>
      <c r="C220" s="39" t="str">
        <f>IF('EE System Designed BOM'!E220="","",IF('EE System Designed BOM'!H220="Y","",'EE System Designed BOM'!E220))</f>
        <v/>
      </c>
      <c r="D220" s="79" t="str">
        <f>IF('EE System Designed BOM'!E220="","",IF('EE System Designed BOM'!H220="Y","",'EE System Designed BOM'!E220))</f>
        <v/>
      </c>
      <c r="E220" s="36" t="str">
        <f t="shared" si="31"/>
        <v/>
      </c>
      <c r="F220" s="39">
        <f t="shared" si="32"/>
        <v>0</v>
      </c>
      <c r="G220" s="124" t="s">
        <v>8604</v>
      </c>
      <c r="H220" s="54" t="str">
        <f>IF(D220="","",'START-HERE'!$C$16)</f>
        <v/>
      </c>
      <c r="I220" s="39" t="str">
        <f>VLOOKUP('START-HERE'!$C$17,DATA!$J$3:$K$6,2,FALSE)</f>
        <v>USD</v>
      </c>
      <c r="J220" s="125" t="str">
        <f t="shared" si="33"/>
        <v/>
      </c>
      <c r="K220" s="39" t="str">
        <f t="shared" si="34"/>
        <v/>
      </c>
      <c r="L220" s="39" t="str">
        <f>IF(J220="","",IF('START-HERE'!$C$17="USA",1110,""))</f>
        <v/>
      </c>
      <c r="M220" s="39" t="str">
        <f>VLOOKUP('START-HERE'!$D$20,DATA!$J$9:$K$12,2,FALSE)</f>
        <v>037 US Project (NB)</v>
      </c>
      <c r="N220" s="39">
        <f t="shared" si="35"/>
        <v>0</v>
      </c>
      <c r="O220" s="39" t="str">
        <f t="shared" si="36"/>
        <v/>
      </c>
      <c r="P220" s="126">
        <f t="shared" si="37"/>
        <v>0</v>
      </c>
      <c r="R220" s="115">
        <f t="shared" si="38"/>
        <v>219</v>
      </c>
      <c r="S220" s="115">
        <f t="shared" si="39"/>
        <v>0</v>
      </c>
      <c r="T220" s="29" t="str">
        <f>'EE System Designed BOM'!Q220</f>
        <v/>
      </c>
    </row>
    <row r="221" spans="1:20" s="29" customFormat="1" x14ac:dyDescent="0.25">
      <c r="A221" s="40">
        <f t="shared" si="30"/>
        <v>220</v>
      </c>
      <c r="B221" s="34" t="s">
        <v>9624</v>
      </c>
      <c r="C221" s="39" t="str">
        <f>IF('EE System Designed BOM'!E221="","",IF('EE System Designed BOM'!H221="Y","",'EE System Designed BOM'!E221))</f>
        <v/>
      </c>
      <c r="D221" s="79" t="str">
        <f>IF('EE System Designed BOM'!E221="","",IF('EE System Designed BOM'!H221="Y","",'EE System Designed BOM'!E221))</f>
        <v/>
      </c>
      <c r="E221" s="36" t="str">
        <f t="shared" si="31"/>
        <v/>
      </c>
      <c r="F221" s="39">
        <f t="shared" si="32"/>
        <v>0</v>
      </c>
      <c r="G221" s="124" t="s">
        <v>8604</v>
      </c>
      <c r="H221" s="54" t="str">
        <f>IF(D221="","",'START-HERE'!$C$16)</f>
        <v/>
      </c>
      <c r="I221" s="39" t="str">
        <f>VLOOKUP('START-HERE'!$C$17,DATA!$J$3:$K$6,2,FALSE)</f>
        <v>USD</v>
      </c>
      <c r="J221" s="125" t="str">
        <f t="shared" si="33"/>
        <v/>
      </c>
      <c r="K221" s="39" t="str">
        <f t="shared" si="34"/>
        <v/>
      </c>
      <c r="L221" s="39" t="str">
        <f>IF(J221="","",IF('START-HERE'!$C$17="USA",1110,""))</f>
        <v/>
      </c>
      <c r="M221" s="39" t="str">
        <f>VLOOKUP('START-HERE'!$D$20,DATA!$J$9:$K$12,2,FALSE)</f>
        <v>037 US Project (NB)</v>
      </c>
      <c r="N221" s="39">
        <f t="shared" si="35"/>
        <v>0</v>
      </c>
      <c r="O221" s="39" t="str">
        <f t="shared" si="36"/>
        <v/>
      </c>
      <c r="P221" s="126">
        <f t="shared" si="37"/>
        <v>0</v>
      </c>
      <c r="R221" s="115">
        <f t="shared" si="38"/>
        <v>220</v>
      </c>
      <c r="S221" s="115">
        <f t="shared" si="39"/>
        <v>0</v>
      </c>
      <c r="T221" s="29" t="str">
        <f>'EE System Designed BOM'!Q221</f>
        <v/>
      </c>
    </row>
    <row r="222" spans="1:20" s="29" customFormat="1" x14ac:dyDescent="0.25">
      <c r="A222" s="40">
        <f t="shared" si="30"/>
        <v>221</v>
      </c>
      <c r="B222" s="34" t="s">
        <v>9624</v>
      </c>
      <c r="C222" s="39" t="str">
        <f>IF('EE System Designed BOM'!E222="","",IF('EE System Designed BOM'!H222="Y","",'EE System Designed BOM'!E222))</f>
        <v/>
      </c>
      <c r="D222" s="79" t="str">
        <f>IF('EE System Designed BOM'!E222="","",IF('EE System Designed BOM'!H222="Y","",'EE System Designed BOM'!E222))</f>
        <v/>
      </c>
      <c r="E222" s="36" t="str">
        <f t="shared" si="31"/>
        <v/>
      </c>
      <c r="F222" s="39">
        <f t="shared" si="32"/>
        <v>0</v>
      </c>
      <c r="G222" s="124" t="s">
        <v>8604</v>
      </c>
      <c r="H222" s="54" t="str">
        <f>IF(D222="","",'START-HERE'!$C$16)</f>
        <v/>
      </c>
      <c r="I222" s="39" t="str">
        <f>VLOOKUP('START-HERE'!$C$17,DATA!$J$3:$K$6,2,FALSE)</f>
        <v>USD</v>
      </c>
      <c r="J222" s="125" t="str">
        <f t="shared" si="33"/>
        <v/>
      </c>
      <c r="K222" s="39" t="str">
        <f t="shared" si="34"/>
        <v/>
      </c>
      <c r="L222" s="39" t="str">
        <f>IF(J222="","",IF('START-HERE'!$C$17="USA",1110,""))</f>
        <v/>
      </c>
      <c r="M222" s="39" t="str">
        <f>VLOOKUP('START-HERE'!$D$20,DATA!$J$9:$K$12,2,FALSE)</f>
        <v>037 US Project (NB)</v>
      </c>
      <c r="N222" s="39">
        <f t="shared" si="35"/>
        <v>0</v>
      </c>
      <c r="O222" s="39" t="str">
        <f t="shared" si="36"/>
        <v/>
      </c>
      <c r="P222" s="126">
        <f t="shared" si="37"/>
        <v>0</v>
      </c>
      <c r="R222" s="115">
        <f t="shared" si="38"/>
        <v>221</v>
      </c>
      <c r="S222" s="115">
        <f t="shared" si="39"/>
        <v>0</v>
      </c>
      <c r="T222" s="29" t="str">
        <f>'EE System Designed BOM'!Q222</f>
        <v/>
      </c>
    </row>
    <row r="223" spans="1:20" s="29" customFormat="1" x14ac:dyDescent="0.25">
      <c r="A223" s="40">
        <f t="shared" si="30"/>
        <v>222</v>
      </c>
      <c r="B223" s="34" t="s">
        <v>9624</v>
      </c>
      <c r="C223" s="39" t="str">
        <f>IF('EE System Designed BOM'!E223="","",IF('EE System Designed BOM'!H223="Y","",'EE System Designed BOM'!E223))</f>
        <v/>
      </c>
      <c r="D223" s="79" t="str">
        <f>IF('EE System Designed BOM'!E223="","",IF('EE System Designed BOM'!H223="Y","",'EE System Designed BOM'!E223))</f>
        <v/>
      </c>
      <c r="E223" s="36" t="str">
        <f t="shared" si="31"/>
        <v/>
      </c>
      <c r="F223" s="39">
        <f t="shared" si="32"/>
        <v>0</v>
      </c>
      <c r="G223" s="124" t="s">
        <v>8604</v>
      </c>
      <c r="H223" s="54" t="str">
        <f>IF(D223="","",'START-HERE'!$C$16)</f>
        <v/>
      </c>
      <c r="I223" s="39" t="str">
        <f>VLOOKUP('START-HERE'!$C$17,DATA!$J$3:$K$6,2,FALSE)</f>
        <v>USD</v>
      </c>
      <c r="J223" s="125" t="str">
        <f t="shared" si="33"/>
        <v/>
      </c>
      <c r="K223" s="39" t="str">
        <f t="shared" si="34"/>
        <v/>
      </c>
      <c r="L223" s="39" t="str">
        <f>IF(J223="","",IF('START-HERE'!$C$17="USA",1110,""))</f>
        <v/>
      </c>
      <c r="M223" s="39" t="str">
        <f>VLOOKUP('START-HERE'!$D$20,DATA!$J$9:$K$12,2,FALSE)</f>
        <v>037 US Project (NB)</v>
      </c>
      <c r="N223" s="39">
        <f t="shared" si="35"/>
        <v>0</v>
      </c>
      <c r="O223" s="39" t="str">
        <f t="shared" si="36"/>
        <v/>
      </c>
      <c r="P223" s="126">
        <f t="shared" si="37"/>
        <v>0</v>
      </c>
      <c r="Q223" s="84"/>
      <c r="R223" s="115">
        <f t="shared" si="38"/>
        <v>222</v>
      </c>
      <c r="S223" s="115">
        <f t="shared" si="39"/>
        <v>0</v>
      </c>
      <c r="T223" s="29" t="str">
        <f>'EE System Designed BOM'!Q223</f>
        <v/>
      </c>
    </row>
    <row r="224" spans="1:20" s="29" customFormat="1" x14ac:dyDescent="0.25">
      <c r="A224" s="40">
        <f t="shared" si="30"/>
        <v>223</v>
      </c>
      <c r="B224" s="34" t="s">
        <v>9624</v>
      </c>
      <c r="C224" s="39" t="str">
        <f>IF('EE System Designed BOM'!E224="","",IF('EE System Designed BOM'!H224="Y","",'EE System Designed BOM'!E224))</f>
        <v/>
      </c>
      <c r="D224" s="79" t="str">
        <f>IF('EE System Designed BOM'!E224="","",IF('EE System Designed BOM'!H224="Y","",'EE System Designed BOM'!E224))</f>
        <v/>
      </c>
      <c r="E224" s="36" t="str">
        <f t="shared" si="31"/>
        <v/>
      </c>
      <c r="F224" s="39">
        <f t="shared" si="32"/>
        <v>0</v>
      </c>
      <c r="G224" s="124" t="s">
        <v>8604</v>
      </c>
      <c r="H224" s="54" t="str">
        <f>IF(D224="","",'START-HERE'!$C$16)</f>
        <v/>
      </c>
      <c r="I224" s="39" t="str">
        <f>VLOOKUP('START-HERE'!$C$17,DATA!$J$3:$K$6,2,FALSE)</f>
        <v>USD</v>
      </c>
      <c r="J224" s="125" t="str">
        <f t="shared" si="33"/>
        <v/>
      </c>
      <c r="K224" s="39" t="str">
        <f t="shared" si="34"/>
        <v/>
      </c>
      <c r="L224" s="39" t="str">
        <f>IF(J224="","",IF('START-HERE'!$C$17="USA",1110,""))</f>
        <v/>
      </c>
      <c r="M224" s="39" t="str">
        <f>VLOOKUP('START-HERE'!$D$20,DATA!$J$9:$K$12,2,FALSE)</f>
        <v>037 US Project (NB)</v>
      </c>
      <c r="N224" s="39">
        <f t="shared" si="35"/>
        <v>0</v>
      </c>
      <c r="O224" s="39" t="str">
        <f t="shared" si="36"/>
        <v/>
      </c>
      <c r="P224" s="126">
        <f t="shared" si="37"/>
        <v>0</v>
      </c>
      <c r="R224" s="115">
        <f t="shared" si="38"/>
        <v>223</v>
      </c>
      <c r="S224" s="115">
        <f t="shared" si="39"/>
        <v>0</v>
      </c>
      <c r="T224" s="29" t="str">
        <f>'EE System Designed BOM'!Q224</f>
        <v/>
      </c>
    </row>
    <row r="225" spans="1:20" s="29" customFormat="1" x14ac:dyDescent="0.25">
      <c r="A225" s="40">
        <f t="shared" si="30"/>
        <v>224</v>
      </c>
      <c r="B225" s="34" t="s">
        <v>9624</v>
      </c>
      <c r="C225" s="39" t="str">
        <f>IF('EE System Designed BOM'!E225="","",IF('EE System Designed BOM'!H225="Y","",'EE System Designed BOM'!E225))</f>
        <v/>
      </c>
      <c r="D225" s="79" t="str">
        <f>IF('EE System Designed BOM'!E225="","",IF('EE System Designed BOM'!H225="Y","",'EE System Designed BOM'!E225))</f>
        <v/>
      </c>
      <c r="E225" s="36" t="str">
        <f t="shared" si="31"/>
        <v/>
      </c>
      <c r="F225" s="39">
        <f t="shared" si="32"/>
        <v>0</v>
      </c>
      <c r="G225" s="124" t="s">
        <v>8604</v>
      </c>
      <c r="H225" s="54" t="str">
        <f>IF(D225="","",'START-HERE'!$C$16)</f>
        <v/>
      </c>
      <c r="I225" s="39" t="str">
        <f>VLOOKUP('START-HERE'!$C$17,DATA!$J$3:$K$6,2,FALSE)</f>
        <v>USD</v>
      </c>
      <c r="J225" s="125" t="str">
        <f t="shared" si="33"/>
        <v/>
      </c>
      <c r="K225" s="39" t="str">
        <f t="shared" si="34"/>
        <v/>
      </c>
      <c r="L225" s="39" t="str">
        <f>IF(J225="","",IF('START-HERE'!$C$17="USA",1110,""))</f>
        <v/>
      </c>
      <c r="M225" s="39" t="str">
        <f>VLOOKUP('START-HERE'!$D$20,DATA!$J$9:$K$12,2,FALSE)</f>
        <v>037 US Project (NB)</v>
      </c>
      <c r="N225" s="39">
        <f t="shared" si="35"/>
        <v>0</v>
      </c>
      <c r="O225" s="39" t="str">
        <f t="shared" si="36"/>
        <v/>
      </c>
      <c r="P225" s="126">
        <f t="shared" si="37"/>
        <v>0</v>
      </c>
      <c r="R225" s="115">
        <f t="shared" si="38"/>
        <v>224</v>
      </c>
      <c r="S225" s="115">
        <f t="shared" si="39"/>
        <v>0</v>
      </c>
      <c r="T225" s="29" t="str">
        <f>'EE System Designed BOM'!Q225</f>
        <v/>
      </c>
    </row>
    <row r="226" spans="1:20" s="29" customFormat="1" x14ac:dyDescent="0.25">
      <c r="A226" s="40">
        <f t="shared" si="30"/>
        <v>225</v>
      </c>
      <c r="B226" s="34" t="s">
        <v>9624</v>
      </c>
      <c r="C226" s="39" t="str">
        <f>IF('EE System Designed BOM'!E226="","",IF('EE System Designed BOM'!H226="Y","",'EE System Designed BOM'!E226))</f>
        <v/>
      </c>
      <c r="D226" s="79" t="str">
        <f>IF('EE System Designed BOM'!E226="","",IF('EE System Designed BOM'!H226="Y","",'EE System Designed BOM'!E226))</f>
        <v/>
      </c>
      <c r="E226" s="36" t="str">
        <f t="shared" si="31"/>
        <v/>
      </c>
      <c r="F226" s="39">
        <f t="shared" si="32"/>
        <v>0</v>
      </c>
      <c r="G226" s="124" t="s">
        <v>8604</v>
      </c>
      <c r="H226" s="54" t="str">
        <f>IF(D226="","",'START-HERE'!$C$16)</f>
        <v/>
      </c>
      <c r="I226" s="39" t="str">
        <f>VLOOKUP('START-HERE'!$C$17,DATA!$J$3:$K$6,2,FALSE)</f>
        <v>USD</v>
      </c>
      <c r="J226" s="125" t="str">
        <f t="shared" si="33"/>
        <v/>
      </c>
      <c r="K226" s="39" t="str">
        <f t="shared" si="34"/>
        <v/>
      </c>
      <c r="L226" s="39" t="str">
        <f>IF(J226="","",IF('START-HERE'!$C$17="USA",1110,""))</f>
        <v/>
      </c>
      <c r="M226" s="39" t="str">
        <f>VLOOKUP('START-HERE'!$D$20,DATA!$J$9:$K$12,2,FALSE)</f>
        <v>037 US Project (NB)</v>
      </c>
      <c r="N226" s="39">
        <f t="shared" si="35"/>
        <v>0</v>
      </c>
      <c r="O226" s="39" t="str">
        <f t="shared" si="36"/>
        <v/>
      </c>
      <c r="P226" s="126">
        <f t="shared" si="37"/>
        <v>0</v>
      </c>
      <c r="R226" s="115">
        <f t="shared" si="38"/>
        <v>225</v>
      </c>
      <c r="S226" s="115">
        <f t="shared" si="39"/>
        <v>0</v>
      </c>
      <c r="T226" s="29" t="str">
        <f>'EE System Designed BOM'!Q226</f>
        <v/>
      </c>
    </row>
    <row r="227" spans="1:20" s="29" customFormat="1" x14ac:dyDescent="0.25">
      <c r="A227" s="40">
        <f t="shared" si="30"/>
        <v>226</v>
      </c>
      <c r="B227" s="34" t="s">
        <v>9624</v>
      </c>
      <c r="C227" s="39" t="str">
        <f>IF('EE System Designed BOM'!E227="","",IF('EE System Designed BOM'!H227="Y","",'EE System Designed BOM'!E227))</f>
        <v/>
      </c>
      <c r="D227" s="79" t="str">
        <f>IF('EE System Designed BOM'!E227="","",IF('EE System Designed BOM'!H227="Y","",'EE System Designed BOM'!E227))</f>
        <v/>
      </c>
      <c r="E227" s="36" t="str">
        <f t="shared" si="31"/>
        <v/>
      </c>
      <c r="F227" s="39">
        <f t="shared" si="32"/>
        <v>0</v>
      </c>
      <c r="G227" s="124" t="s">
        <v>8604</v>
      </c>
      <c r="H227" s="54" t="str">
        <f>IF(D227="","",'START-HERE'!$C$16)</f>
        <v/>
      </c>
      <c r="I227" s="39" t="str">
        <f>VLOOKUP('START-HERE'!$C$17,DATA!$J$3:$K$6,2,FALSE)</f>
        <v>USD</v>
      </c>
      <c r="J227" s="125" t="str">
        <f t="shared" si="33"/>
        <v/>
      </c>
      <c r="K227" s="39" t="str">
        <f t="shared" si="34"/>
        <v/>
      </c>
      <c r="L227" s="39" t="str">
        <f>IF(J227="","",IF('START-HERE'!$C$17="USA",1110,""))</f>
        <v/>
      </c>
      <c r="M227" s="39" t="str">
        <f>VLOOKUP('START-HERE'!$D$20,DATA!$J$9:$K$12,2,FALSE)</f>
        <v>037 US Project (NB)</v>
      </c>
      <c r="N227" s="39">
        <f t="shared" si="35"/>
        <v>0</v>
      </c>
      <c r="O227" s="39" t="str">
        <f t="shared" si="36"/>
        <v/>
      </c>
      <c r="P227" s="126">
        <f t="shared" si="37"/>
        <v>0</v>
      </c>
      <c r="Q227" s="84"/>
      <c r="R227" s="115">
        <f t="shared" si="38"/>
        <v>226</v>
      </c>
      <c r="S227" s="115">
        <f t="shared" si="39"/>
        <v>0</v>
      </c>
      <c r="T227" s="29" t="str">
        <f>'EE System Designed BOM'!Q227</f>
        <v/>
      </c>
    </row>
    <row r="228" spans="1:20" s="29" customFormat="1" x14ac:dyDescent="0.25">
      <c r="A228" s="40">
        <f t="shared" si="30"/>
        <v>227</v>
      </c>
      <c r="B228" s="34" t="s">
        <v>9624</v>
      </c>
      <c r="C228" s="39" t="str">
        <f>IF('EE System Designed BOM'!E228="","",IF('EE System Designed BOM'!H228="Y","",'EE System Designed BOM'!E228))</f>
        <v/>
      </c>
      <c r="D228" s="79" t="str">
        <f>IF('EE System Designed BOM'!E228="","",IF('EE System Designed BOM'!H228="Y","",'EE System Designed BOM'!E228))</f>
        <v/>
      </c>
      <c r="E228" s="36" t="str">
        <f t="shared" si="31"/>
        <v/>
      </c>
      <c r="F228" s="39">
        <f t="shared" si="32"/>
        <v>0</v>
      </c>
      <c r="G228" s="124" t="s">
        <v>8604</v>
      </c>
      <c r="H228" s="54" t="str">
        <f>IF(D228="","",'START-HERE'!$C$16)</f>
        <v/>
      </c>
      <c r="I228" s="39" t="str">
        <f>VLOOKUP('START-HERE'!$C$17,DATA!$J$3:$K$6,2,FALSE)</f>
        <v>USD</v>
      </c>
      <c r="J228" s="125" t="str">
        <f t="shared" si="33"/>
        <v/>
      </c>
      <c r="K228" s="39" t="str">
        <f t="shared" si="34"/>
        <v/>
      </c>
      <c r="L228" s="39" t="str">
        <f>IF(J228="","",IF('START-HERE'!$C$17="USA",1110,""))</f>
        <v/>
      </c>
      <c r="M228" s="39" t="str">
        <f>VLOOKUP('START-HERE'!$D$20,DATA!$J$9:$K$12,2,FALSE)</f>
        <v>037 US Project (NB)</v>
      </c>
      <c r="N228" s="39">
        <f t="shared" si="35"/>
        <v>0</v>
      </c>
      <c r="O228" s="39" t="str">
        <f t="shared" si="36"/>
        <v/>
      </c>
      <c r="P228" s="126">
        <f t="shared" si="37"/>
        <v>0</v>
      </c>
      <c r="R228" s="115">
        <f t="shared" si="38"/>
        <v>227</v>
      </c>
      <c r="S228" s="115">
        <f t="shared" si="39"/>
        <v>0</v>
      </c>
      <c r="T228" s="29" t="str">
        <f>'EE System Designed BOM'!Q228</f>
        <v/>
      </c>
    </row>
    <row r="229" spans="1:20" s="29" customFormat="1" x14ac:dyDescent="0.25">
      <c r="A229" s="40">
        <f t="shared" si="30"/>
        <v>228</v>
      </c>
      <c r="B229" s="34" t="s">
        <v>9624</v>
      </c>
      <c r="C229" s="39" t="str">
        <f>IF('EE System Designed BOM'!E229="","",IF('EE System Designed BOM'!H229="Y","",'EE System Designed BOM'!E229))</f>
        <v/>
      </c>
      <c r="D229" s="79" t="str">
        <f>IF('EE System Designed BOM'!E229="","",IF('EE System Designed BOM'!H229="Y","",'EE System Designed BOM'!E229))</f>
        <v/>
      </c>
      <c r="E229" s="36" t="str">
        <f t="shared" si="31"/>
        <v/>
      </c>
      <c r="F229" s="39">
        <f t="shared" si="32"/>
        <v>0</v>
      </c>
      <c r="G229" s="124" t="s">
        <v>8604</v>
      </c>
      <c r="H229" s="54" t="str">
        <f>IF(D229="","",'START-HERE'!$C$16)</f>
        <v/>
      </c>
      <c r="I229" s="39" t="str">
        <f>VLOOKUP('START-HERE'!$C$17,DATA!$J$3:$K$6,2,FALSE)</f>
        <v>USD</v>
      </c>
      <c r="J229" s="125" t="str">
        <f t="shared" si="33"/>
        <v/>
      </c>
      <c r="K229" s="39" t="str">
        <f t="shared" si="34"/>
        <v/>
      </c>
      <c r="L229" s="39" t="str">
        <f>IF(J229="","",IF('START-HERE'!$C$17="USA",1110,""))</f>
        <v/>
      </c>
      <c r="M229" s="39" t="str">
        <f>VLOOKUP('START-HERE'!$D$20,DATA!$J$9:$K$12,2,FALSE)</f>
        <v>037 US Project (NB)</v>
      </c>
      <c r="N229" s="39">
        <f t="shared" si="35"/>
        <v>0</v>
      </c>
      <c r="O229" s="39" t="str">
        <f t="shared" si="36"/>
        <v/>
      </c>
      <c r="P229" s="126">
        <f t="shared" si="37"/>
        <v>0</v>
      </c>
      <c r="R229" s="115">
        <f t="shared" si="38"/>
        <v>228</v>
      </c>
      <c r="S229" s="115">
        <f t="shared" si="39"/>
        <v>0</v>
      </c>
      <c r="T229" s="29" t="str">
        <f>'EE System Designed BOM'!Q229</f>
        <v/>
      </c>
    </row>
    <row r="230" spans="1:20" s="29" customFormat="1" x14ac:dyDescent="0.25">
      <c r="A230" s="40">
        <f t="shared" si="30"/>
        <v>229</v>
      </c>
      <c r="B230" s="34" t="s">
        <v>9624</v>
      </c>
      <c r="C230" s="39" t="str">
        <f>IF('EE System Designed BOM'!E230="","",IF('EE System Designed BOM'!H230="Y","",'EE System Designed BOM'!E230))</f>
        <v/>
      </c>
      <c r="D230" s="79" t="str">
        <f>IF('EE System Designed BOM'!E230="","",IF('EE System Designed BOM'!H230="Y","",'EE System Designed BOM'!E230))</f>
        <v/>
      </c>
      <c r="E230" s="36" t="str">
        <f t="shared" si="31"/>
        <v/>
      </c>
      <c r="F230" s="39">
        <f t="shared" si="32"/>
        <v>0</v>
      </c>
      <c r="G230" s="124" t="s">
        <v>8604</v>
      </c>
      <c r="H230" s="54" t="str">
        <f>IF(D230="","",'START-HERE'!$C$16)</f>
        <v/>
      </c>
      <c r="I230" s="39" t="str">
        <f>VLOOKUP('START-HERE'!$C$17,DATA!$J$3:$K$6,2,FALSE)</f>
        <v>USD</v>
      </c>
      <c r="J230" s="125" t="str">
        <f t="shared" si="33"/>
        <v/>
      </c>
      <c r="K230" s="39" t="str">
        <f t="shared" si="34"/>
        <v/>
      </c>
      <c r="L230" s="39" t="str">
        <f>IF(J230="","",IF('START-HERE'!$C$17="USA",1110,""))</f>
        <v/>
      </c>
      <c r="M230" s="39" t="str">
        <f>VLOOKUP('START-HERE'!$D$20,DATA!$J$9:$K$12,2,FALSE)</f>
        <v>037 US Project (NB)</v>
      </c>
      <c r="N230" s="39">
        <f t="shared" si="35"/>
        <v>0</v>
      </c>
      <c r="O230" s="39" t="str">
        <f t="shared" si="36"/>
        <v/>
      </c>
      <c r="P230" s="126">
        <f t="shared" si="37"/>
        <v>0</v>
      </c>
      <c r="R230" s="115">
        <f t="shared" si="38"/>
        <v>229</v>
      </c>
      <c r="S230" s="115">
        <f t="shared" si="39"/>
        <v>0</v>
      </c>
      <c r="T230" s="29" t="str">
        <f>'EE System Designed BOM'!Q230</f>
        <v/>
      </c>
    </row>
    <row r="231" spans="1:20" s="29" customFormat="1" x14ac:dyDescent="0.25">
      <c r="A231" s="40">
        <f t="shared" si="30"/>
        <v>230</v>
      </c>
      <c r="B231" s="34" t="s">
        <v>9624</v>
      </c>
      <c r="C231" s="39" t="str">
        <f>IF('EE System Designed BOM'!E231="","",IF('EE System Designed BOM'!H231="Y","",'EE System Designed BOM'!E231))</f>
        <v/>
      </c>
      <c r="D231" s="79" t="str">
        <f>IF('EE System Designed BOM'!E231="","",IF('EE System Designed BOM'!H231="Y","",'EE System Designed BOM'!E231))</f>
        <v/>
      </c>
      <c r="E231" s="36" t="str">
        <f t="shared" si="31"/>
        <v/>
      </c>
      <c r="F231" s="39">
        <f t="shared" si="32"/>
        <v>0</v>
      </c>
      <c r="G231" s="124" t="s">
        <v>8604</v>
      </c>
      <c r="H231" s="54" t="str">
        <f>IF(D231="","",'START-HERE'!$C$16)</f>
        <v/>
      </c>
      <c r="I231" s="39" t="str">
        <f>VLOOKUP('START-HERE'!$C$17,DATA!$J$3:$K$6,2,FALSE)</f>
        <v>USD</v>
      </c>
      <c r="J231" s="125" t="str">
        <f t="shared" si="33"/>
        <v/>
      </c>
      <c r="K231" s="39" t="str">
        <f t="shared" si="34"/>
        <v/>
      </c>
      <c r="L231" s="39" t="str">
        <f>IF(J231="","",IF('START-HERE'!$C$17="USA",1110,""))</f>
        <v/>
      </c>
      <c r="M231" s="39" t="str">
        <f>VLOOKUP('START-HERE'!$D$20,DATA!$J$9:$K$12,2,FALSE)</f>
        <v>037 US Project (NB)</v>
      </c>
      <c r="N231" s="39">
        <f t="shared" si="35"/>
        <v>0</v>
      </c>
      <c r="O231" s="39" t="str">
        <f t="shared" si="36"/>
        <v/>
      </c>
      <c r="P231" s="126">
        <f t="shared" si="37"/>
        <v>0</v>
      </c>
      <c r="Q231" s="84"/>
      <c r="R231" s="115">
        <f t="shared" si="38"/>
        <v>230</v>
      </c>
      <c r="S231" s="115">
        <f t="shared" si="39"/>
        <v>0</v>
      </c>
      <c r="T231" s="29" t="str">
        <f>'EE System Designed BOM'!Q231</f>
        <v/>
      </c>
    </row>
    <row r="232" spans="1:20" s="29" customFormat="1" x14ac:dyDescent="0.25">
      <c r="A232" s="40">
        <f t="shared" si="30"/>
        <v>231</v>
      </c>
      <c r="B232" s="34" t="s">
        <v>9624</v>
      </c>
      <c r="C232" s="39" t="str">
        <f>IF('EE System Designed BOM'!E232="","",IF('EE System Designed BOM'!H232="Y","",'EE System Designed BOM'!E232))</f>
        <v/>
      </c>
      <c r="D232" s="79" t="str">
        <f>IF('EE System Designed BOM'!E232="","",IF('EE System Designed BOM'!H232="Y","",'EE System Designed BOM'!E232))</f>
        <v/>
      </c>
      <c r="E232" s="36" t="str">
        <f t="shared" si="31"/>
        <v/>
      </c>
      <c r="F232" s="39">
        <f t="shared" si="32"/>
        <v>0</v>
      </c>
      <c r="G232" s="124" t="s">
        <v>8604</v>
      </c>
      <c r="H232" s="54" t="str">
        <f>IF(D232="","",'START-HERE'!$C$16)</f>
        <v/>
      </c>
      <c r="I232" s="39" t="str">
        <f>VLOOKUP('START-HERE'!$C$17,DATA!$J$3:$K$6,2,FALSE)</f>
        <v>USD</v>
      </c>
      <c r="J232" s="125" t="str">
        <f t="shared" si="33"/>
        <v/>
      </c>
      <c r="K232" s="39" t="str">
        <f t="shared" si="34"/>
        <v/>
      </c>
      <c r="L232" s="39" t="str">
        <f>IF(J232="","",IF('START-HERE'!$C$17="USA",1110,""))</f>
        <v/>
      </c>
      <c r="M232" s="39" t="str">
        <f>VLOOKUP('START-HERE'!$D$20,DATA!$J$9:$K$12,2,FALSE)</f>
        <v>037 US Project (NB)</v>
      </c>
      <c r="N232" s="39">
        <f t="shared" si="35"/>
        <v>0</v>
      </c>
      <c r="O232" s="39" t="str">
        <f t="shared" si="36"/>
        <v/>
      </c>
      <c r="P232" s="126">
        <f t="shared" si="37"/>
        <v>0</v>
      </c>
      <c r="R232" s="115">
        <f t="shared" si="38"/>
        <v>231</v>
      </c>
      <c r="S232" s="115">
        <f t="shared" si="39"/>
        <v>0</v>
      </c>
      <c r="T232" s="29" t="str">
        <f>'EE System Designed BOM'!Q232</f>
        <v/>
      </c>
    </row>
    <row r="233" spans="1:20" s="29" customFormat="1" x14ac:dyDescent="0.25">
      <c r="A233" s="40">
        <f t="shared" si="30"/>
        <v>232</v>
      </c>
      <c r="B233" s="34" t="s">
        <v>9624</v>
      </c>
      <c r="C233" s="39" t="str">
        <f>IF('EE System Designed BOM'!E233="","",IF('EE System Designed BOM'!H233="Y","",'EE System Designed BOM'!E233))</f>
        <v/>
      </c>
      <c r="D233" s="79" t="str">
        <f>IF('EE System Designed BOM'!E233="","",IF('EE System Designed BOM'!H233="Y","",'EE System Designed BOM'!E233))</f>
        <v/>
      </c>
      <c r="E233" s="36" t="str">
        <f t="shared" si="31"/>
        <v/>
      </c>
      <c r="F233" s="39">
        <f t="shared" si="32"/>
        <v>0</v>
      </c>
      <c r="G233" s="124" t="s">
        <v>8604</v>
      </c>
      <c r="H233" s="54" t="str">
        <f>IF(D233="","",'START-HERE'!$C$16)</f>
        <v/>
      </c>
      <c r="I233" s="39" t="str">
        <f>VLOOKUP('START-HERE'!$C$17,DATA!$J$3:$K$6,2,FALSE)</f>
        <v>USD</v>
      </c>
      <c r="J233" s="125" t="str">
        <f t="shared" si="33"/>
        <v/>
      </c>
      <c r="K233" s="39" t="str">
        <f t="shared" si="34"/>
        <v/>
      </c>
      <c r="L233" s="39" t="str">
        <f>IF(J233="","",IF('START-HERE'!$C$17="USA",1110,""))</f>
        <v/>
      </c>
      <c r="M233" s="39" t="str">
        <f>VLOOKUP('START-HERE'!$D$20,DATA!$J$9:$K$12,2,FALSE)</f>
        <v>037 US Project (NB)</v>
      </c>
      <c r="N233" s="39">
        <f t="shared" si="35"/>
        <v>0</v>
      </c>
      <c r="O233" s="39" t="str">
        <f t="shared" si="36"/>
        <v/>
      </c>
      <c r="P233" s="126">
        <f t="shared" si="37"/>
        <v>0</v>
      </c>
      <c r="R233" s="115">
        <f t="shared" si="38"/>
        <v>232</v>
      </c>
      <c r="S233" s="115">
        <f t="shared" si="39"/>
        <v>0</v>
      </c>
      <c r="T233" s="29" t="str">
        <f>'EE System Designed BOM'!Q233</f>
        <v/>
      </c>
    </row>
    <row r="234" spans="1:20" s="29" customFormat="1" x14ac:dyDescent="0.25">
      <c r="A234" s="40">
        <f t="shared" si="30"/>
        <v>233</v>
      </c>
      <c r="B234" s="34" t="s">
        <v>9624</v>
      </c>
      <c r="C234" s="39" t="str">
        <f>IF('EE System Designed BOM'!E234="","",IF('EE System Designed BOM'!H234="Y","",'EE System Designed BOM'!E234))</f>
        <v/>
      </c>
      <c r="D234" s="79" t="str">
        <f>IF('EE System Designed BOM'!E234="","",IF('EE System Designed BOM'!H234="Y","",'EE System Designed BOM'!E234))</f>
        <v/>
      </c>
      <c r="E234" s="36" t="str">
        <f t="shared" si="31"/>
        <v/>
      </c>
      <c r="F234" s="39">
        <f t="shared" si="32"/>
        <v>0</v>
      </c>
      <c r="G234" s="124" t="s">
        <v>8604</v>
      </c>
      <c r="H234" s="54" t="str">
        <f>IF(D234="","",'START-HERE'!$C$16)</f>
        <v/>
      </c>
      <c r="I234" s="39" t="str">
        <f>VLOOKUP('START-HERE'!$C$17,DATA!$J$3:$K$6,2,FALSE)</f>
        <v>USD</v>
      </c>
      <c r="J234" s="125" t="str">
        <f t="shared" si="33"/>
        <v/>
      </c>
      <c r="K234" s="39" t="str">
        <f t="shared" si="34"/>
        <v/>
      </c>
      <c r="L234" s="39" t="str">
        <f>IF(J234="","",IF('START-HERE'!$C$17="USA",1110,""))</f>
        <v/>
      </c>
      <c r="M234" s="39" t="str">
        <f>VLOOKUP('START-HERE'!$D$20,DATA!$J$9:$K$12,2,FALSE)</f>
        <v>037 US Project (NB)</v>
      </c>
      <c r="N234" s="39">
        <f t="shared" si="35"/>
        <v>0</v>
      </c>
      <c r="O234" s="39" t="str">
        <f t="shared" si="36"/>
        <v/>
      </c>
      <c r="P234" s="126">
        <f t="shared" si="37"/>
        <v>0</v>
      </c>
      <c r="R234" s="115">
        <f t="shared" si="38"/>
        <v>233</v>
      </c>
      <c r="S234" s="115">
        <f t="shared" si="39"/>
        <v>0</v>
      </c>
      <c r="T234" s="29" t="str">
        <f>'EE System Designed BOM'!Q234</f>
        <v/>
      </c>
    </row>
    <row r="235" spans="1:20" s="29" customFormat="1" x14ac:dyDescent="0.25">
      <c r="A235" s="40">
        <f t="shared" si="30"/>
        <v>234</v>
      </c>
      <c r="B235" s="34" t="s">
        <v>9624</v>
      </c>
      <c r="C235" s="39" t="str">
        <f>IF('EE System Designed BOM'!E235="","",IF('EE System Designed BOM'!H235="Y","",'EE System Designed BOM'!E235))</f>
        <v/>
      </c>
      <c r="D235" s="79" t="str">
        <f>IF('EE System Designed BOM'!E235="","",IF('EE System Designed BOM'!H235="Y","",'EE System Designed BOM'!E235))</f>
        <v/>
      </c>
      <c r="E235" s="36" t="str">
        <f t="shared" si="31"/>
        <v/>
      </c>
      <c r="F235" s="39">
        <f t="shared" si="32"/>
        <v>0</v>
      </c>
      <c r="G235" s="124" t="s">
        <v>8604</v>
      </c>
      <c r="H235" s="54" t="str">
        <f>IF(D235="","",'START-HERE'!$C$16)</f>
        <v/>
      </c>
      <c r="I235" s="39" t="str">
        <f>VLOOKUP('START-HERE'!$C$17,DATA!$J$3:$K$6,2,FALSE)</f>
        <v>USD</v>
      </c>
      <c r="J235" s="125" t="str">
        <f t="shared" si="33"/>
        <v/>
      </c>
      <c r="K235" s="39" t="str">
        <f t="shared" si="34"/>
        <v/>
      </c>
      <c r="L235" s="39" t="str">
        <f>IF(J235="","",IF('START-HERE'!$C$17="USA",1110,""))</f>
        <v/>
      </c>
      <c r="M235" s="39" t="str">
        <f>VLOOKUP('START-HERE'!$D$20,DATA!$J$9:$K$12,2,FALSE)</f>
        <v>037 US Project (NB)</v>
      </c>
      <c r="N235" s="39">
        <f t="shared" si="35"/>
        <v>0</v>
      </c>
      <c r="O235" s="39" t="str">
        <f t="shared" si="36"/>
        <v/>
      </c>
      <c r="P235" s="126">
        <f t="shared" si="37"/>
        <v>0</v>
      </c>
      <c r="Q235" s="84"/>
      <c r="R235" s="115">
        <f t="shared" si="38"/>
        <v>234</v>
      </c>
      <c r="S235" s="115">
        <f t="shared" si="39"/>
        <v>0</v>
      </c>
      <c r="T235" s="29" t="str">
        <f>'EE System Designed BOM'!Q235</f>
        <v/>
      </c>
    </row>
    <row r="236" spans="1:20" s="29" customFormat="1" x14ac:dyDescent="0.25">
      <c r="A236" s="40">
        <f t="shared" si="30"/>
        <v>235</v>
      </c>
      <c r="B236" s="34" t="s">
        <v>9624</v>
      </c>
      <c r="C236" s="39" t="str">
        <f>IF('EE System Designed BOM'!E236="","",IF('EE System Designed BOM'!H236="Y","",'EE System Designed BOM'!E236))</f>
        <v/>
      </c>
      <c r="D236" s="79" t="str">
        <f>IF('EE System Designed BOM'!E236="","",IF('EE System Designed BOM'!H236="Y","",'EE System Designed BOM'!E236))</f>
        <v/>
      </c>
      <c r="E236" s="36" t="str">
        <f t="shared" si="31"/>
        <v/>
      </c>
      <c r="F236" s="39">
        <f t="shared" si="32"/>
        <v>0</v>
      </c>
      <c r="G236" s="124" t="s">
        <v>8604</v>
      </c>
      <c r="H236" s="54" t="str">
        <f>IF(D236="","",'START-HERE'!$C$16)</f>
        <v/>
      </c>
      <c r="I236" s="39" t="str">
        <f>VLOOKUP('START-HERE'!$C$17,DATA!$J$3:$K$6,2,FALSE)</f>
        <v>USD</v>
      </c>
      <c r="J236" s="125" t="str">
        <f t="shared" si="33"/>
        <v/>
      </c>
      <c r="K236" s="39" t="str">
        <f t="shared" si="34"/>
        <v/>
      </c>
      <c r="L236" s="39" t="str">
        <f>IF(J236="","",IF('START-HERE'!$C$17="USA",1110,""))</f>
        <v/>
      </c>
      <c r="M236" s="39" t="str">
        <f>VLOOKUP('START-HERE'!$D$20,DATA!$J$9:$K$12,2,FALSE)</f>
        <v>037 US Project (NB)</v>
      </c>
      <c r="N236" s="39">
        <f t="shared" si="35"/>
        <v>0</v>
      </c>
      <c r="O236" s="39" t="str">
        <f t="shared" si="36"/>
        <v/>
      </c>
      <c r="P236" s="126">
        <f t="shared" si="37"/>
        <v>0</v>
      </c>
      <c r="R236" s="115">
        <f t="shared" si="38"/>
        <v>235</v>
      </c>
      <c r="S236" s="115">
        <f t="shared" si="39"/>
        <v>0</v>
      </c>
      <c r="T236" s="29" t="str">
        <f>'EE System Designed BOM'!Q236</f>
        <v/>
      </c>
    </row>
    <row r="237" spans="1:20" s="29" customFormat="1" x14ac:dyDescent="0.25">
      <c r="A237" s="40">
        <f t="shared" si="30"/>
        <v>236</v>
      </c>
      <c r="B237" s="34" t="s">
        <v>9624</v>
      </c>
      <c r="C237" s="39" t="str">
        <f>IF('EE System Designed BOM'!E237="","",IF('EE System Designed BOM'!H237="Y","",'EE System Designed BOM'!E237))</f>
        <v/>
      </c>
      <c r="D237" s="79" t="str">
        <f>IF('EE System Designed BOM'!E237="","",IF('EE System Designed BOM'!H237="Y","",'EE System Designed BOM'!E237))</f>
        <v/>
      </c>
      <c r="E237" s="36" t="str">
        <f t="shared" si="31"/>
        <v/>
      </c>
      <c r="F237" s="39">
        <f t="shared" si="32"/>
        <v>0</v>
      </c>
      <c r="G237" s="124" t="s">
        <v>8604</v>
      </c>
      <c r="H237" s="54" t="str">
        <f>IF(D237="","",'START-HERE'!$C$16)</f>
        <v/>
      </c>
      <c r="I237" s="39" t="str">
        <f>VLOOKUP('START-HERE'!$C$17,DATA!$J$3:$K$6,2,FALSE)</f>
        <v>USD</v>
      </c>
      <c r="J237" s="125" t="str">
        <f t="shared" si="33"/>
        <v/>
      </c>
      <c r="K237" s="39" t="str">
        <f t="shared" si="34"/>
        <v/>
      </c>
      <c r="L237" s="39" t="str">
        <f>IF(J237="","",IF('START-HERE'!$C$17="USA",1110,""))</f>
        <v/>
      </c>
      <c r="M237" s="39" t="str">
        <f>VLOOKUP('START-HERE'!$D$20,DATA!$J$9:$K$12,2,FALSE)</f>
        <v>037 US Project (NB)</v>
      </c>
      <c r="N237" s="39">
        <f t="shared" si="35"/>
        <v>0</v>
      </c>
      <c r="O237" s="39" t="str">
        <f t="shared" si="36"/>
        <v/>
      </c>
      <c r="P237" s="126">
        <f t="shared" si="37"/>
        <v>0</v>
      </c>
      <c r="R237" s="115">
        <f t="shared" si="38"/>
        <v>236</v>
      </c>
      <c r="S237" s="115">
        <f t="shared" si="39"/>
        <v>0</v>
      </c>
      <c r="T237" s="29" t="str">
        <f>'EE System Designed BOM'!Q237</f>
        <v/>
      </c>
    </row>
    <row r="238" spans="1:20" s="29" customFormat="1" x14ac:dyDescent="0.25">
      <c r="A238" s="40">
        <f t="shared" si="30"/>
        <v>237</v>
      </c>
      <c r="B238" s="34" t="s">
        <v>9624</v>
      </c>
      <c r="C238" s="39" t="str">
        <f>IF('EE System Designed BOM'!E238="","",IF('EE System Designed BOM'!H238="Y","",'EE System Designed BOM'!E238))</f>
        <v/>
      </c>
      <c r="D238" s="79" t="str">
        <f>IF('EE System Designed BOM'!E238="","",IF('EE System Designed BOM'!H238="Y","",'EE System Designed BOM'!E238))</f>
        <v/>
      </c>
      <c r="E238" s="36" t="str">
        <f t="shared" si="31"/>
        <v/>
      </c>
      <c r="F238" s="39">
        <f t="shared" si="32"/>
        <v>0</v>
      </c>
      <c r="G238" s="124" t="s">
        <v>8604</v>
      </c>
      <c r="H238" s="54" t="str">
        <f>IF(D238="","",'START-HERE'!$C$16)</f>
        <v/>
      </c>
      <c r="I238" s="39" t="str">
        <f>VLOOKUP('START-HERE'!$C$17,DATA!$J$3:$K$6,2,FALSE)</f>
        <v>USD</v>
      </c>
      <c r="J238" s="125" t="str">
        <f t="shared" si="33"/>
        <v/>
      </c>
      <c r="K238" s="39" t="str">
        <f t="shared" si="34"/>
        <v/>
      </c>
      <c r="L238" s="39" t="str">
        <f>IF(J238="","",IF('START-HERE'!$C$17="USA",1110,""))</f>
        <v/>
      </c>
      <c r="M238" s="39" t="str">
        <f>VLOOKUP('START-HERE'!$D$20,DATA!$J$9:$K$12,2,FALSE)</f>
        <v>037 US Project (NB)</v>
      </c>
      <c r="N238" s="39">
        <f t="shared" si="35"/>
        <v>0</v>
      </c>
      <c r="O238" s="39" t="str">
        <f t="shared" si="36"/>
        <v/>
      </c>
      <c r="P238" s="126">
        <f t="shared" si="37"/>
        <v>0</v>
      </c>
      <c r="R238" s="115">
        <f t="shared" si="38"/>
        <v>237</v>
      </c>
      <c r="S238" s="115">
        <f t="shared" si="39"/>
        <v>0</v>
      </c>
      <c r="T238" s="29" t="str">
        <f>'EE System Designed BOM'!Q238</f>
        <v/>
      </c>
    </row>
    <row r="239" spans="1:20" s="29" customFormat="1" x14ac:dyDescent="0.25">
      <c r="A239" s="40">
        <f t="shared" si="30"/>
        <v>238</v>
      </c>
      <c r="B239" s="34" t="s">
        <v>9624</v>
      </c>
      <c r="C239" s="39" t="str">
        <f>IF('EE System Designed BOM'!E239="","",IF('EE System Designed BOM'!H239="Y","",'EE System Designed BOM'!E239))</f>
        <v/>
      </c>
      <c r="D239" s="79" t="str">
        <f>IF('EE System Designed BOM'!E239="","",IF('EE System Designed BOM'!H239="Y","",'EE System Designed BOM'!E239))</f>
        <v/>
      </c>
      <c r="E239" s="36" t="str">
        <f t="shared" si="31"/>
        <v/>
      </c>
      <c r="F239" s="39">
        <f t="shared" si="32"/>
        <v>0</v>
      </c>
      <c r="G239" s="124" t="s">
        <v>8604</v>
      </c>
      <c r="H239" s="54" t="str">
        <f>IF(D239="","",'START-HERE'!$C$16)</f>
        <v/>
      </c>
      <c r="I239" s="39" t="str">
        <f>VLOOKUP('START-HERE'!$C$17,DATA!$J$3:$K$6,2,FALSE)</f>
        <v>USD</v>
      </c>
      <c r="J239" s="125" t="str">
        <f t="shared" si="33"/>
        <v/>
      </c>
      <c r="K239" s="39" t="str">
        <f t="shared" si="34"/>
        <v/>
      </c>
      <c r="L239" s="39" t="str">
        <f>IF(J239="","",IF('START-HERE'!$C$17="USA",1110,""))</f>
        <v/>
      </c>
      <c r="M239" s="39" t="str">
        <f>VLOOKUP('START-HERE'!$D$20,DATA!$J$9:$K$12,2,FALSE)</f>
        <v>037 US Project (NB)</v>
      </c>
      <c r="N239" s="39">
        <f t="shared" si="35"/>
        <v>0</v>
      </c>
      <c r="O239" s="39" t="str">
        <f t="shared" si="36"/>
        <v/>
      </c>
      <c r="P239" s="126">
        <f t="shared" si="37"/>
        <v>0</v>
      </c>
      <c r="Q239" s="84"/>
      <c r="R239" s="115">
        <f t="shared" si="38"/>
        <v>238</v>
      </c>
      <c r="S239" s="115">
        <f t="shared" si="39"/>
        <v>0</v>
      </c>
      <c r="T239" s="29" t="str">
        <f>'EE System Designed BOM'!Q239</f>
        <v/>
      </c>
    </row>
    <row r="240" spans="1:20" s="29" customFormat="1" x14ac:dyDescent="0.25">
      <c r="A240" s="40">
        <f t="shared" si="30"/>
        <v>239</v>
      </c>
      <c r="B240" s="34" t="s">
        <v>9624</v>
      </c>
      <c r="C240" s="39" t="str">
        <f>IF('EE System Designed BOM'!E240="","",IF('EE System Designed BOM'!H240="Y","",'EE System Designed BOM'!E240))</f>
        <v/>
      </c>
      <c r="D240" s="79" t="str">
        <f>IF('EE System Designed BOM'!E240="","",IF('EE System Designed BOM'!H240="Y","",'EE System Designed BOM'!E240))</f>
        <v/>
      </c>
      <c r="E240" s="36" t="str">
        <f t="shared" si="31"/>
        <v/>
      </c>
      <c r="F240" s="39">
        <f t="shared" si="32"/>
        <v>0</v>
      </c>
      <c r="G240" s="124" t="s">
        <v>8604</v>
      </c>
      <c r="H240" s="54" t="str">
        <f>IF(D240="","",'START-HERE'!$C$16)</f>
        <v/>
      </c>
      <c r="I240" s="39" t="str">
        <f>VLOOKUP('START-HERE'!$C$17,DATA!$J$3:$K$6,2,FALSE)</f>
        <v>USD</v>
      </c>
      <c r="J240" s="125" t="str">
        <f t="shared" si="33"/>
        <v/>
      </c>
      <c r="K240" s="39" t="str">
        <f t="shared" si="34"/>
        <v/>
      </c>
      <c r="L240" s="39" t="str">
        <f>IF(J240="","",IF('START-HERE'!$C$17="USA",1110,""))</f>
        <v/>
      </c>
      <c r="M240" s="39" t="str">
        <f>VLOOKUP('START-HERE'!$D$20,DATA!$J$9:$K$12,2,FALSE)</f>
        <v>037 US Project (NB)</v>
      </c>
      <c r="N240" s="39">
        <f t="shared" si="35"/>
        <v>0</v>
      </c>
      <c r="O240" s="39" t="str">
        <f t="shared" si="36"/>
        <v/>
      </c>
      <c r="P240" s="126">
        <f t="shared" si="37"/>
        <v>0</v>
      </c>
      <c r="R240" s="115">
        <f t="shared" si="38"/>
        <v>239</v>
      </c>
      <c r="S240" s="115">
        <f t="shared" si="39"/>
        <v>0</v>
      </c>
      <c r="T240" s="29" t="str">
        <f>'EE System Designed BOM'!Q240</f>
        <v/>
      </c>
    </row>
    <row r="241" spans="1:20" s="29" customFormat="1" x14ac:dyDescent="0.25">
      <c r="A241" s="40">
        <f t="shared" si="30"/>
        <v>240</v>
      </c>
      <c r="B241" s="34" t="s">
        <v>9624</v>
      </c>
      <c r="C241" s="39" t="str">
        <f>IF('EE System Designed BOM'!E241="","",IF('EE System Designed BOM'!H241="Y","",'EE System Designed BOM'!E241))</f>
        <v/>
      </c>
      <c r="D241" s="79" t="str">
        <f>IF('EE System Designed BOM'!E241="","",IF('EE System Designed BOM'!H241="Y","",'EE System Designed BOM'!E241))</f>
        <v/>
      </c>
      <c r="E241" s="36" t="str">
        <f t="shared" si="31"/>
        <v/>
      </c>
      <c r="F241" s="39">
        <f t="shared" si="32"/>
        <v>0</v>
      </c>
      <c r="G241" s="124" t="s">
        <v>8604</v>
      </c>
      <c r="H241" s="54" t="str">
        <f>IF(D241="","",'START-HERE'!$C$16)</f>
        <v/>
      </c>
      <c r="I241" s="39" t="str">
        <f>VLOOKUP('START-HERE'!$C$17,DATA!$J$3:$K$6,2,FALSE)</f>
        <v>USD</v>
      </c>
      <c r="J241" s="125" t="str">
        <f t="shared" si="33"/>
        <v/>
      </c>
      <c r="K241" s="39" t="str">
        <f t="shared" si="34"/>
        <v/>
      </c>
      <c r="L241" s="39" t="str">
        <f>IF(J241="","",IF('START-HERE'!$C$17="USA",1110,""))</f>
        <v/>
      </c>
      <c r="M241" s="39" t="str">
        <f>VLOOKUP('START-HERE'!$D$20,DATA!$J$9:$K$12,2,FALSE)</f>
        <v>037 US Project (NB)</v>
      </c>
      <c r="N241" s="39">
        <f t="shared" si="35"/>
        <v>0</v>
      </c>
      <c r="O241" s="39" t="str">
        <f t="shared" si="36"/>
        <v/>
      </c>
      <c r="P241" s="126">
        <f t="shared" si="37"/>
        <v>0</v>
      </c>
      <c r="R241" s="115">
        <f t="shared" si="38"/>
        <v>240</v>
      </c>
      <c r="S241" s="115">
        <f t="shared" si="39"/>
        <v>0</v>
      </c>
      <c r="T241" s="29" t="str">
        <f>'EE System Designed BOM'!Q241</f>
        <v/>
      </c>
    </row>
    <row r="242" spans="1:20" s="29" customFormat="1" x14ac:dyDescent="0.25">
      <c r="A242" s="40">
        <f t="shared" si="30"/>
        <v>241</v>
      </c>
      <c r="B242" s="34" t="s">
        <v>9624</v>
      </c>
      <c r="C242" s="39" t="str">
        <f>IF('EE System Designed BOM'!E242="","",IF('EE System Designed BOM'!H242="Y","",'EE System Designed BOM'!E242))</f>
        <v/>
      </c>
      <c r="D242" s="79" t="str">
        <f>IF('EE System Designed BOM'!E242="","",IF('EE System Designed BOM'!H242="Y","",'EE System Designed BOM'!E242))</f>
        <v/>
      </c>
      <c r="E242" s="36" t="str">
        <f t="shared" si="31"/>
        <v/>
      </c>
      <c r="F242" s="39">
        <f t="shared" si="32"/>
        <v>0</v>
      </c>
      <c r="G242" s="124" t="s">
        <v>8604</v>
      </c>
      <c r="H242" s="54" t="str">
        <f>IF(D242="","",'START-HERE'!$C$16)</f>
        <v/>
      </c>
      <c r="I242" s="39" t="str">
        <f>VLOOKUP('START-HERE'!$C$17,DATA!$J$3:$K$6,2,FALSE)</f>
        <v>USD</v>
      </c>
      <c r="J242" s="125" t="str">
        <f t="shared" si="33"/>
        <v/>
      </c>
      <c r="K242" s="39" t="str">
        <f t="shared" si="34"/>
        <v/>
      </c>
      <c r="L242" s="39" t="str">
        <f>IF(J242="","",IF('START-HERE'!$C$17="USA",1110,""))</f>
        <v/>
      </c>
      <c r="M242" s="39" t="str">
        <f>VLOOKUP('START-HERE'!$D$20,DATA!$J$9:$K$12,2,FALSE)</f>
        <v>037 US Project (NB)</v>
      </c>
      <c r="N242" s="39">
        <f t="shared" si="35"/>
        <v>0</v>
      </c>
      <c r="O242" s="39" t="str">
        <f t="shared" si="36"/>
        <v/>
      </c>
      <c r="P242" s="126">
        <f t="shared" si="37"/>
        <v>0</v>
      </c>
      <c r="R242" s="115">
        <f t="shared" si="38"/>
        <v>241</v>
      </c>
      <c r="S242" s="115">
        <f t="shared" si="39"/>
        <v>0</v>
      </c>
      <c r="T242" s="29" t="str">
        <f>'EE System Designed BOM'!Q242</f>
        <v/>
      </c>
    </row>
    <row r="243" spans="1:20" s="29" customFormat="1" x14ac:dyDescent="0.25">
      <c r="A243" s="40">
        <f t="shared" si="30"/>
        <v>242</v>
      </c>
      <c r="B243" s="34" t="s">
        <v>9624</v>
      </c>
      <c r="C243" s="39" t="str">
        <f>IF('EE System Designed BOM'!E243="","",IF('EE System Designed BOM'!H243="Y","",'EE System Designed BOM'!E243))</f>
        <v/>
      </c>
      <c r="D243" s="79" t="str">
        <f>IF('EE System Designed BOM'!E243="","",IF('EE System Designed BOM'!H243="Y","",'EE System Designed BOM'!E243))</f>
        <v/>
      </c>
      <c r="E243" s="36" t="str">
        <f t="shared" si="31"/>
        <v/>
      </c>
      <c r="F243" s="39">
        <f t="shared" si="32"/>
        <v>0</v>
      </c>
      <c r="G243" s="124" t="s">
        <v>8604</v>
      </c>
      <c r="H243" s="54" t="str">
        <f>IF(D243="","",'START-HERE'!$C$16)</f>
        <v/>
      </c>
      <c r="I243" s="39" t="str">
        <f>VLOOKUP('START-HERE'!$C$17,DATA!$J$3:$K$6,2,FALSE)</f>
        <v>USD</v>
      </c>
      <c r="J243" s="125" t="str">
        <f t="shared" si="33"/>
        <v/>
      </c>
      <c r="K243" s="39" t="str">
        <f t="shared" si="34"/>
        <v/>
      </c>
      <c r="L243" s="39" t="str">
        <f>IF(J243="","",IF('START-HERE'!$C$17="USA",1110,""))</f>
        <v/>
      </c>
      <c r="M243" s="39" t="str">
        <f>VLOOKUP('START-HERE'!$D$20,DATA!$J$9:$K$12,2,FALSE)</f>
        <v>037 US Project (NB)</v>
      </c>
      <c r="N243" s="39">
        <f t="shared" si="35"/>
        <v>0</v>
      </c>
      <c r="O243" s="39" t="str">
        <f t="shared" si="36"/>
        <v/>
      </c>
      <c r="P243" s="126">
        <f t="shared" si="37"/>
        <v>0</v>
      </c>
      <c r="Q243" s="84"/>
      <c r="R243" s="115">
        <f t="shared" si="38"/>
        <v>242</v>
      </c>
      <c r="S243" s="115">
        <f t="shared" si="39"/>
        <v>0</v>
      </c>
      <c r="T243" s="29" t="str">
        <f>'EE System Designed BOM'!Q243</f>
        <v/>
      </c>
    </row>
    <row r="244" spans="1:20" s="29" customFormat="1" x14ac:dyDescent="0.25">
      <c r="A244" s="40">
        <f t="shared" si="30"/>
        <v>243</v>
      </c>
      <c r="B244" s="34" t="s">
        <v>9624</v>
      </c>
      <c r="C244" s="39" t="str">
        <f>IF('EE System Designed BOM'!E244="","",IF('EE System Designed BOM'!H244="Y","",'EE System Designed BOM'!E244))</f>
        <v/>
      </c>
      <c r="D244" s="79" t="str">
        <f>IF('EE System Designed BOM'!E244="","",IF('EE System Designed BOM'!H244="Y","",'EE System Designed BOM'!E244))</f>
        <v/>
      </c>
      <c r="E244" s="36" t="str">
        <f t="shared" si="31"/>
        <v/>
      </c>
      <c r="F244" s="39">
        <f t="shared" si="32"/>
        <v>0</v>
      </c>
      <c r="G244" s="124" t="s">
        <v>8604</v>
      </c>
      <c r="H244" s="54" t="str">
        <f>IF(D244="","",'START-HERE'!$C$16)</f>
        <v/>
      </c>
      <c r="I244" s="39" t="str">
        <f>VLOOKUP('START-HERE'!$C$17,DATA!$J$3:$K$6,2,FALSE)</f>
        <v>USD</v>
      </c>
      <c r="J244" s="125" t="str">
        <f t="shared" si="33"/>
        <v/>
      </c>
      <c r="K244" s="39" t="str">
        <f t="shared" si="34"/>
        <v/>
      </c>
      <c r="L244" s="39" t="str">
        <f>IF(J244="","",IF('START-HERE'!$C$17="USA",1110,""))</f>
        <v/>
      </c>
      <c r="M244" s="39" t="str">
        <f>VLOOKUP('START-HERE'!$D$20,DATA!$J$9:$K$12,2,FALSE)</f>
        <v>037 US Project (NB)</v>
      </c>
      <c r="N244" s="39">
        <f t="shared" si="35"/>
        <v>0</v>
      </c>
      <c r="O244" s="39" t="str">
        <f t="shared" si="36"/>
        <v/>
      </c>
      <c r="P244" s="126">
        <f t="shared" si="37"/>
        <v>0</v>
      </c>
      <c r="R244" s="115">
        <f t="shared" si="38"/>
        <v>243</v>
      </c>
      <c r="S244" s="115">
        <f t="shared" si="39"/>
        <v>0</v>
      </c>
      <c r="T244" s="29" t="str">
        <f>'EE System Designed BOM'!Q244</f>
        <v/>
      </c>
    </row>
    <row r="245" spans="1:20" s="29" customFormat="1" x14ac:dyDescent="0.25">
      <c r="A245" s="40">
        <f t="shared" si="30"/>
        <v>244</v>
      </c>
      <c r="B245" s="34" t="s">
        <v>9624</v>
      </c>
      <c r="C245" s="39" t="str">
        <f>IF('EE System Designed BOM'!E245="","",IF('EE System Designed BOM'!H245="Y","",'EE System Designed BOM'!E245))</f>
        <v/>
      </c>
      <c r="D245" s="79" t="str">
        <f>IF('EE System Designed BOM'!E245="","",IF('EE System Designed BOM'!H245="Y","",'EE System Designed BOM'!E245))</f>
        <v/>
      </c>
      <c r="E245" s="36" t="str">
        <f t="shared" si="31"/>
        <v/>
      </c>
      <c r="F245" s="39">
        <f t="shared" si="32"/>
        <v>0</v>
      </c>
      <c r="G245" s="124" t="s">
        <v>8604</v>
      </c>
      <c r="H245" s="54" t="str">
        <f>IF(D245="","",'START-HERE'!$C$16)</f>
        <v/>
      </c>
      <c r="I245" s="39" t="str">
        <f>VLOOKUP('START-HERE'!$C$17,DATA!$J$3:$K$6,2,FALSE)</f>
        <v>USD</v>
      </c>
      <c r="J245" s="125" t="str">
        <f t="shared" si="33"/>
        <v/>
      </c>
      <c r="K245" s="39" t="str">
        <f t="shared" si="34"/>
        <v/>
      </c>
      <c r="L245" s="39" t="str">
        <f>IF(J245="","",IF('START-HERE'!$C$17="USA",1110,""))</f>
        <v/>
      </c>
      <c r="M245" s="39" t="str">
        <f>VLOOKUP('START-HERE'!$D$20,DATA!$J$9:$K$12,2,FALSE)</f>
        <v>037 US Project (NB)</v>
      </c>
      <c r="N245" s="39">
        <f t="shared" si="35"/>
        <v>0</v>
      </c>
      <c r="O245" s="39" t="str">
        <f t="shared" si="36"/>
        <v/>
      </c>
      <c r="P245" s="126">
        <f t="shared" si="37"/>
        <v>0</v>
      </c>
      <c r="R245" s="115">
        <f t="shared" si="38"/>
        <v>244</v>
      </c>
      <c r="S245" s="115">
        <f t="shared" si="39"/>
        <v>0</v>
      </c>
      <c r="T245" s="29" t="str">
        <f>'EE System Designed BOM'!Q245</f>
        <v/>
      </c>
    </row>
    <row r="246" spans="1:20" s="29" customFormat="1" x14ac:dyDescent="0.25">
      <c r="A246" s="40">
        <f t="shared" si="30"/>
        <v>245</v>
      </c>
      <c r="B246" s="34" t="s">
        <v>9624</v>
      </c>
      <c r="C246" s="39" t="str">
        <f>IF('EE System Designed BOM'!E246="","",IF('EE System Designed BOM'!H246="Y","",'EE System Designed BOM'!E246))</f>
        <v/>
      </c>
      <c r="D246" s="79" t="str">
        <f>IF('EE System Designed BOM'!E246="","",IF('EE System Designed BOM'!H246="Y","",'EE System Designed BOM'!E246))</f>
        <v/>
      </c>
      <c r="E246" s="36" t="str">
        <f t="shared" si="31"/>
        <v/>
      </c>
      <c r="F246" s="39">
        <f t="shared" si="32"/>
        <v>0</v>
      </c>
      <c r="G246" s="124" t="s">
        <v>8604</v>
      </c>
      <c r="H246" s="54" t="str">
        <f>IF(D246="","",'START-HERE'!$C$16)</f>
        <v/>
      </c>
      <c r="I246" s="39" t="str">
        <f>VLOOKUP('START-HERE'!$C$17,DATA!$J$3:$K$6,2,FALSE)</f>
        <v>USD</v>
      </c>
      <c r="J246" s="125" t="str">
        <f t="shared" si="33"/>
        <v/>
      </c>
      <c r="K246" s="39" t="str">
        <f t="shared" si="34"/>
        <v/>
      </c>
      <c r="L246" s="39" t="str">
        <f>IF(J246="","",IF('START-HERE'!$C$17="USA",1110,""))</f>
        <v/>
      </c>
      <c r="M246" s="39" t="str">
        <f>VLOOKUP('START-HERE'!$D$20,DATA!$J$9:$K$12,2,FALSE)</f>
        <v>037 US Project (NB)</v>
      </c>
      <c r="N246" s="39">
        <f t="shared" si="35"/>
        <v>0</v>
      </c>
      <c r="O246" s="39" t="str">
        <f t="shared" si="36"/>
        <v/>
      </c>
      <c r="P246" s="126">
        <f t="shared" si="37"/>
        <v>0</v>
      </c>
      <c r="R246" s="115">
        <f t="shared" si="38"/>
        <v>245</v>
      </c>
      <c r="S246" s="115">
        <f t="shared" si="39"/>
        <v>0</v>
      </c>
      <c r="T246" s="29" t="str">
        <f>'EE System Designed BOM'!Q246</f>
        <v/>
      </c>
    </row>
    <row r="247" spans="1:20" s="29" customFormat="1" x14ac:dyDescent="0.25">
      <c r="A247" s="40">
        <f t="shared" si="30"/>
        <v>246</v>
      </c>
      <c r="B247" s="34" t="s">
        <v>9624</v>
      </c>
      <c r="C247" s="39" t="str">
        <f>IF('EE System Designed BOM'!E247="","",IF('EE System Designed BOM'!H247="Y","",'EE System Designed BOM'!E247))</f>
        <v/>
      </c>
      <c r="D247" s="79" t="str">
        <f>IF('EE System Designed BOM'!E247="","",IF('EE System Designed BOM'!H247="Y","",'EE System Designed BOM'!E247))</f>
        <v/>
      </c>
      <c r="E247" s="36" t="str">
        <f t="shared" si="31"/>
        <v/>
      </c>
      <c r="F247" s="39">
        <f t="shared" si="32"/>
        <v>0</v>
      </c>
      <c r="G247" s="124" t="s">
        <v>8604</v>
      </c>
      <c r="H247" s="54" t="str">
        <f>IF(D247="","",'START-HERE'!$C$16)</f>
        <v/>
      </c>
      <c r="I247" s="39" t="str">
        <f>VLOOKUP('START-HERE'!$C$17,DATA!$J$3:$K$6,2,FALSE)</f>
        <v>USD</v>
      </c>
      <c r="J247" s="125" t="str">
        <f t="shared" si="33"/>
        <v/>
      </c>
      <c r="K247" s="39" t="str">
        <f t="shared" si="34"/>
        <v/>
      </c>
      <c r="L247" s="39" t="str">
        <f>IF(J247="","",IF('START-HERE'!$C$17="USA",1110,""))</f>
        <v/>
      </c>
      <c r="M247" s="39" t="str">
        <f>VLOOKUP('START-HERE'!$D$20,DATA!$J$9:$K$12,2,FALSE)</f>
        <v>037 US Project (NB)</v>
      </c>
      <c r="N247" s="39">
        <f t="shared" si="35"/>
        <v>0</v>
      </c>
      <c r="O247" s="39" t="str">
        <f t="shared" si="36"/>
        <v/>
      </c>
      <c r="P247" s="126">
        <f t="shared" si="37"/>
        <v>0</v>
      </c>
      <c r="Q247" s="84"/>
      <c r="R247" s="115">
        <f t="shared" si="38"/>
        <v>246</v>
      </c>
      <c r="S247" s="115">
        <f t="shared" si="39"/>
        <v>0</v>
      </c>
      <c r="T247" s="29" t="str">
        <f>'EE System Designed BOM'!Q247</f>
        <v/>
      </c>
    </row>
    <row r="248" spans="1:20" s="29" customFormat="1" x14ac:dyDescent="0.25">
      <c r="A248" s="40">
        <f t="shared" si="30"/>
        <v>247</v>
      </c>
      <c r="B248" s="34" t="s">
        <v>9624</v>
      </c>
      <c r="C248" s="39" t="str">
        <f>IF('EE System Designed BOM'!E248="","",IF('EE System Designed BOM'!H248="Y","",'EE System Designed BOM'!E248))</f>
        <v/>
      </c>
      <c r="D248" s="79" t="str">
        <f>IF('EE System Designed BOM'!E248="","",IF('EE System Designed BOM'!H248="Y","",'EE System Designed BOM'!E248))</f>
        <v/>
      </c>
      <c r="E248" s="36" t="str">
        <f t="shared" si="31"/>
        <v/>
      </c>
      <c r="F248" s="39">
        <f t="shared" si="32"/>
        <v>0</v>
      </c>
      <c r="G248" s="124" t="s">
        <v>8604</v>
      </c>
      <c r="H248" s="54" t="str">
        <f>IF(D248="","",'START-HERE'!$C$16)</f>
        <v/>
      </c>
      <c r="I248" s="39" t="str">
        <f>VLOOKUP('START-HERE'!$C$17,DATA!$J$3:$K$6,2,FALSE)</f>
        <v>USD</v>
      </c>
      <c r="J248" s="125" t="str">
        <f t="shared" si="33"/>
        <v/>
      </c>
      <c r="K248" s="39" t="str">
        <f t="shared" si="34"/>
        <v/>
      </c>
      <c r="L248" s="39" t="str">
        <f>IF(J248="","",IF('START-HERE'!$C$17="USA",1110,""))</f>
        <v/>
      </c>
      <c r="M248" s="39" t="str">
        <f>VLOOKUP('START-HERE'!$D$20,DATA!$J$9:$K$12,2,FALSE)</f>
        <v>037 US Project (NB)</v>
      </c>
      <c r="N248" s="39">
        <f t="shared" si="35"/>
        <v>0</v>
      </c>
      <c r="O248" s="39" t="str">
        <f t="shared" si="36"/>
        <v/>
      </c>
      <c r="P248" s="126">
        <f t="shared" si="37"/>
        <v>0</v>
      </c>
      <c r="R248" s="115">
        <f t="shared" si="38"/>
        <v>247</v>
      </c>
      <c r="S248" s="115">
        <f t="shared" si="39"/>
        <v>0</v>
      </c>
      <c r="T248" s="29" t="str">
        <f>'EE System Designed BOM'!Q248</f>
        <v/>
      </c>
    </row>
    <row r="249" spans="1:20" s="29" customFormat="1" x14ac:dyDescent="0.25">
      <c r="A249" s="40">
        <f t="shared" si="30"/>
        <v>248</v>
      </c>
      <c r="B249" s="34" t="s">
        <v>9624</v>
      </c>
      <c r="C249" s="39" t="str">
        <f>IF('EE System Designed BOM'!E249="","",IF('EE System Designed BOM'!H249="Y","",'EE System Designed BOM'!E249))</f>
        <v/>
      </c>
      <c r="D249" s="79" t="str">
        <f>IF('EE System Designed BOM'!E249="","",IF('EE System Designed BOM'!H249="Y","",'EE System Designed BOM'!E249))</f>
        <v/>
      </c>
      <c r="E249" s="36" t="str">
        <f t="shared" si="31"/>
        <v/>
      </c>
      <c r="F249" s="39">
        <f t="shared" si="32"/>
        <v>0</v>
      </c>
      <c r="G249" s="124" t="s">
        <v>8604</v>
      </c>
      <c r="H249" s="54" t="str">
        <f>IF(D249="","",'START-HERE'!$C$16)</f>
        <v/>
      </c>
      <c r="I249" s="39" t="str">
        <f>VLOOKUP('START-HERE'!$C$17,DATA!$J$3:$K$6,2,FALSE)</f>
        <v>USD</v>
      </c>
      <c r="J249" s="125" t="str">
        <f t="shared" si="33"/>
        <v/>
      </c>
      <c r="K249" s="39" t="str">
        <f t="shared" si="34"/>
        <v/>
      </c>
      <c r="L249" s="39" t="str">
        <f>IF(J249="","",IF('START-HERE'!$C$17="USA",1110,""))</f>
        <v/>
      </c>
      <c r="M249" s="39" t="str">
        <f>VLOOKUP('START-HERE'!$D$20,DATA!$J$9:$K$12,2,FALSE)</f>
        <v>037 US Project (NB)</v>
      </c>
      <c r="N249" s="39">
        <f t="shared" si="35"/>
        <v>0</v>
      </c>
      <c r="O249" s="39" t="str">
        <f t="shared" si="36"/>
        <v/>
      </c>
      <c r="P249" s="126">
        <f t="shared" si="37"/>
        <v>0</v>
      </c>
      <c r="R249" s="115">
        <f t="shared" si="38"/>
        <v>248</v>
      </c>
      <c r="S249" s="115">
        <f t="shared" si="39"/>
        <v>0</v>
      </c>
      <c r="T249" s="29" t="str">
        <f>'EE System Designed BOM'!Q249</f>
        <v/>
      </c>
    </row>
    <row r="250" spans="1:20" s="29" customFormat="1" x14ac:dyDescent="0.25">
      <c r="A250" s="40">
        <f t="shared" si="30"/>
        <v>249</v>
      </c>
      <c r="B250" s="34" t="s">
        <v>9624</v>
      </c>
      <c r="C250" s="39" t="str">
        <f>IF('EE System Designed BOM'!E250="","",IF('EE System Designed BOM'!H250="Y","",'EE System Designed BOM'!E250))</f>
        <v/>
      </c>
      <c r="D250" s="79" t="str">
        <f>IF('EE System Designed BOM'!E250="","",IF('EE System Designed BOM'!H250="Y","",'EE System Designed BOM'!E250))</f>
        <v/>
      </c>
      <c r="E250" s="36" t="str">
        <f t="shared" si="31"/>
        <v/>
      </c>
      <c r="F250" s="39">
        <f t="shared" si="32"/>
        <v>0</v>
      </c>
      <c r="G250" s="124" t="s">
        <v>8604</v>
      </c>
      <c r="H250" s="54" t="str">
        <f>IF(D250="","",'START-HERE'!$C$16)</f>
        <v/>
      </c>
      <c r="I250" s="39" t="str">
        <f>VLOOKUP('START-HERE'!$C$17,DATA!$J$3:$K$6,2,FALSE)</f>
        <v>USD</v>
      </c>
      <c r="J250" s="125" t="str">
        <f t="shared" si="33"/>
        <v/>
      </c>
      <c r="K250" s="39" t="str">
        <f t="shared" si="34"/>
        <v/>
      </c>
      <c r="L250" s="39" t="str">
        <f>IF(J250="","",IF('START-HERE'!$C$17="USA",1110,""))</f>
        <v/>
      </c>
      <c r="M250" s="39" t="str">
        <f>VLOOKUP('START-HERE'!$D$20,DATA!$J$9:$K$12,2,FALSE)</f>
        <v>037 US Project (NB)</v>
      </c>
      <c r="N250" s="39">
        <f t="shared" si="35"/>
        <v>0</v>
      </c>
      <c r="O250" s="39" t="str">
        <f t="shared" si="36"/>
        <v/>
      </c>
      <c r="P250" s="126">
        <f t="shared" si="37"/>
        <v>0</v>
      </c>
      <c r="R250" s="115">
        <f t="shared" si="38"/>
        <v>249</v>
      </c>
      <c r="S250" s="115">
        <f t="shared" si="39"/>
        <v>0</v>
      </c>
      <c r="T250" s="29" t="str">
        <f>'EE System Designed BOM'!Q250</f>
        <v/>
      </c>
    </row>
  </sheetData>
  <phoneticPr fontId="8" type="noConversion"/>
  <conditionalFormatting sqref="T2:T250">
    <cfRule type="duplicateValues" dxfId="0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9A3E84E-417B-43FE-8E7B-4A3ECFFCB719}">
          <x14:formula1>
            <xm:f>DATA!$C$2:$C$2</xm:f>
          </x14:formula1>
          <xm:sqref>C2:C250</xm:sqref>
        </x14:dataValidation>
        <x14:dataValidation type="list" allowBlank="1" showInputMessage="1" showErrorMessage="1" xr:uid="{D04D2939-A0BD-4D80-88C1-04F0F5D4631D}">
          <x14:formula1>
            <xm:f>DATA!$E$2:$E$4</xm:f>
          </x14:formula1>
          <xm:sqref>G2:G250</xm:sqref>
        </x14:dataValidation>
        <x14:dataValidation type="list" allowBlank="1" showInputMessage="1" showErrorMessage="1" xr:uid="{09A83768-93F0-4779-B586-D33EABE93444}">
          <x14:formula1>
            <xm:f>DATA!$A$2:$A$2</xm:f>
          </x14:formula1>
          <xm:sqref>B2:B250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5514-FCD4-404A-9FEA-F8F3F45CF588}">
  <sheetPr codeName="Sheet10">
    <tabColor rgb="FF4472C4"/>
  </sheetPr>
  <dimension ref="A1:F18"/>
  <sheetViews>
    <sheetView topLeftCell="A13" workbookViewId="0">
      <selection sqref="A1:F1"/>
    </sheetView>
  </sheetViews>
  <sheetFormatPr defaultRowHeight="15" x14ac:dyDescent="0.25"/>
  <cols>
    <col min="1" max="1" width="32.5703125" customWidth="1"/>
    <col min="2" max="2" width="42.5703125" customWidth="1"/>
    <col min="3" max="3" width="75.5703125" customWidth="1"/>
    <col min="4" max="4" width="22.5703125" customWidth="1"/>
  </cols>
  <sheetData>
    <row r="1" spans="1:6" ht="21" x14ac:dyDescent="0.35">
      <c r="A1" s="179" t="s">
        <v>9706</v>
      </c>
      <c r="B1" s="179"/>
      <c r="C1" s="179"/>
      <c r="D1" s="179"/>
      <c r="E1" s="179"/>
      <c r="F1" s="179"/>
    </row>
    <row r="2" spans="1:6" x14ac:dyDescent="0.25">
      <c r="A2" s="32"/>
      <c r="B2" s="32"/>
      <c r="C2" s="32"/>
      <c r="D2" s="32"/>
      <c r="E2" s="32"/>
      <c r="F2" s="32"/>
    </row>
    <row r="3" spans="1:6" ht="45" x14ac:dyDescent="0.25">
      <c r="A3" s="147" t="s">
        <v>9707</v>
      </c>
      <c r="B3" s="32" t="s">
        <v>9708</v>
      </c>
      <c r="C3" s="32"/>
      <c r="D3" s="32"/>
      <c r="E3" s="32"/>
      <c r="F3" s="32"/>
    </row>
    <row r="4" spans="1:6" ht="30" x14ac:dyDescent="0.25">
      <c r="A4" s="147" t="s">
        <v>9709</v>
      </c>
      <c r="B4" s="32" t="s">
        <v>9710</v>
      </c>
      <c r="C4" s="32"/>
      <c r="D4" s="32"/>
      <c r="E4" s="32"/>
      <c r="F4" s="32"/>
    </row>
    <row r="5" spans="1:6" ht="45" x14ac:dyDescent="0.25">
      <c r="A5" s="147" t="s">
        <v>9711</v>
      </c>
      <c r="B5" s="32" t="s">
        <v>9712</v>
      </c>
      <c r="C5" s="32"/>
      <c r="D5" s="32"/>
      <c r="E5" s="32"/>
      <c r="F5" s="32"/>
    </row>
    <row r="6" spans="1:6" ht="30" x14ac:dyDescent="0.25">
      <c r="A6" s="147" t="s">
        <v>9713</v>
      </c>
      <c r="B6" s="32" t="s">
        <v>9714</v>
      </c>
      <c r="C6" s="32"/>
      <c r="D6" s="32"/>
      <c r="E6" s="32"/>
      <c r="F6" s="32"/>
    </row>
    <row r="7" spans="1:6" x14ac:dyDescent="0.25">
      <c r="A7" s="32"/>
      <c r="B7" s="32"/>
      <c r="C7" s="32"/>
      <c r="D7" s="32"/>
      <c r="E7" s="32"/>
      <c r="F7" s="32"/>
    </row>
    <row r="8" spans="1:6" x14ac:dyDescent="0.25">
      <c r="A8" s="145" t="s">
        <v>9715</v>
      </c>
      <c r="B8" s="145" t="s">
        <v>9716</v>
      </c>
      <c r="C8" s="145" t="s">
        <v>9717</v>
      </c>
      <c r="D8" s="145" t="s">
        <v>9718</v>
      </c>
      <c r="E8" s="32"/>
      <c r="F8" s="32"/>
    </row>
    <row r="9" spans="1:6" ht="30" x14ac:dyDescent="0.25">
      <c r="A9" s="32" t="s">
        <v>9719</v>
      </c>
      <c r="B9" s="146" t="s">
        <v>9720</v>
      </c>
      <c r="C9" s="32" t="s">
        <v>9721</v>
      </c>
      <c r="D9" s="32" t="s">
        <v>9722</v>
      </c>
      <c r="E9" s="32"/>
      <c r="F9" s="32"/>
    </row>
    <row r="10" spans="1:6" ht="30" x14ac:dyDescent="0.25">
      <c r="A10" s="32" t="s">
        <v>9723</v>
      </c>
      <c r="B10" s="146" t="s">
        <v>9724</v>
      </c>
      <c r="C10" s="32" t="s">
        <v>9721</v>
      </c>
      <c r="D10" s="32" t="s">
        <v>9722</v>
      </c>
      <c r="E10" s="32"/>
      <c r="F10" s="32"/>
    </row>
    <row r="11" spans="1:6" ht="45" x14ac:dyDescent="0.25">
      <c r="A11" s="32" t="s">
        <v>9725</v>
      </c>
      <c r="B11" s="146" t="s">
        <v>9726</v>
      </c>
      <c r="C11" s="32" t="s">
        <v>9721</v>
      </c>
      <c r="D11" s="32" t="s">
        <v>9722</v>
      </c>
      <c r="E11" s="32"/>
      <c r="F11" s="32"/>
    </row>
    <row r="12" spans="1:6" ht="30" x14ac:dyDescent="0.25">
      <c r="A12" s="32" t="s">
        <v>9727</v>
      </c>
      <c r="B12" s="146" t="s">
        <v>9728</v>
      </c>
      <c r="C12" s="32" t="s">
        <v>9721</v>
      </c>
      <c r="D12" s="32" t="s">
        <v>9722</v>
      </c>
      <c r="E12" s="32"/>
      <c r="F12" s="32"/>
    </row>
    <row r="13" spans="1:6" ht="45" x14ac:dyDescent="0.25">
      <c r="A13" s="32" t="s">
        <v>9729</v>
      </c>
      <c r="B13" s="146" t="s">
        <v>9730</v>
      </c>
      <c r="C13" s="32" t="s">
        <v>9721</v>
      </c>
      <c r="D13" s="32" t="s">
        <v>9722</v>
      </c>
      <c r="E13" s="32"/>
      <c r="F13" s="32"/>
    </row>
    <row r="14" spans="1:6" ht="30" x14ac:dyDescent="0.25">
      <c r="A14" s="32" t="s">
        <v>9731</v>
      </c>
      <c r="B14" s="146" t="s">
        <v>9732</v>
      </c>
      <c r="C14" s="32" t="s">
        <v>9733</v>
      </c>
      <c r="D14" s="32" t="s">
        <v>9722</v>
      </c>
      <c r="E14" s="32"/>
      <c r="F14" s="32"/>
    </row>
    <row r="15" spans="1:6" ht="30" x14ac:dyDescent="0.25">
      <c r="A15" s="32" t="s">
        <v>9734</v>
      </c>
      <c r="B15" s="146" t="s">
        <v>9735</v>
      </c>
      <c r="C15" s="32" t="s">
        <v>9736</v>
      </c>
      <c r="D15" s="32" t="s">
        <v>9722</v>
      </c>
      <c r="E15" s="32"/>
      <c r="F15" s="32"/>
    </row>
    <row r="17" spans="1:3" ht="30" x14ac:dyDescent="0.25">
      <c r="A17" s="32" t="s">
        <v>9737</v>
      </c>
      <c r="B17" s="32"/>
      <c r="C17" s="32" t="s">
        <v>9738</v>
      </c>
    </row>
    <row r="18" spans="1:3" x14ac:dyDescent="0.25">
      <c r="A18" s="32" t="s">
        <v>9739</v>
      </c>
      <c r="B18" s="32"/>
      <c r="C18" s="32" t="s">
        <v>9740</v>
      </c>
    </row>
  </sheetData>
  <mergeCells count="1">
    <mergeCell ref="A1:F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f388e0-967f-4a6f-b126-307c53772a9a" xsi:nil="true"/>
    <lcf76f155ced4ddcb4097134ff3c332f xmlns="b4e0666e-d86e-49f5-a3cf-e4562ae9301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CF535734C9E54AA86CC1CEFBE89B05" ma:contentTypeVersion="12" ma:contentTypeDescription="Create a new document." ma:contentTypeScope="" ma:versionID="f92d9240534036b294810b9dfe5fa809">
  <xsd:schema xmlns:xsd="http://www.w3.org/2001/XMLSchema" xmlns:xs="http://www.w3.org/2001/XMLSchema" xmlns:p="http://schemas.microsoft.com/office/2006/metadata/properties" xmlns:ns2="b4e0666e-d86e-49f5-a3cf-e4562ae9301c" xmlns:ns3="bdf388e0-967f-4a6f-b126-307c53772a9a" targetNamespace="http://schemas.microsoft.com/office/2006/metadata/properties" ma:root="true" ma:fieldsID="2915aca5309a463ead13e7eece3e6222" ns2:_="" ns3:_="">
    <xsd:import namespace="b4e0666e-d86e-49f5-a3cf-e4562ae9301c"/>
    <xsd:import namespace="bdf388e0-967f-4a6f-b126-307c53772a9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e0666e-d86e-49f5-a3cf-e4562ae930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4a7e06ff-2d9c-426b-8847-4603193974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f388e0-967f-4a6f-b126-307c53772a9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402b17c-88db-4c1f-b396-f3f9480ef1d1}" ma:internalName="TaxCatchAll" ma:showField="CatchAllData" ma:web="bdf388e0-967f-4a6f-b126-307c53772a9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85ED9F-88A4-41BA-8C82-24C70D785A29}">
  <ds:schemaRefs>
    <ds:schemaRef ds:uri="http://schemas.microsoft.com/office/2006/metadata/properties"/>
    <ds:schemaRef ds:uri="http://schemas.microsoft.com/office/infopath/2007/PartnerControls"/>
    <ds:schemaRef ds:uri="bdf388e0-967f-4a6f-b126-307c53772a9a"/>
    <ds:schemaRef ds:uri="b4e0666e-d86e-49f5-a3cf-e4562ae9301c"/>
  </ds:schemaRefs>
</ds:datastoreItem>
</file>

<file path=customXml/itemProps2.xml><?xml version="1.0" encoding="utf-8"?>
<ds:datastoreItem xmlns:ds="http://schemas.openxmlformats.org/officeDocument/2006/customXml" ds:itemID="{8846A7E7-4B1F-43D4-986A-7E206385A15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6E1CC7-C791-4581-AF33-E031244055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e0666e-d86e-49f5-a3cf-e4562ae9301c"/>
    <ds:schemaRef ds:uri="bdf388e0-967f-4a6f-b126-307c53772a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START-HERE</vt:lpstr>
      <vt:lpstr>Revisions</vt:lpstr>
      <vt:lpstr>Vendor INFO</vt:lpstr>
      <vt:lpstr>NEW VENDOR INFO</vt:lpstr>
      <vt:lpstr>Pricing-Data</vt:lpstr>
      <vt:lpstr>DATA</vt:lpstr>
      <vt:lpstr>EE BOM IMPORT_test</vt:lpstr>
      <vt:lpstr>VARIANT LIST</vt:lpstr>
      <vt:lpstr>EM Designed function</vt:lpstr>
      <vt:lpstr>EE System Designed BOM</vt:lpstr>
      <vt:lpstr>SAP POR Order List</vt:lpstr>
      <vt:lpstr>WORKBOOK GUIDE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Pierre</dc:creator>
  <cp:keywords/>
  <dc:description/>
  <cp:lastModifiedBy>Lee Pierre</cp:lastModifiedBy>
  <cp:revision/>
  <dcterms:created xsi:type="dcterms:W3CDTF">2025-09-19T18:29:43Z</dcterms:created>
  <dcterms:modified xsi:type="dcterms:W3CDTF">2026-10-21T05:46:22Z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46921f-d37c-4222-b9ef-5dad63b5080a_Enabled">
    <vt:lpwstr>true</vt:lpwstr>
  </property>
  <property fmtid="{D5CDD505-2E9C-101B-9397-08002B2CF9AE}" pid="3" name="MSIP_Label_1b46921f-d37c-4222-b9ef-5dad63b5080a_SetDate">
    <vt:lpwstr>2025-09-29T18:35:27Z</vt:lpwstr>
  </property>
  <property fmtid="{D5CDD505-2E9C-101B-9397-08002B2CF9AE}" pid="4" name="MSIP_Label_1b46921f-d37c-4222-b9ef-5dad63b5080a_Method">
    <vt:lpwstr>Privileged</vt:lpwstr>
  </property>
  <property fmtid="{D5CDD505-2E9C-101B-9397-08002B2CF9AE}" pid="5" name="MSIP_Label_1b46921f-d37c-4222-b9ef-5dad63b5080a_Name">
    <vt:lpwstr>Internal_</vt:lpwstr>
  </property>
  <property fmtid="{D5CDD505-2E9C-101B-9397-08002B2CF9AE}" pid="6" name="MSIP_Label_1b46921f-d37c-4222-b9ef-5dad63b5080a_SiteId">
    <vt:lpwstr>5a5c4bcf-d285-44af-8f19-ca72d454f6f7</vt:lpwstr>
  </property>
  <property fmtid="{D5CDD505-2E9C-101B-9397-08002B2CF9AE}" pid="7" name="MSIP_Label_1b46921f-d37c-4222-b9ef-5dad63b5080a_ActionId">
    <vt:lpwstr>71599f19-49ec-497c-9dce-0a4735c3bef3</vt:lpwstr>
  </property>
  <property fmtid="{D5CDD505-2E9C-101B-9397-08002B2CF9AE}" pid="8" name="MSIP_Label_1b46921f-d37c-4222-b9ef-5dad63b5080a_ContentBits">
    <vt:lpwstr>2</vt:lpwstr>
  </property>
  <property fmtid="{D5CDD505-2E9C-101B-9397-08002B2CF9AE}" pid="9" name="MSIP_Label_1b46921f-d37c-4222-b9ef-5dad63b5080a_Tag">
    <vt:lpwstr>10, 0, 1, 1</vt:lpwstr>
  </property>
  <property fmtid="{D5CDD505-2E9C-101B-9397-08002B2CF9AE}" pid="10" name="ContentTypeId">
    <vt:lpwstr>0x010100C0CF535734C9E54AA86CC1CEFBE89B05</vt:lpwstr>
  </property>
  <property fmtid="{D5CDD505-2E9C-101B-9397-08002B2CF9AE}" pid="11" name="MediaServiceImageTags">
    <vt:lpwstr/>
  </property>
</Properties>
</file>